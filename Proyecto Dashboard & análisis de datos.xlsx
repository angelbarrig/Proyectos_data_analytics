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ngel\Desktop\The Power - Data Analytics\"/>
    </mc:Choice>
  </mc:AlternateContent>
  <xr:revisionPtr revIDLastSave="0" documentId="13_ncr:1_{1C57C441-FDC8-493A-AA47-03F98967173E}" xr6:coauthVersionLast="47" xr6:coauthVersionMax="47" xr10:uidLastSave="{00000000-0000-0000-0000-000000000000}"/>
  <bookViews>
    <workbookView xWindow="-28920" yWindow="-3975" windowWidth="29040" windowHeight="15720" activeTab="4" xr2:uid="{00000000-000D-0000-FFFF-FFFF00000000}"/>
  </bookViews>
  <sheets>
    <sheet name="Archivo primario" sheetId="4" r:id="rId1"/>
    <sheet name="Orders" sheetId="1" r:id="rId2"/>
    <sheet name="Análisis " sheetId="2" r:id="rId3"/>
    <sheet name="Tablas dinamicas" sheetId="5" r:id="rId4"/>
    <sheet name="DB" sheetId="3" r:id="rId5"/>
  </sheets>
  <definedNames>
    <definedName name="SegmentaciónDeDatos_Año">#N/A</definedName>
    <definedName name="SegmentaciónDeDatos_Country">#N/A</definedName>
    <definedName name="SegmentaciónDeDatos_Mes">#N/A</definedName>
    <definedName name="SegmentaciónDeDatos_OrderStatus">#N/A</definedName>
    <definedName name="SegmentaciónDeDatos_ProductCategory">#N/A</definedName>
  </definedNames>
  <calcPr calcId="191029"/>
  <pivotCaches>
    <pivotCache cacheId="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" i="3" l="1"/>
  <c r="M6" i="3"/>
  <c r="J6" i="3"/>
  <c r="G6" i="3"/>
  <c r="B21" i="5"/>
  <c r="B18" i="5"/>
  <c r="B11" i="5"/>
  <c r="B7" i="5"/>
  <c r="B21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B7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B18" i="2" l="1"/>
  <c r="B11" i="2"/>
</calcChain>
</file>

<file path=xl/sharedStrings.xml><?xml version="1.0" encoding="utf-8"?>
<sst xmlns="http://schemas.openxmlformats.org/spreadsheetml/2006/main" count="45224" uniqueCount="3895">
  <si>
    <t>OrderID</t>
  </si>
  <si>
    <t>CustomerName</t>
  </si>
  <si>
    <t>Email</t>
  </si>
  <si>
    <t>Country</t>
  </si>
  <si>
    <t>City</t>
  </si>
  <si>
    <t>ProductCategory</t>
  </si>
  <si>
    <t>ProductName</t>
  </si>
  <si>
    <t>Quantity</t>
  </si>
  <si>
    <t>UnitPrice</t>
  </si>
  <si>
    <t>OrderDate</t>
  </si>
  <si>
    <t>OrderStatus</t>
  </si>
  <si>
    <t>ORD000001</t>
  </si>
  <si>
    <t>Elena Gil</t>
  </si>
  <si>
    <t>elena.gil@mail.com</t>
  </si>
  <si>
    <t>España</t>
  </si>
  <si>
    <t>Valencia</t>
  </si>
  <si>
    <t>Electrónica</t>
  </si>
  <si>
    <t>Cámara</t>
  </si>
  <si>
    <t>2025-11-17</t>
  </si>
  <si>
    <t>Pendiente</t>
  </si>
  <si>
    <t>ORD000002</t>
  </si>
  <si>
    <t>Ana Navarro</t>
  </si>
  <si>
    <t>ana.navarro@mail.com</t>
  </si>
  <si>
    <t>Alemania</t>
  </si>
  <si>
    <t>Hamburgo</t>
  </si>
  <si>
    <t>Hogar</t>
  </si>
  <si>
    <t>Aspiradora</t>
  </si>
  <si>
    <t>2024-12-06</t>
  </si>
  <si>
    <t>Cancelado</t>
  </si>
  <si>
    <t>ORD000003</t>
  </si>
  <si>
    <t>Ana Sánchez</t>
  </si>
  <si>
    <t>ana.sánchez@mail.com</t>
  </si>
  <si>
    <t>Portugal</t>
  </si>
  <si>
    <t>Braga</t>
  </si>
  <si>
    <t>Cafetera</t>
  </si>
  <si>
    <t>2026-02-12</t>
  </si>
  <si>
    <t>Devuelto</t>
  </si>
  <si>
    <t>ORD000004</t>
  </si>
  <si>
    <t>Diego Torres</t>
  </si>
  <si>
    <t>diego.torres@mail.com</t>
  </si>
  <si>
    <t>Italia</t>
  </si>
  <si>
    <t>Roma</t>
  </si>
  <si>
    <t>Moda</t>
  </si>
  <si>
    <t>Chaqueta</t>
  </si>
  <si>
    <t>2025-07-11</t>
  </si>
  <si>
    <t>Enviado</t>
  </si>
  <si>
    <t>ORD000005</t>
  </si>
  <si>
    <t>Pedro Rodríguez</t>
  </si>
  <si>
    <t>pedro.rodríguez@mail.com</t>
  </si>
  <si>
    <t>Berlín</t>
  </si>
  <si>
    <t>Deporte</t>
  </si>
  <si>
    <t>Bicicleta</t>
  </si>
  <si>
    <t>2024-02-17</t>
  </si>
  <si>
    <t>ORD000006</t>
  </si>
  <si>
    <t>Pablo Rodríguez</t>
  </si>
  <si>
    <t>pablo.rodríguez@mail.com</t>
  </si>
  <si>
    <t>Balón</t>
  </si>
  <si>
    <t>2025-02-27</t>
  </si>
  <si>
    <t>ORD000007</t>
  </si>
  <si>
    <t>Diego López</t>
  </si>
  <si>
    <t>diego.lópez@mail.com</t>
  </si>
  <si>
    <t>Oporto</t>
  </si>
  <si>
    <t>Mesa</t>
  </si>
  <si>
    <t>2025-11-04</t>
  </si>
  <si>
    <t>ORD000008</t>
  </si>
  <si>
    <t>Raúl García</t>
  </si>
  <si>
    <t>raúl.garcía@mail.com</t>
  </si>
  <si>
    <t>Francia</t>
  </si>
  <si>
    <t>París</t>
  </si>
  <si>
    <t>Esterilla</t>
  </si>
  <si>
    <t>2024-09-07</t>
  </si>
  <si>
    <t>ORD000009</t>
  </si>
  <si>
    <t>Lucía López</t>
  </si>
  <si>
    <t>lucía.lópez@mail.com</t>
  </si>
  <si>
    <t>Silla</t>
  </si>
  <si>
    <t>2024-01-20</t>
  </si>
  <si>
    <t>ORD000010</t>
  </si>
  <si>
    <t>María Pérez</t>
  </si>
  <si>
    <t>maría.pérez@mail.com</t>
  </si>
  <si>
    <t>Milán</t>
  </si>
  <si>
    <t>Pantalón</t>
  </si>
  <si>
    <t>2024-11-09</t>
  </si>
  <si>
    <t>ORD000011</t>
  </si>
  <si>
    <t>Elena Vázquez</t>
  </si>
  <si>
    <t>elena.vázquez@mail.com</t>
  </si>
  <si>
    <t>2024-10-15</t>
  </si>
  <si>
    <t>ORD000012</t>
  </si>
  <si>
    <t>Sofía Vázquez</t>
  </si>
  <si>
    <t>sofía.vázquez@mail.com</t>
  </si>
  <si>
    <t>Vestido</t>
  </si>
  <si>
    <t>2024-06-02</t>
  </si>
  <si>
    <t>Entregado</t>
  </si>
  <si>
    <t>ORD000013</t>
  </si>
  <si>
    <t>Sofía Torres</t>
  </si>
  <si>
    <t>sofía.torres@mail.com</t>
  </si>
  <si>
    <t>Barcelona</t>
  </si>
  <si>
    <t>2024-05-10</t>
  </si>
  <si>
    <t>ORD000014</t>
  </si>
  <si>
    <t>Pedro García</t>
  </si>
  <si>
    <t>pedro.garcía@mail.com</t>
  </si>
  <si>
    <t>Sevilla</t>
  </si>
  <si>
    <t>Libros</t>
  </si>
  <si>
    <t>Ensayo</t>
  </si>
  <si>
    <t>2025-02-09</t>
  </si>
  <si>
    <t>ORD000015</t>
  </si>
  <si>
    <t>Sofía Martínez</t>
  </si>
  <si>
    <t>sofía.martínez@mail.com</t>
  </si>
  <si>
    <t>2024-02-08</t>
  </si>
  <si>
    <t>ORD000016</t>
  </si>
  <si>
    <t>Javier Torres</t>
  </si>
  <si>
    <t>javier.torres@mail.com</t>
  </si>
  <si>
    <t>2025-02-01</t>
  </si>
  <si>
    <t>ORD000017</t>
  </si>
  <si>
    <t>Lucía Gil</t>
  </si>
  <si>
    <t>lucía.gil@mail.com</t>
  </si>
  <si>
    <t>Marsella</t>
  </si>
  <si>
    <t>2025-02-08</t>
  </si>
  <si>
    <t>ORD000018</t>
  </si>
  <si>
    <t>Pedro Pérez</t>
  </si>
  <si>
    <t>pedro.pérez@mail.com</t>
  </si>
  <si>
    <t>Nápoles</t>
  </si>
  <si>
    <t>2024-02-28</t>
  </si>
  <si>
    <t>ORD000019</t>
  </si>
  <si>
    <t>Carlos Ramos</t>
  </si>
  <si>
    <t>carlos.ramos@mail.com</t>
  </si>
  <si>
    <t>Bilbao</t>
  </si>
  <si>
    <t>2026-01-11</t>
  </si>
  <si>
    <t>ORD000020</t>
  </si>
  <si>
    <t>Ana López</t>
  </si>
  <si>
    <t>ana.lópez@mail.com</t>
  </si>
  <si>
    <t>Lyon</t>
  </si>
  <si>
    <t>2025-12-05</t>
  </si>
  <si>
    <t>ORD000021</t>
  </si>
  <si>
    <t>Laura Rodríguez</t>
  </si>
  <si>
    <t>laura.rodríguez@mail.com</t>
  </si>
  <si>
    <t>2024-08-19</t>
  </si>
  <si>
    <t>ORD000022</t>
  </si>
  <si>
    <t>Elena Rodríguez</t>
  </si>
  <si>
    <t>elena.rodríguez@mail.com</t>
  </si>
  <si>
    <t>Lámpara</t>
  </si>
  <si>
    <t>2025-01-22</t>
  </si>
  <si>
    <t>ORD000023</t>
  </si>
  <si>
    <t>María López</t>
  </si>
  <si>
    <t>maría.lópez@mail.com</t>
  </si>
  <si>
    <t>2024-02-02</t>
  </si>
  <si>
    <t>ORD000024</t>
  </si>
  <si>
    <t>Miguel Fernández</t>
  </si>
  <si>
    <t>miguel.fernández@mail.com</t>
  </si>
  <si>
    <t>Portátil</t>
  </si>
  <si>
    <t>2024-06-22</t>
  </si>
  <si>
    <t>ORD000025</t>
  </si>
  <si>
    <t>Pablo Martínez</t>
  </si>
  <si>
    <t>pablo.martínez@mail.com</t>
  </si>
  <si>
    <t>2025-09-26</t>
  </si>
  <si>
    <t>ORD000026</t>
  </si>
  <si>
    <t>Pedro Ramos</t>
  </si>
  <si>
    <t>pedro.ramos@mail.com</t>
  </si>
  <si>
    <t>2025-09-06</t>
  </si>
  <si>
    <t>ORD000027</t>
  </si>
  <si>
    <t>Diego Pérez</t>
  </si>
  <si>
    <t>diego.pérez@mail.com</t>
  </si>
  <si>
    <t>2025-10-15</t>
  </si>
  <si>
    <t>ORD000028</t>
  </si>
  <si>
    <t>Miguel Pérez</t>
  </si>
  <si>
    <t>miguel.pérez@mail.com</t>
  </si>
  <si>
    <t>Biografía</t>
  </si>
  <si>
    <t>2024-10-26</t>
  </si>
  <si>
    <t>ORD000029</t>
  </si>
  <si>
    <t>Carlos Alonso</t>
  </si>
  <si>
    <t>carlos.alonso@mail.com</t>
  </si>
  <si>
    <t>Zapatillas</t>
  </si>
  <si>
    <t>2024-02-09</t>
  </si>
  <si>
    <t>ORD000030</t>
  </si>
  <si>
    <t>Irene García</t>
  </si>
  <si>
    <t>irene.garcía@mail.com</t>
  </si>
  <si>
    <t>2025-11-27</t>
  </si>
  <si>
    <t>ORD000031</t>
  </si>
  <si>
    <t>Auriculares</t>
  </si>
  <si>
    <t>2024-06-18</t>
  </si>
  <si>
    <t>ORD000032</t>
  </si>
  <si>
    <t>Ana Díaz</t>
  </si>
  <si>
    <t>ana.díaz@mail.com</t>
  </si>
  <si>
    <t>Smartphone</t>
  </si>
  <si>
    <t>2025-07-08</t>
  </si>
  <si>
    <t>ORD000033</t>
  </si>
  <si>
    <t>Raúl López</t>
  </si>
  <si>
    <t>raúl.lópez@mail.com</t>
  </si>
  <si>
    <t>2024-02-20</t>
  </si>
  <si>
    <t>ORD000034</t>
  </si>
  <si>
    <t>Ana Pérez</t>
  </si>
  <si>
    <t>ana.pérez@mail.com</t>
  </si>
  <si>
    <t>2025-12-03</t>
  </si>
  <si>
    <t>ORD000035</t>
  </si>
  <si>
    <t>Raúl Díaz</t>
  </si>
  <si>
    <t>raúl.díaz@mail.com</t>
  </si>
  <si>
    <t>2025-12-17</t>
  </si>
  <si>
    <t>ORD000036</t>
  </si>
  <si>
    <t>Luis López</t>
  </si>
  <si>
    <t>luis.lópez@mail.com</t>
  </si>
  <si>
    <t>2025-06-19</t>
  </si>
  <si>
    <t>ORD000037</t>
  </si>
  <si>
    <t>Laura Gil</t>
  </si>
  <si>
    <t>laura.gil@mail.com</t>
  </si>
  <si>
    <t>Lisboa</t>
  </si>
  <si>
    <t>2024-07-22</t>
  </si>
  <si>
    <t>ORD000038</t>
  </si>
  <si>
    <t>Carmen Sánchez</t>
  </si>
  <si>
    <t>carmen.sánchez@mail.com</t>
  </si>
  <si>
    <t>2025-03-27</t>
  </si>
  <si>
    <t>ORD000039</t>
  </si>
  <si>
    <t>Ana Gil</t>
  </si>
  <si>
    <t>ana.gil@mail.com</t>
  </si>
  <si>
    <t>2024-05-22</t>
  </si>
  <si>
    <t>ORD000040</t>
  </si>
  <si>
    <t>Elena Pérez</t>
  </si>
  <si>
    <t>elena.pérez@mail.com</t>
  </si>
  <si>
    <t>Mochila</t>
  </si>
  <si>
    <t>2024-11-18</t>
  </si>
  <si>
    <t>ORD000041</t>
  </si>
  <si>
    <t>Diego Vázquez</t>
  </si>
  <si>
    <t>diego.vázquez@mail.com</t>
  </si>
  <si>
    <t>2024-07-28</t>
  </si>
  <si>
    <t>ORD000042</t>
  </si>
  <si>
    <t>Lucía Díaz</t>
  </si>
  <si>
    <t>lucía.díaz@mail.com</t>
  </si>
  <si>
    <t>Camiseta</t>
  </si>
  <si>
    <t>2024-04-06</t>
  </si>
  <si>
    <t>ORD000043</t>
  </si>
  <si>
    <t>Laura Pérez</t>
  </si>
  <si>
    <t>laura.pérez@mail.com</t>
  </si>
  <si>
    <t>Tablet</t>
  </si>
  <si>
    <t>2025-08-31</t>
  </si>
  <si>
    <t>ORD000044</t>
  </si>
  <si>
    <t>2025-10-27</t>
  </si>
  <si>
    <t>ORD000045</t>
  </si>
  <si>
    <t>Pablo Ruiz</t>
  </si>
  <si>
    <t>pablo.ruiz@mail.com</t>
  </si>
  <si>
    <t>Novela</t>
  </si>
  <si>
    <t>2025-08-23</t>
  </si>
  <si>
    <t>ORD000046</t>
  </si>
  <si>
    <t>Carmen Fernández</t>
  </si>
  <si>
    <t>carmen.fernández@mail.com</t>
  </si>
  <si>
    <t>2026-01-18</t>
  </si>
  <si>
    <t>ORD000047</t>
  </si>
  <si>
    <t>Luis Navarro</t>
  </si>
  <si>
    <t>luis.navarro@mail.com</t>
  </si>
  <si>
    <t>2025-05-05</t>
  </si>
  <si>
    <t>ORD000048</t>
  </si>
  <si>
    <t>Carlos Rodríguez</t>
  </si>
  <si>
    <t>carlos.rodríguez@mail.com</t>
  </si>
  <si>
    <t>2025-05-04</t>
  </si>
  <si>
    <t>ORD000049</t>
  </si>
  <si>
    <t>Luis Vázquez</t>
  </si>
  <si>
    <t>luis.vázquez@mail.com</t>
  </si>
  <si>
    <t>2024-03-23</t>
  </si>
  <si>
    <t>ORD000050</t>
  </si>
  <si>
    <t>Ana Vázquez</t>
  </si>
  <si>
    <t>ana.vázquez@mail.com</t>
  </si>
  <si>
    <t>2025-08-04</t>
  </si>
  <si>
    <t>ORD000051</t>
  </si>
  <si>
    <t>Sofía Fernández</t>
  </si>
  <si>
    <t>sofía.fernández@mail.com</t>
  </si>
  <si>
    <t>2025-07-12</t>
  </si>
  <si>
    <t>ORD000052</t>
  </si>
  <si>
    <t>Pedro López</t>
  </si>
  <si>
    <t>pedro.lópez@mail.com</t>
  </si>
  <si>
    <t>Madrid</t>
  </si>
  <si>
    <t>2025-10-07</t>
  </si>
  <si>
    <t>ORD000053</t>
  </si>
  <si>
    <t>Javier Fernández</t>
  </si>
  <si>
    <t>javier.fernández@mail.com</t>
  </si>
  <si>
    <t>2024-01-13</t>
  </si>
  <si>
    <t>ORD000054</t>
  </si>
  <si>
    <t>Elena Martínez</t>
  </si>
  <si>
    <t>elena.martínez@mail.com</t>
  </si>
  <si>
    <t>2024-10-29</t>
  </si>
  <si>
    <t>ORD000055</t>
  </si>
  <si>
    <t>2024-12-11</t>
  </si>
  <si>
    <t>ORD000056</t>
  </si>
  <si>
    <t>2025-03-22</t>
  </si>
  <si>
    <t>ORD000057</t>
  </si>
  <si>
    <t>Laura Gómez</t>
  </si>
  <si>
    <t>laura.gómez@mail.com</t>
  </si>
  <si>
    <t>2024-06-19</t>
  </si>
  <si>
    <t>ORD000058</t>
  </si>
  <si>
    <t>2025-08-10</t>
  </si>
  <si>
    <t>ORD000059</t>
  </si>
  <si>
    <t>Carlos Gil</t>
  </si>
  <si>
    <t>carlos.gil@mail.com</t>
  </si>
  <si>
    <t>2024-09-19</t>
  </si>
  <si>
    <t>ORD000060</t>
  </si>
  <si>
    <t>María Fernández</t>
  </si>
  <si>
    <t>maría.fernández@mail.com</t>
  </si>
  <si>
    <t>2025-03-08</t>
  </si>
  <si>
    <t>ORD000061</t>
  </si>
  <si>
    <t>Pedro Vázquez</t>
  </si>
  <si>
    <t>pedro.vázquez@mail.com</t>
  </si>
  <si>
    <t>2024-07-30</t>
  </si>
  <si>
    <t>ORD000062</t>
  </si>
  <si>
    <t>Javier Gil</t>
  </si>
  <si>
    <t>javier.gil@mail.com</t>
  </si>
  <si>
    <t>2025-05-09</t>
  </si>
  <si>
    <t>ORD000063</t>
  </si>
  <si>
    <t>Miguel Sánchez</t>
  </si>
  <si>
    <t>miguel.sánchez@mail.com</t>
  </si>
  <si>
    <t>2025-06-22</t>
  </si>
  <si>
    <t>ORD000064</t>
  </si>
  <si>
    <t>Miguel López</t>
  </si>
  <si>
    <t>miguel.lópez@mail.com</t>
  </si>
  <si>
    <t>2025-02-13</t>
  </si>
  <si>
    <t>ORD000065</t>
  </si>
  <si>
    <t>Elena Torres</t>
  </si>
  <si>
    <t>elena.torres@mail.com</t>
  </si>
  <si>
    <t>2024-06-06</t>
  </si>
  <si>
    <t>ORD000066</t>
  </si>
  <si>
    <t>Carmen Díaz</t>
  </si>
  <si>
    <t>carmen.díaz@mail.com</t>
  </si>
  <si>
    <t>2024-05-02</t>
  </si>
  <si>
    <t>ORD000067</t>
  </si>
  <si>
    <t>2025-05-14</t>
  </si>
  <si>
    <t>ORD000068</t>
  </si>
  <si>
    <t>Carmen Navarro</t>
  </si>
  <si>
    <t>carmen.navarro@mail.com</t>
  </si>
  <si>
    <t>2025-10-18</t>
  </si>
  <si>
    <t>ORD000069</t>
  </si>
  <si>
    <t>Raúl Alonso</t>
  </si>
  <si>
    <t>raúl.alonso@mail.com</t>
  </si>
  <si>
    <t>2024-04-28</t>
  </si>
  <si>
    <t>ORD000070</t>
  </si>
  <si>
    <t>2025-02-04</t>
  </si>
  <si>
    <t>ORD000071</t>
  </si>
  <si>
    <t>2025-08-24</t>
  </si>
  <si>
    <t>ORD000072</t>
  </si>
  <si>
    <t>Diego Díaz</t>
  </si>
  <si>
    <t>diego.díaz@mail.com</t>
  </si>
  <si>
    <t>ORD000073</t>
  </si>
  <si>
    <t>Elena García</t>
  </si>
  <si>
    <t>elena.garcía@mail.com</t>
  </si>
  <si>
    <t>Múnich</t>
  </si>
  <si>
    <t>2024-06-27</t>
  </si>
  <si>
    <t>ORD000074</t>
  </si>
  <si>
    <t>Elena Navarro</t>
  </si>
  <si>
    <t>elena.navarro@mail.com</t>
  </si>
  <si>
    <t>2025-03-12</t>
  </si>
  <si>
    <t>ORD000075</t>
  </si>
  <si>
    <t>Lucía Ramos</t>
  </si>
  <si>
    <t>lucía.ramos@mail.com</t>
  </si>
  <si>
    <t>ORD000076</t>
  </si>
  <si>
    <t>Carmen Vázquez</t>
  </si>
  <si>
    <t>carmen.vázquez@mail.com</t>
  </si>
  <si>
    <t>2024-05-29</t>
  </si>
  <si>
    <t>ORD000077</t>
  </si>
  <si>
    <t>Pablo Gil</t>
  </si>
  <si>
    <t>pablo.gil@mail.com</t>
  </si>
  <si>
    <t>ORD000078</t>
  </si>
  <si>
    <t>Carlos García</t>
  </si>
  <si>
    <t>carlos.garcía@mail.com</t>
  </si>
  <si>
    <t>2025-02-11</t>
  </si>
  <si>
    <t>ORD000079</t>
  </si>
  <si>
    <t>Javier Navarro</t>
  </si>
  <si>
    <t>javier.navarro@mail.com</t>
  </si>
  <si>
    <t>2024-06-10</t>
  </si>
  <si>
    <t>ORD000080</t>
  </si>
  <si>
    <t>Pablo Fernández</t>
  </si>
  <si>
    <t>pablo.fernández@mail.com</t>
  </si>
  <si>
    <t>2024-04-24</t>
  </si>
  <si>
    <t>ORD000081</t>
  </si>
  <si>
    <t>Carlos Gómez</t>
  </si>
  <si>
    <t>carlos.gómez@mail.com</t>
  </si>
  <si>
    <t>2025-10-05</t>
  </si>
  <si>
    <t>ORD000082</t>
  </si>
  <si>
    <t>2025-07-02</t>
  </si>
  <si>
    <t>ORD000083</t>
  </si>
  <si>
    <t>Cómic</t>
  </si>
  <si>
    <t>2025-06-25</t>
  </si>
  <si>
    <t>ORD000084</t>
  </si>
  <si>
    <t>Carlos Martínez</t>
  </si>
  <si>
    <t>carlos.martínez@mail.com</t>
  </si>
  <si>
    <t>2025-11-19</t>
  </si>
  <si>
    <t>ORD000085</t>
  </si>
  <si>
    <t>Elena López</t>
  </si>
  <si>
    <t>elena.lópez@mail.com</t>
  </si>
  <si>
    <t>2025-12-20</t>
  </si>
  <si>
    <t>ORD000086</t>
  </si>
  <si>
    <t>Ana Ramos</t>
  </si>
  <si>
    <t>ana.ramos@mail.com</t>
  </si>
  <si>
    <t>2024-01-19</t>
  </si>
  <si>
    <t>ORD000087</t>
  </si>
  <si>
    <t>Luis Martínez</t>
  </si>
  <si>
    <t>luis.martínez@mail.com</t>
  </si>
  <si>
    <t>2026-03-14</t>
  </si>
  <si>
    <t>ORD000088</t>
  </si>
  <si>
    <t>Pablo Alonso</t>
  </si>
  <si>
    <t>pablo.alonso@mail.com</t>
  </si>
  <si>
    <t>2025-03-10</t>
  </si>
  <si>
    <t>ORD000089</t>
  </si>
  <si>
    <t>Luis Ruiz</t>
  </si>
  <si>
    <t>luis.ruiz@mail.com</t>
  </si>
  <si>
    <t>2024-12-29</t>
  </si>
  <si>
    <t>ORD000090</t>
  </si>
  <si>
    <t>2024-10-12</t>
  </si>
  <si>
    <t>ORD000091</t>
  </si>
  <si>
    <t>Carmen Gil</t>
  </si>
  <si>
    <t>carmen.gil@mail.com</t>
  </si>
  <si>
    <t>2025-01-05</t>
  </si>
  <si>
    <t>ORD000092</t>
  </si>
  <si>
    <t>Sofía Ruiz</t>
  </si>
  <si>
    <t>sofía.ruiz@mail.com</t>
  </si>
  <si>
    <t>2025-05-20</t>
  </si>
  <si>
    <t>ORD000093</t>
  </si>
  <si>
    <t>2024-01-17</t>
  </si>
  <si>
    <t>ORD000094</t>
  </si>
  <si>
    <t>Pedro Navarro</t>
  </si>
  <si>
    <t>pedro.navarro@mail.com</t>
  </si>
  <si>
    <t>2024-07-16</t>
  </si>
  <si>
    <t>ORD000095</t>
  </si>
  <si>
    <t>2025-06-05</t>
  </si>
  <si>
    <t>ORD000096</t>
  </si>
  <si>
    <t>Javier López</t>
  </si>
  <si>
    <t>javier.lópez@mail.com</t>
  </si>
  <si>
    <t>2024-07-15</t>
  </si>
  <si>
    <t>ORD000097</t>
  </si>
  <si>
    <t>2025-06-17</t>
  </si>
  <si>
    <t>ORD000098</t>
  </si>
  <si>
    <t>2025-04-24</t>
  </si>
  <si>
    <t>ORD000099</t>
  </si>
  <si>
    <t>Miguel Rodríguez</t>
  </si>
  <si>
    <t>miguel.rodríguez@mail.com</t>
  </si>
  <si>
    <t>ORD000100</t>
  </si>
  <si>
    <t>Sofía Díaz</t>
  </si>
  <si>
    <t>sofía.díaz@mail.com</t>
  </si>
  <si>
    <t>2025-01-01</t>
  </si>
  <si>
    <t>ORD000101</t>
  </si>
  <si>
    <t>2026-01-23</t>
  </si>
  <si>
    <t>ORD000102</t>
  </si>
  <si>
    <t>Lucía García</t>
  </si>
  <si>
    <t>lucía.garcía@mail.com</t>
  </si>
  <si>
    <t>2024-06-09</t>
  </si>
  <si>
    <t>ORD000103</t>
  </si>
  <si>
    <t>Laura Alonso</t>
  </si>
  <si>
    <t>laura.alonso@mail.com</t>
  </si>
  <si>
    <t>2026-03-24</t>
  </si>
  <si>
    <t>ORD000104</t>
  </si>
  <si>
    <t>Raúl Pérez</t>
  </si>
  <si>
    <t>raúl.pérez@mail.com</t>
  </si>
  <si>
    <t>ORD000105</t>
  </si>
  <si>
    <t>Diego Rodríguez</t>
  </si>
  <si>
    <t>diego.rodríguez@mail.com</t>
  </si>
  <si>
    <t>2024-07-13</t>
  </si>
  <si>
    <t>ORD000106</t>
  </si>
  <si>
    <t>Laura Ramos</t>
  </si>
  <si>
    <t>laura.ramos@mail.com</t>
  </si>
  <si>
    <t>2024-03-03</t>
  </si>
  <si>
    <t>ORD000107</t>
  </si>
  <si>
    <t>Carlos Fernández</t>
  </si>
  <si>
    <t>carlos.fernández@mail.com</t>
  </si>
  <si>
    <t>2026-03-11</t>
  </si>
  <si>
    <t>ORD000108</t>
  </si>
  <si>
    <t>2024-10-02</t>
  </si>
  <si>
    <t>ORD000109</t>
  </si>
  <si>
    <t>Diego Ramos</t>
  </si>
  <si>
    <t>diego.ramos@mail.com</t>
  </si>
  <si>
    <t>2024-01-02</t>
  </si>
  <si>
    <t>ORD000110</t>
  </si>
  <si>
    <t>Diego Alonso</t>
  </si>
  <si>
    <t>diego.alonso@mail.com</t>
  </si>
  <si>
    <t>2024-08-20</t>
  </si>
  <si>
    <t>ORD000111</t>
  </si>
  <si>
    <t>2024-01-22</t>
  </si>
  <si>
    <t>ORD000112</t>
  </si>
  <si>
    <t>Pedro Gil</t>
  </si>
  <si>
    <t>pedro.gil@mail.com</t>
  </si>
  <si>
    <t>2024-12-18</t>
  </si>
  <si>
    <t>ORD000113</t>
  </si>
  <si>
    <t>Pedro Díaz</t>
  </si>
  <si>
    <t>pedro.díaz@mail.com</t>
  </si>
  <si>
    <t>ORD000114</t>
  </si>
  <si>
    <t>2024-05-15</t>
  </si>
  <si>
    <t>ORD000115</t>
  </si>
  <si>
    <t>2025-11-20</t>
  </si>
  <si>
    <t>ORD000116</t>
  </si>
  <si>
    <t>Carlos Pérez</t>
  </si>
  <si>
    <t>carlos.pérez@mail.com</t>
  </si>
  <si>
    <t>2025-05-22</t>
  </si>
  <si>
    <t>ORD000117</t>
  </si>
  <si>
    <t>ORD000118</t>
  </si>
  <si>
    <t>2025-07-26</t>
  </si>
  <si>
    <t>ORD000119</t>
  </si>
  <si>
    <t>2025-10-30</t>
  </si>
  <si>
    <t>ORD000120</t>
  </si>
  <si>
    <t>2025-04-18</t>
  </si>
  <si>
    <t>ORD000121</t>
  </si>
  <si>
    <t>Laura García</t>
  </si>
  <si>
    <t>laura.garcía@mail.com</t>
  </si>
  <si>
    <t>2026-03-06</t>
  </si>
  <si>
    <t>ORD000122</t>
  </si>
  <si>
    <t>Sofía Gómez</t>
  </si>
  <si>
    <t>sofía.gómez@mail.com</t>
  </si>
  <si>
    <t>2025-11-10</t>
  </si>
  <si>
    <t>ORD000123</t>
  </si>
  <si>
    <t>Miguel Ramos</t>
  </si>
  <si>
    <t>miguel.ramos@mail.com</t>
  </si>
  <si>
    <t>2024-01-25</t>
  </si>
  <si>
    <t>ORD000124</t>
  </si>
  <si>
    <t>2025-02-26</t>
  </si>
  <si>
    <t>ORD000125</t>
  </si>
  <si>
    <t>Carmen Alonso</t>
  </si>
  <si>
    <t>carmen.alonso@mail.com</t>
  </si>
  <si>
    <t>2025-02-28</t>
  </si>
  <si>
    <t>ORD000126</t>
  </si>
  <si>
    <t>2025-06-26</t>
  </si>
  <si>
    <t>ORD000127</t>
  </si>
  <si>
    <t>2026-03-25</t>
  </si>
  <si>
    <t>ORD000128</t>
  </si>
  <si>
    <t>Javier Rodríguez</t>
  </si>
  <si>
    <t>javier.rodríguez@mail.com</t>
  </si>
  <si>
    <t>2025-04-10</t>
  </si>
  <si>
    <t>ORD000129</t>
  </si>
  <si>
    <t>Lucía Alonso</t>
  </si>
  <si>
    <t>lucía.alonso@mail.com</t>
  </si>
  <si>
    <t>ORD000130</t>
  </si>
  <si>
    <t>Lucía Sánchez</t>
  </si>
  <si>
    <t>lucía.sánchez@mail.com</t>
  </si>
  <si>
    <t>2024-04-29</t>
  </si>
  <si>
    <t>ORD000131</t>
  </si>
  <si>
    <t>ORD000132</t>
  </si>
  <si>
    <t>2026-02-09</t>
  </si>
  <si>
    <t>ORD000133</t>
  </si>
  <si>
    <t>2024-02-24</t>
  </si>
  <si>
    <t>ORD000134</t>
  </si>
  <si>
    <t>2024-05-01</t>
  </si>
  <si>
    <t>ORD000135</t>
  </si>
  <si>
    <t>Lucía Gómez</t>
  </si>
  <si>
    <t>lucía.gómez@mail.com</t>
  </si>
  <si>
    <t>2024-07-04</t>
  </si>
  <si>
    <t>ORD000136</t>
  </si>
  <si>
    <t>Ana Martínez</t>
  </si>
  <si>
    <t>ana.martínez@mail.com</t>
  </si>
  <si>
    <t>2025-04-22</t>
  </si>
  <si>
    <t>ORD000137</t>
  </si>
  <si>
    <t>2026-02-01</t>
  </si>
  <si>
    <t>ORD000138</t>
  </si>
  <si>
    <t>2025-03-26</t>
  </si>
  <si>
    <t>ORD000139</t>
  </si>
  <si>
    <t>Raúl Ruiz</t>
  </si>
  <si>
    <t>raúl.ruiz@mail.com</t>
  </si>
  <si>
    <t>2024-02-22</t>
  </si>
  <si>
    <t>ORD000140</t>
  </si>
  <si>
    <t>Ana Rodríguez</t>
  </si>
  <si>
    <t>ana.rodríguez@mail.com</t>
  </si>
  <si>
    <t>2024-01-04</t>
  </si>
  <si>
    <t>ORD000141</t>
  </si>
  <si>
    <t>Luis Ramos</t>
  </si>
  <si>
    <t>luis.ramos@mail.com</t>
  </si>
  <si>
    <t>ORD000142</t>
  </si>
  <si>
    <t>Luis García</t>
  </si>
  <si>
    <t>luis.garcía@mail.com</t>
  </si>
  <si>
    <t>ORD000143</t>
  </si>
  <si>
    <t>Diego Ruiz</t>
  </si>
  <si>
    <t>diego.ruiz@mail.com</t>
  </si>
  <si>
    <t>2025-03-28</t>
  </si>
  <si>
    <t>ORD000144</t>
  </si>
  <si>
    <t>María Torres</t>
  </si>
  <si>
    <t>maría.torres@mail.com</t>
  </si>
  <si>
    <t>2025-02-05</t>
  </si>
  <si>
    <t>ORD000145</t>
  </si>
  <si>
    <t>2024-09-21</t>
  </si>
  <si>
    <t>ORD000146</t>
  </si>
  <si>
    <t>María Díaz</t>
  </si>
  <si>
    <t>maría.díaz@mail.com</t>
  </si>
  <si>
    <t>2025-05-15</t>
  </si>
  <si>
    <t>ORD000147</t>
  </si>
  <si>
    <t>2025-07-01</t>
  </si>
  <si>
    <t>ORD000148</t>
  </si>
  <si>
    <t>Carmen Ramos</t>
  </si>
  <si>
    <t>carmen.ramos@mail.com</t>
  </si>
  <si>
    <t>ORD000149</t>
  </si>
  <si>
    <t>2025-03-29</t>
  </si>
  <si>
    <t>ORD000150</t>
  </si>
  <si>
    <t>Irene Sánchez</t>
  </si>
  <si>
    <t>irene.sánchez@mail.com</t>
  </si>
  <si>
    <t>2025-12-27</t>
  </si>
  <si>
    <t>ORD000151</t>
  </si>
  <si>
    <t>2024-09-14</t>
  </si>
  <si>
    <t>ORD000152</t>
  </si>
  <si>
    <t>ORD000153</t>
  </si>
  <si>
    <t>Miguel Díaz</t>
  </si>
  <si>
    <t>miguel.díaz@mail.com</t>
  </si>
  <si>
    <t>2025-05-11</t>
  </si>
  <si>
    <t>ORD000154</t>
  </si>
  <si>
    <t>Sofía Pérez</t>
  </si>
  <si>
    <t>sofía.pérez@mail.com</t>
  </si>
  <si>
    <t>2024-05-12</t>
  </si>
  <si>
    <t>ORD000155</t>
  </si>
  <si>
    <t>Carmen Torres</t>
  </si>
  <si>
    <t>carmen.torres@mail.com</t>
  </si>
  <si>
    <t>2024-07-17</t>
  </si>
  <si>
    <t>ORD000156</t>
  </si>
  <si>
    <t>Diego Gil</t>
  </si>
  <si>
    <t>diego.gil@mail.com</t>
  </si>
  <si>
    <t>2025-08-18</t>
  </si>
  <si>
    <t>ORD000157</t>
  </si>
  <si>
    <t>Raúl Gómez</t>
  </si>
  <si>
    <t>raúl.gómez@mail.com</t>
  </si>
  <si>
    <t>ORD000158</t>
  </si>
  <si>
    <t>Diego Navarro</t>
  </si>
  <si>
    <t>diego.navarro@mail.com</t>
  </si>
  <si>
    <t>ORD000159</t>
  </si>
  <si>
    <t>ORD000160</t>
  </si>
  <si>
    <t>ORD000161</t>
  </si>
  <si>
    <t>ORD000162</t>
  </si>
  <si>
    <t>Pablo García</t>
  </si>
  <si>
    <t>pablo.garcía@mail.com</t>
  </si>
  <si>
    <t>ORD000163</t>
  </si>
  <si>
    <t>2026-01-03</t>
  </si>
  <si>
    <t>ORD000164</t>
  </si>
  <si>
    <t>2024-05-31</t>
  </si>
  <si>
    <t>ORD000165</t>
  </si>
  <si>
    <t>Elena Gómez</t>
  </si>
  <si>
    <t>elena.gómez@mail.com</t>
  </si>
  <si>
    <t>2026-01-25</t>
  </si>
  <si>
    <t>ORD000166</t>
  </si>
  <si>
    <t>Luis Gil</t>
  </si>
  <si>
    <t>luis.gil@mail.com</t>
  </si>
  <si>
    <t>2024-08-21</t>
  </si>
  <si>
    <t>ORD000167</t>
  </si>
  <si>
    <t>Pablo López</t>
  </si>
  <si>
    <t>pablo.lópez@mail.com</t>
  </si>
  <si>
    <t>ORD000168</t>
  </si>
  <si>
    <t>Pedro Martínez</t>
  </si>
  <si>
    <t>pedro.martínez@mail.com</t>
  </si>
  <si>
    <t>2025-08-03</t>
  </si>
  <si>
    <t>ORD000169</t>
  </si>
  <si>
    <t>María Navarro</t>
  </si>
  <si>
    <t>maría.navarro@mail.com</t>
  </si>
  <si>
    <t>2024-09-03</t>
  </si>
  <si>
    <t>ORD000170</t>
  </si>
  <si>
    <t>2026-03-10</t>
  </si>
  <si>
    <t>ORD000171</t>
  </si>
  <si>
    <t>Diego García</t>
  </si>
  <si>
    <t>diego.garcía@mail.com</t>
  </si>
  <si>
    <t>2025-08-12</t>
  </si>
  <si>
    <t>ORD000172</t>
  </si>
  <si>
    <t>2024-04-15</t>
  </si>
  <si>
    <t>ORD000173</t>
  </si>
  <si>
    <t>2024-10-06</t>
  </si>
  <si>
    <t>ORD000174</t>
  </si>
  <si>
    <t>2026-02-05</t>
  </si>
  <si>
    <t>ORD000175</t>
  </si>
  <si>
    <t>Infantil</t>
  </si>
  <si>
    <t>2026-02-04</t>
  </si>
  <si>
    <t>ORD000176</t>
  </si>
  <si>
    <t>Raúl Navarro</t>
  </si>
  <si>
    <t>raúl.navarro@mail.com</t>
  </si>
  <si>
    <t>2025-01-25</t>
  </si>
  <si>
    <t>ORD000177</t>
  </si>
  <si>
    <t>2026-02-22</t>
  </si>
  <si>
    <t>ORD000178</t>
  </si>
  <si>
    <t>Sofía Ramos</t>
  </si>
  <si>
    <t>sofía.ramos@mail.com</t>
  </si>
  <si>
    <t>2025-03-02</t>
  </si>
  <si>
    <t>ORD000179</t>
  </si>
  <si>
    <t>2025-05-31</t>
  </si>
  <si>
    <t>ORD000180</t>
  </si>
  <si>
    <t>ORD000181</t>
  </si>
  <si>
    <t>2025-09-10</t>
  </si>
  <si>
    <t>ORD000182</t>
  </si>
  <si>
    <t>2024-10-03</t>
  </si>
  <si>
    <t>ORD000183</t>
  </si>
  <si>
    <t>2025-05-07</t>
  </si>
  <si>
    <t>ORD000184</t>
  </si>
  <si>
    <t>2026-02-06</t>
  </si>
  <si>
    <t>ORD000185</t>
  </si>
  <si>
    <t>2025-05-26</t>
  </si>
  <si>
    <t>ORD000186</t>
  </si>
  <si>
    <t>2025-03-07</t>
  </si>
  <si>
    <t>ORD000187</t>
  </si>
  <si>
    <t>Sofía Rodríguez</t>
  </si>
  <si>
    <t>sofía.rodríguez@mail.com</t>
  </si>
  <si>
    <t>2025-06-11</t>
  </si>
  <si>
    <t>ORD000188</t>
  </si>
  <si>
    <t>Laura Sánchez</t>
  </si>
  <si>
    <t>laura.sánchez@mail.com</t>
  </si>
  <si>
    <t>ORD000189</t>
  </si>
  <si>
    <t>2024-10-13</t>
  </si>
  <si>
    <t>ORD000190</t>
  </si>
  <si>
    <t>Carlos Ruiz</t>
  </si>
  <si>
    <t>carlos.ruiz@mail.com</t>
  </si>
  <si>
    <t>2025-08-08</t>
  </si>
  <si>
    <t>ORD000191</t>
  </si>
  <si>
    <t>María Ruiz</t>
  </si>
  <si>
    <t>maría.ruiz@mail.com</t>
  </si>
  <si>
    <t>2025-06-01</t>
  </si>
  <si>
    <t>ORD000192</t>
  </si>
  <si>
    <t>ORD000193</t>
  </si>
  <si>
    <t>2025-02-02</t>
  </si>
  <si>
    <t>ORD000194</t>
  </si>
  <si>
    <t>2024-12-02</t>
  </si>
  <si>
    <t>ORD000195</t>
  </si>
  <si>
    <t>Carlos Navarro</t>
  </si>
  <si>
    <t>carlos.navarro@mail.com</t>
  </si>
  <si>
    <t>2025-09-15</t>
  </si>
  <si>
    <t>ORD000196</t>
  </si>
  <si>
    <t>Laura Vázquez</t>
  </si>
  <si>
    <t>laura.vázquez@mail.com</t>
  </si>
  <si>
    <t>2025-05-01</t>
  </si>
  <si>
    <t>ORD000197</t>
  </si>
  <si>
    <t>Sofía Gil</t>
  </si>
  <si>
    <t>sofía.gil@mail.com</t>
  </si>
  <si>
    <t>2025-12-18</t>
  </si>
  <si>
    <t>ORD000198</t>
  </si>
  <si>
    <t>Raúl Torres</t>
  </si>
  <si>
    <t>raúl.torres@mail.com</t>
  </si>
  <si>
    <t>2025-11-13</t>
  </si>
  <si>
    <t>ORD000199</t>
  </si>
  <si>
    <t>María Gómez</t>
  </si>
  <si>
    <t>maría.gómez@mail.com</t>
  </si>
  <si>
    <t>ORD000200</t>
  </si>
  <si>
    <t>Irene Ruiz</t>
  </si>
  <si>
    <t>irene.ruiz@mail.com</t>
  </si>
  <si>
    <t>2026-01-17</t>
  </si>
  <si>
    <t>ORD000201</t>
  </si>
  <si>
    <t>ORD000202</t>
  </si>
  <si>
    <t>Laura Torres</t>
  </si>
  <si>
    <t>laura.torres@mail.com</t>
  </si>
  <si>
    <t>2024-11-29</t>
  </si>
  <si>
    <t>ORD000203</t>
  </si>
  <si>
    <t>María Martínez</t>
  </si>
  <si>
    <t>maría.martínez@mail.com</t>
  </si>
  <si>
    <t>ORD000204</t>
  </si>
  <si>
    <t>2024-04-17</t>
  </si>
  <si>
    <t>ORD000205</t>
  </si>
  <si>
    <t>ORD000206</t>
  </si>
  <si>
    <t>2025-09-12</t>
  </si>
  <si>
    <t>ORD000207</t>
  </si>
  <si>
    <t>2024-07-05</t>
  </si>
  <si>
    <t>ORD000208</t>
  </si>
  <si>
    <t>ORD000209</t>
  </si>
  <si>
    <t>Javier Pérez</t>
  </si>
  <si>
    <t>javier.pérez@mail.com</t>
  </si>
  <si>
    <t>2024-03-08</t>
  </si>
  <si>
    <t>ORD000210</t>
  </si>
  <si>
    <t>Carmen Martínez</t>
  </si>
  <si>
    <t>carmen.martínez@mail.com</t>
  </si>
  <si>
    <t>2024-10-16</t>
  </si>
  <si>
    <t>ORD000211</t>
  </si>
  <si>
    <t>ORD000212</t>
  </si>
  <si>
    <t>2024-02-07</t>
  </si>
  <si>
    <t>ORD000213</t>
  </si>
  <si>
    <t>2026-03-19</t>
  </si>
  <si>
    <t>ORD000214</t>
  </si>
  <si>
    <t>Diego Sánchez</t>
  </si>
  <si>
    <t>diego.sánchez@mail.com</t>
  </si>
  <si>
    <t>2024-06-30</t>
  </si>
  <si>
    <t>ORD000215</t>
  </si>
  <si>
    <t>Ana Gómez</t>
  </si>
  <si>
    <t>ana.gómez@mail.com</t>
  </si>
  <si>
    <t>2024-08-11</t>
  </si>
  <si>
    <t>ORD000216</t>
  </si>
  <si>
    <t>Carlos Díaz</t>
  </si>
  <si>
    <t>carlos.díaz@mail.com</t>
  </si>
  <si>
    <t>2025-03-23</t>
  </si>
  <si>
    <t>ORD000217</t>
  </si>
  <si>
    <t>Raúl Martínez</t>
  </si>
  <si>
    <t>raúl.martínez@mail.com</t>
  </si>
  <si>
    <t>2025-04-29</t>
  </si>
  <si>
    <t>ORD000218</t>
  </si>
  <si>
    <t>Luis Alonso</t>
  </si>
  <si>
    <t>luis.alonso@mail.com</t>
  </si>
  <si>
    <t>2026-01-27</t>
  </si>
  <si>
    <t>ORD000219</t>
  </si>
  <si>
    <t>Luis Fernández</t>
  </si>
  <si>
    <t>luis.fernández@mail.com</t>
  </si>
  <si>
    <t>2024-04-30</t>
  </si>
  <si>
    <t>ORD000220</t>
  </si>
  <si>
    <t>Pablo Ramos</t>
  </si>
  <si>
    <t>pablo.ramos@mail.com</t>
  </si>
  <si>
    <t>2025-02-19</t>
  </si>
  <si>
    <t>ORD000221</t>
  </si>
  <si>
    <t>Irene Pérez</t>
  </si>
  <si>
    <t>irene.pérez@mail.com</t>
  </si>
  <si>
    <t>2024-12-16</t>
  </si>
  <si>
    <t>ORD000222</t>
  </si>
  <si>
    <t>2025-07-28</t>
  </si>
  <si>
    <t>ORD000223</t>
  </si>
  <si>
    <t>Miguel Alonso</t>
  </si>
  <si>
    <t>miguel.alonso@mail.com</t>
  </si>
  <si>
    <t>2025-07-16</t>
  </si>
  <si>
    <t>ORD000224</t>
  </si>
  <si>
    <t>2025-11-09</t>
  </si>
  <si>
    <t>ORD000225</t>
  </si>
  <si>
    <t>Javier Díaz</t>
  </si>
  <si>
    <t>javier.díaz@mail.com</t>
  </si>
  <si>
    <t>2024-08-10</t>
  </si>
  <si>
    <t>ORD000226</t>
  </si>
  <si>
    <t>2026-02-28</t>
  </si>
  <si>
    <t>ORD000227</t>
  </si>
  <si>
    <t>Elena Ruiz</t>
  </si>
  <si>
    <t>elena.ruiz@mail.com</t>
  </si>
  <si>
    <t>2024-09-30</t>
  </si>
  <si>
    <t>ORD000228</t>
  </si>
  <si>
    <t>Diego Martínez</t>
  </si>
  <si>
    <t>diego.martínez@mail.com</t>
  </si>
  <si>
    <t>2025-02-20</t>
  </si>
  <si>
    <t>ORD000229</t>
  </si>
  <si>
    <t>2026-03-22</t>
  </si>
  <si>
    <t>ORD000230</t>
  </si>
  <si>
    <t>2024-03-24</t>
  </si>
  <si>
    <t>ORD000231</t>
  </si>
  <si>
    <t>Lucía Rodríguez</t>
  </si>
  <si>
    <t>lucía.rodríguez@mail.com</t>
  </si>
  <si>
    <t>2024-10-25</t>
  </si>
  <si>
    <t>ORD000232</t>
  </si>
  <si>
    <t>2025-05-27</t>
  </si>
  <si>
    <t>ORD000233</t>
  </si>
  <si>
    <t>2025-01-08</t>
  </si>
  <si>
    <t>ORD000234</t>
  </si>
  <si>
    <t>Carlos López</t>
  </si>
  <si>
    <t>carlos.lópez@mail.com</t>
  </si>
  <si>
    <t>ORD000235</t>
  </si>
  <si>
    <t>María Rodríguez</t>
  </si>
  <si>
    <t>maría.rodríguez@mail.com</t>
  </si>
  <si>
    <t>2024-08-30</t>
  </si>
  <si>
    <t>ORD000236</t>
  </si>
  <si>
    <t>ORD000237</t>
  </si>
  <si>
    <t>2025-08-02</t>
  </si>
  <si>
    <t>ORD000238</t>
  </si>
  <si>
    <t>Ana García</t>
  </si>
  <si>
    <t>ana.garcía@mail.com</t>
  </si>
  <si>
    <t>ORD000239</t>
  </si>
  <si>
    <t>2025-08-14</t>
  </si>
  <si>
    <t>ORD000240</t>
  </si>
  <si>
    <t>Irene Ramos</t>
  </si>
  <si>
    <t>irene.ramos@mail.com</t>
  </si>
  <si>
    <t>2024-04-01</t>
  </si>
  <si>
    <t>ORD000241</t>
  </si>
  <si>
    <t>2025-10-19</t>
  </si>
  <si>
    <t>ORD000242</t>
  </si>
  <si>
    <t>Raúl Rodríguez</t>
  </si>
  <si>
    <t>raúl.rodríguez@mail.com</t>
  </si>
  <si>
    <t>2024-12-05</t>
  </si>
  <si>
    <t>ORD000243</t>
  </si>
  <si>
    <t>Pedro Gómez</t>
  </si>
  <si>
    <t>pedro.gómez@mail.com</t>
  </si>
  <si>
    <t>2024-05-23</t>
  </si>
  <si>
    <t>ORD000244</t>
  </si>
  <si>
    <t>2024-06-13</t>
  </si>
  <si>
    <t>ORD000245</t>
  </si>
  <si>
    <t>ORD000246</t>
  </si>
  <si>
    <t>ORD000247</t>
  </si>
  <si>
    <t>2024-02-25</t>
  </si>
  <si>
    <t>ORD000248</t>
  </si>
  <si>
    <t>ORD000249</t>
  </si>
  <si>
    <t>Luis Díaz</t>
  </si>
  <si>
    <t>luis.díaz@mail.com</t>
  </si>
  <si>
    <t>ORD000250</t>
  </si>
  <si>
    <t>Lucía Pérez</t>
  </si>
  <si>
    <t>lucía.pérez@mail.com</t>
  </si>
  <si>
    <t>2025-08-27</t>
  </si>
  <si>
    <t>ORD000251</t>
  </si>
  <si>
    <t>Carlos Sánchez</t>
  </si>
  <si>
    <t>carlos.sánchez@mail.com</t>
  </si>
  <si>
    <t>2024-04-05</t>
  </si>
  <si>
    <t>ORD000252</t>
  </si>
  <si>
    <t>Diego Fernández</t>
  </si>
  <si>
    <t>diego.fernández@mail.com</t>
  </si>
  <si>
    <t>2024-08-15</t>
  </si>
  <si>
    <t>ORD000253</t>
  </si>
  <si>
    <t>Laura Díaz</t>
  </si>
  <si>
    <t>laura.díaz@mail.com</t>
  </si>
  <si>
    <t>2025-05-28</t>
  </si>
  <si>
    <t>ORD000254</t>
  </si>
  <si>
    <t>2025-02-22</t>
  </si>
  <si>
    <t>ORD000255</t>
  </si>
  <si>
    <t>2024-05-17</t>
  </si>
  <si>
    <t>ORD000256</t>
  </si>
  <si>
    <t>2025-01-12</t>
  </si>
  <si>
    <t>ORD000257</t>
  </si>
  <si>
    <t>Pablo Torres</t>
  </si>
  <si>
    <t>pablo.torres@mail.com</t>
  </si>
  <si>
    <t>2024-09-26</t>
  </si>
  <si>
    <t>ORD000258</t>
  </si>
  <si>
    <t>2024-07-08</t>
  </si>
  <si>
    <t>ORD000259</t>
  </si>
  <si>
    <t>2026-01-29</t>
  </si>
  <si>
    <t>ORD000260</t>
  </si>
  <si>
    <t>2024-06-29</t>
  </si>
  <si>
    <t>ORD000261</t>
  </si>
  <si>
    <t>2025-07-27</t>
  </si>
  <si>
    <t>ORD000262</t>
  </si>
  <si>
    <t>2025-11-29</t>
  </si>
  <si>
    <t>ORD000263</t>
  </si>
  <si>
    <t>2024-08-27</t>
  </si>
  <si>
    <t>ORD000264</t>
  </si>
  <si>
    <t>2024-02-29</t>
  </si>
  <si>
    <t>ORD000265</t>
  </si>
  <si>
    <t>2024-06-04</t>
  </si>
  <si>
    <t>ORD000266</t>
  </si>
  <si>
    <t>ORD000267</t>
  </si>
  <si>
    <t>ORD000268</t>
  </si>
  <si>
    <t>ORD000269</t>
  </si>
  <si>
    <t>Pedro Alonso</t>
  </si>
  <si>
    <t>pedro.alonso@mail.com</t>
  </si>
  <si>
    <t>ORD000270</t>
  </si>
  <si>
    <t>Irene Rodríguez</t>
  </si>
  <si>
    <t>irene.rodríguez@mail.com</t>
  </si>
  <si>
    <t>2024-11-15</t>
  </si>
  <si>
    <t>ORD000271</t>
  </si>
  <si>
    <t>2025-11-16</t>
  </si>
  <si>
    <t>ORD000272</t>
  </si>
  <si>
    <t>Irene Gil</t>
  </si>
  <si>
    <t>irene.gil@mail.com</t>
  </si>
  <si>
    <t>2026-01-15</t>
  </si>
  <si>
    <t>ORD000273</t>
  </si>
  <si>
    <t>Ana Alonso</t>
  </si>
  <si>
    <t>ana.alonso@mail.com</t>
  </si>
  <si>
    <t>2024-11-26</t>
  </si>
  <si>
    <t>ORD000274</t>
  </si>
  <si>
    <t>Lucía Torres</t>
  </si>
  <si>
    <t>lucía.torres@mail.com</t>
  </si>
  <si>
    <t>2026-01-14</t>
  </si>
  <si>
    <t>ORD000275</t>
  </si>
  <si>
    <t>Lucía Navarro</t>
  </si>
  <si>
    <t>lucía.navarro@mail.com</t>
  </si>
  <si>
    <t>ORD000276</t>
  </si>
  <si>
    <t>Lucía Martínez</t>
  </si>
  <si>
    <t>lucía.martínez@mail.com</t>
  </si>
  <si>
    <t>2025-02-21</t>
  </si>
  <si>
    <t>ORD000277</t>
  </si>
  <si>
    <t>2024-08-28</t>
  </si>
  <si>
    <t>ORD000278</t>
  </si>
  <si>
    <t>Pablo Díaz</t>
  </si>
  <si>
    <t>pablo.díaz@mail.com</t>
  </si>
  <si>
    <t>2024-02-03</t>
  </si>
  <si>
    <t>ORD000279</t>
  </si>
  <si>
    <t>ORD000280</t>
  </si>
  <si>
    <t>Elena Ramos</t>
  </si>
  <si>
    <t>elena.ramos@mail.com</t>
  </si>
  <si>
    <t>2024-12-23</t>
  </si>
  <si>
    <t>ORD000281</t>
  </si>
  <si>
    <t>2025-08-01</t>
  </si>
  <si>
    <t>ORD000282</t>
  </si>
  <si>
    <t>2024-06-20</t>
  </si>
  <si>
    <t>ORD000283</t>
  </si>
  <si>
    <t>2025-05-19</t>
  </si>
  <si>
    <t>ORD000284</t>
  </si>
  <si>
    <t>ORD000285</t>
  </si>
  <si>
    <t>Irene López</t>
  </si>
  <si>
    <t>irene.lópez@mail.com</t>
  </si>
  <si>
    <t>ORD000286</t>
  </si>
  <si>
    <t>2025-09-14</t>
  </si>
  <si>
    <t>ORD000287</t>
  </si>
  <si>
    <t>2025-03-17</t>
  </si>
  <si>
    <t>ORD000288</t>
  </si>
  <si>
    <t>2024-10-24</t>
  </si>
  <si>
    <t>ORD000289</t>
  </si>
  <si>
    <t>2025-11-15</t>
  </si>
  <si>
    <t>ORD000290</t>
  </si>
  <si>
    <t>2024-03-02</t>
  </si>
  <si>
    <t>ORD000291</t>
  </si>
  <si>
    <t>Javier Ramos</t>
  </si>
  <si>
    <t>javier.ramos@mail.com</t>
  </si>
  <si>
    <t>ORD000292</t>
  </si>
  <si>
    <t>ORD000293</t>
  </si>
  <si>
    <t>Sofía López</t>
  </si>
  <si>
    <t>sofía.lópez@mail.com</t>
  </si>
  <si>
    <t>ORD000294</t>
  </si>
  <si>
    <t>2025-01-11</t>
  </si>
  <si>
    <t>ORD000295</t>
  </si>
  <si>
    <t>Luis Pérez</t>
  </si>
  <si>
    <t>luis.pérez@mail.com</t>
  </si>
  <si>
    <t>2025-09-30</t>
  </si>
  <si>
    <t>ORD000296</t>
  </si>
  <si>
    <t>2025-02-25</t>
  </si>
  <si>
    <t>ORD000297</t>
  </si>
  <si>
    <t>2024-09-17</t>
  </si>
  <si>
    <t>ORD000298</t>
  </si>
  <si>
    <t>ORD000299</t>
  </si>
  <si>
    <t>2026-03-31</t>
  </si>
  <si>
    <t>ORD000300</t>
  </si>
  <si>
    <t>ORD000301</t>
  </si>
  <si>
    <t>ORD000302</t>
  </si>
  <si>
    <t>ORD000303</t>
  </si>
  <si>
    <t>2024-09-06</t>
  </si>
  <si>
    <t>ORD000304</t>
  </si>
  <si>
    <t>2026-03-08</t>
  </si>
  <si>
    <t>ORD000305</t>
  </si>
  <si>
    <t>2024-12-30</t>
  </si>
  <si>
    <t>ORD000306</t>
  </si>
  <si>
    <t>ORD000307</t>
  </si>
  <si>
    <t>Javier Vázquez</t>
  </si>
  <si>
    <t>javier.vázquez@mail.com</t>
  </si>
  <si>
    <t>ORD000308</t>
  </si>
  <si>
    <t>2024-09-18</t>
  </si>
  <si>
    <t>ORD000309</t>
  </si>
  <si>
    <t>2026-01-09</t>
  </si>
  <si>
    <t>ORD000310</t>
  </si>
  <si>
    <t>ORD000311</t>
  </si>
  <si>
    <t>2024-01-05</t>
  </si>
  <si>
    <t>ORD000312</t>
  </si>
  <si>
    <t>ORD000313</t>
  </si>
  <si>
    <t>Miguel Navarro</t>
  </si>
  <si>
    <t>miguel.navarro@mail.com</t>
  </si>
  <si>
    <t>2024-06-26</t>
  </si>
  <si>
    <t>ORD000314</t>
  </si>
  <si>
    <t>Carmen Pérez</t>
  </si>
  <si>
    <t>carmen.pérez@mail.com</t>
  </si>
  <si>
    <t>2025-08-30</t>
  </si>
  <si>
    <t>ORD000315</t>
  </si>
  <si>
    <t>2024-11-13</t>
  </si>
  <si>
    <t>ORD000316</t>
  </si>
  <si>
    <t>ORD000317</t>
  </si>
  <si>
    <t>2025-02-17</t>
  </si>
  <si>
    <t>ORD000318</t>
  </si>
  <si>
    <t>2026-01-30</t>
  </si>
  <si>
    <t>ORD000319</t>
  </si>
  <si>
    <t>2025-03-13</t>
  </si>
  <si>
    <t>ORD000320</t>
  </si>
  <si>
    <t>Pablo Navarro</t>
  </si>
  <si>
    <t>pablo.navarro@mail.com</t>
  </si>
  <si>
    <t>ORD000321</t>
  </si>
  <si>
    <t>ORD000322</t>
  </si>
  <si>
    <t>2024-02-10</t>
  </si>
  <si>
    <t>ORD000323</t>
  </si>
  <si>
    <t>Carmen Ruiz</t>
  </si>
  <si>
    <t>carmen.ruiz@mail.com</t>
  </si>
  <si>
    <t>2025-11-24</t>
  </si>
  <si>
    <t>ORD000324</t>
  </si>
  <si>
    <t>Lucía Ruiz</t>
  </si>
  <si>
    <t>lucía.ruiz@mail.com</t>
  </si>
  <si>
    <t>ORD000325</t>
  </si>
  <si>
    <t>ORD000326</t>
  </si>
  <si>
    <t>2025-09-16</t>
  </si>
  <si>
    <t>ORD000327</t>
  </si>
  <si>
    <t>2025-04-17</t>
  </si>
  <si>
    <t>ORD000328</t>
  </si>
  <si>
    <t>ORD000329</t>
  </si>
  <si>
    <t>ORD000330</t>
  </si>
  <si>
    <t>2025-01-03</t>
  </si>
  <si>
    <t>ORD000331</t>
  </si>
  <si>
    <t>2024-04-27</t>
  </si>
  <si>
    <t>ORD000332</t>
  </si>
  <si>
    <t>Miguel Torres</t>
  </si>
  <si>
    <t>miguel.torres@mail.com</t>
  </si>
  <si>
    <t>ORD000333</t>
  </si>
  <si>
    <t>ORD000334</t>
  </si>
  <si>
    <t>Raúl Ramos</t>
  </si>
  <si>
    <t>raúl.ramos@mail.com</t>
  </si>
  <si>
    <t>2026-01-01</t>
  </si>
  <si>
    <t>ORD000335</t>
  </si>
  <si>
    <t>ORD000336</t>
  </si>
  <si>
    <t>ORD000337</t>
  </si>
  <si>
    <t>2024-07-11</t>
  </si>
  <si>
    <t>ORD000338</t>
  </si>
  <si>
    <t>2025-07-29</t>
  </si>
  <si>
    <t>ORD000339</t>
  </si>
  <si>
    <t>2024-04-09</t>
  </si>
  <si>
    <t>ORD000340</t>
  </si>
  <si>
    <t>Javier Gómez</t>
  </si>
  <si>
    <t>javier.gómez@mail.com</t>
  </si>
  <si>
    <t>2025-01-20</t>
  </si>
  <si>
    <t>ORD000341</t>
  </si>
  <si>
    <t>2026-02-23</t>
  </si>
  <si>
    <t>ORD000342</t>
  </si>
  <si>
    <t>2024-06-07</t>
  </si>
  <si>
    <t>ORD000343</t>
  </si>
  <si>
    <t>Pedro Fernández</t>
  </si>
  <si>
    <t>pedro.fernández@mail.com</t>
  </si>
  <si>
    <t>ORD000344</t>
  </si>
  <si>
    <t>2024-08-17</t>
  </si>
  <si>
    <t>ORD000345</t>
  </si>
  <si>
    <t>ORD000346</t>
  </si>
  <si>
    <t>ORD000347</t>
  </si>
  <si>
    <t>Luis Torres</t>
  </si>
  <si>
    <t>luis.torres@mail.com</t>
  </si>
  <si>
    <t>2025-04-13</t>
  </si>
  <si>
    <t>ORD000348</t>
  </si>
  <si>
    <t>2024-07-26</t>
  </si>
  <si>
    <t>ORD000349</t>
  </si>
  <si>
    <t>Pedro Sánchez</t>
  </si>
  <si>
    <t>pedro.sánchez@mail.com</t>
  </si>
  <si>
    <t>2025-10-21</t>
  </si>
  <si>
    <t>ORD000350</t>
  </si>
  <si>
    <t>2024-09-09</t>
  </si>
  <si>
    <t>ORD000351</t>
  </si>
  <si>
    <t>2024-05-11</t>
  </si>
  <si>
    <t>ORD000352</t>
  </si>
  <si>
    <t>Elena Alonso</t>
  </si>
  <si>
    <t>elena.alonso@mail.com</t>
  </si>
  <si>
    <t>ORD000353</t>
  </si>
  <si>
    <t>2024-12-27</t>
  </si>
  <si>
    <t>ORD000354</t>
  </si>
  <si>
    <t>Miguel Gómez</t>
  </si>
  <si>
    <t>miguel.gómez@mail.com</t>
  </si>
  <si>
    <t>2025-10-11</t>
  </si>
  <si>
    <t>ORD000355</t>
  </si>
  <si>
    <t>2026-01-10</t>
  </si>
  <si>
    <t>ORD000356</t>
  </si>
  <si>
    <t>2025-10-22</t>
  </si>
  <si>
    <t>ORD000357</t>
  </si>
  <si>
    <t>ORD000358</t>
  </si>
  <si>
    <t>María Gil</t>
  </si>
  <si>
    <t>maría.gil@mail.com</t>
  </si>
  <si>
    <t>2025-05-16</t>
  </si>
  <si>
    <t>ORD000359</t>
  </si>
  <si>
    <t>ORD000360</t>
  </si>
  <si>
    <t>2025-12-06</t>
  </si>
  <si>
    <t>ORD000361</t>
  </si>
  <si>
    <t>2024-03-10</t>
  </si>
  <si>
    <t>ORD000362</t>
  </si>
  <si>
    <t>2025-03-04</t>
  </si>
  <si>
    <t>ORD000363</t>
  </si>
  <si>
    <t>2025-09-20</t>
  </si>
  <si>
    <t>ORD000364</t>
  </si>
  <si>
    <t>ORD000365</t>
  </si>
  <si>
    <t>ORD000366</t>
  </si>
  <si>
    <t>2026-03-09</t>
  </si>
  <si>
    <t>ORD000367</t>
  </si>
  <si>
    <t>2024-01-24</t>
  </si>
  <si>
    <t>ORD000368</t>
  </si>
  <si>
    <t>ORD000369</t>
  </si>
  <si>
    <t>ORD000370</t>
  </si>
  <si>
    <t>2025-01-30</t>
  </si>
  <si>
    <t>ORD000371</t>
  </si>
  <si>
    <t>2024-09-13</t>
  </si>
  <si>
    <t>ORD000372</t>
  </si>
  <si>
    <t>2024-01-08</t>
  </si>
  <si>
    <t>ORD000373</t>
  </si>
  <si>
    <t>Carmen García</t>
  </si>
  <si>
    <t>carmen.garcía@mail.com</t>
  </si>
  <si>
    <t>ORD000374</t>
  </si>
  <si>
    <t>Laura Fernández</t>
  </si>
  <si>
    <t>laura.fernández@mail.com</t>
  </si>
  <si>
    <t>ORD000375</t>
  </si>
  <si>
    <t>2026-02-13</t>
  </si>
  <si>
    <t>ORD000376</t>
  </si>
  <si>
    <t>ORD000377</t>
  </si>
  <si>
    <t>Pedro Ruiz</t>
  </si>
  <si>
    <t>pedro.ruiz@mail.com</t>
  </si>
  <si>
    <t>ORD000378</t>
  </si>
  <si>
    <t>ORD000379</t>
  </si>
  <si>
    <t>ORD000380</t>
  </si>
  <si>
    <t>ORD000381</t>
  </si>
  <si>
    <t>ORD000382</t>
  </si>
  <si>
    <t>Lucía Vázquez</t>
  </si>
  <si>
    <t>lucía.vázquez@mail.com</t>
  </si>
  <si>
    <t>ORD000383</t>
  </si>
  <si>
    <t>2024-05-16</t>
  </si>
  <si>
    <t>ORD000384</t>
  </si>
  <si>
    <t>Irene Díaz</t>
  </si>
  <si>
    <t>irene.díaz@mail.com</t>
  </si>
  <si>
    <t>2024-05-24</t>
  </si>
  <si>
    <t>ORD000385</t>
  </si>
  <si>
    <t>Miguel Ruiz</t>
  </si>
  <si>
    <t>miguel.ruiz@mail.com</t>
  </si>
  <si>
    <t>ORD000386</t>
  </si>
  <si>
    <t>ORD000387</t>
  </si>
  <si>
    <t>2025-06-02</t>
  </si>
  <si>
    <t>ORD000388</t>
  </si>
  <si>
    <t>María García</t>
  </si>
  <si>
    <t>maría.garcía@mail.com</t>
  </si>
  <si>
    <t>2025-08-16</t>
  </si>
  <si>
    <t>ORD000389</t>
  </si>
  <si>
    <t>María Ramos</t>
  </si>
  <si>
    <t>maría.ramos@mail.com</t>
  </si>
  <si>
    <t>2024-07-14</t>
  </si>
  <si>
    <t>ORD000390</t>
  </si>
  <si>
    <t>Laura López</t>
  </si>
  <si>
    <t>laura.lópez@mail.com</t>
  </si>
  <si>
    <t>ORD000391</t>
  </si>
  <si>
    <t>Laura Navarro</t>
  </si>
  <si>
    <t>laura.navarro@mail.com</t>
  </si>
  <si>
    <t>2024-12-31</t>
  </si>
  <si>
    <t>ORD000392</t>
  </si>
  <si>
    <t>2024-02-15</t>
  </si>
  <si>
    <t>ORD000393</t>
  </si>
  <si>
    <t>Irene Alonso</t>
  </si>
  <si>
    <t>irene.alonso@mail.com</t>
  </si>
  <si>
    <t>ORD000394</t>
  </si>
  <si>
    <t>Raúl Fernández</t>
  </si>
  <si>
    <t>raúl.fernández@mail.com</t>
  </si>
  <si>
    <t>2024-11-10</t>
  </si>
  <si>
    <t>ORD000395</t>
  </si>
  <si>
    <t>ORD000396</t>
  </si>
  <si>
    <t>2024-01-06</t>
  </si>
  <si>
    <t>ORD000397</t>
  </si>
  <si>
    <t>2025-07-04</t>
  </si>
  <si>
    <t>ORD000398</t>
  </si>
  <si>
    <t>2024-01-07</t>
  </si>
  <si>
    <t>ORD000399</t>
  </si>
  <si>
    <t>ORD000400</t>
  </si>
  <si>
    <t>Sofía Alonso</t>
  </si>
  <si>
    <t>sofía.alonso@mail.com</t>
  </si>
  <si>
    <t>ORD000401</t>
  </si>
  <si>
    <t>2025-12-10</t>
  </si>
  <si>
    <t>ORD000402</t>
  </si>
  <si>
    <t>Javier García</t>
  </si>
  <si>
    <t>javier.garcía@mail.com</t>
  </si>
  <si>
    <t>ORD000403</t>
  </si>
  <si>
    <t>2025-02-10</t>
  </si>
  <si>
    <t>ORD000404</t>
  </si>
  <si>
    <t>ORD000405</t>
  </si>
  <si>
    <t>ORD000406</t>
  </si>
  <si>
    <t>Pablo Sánchez</t>
  </si>
  <si>
    <t>pablo.sánchez@mail.com</t>
  </si>
  <si>
    <t>2026-01-13</t>
  </si>
  <si>
    <t>ORD000407</t>
  </si>
  <si>
    <t>2025-07-22</t>
  </si>
  <si>
    <t>ORD000408</t>
  </si>
  <si>
    <t>2026-03-18</t>
  </si>
  <si>
    <t>ORD000409</t>
  </si>
  <si>
    <t>ORD000410</t>
  </si>
  <si>
    <t>Javier Alonso</t>
  </si>
  <si>
    <t>javier.alonso@mail.com</t>
  </si>
  <si>
    <t>2025-11-23</t>
  </si>
  <si>
    <t>ORD000411</t>
  </si>
  <si>
    <t>ORD000412</t>
  </si>
  <si>
    <t>2025-04-15</t>
  </si>
  <si>
    <t>ORD000413</t>
  </si>
  <si>
    <t>2024-04-03</t>
  </si>
  <si>
    <t>ORD000414</t>
  </si>
  <si>
    <t>ORD000415</t>
  </si>
  <si>
    <t>ORD000416</t>
  </si>
  <si>
    <t>ORD000417</t>
  </si>
  <si>
    <t>2025-02-18</t>
  </si>
  <si>
    <t>ORD000418</t>
  </si>
  <si>
    <t>Irene Vázquez</t>
  </si>
  <si>
    <t>irene.vázquez@mail.com</t>
  </si>
  <si>
    <t>2025-12-29</t>
  </si>
  <si>
    <t>ORD000419</t>
  </si>
  <si>
    <t>2024-05-06</t>
  </si>
  <si>
    <t>ORD000420</t>
  </si>
  <si>
    <t>ORD000421</t>
  </si>
  <si>
    <t>ORD000422</t>
  </si>
  <si>
    <t>ORD000423</t>
  </si>
  <si>
    <t>2026-01-19</t>
  </si>
  <si>
    <t>ORD000424</t>
  </si>
  <si>
    <t>2026-02-21</t>
  </si>
  <si>
    <t>ORD000425</t>
  </si>
  <si>
    <t>2025-07-14</t>
  </si>
  <si>
    <t>ORD000426</t>
  </si>
  <si>
    <t>2025-06-20</t>
  </si>
  <si>
    <t>ORD000427</t>
  </si>
  <si>
    <t>ORD000428</t>
  </si>
  <si>
    <t>2025-02-24</t>
  </si>
  <si>
    <t>ORD000429</t>
  </si>
  <si>
    <t>Pablo Vázquez</t>
  </si>
  <si>
    <t>pablo.vázquez@mail.com</t>
  </si>
  <si>
    <t>2025-01-31</t>
  </si>
  <si>
    <t>ORD000430</t>
  </si>
  <si>
    <t>ORD000431</t>
  </si>
  <si>
    <t>2024-07-19</t>
  </si>
  <si>
    <t>ORD000432</t>
  </si>
  <si>
    <t>ORD000433</t>
  </si>
  <si>
    <t>2025-06-13</t>
  </si>
  <si>
    <t>ORD000434</t>
  </si>
  <si>
    <t>2024-10-11</t>
  </si>
  <si>
    <t>ORD000435</t>
  </si>
  <si>
    <t>2024-06-05</t>
  </si>
  <si>
    <t>ORD000436</t>
  </si>
  <si>
    <t>Diego Gómez</t>
  </si>
  <si>
    <t>diego.gómez@mail.com</t>
  </si>
  <si>
    <t>2026-02-17</t>
  </si>
  <si>
    <t>ORD000437</t>
  </si>
  <si>
    <t>2024-10-20</t>
  </si>
  <si>
    <t>ORD000438</t>
  </si>
  <si>
    <t>2025-10-10</t>
  </si>
  <si>
    <t>ORD000439</t>
  </si>
  <si>
    <t>2025-01-14</t>
  </si>
  <si>
    <t>ORD000440</t>
  </si>
  <si>
    <t>2025-07-13</t>
  </si>
  <si>
    <t>ORD000441</t>
  </si>
  <si>
    <t>ORD000442</t>
  </si>
  <si>
    <t>ORD000443</t>
  </si>
  <si>
    <t>ORD000444</t>
  </si>
  <si>
    <t>ORD000445</t>
  </si>
  <si>
    <t>2025-04-02</t>
  </si>
  <si>
    <t>ORD000446</t>
  </si>
  <si>
    <t>Laura Martínez</t>
  </si>
  <si>
    <t>laura.martínez@mail.com</t>
  </si>
  <si>
    <t>ORD000447</t>
  </si>
  <si>
    <t>Carlos Vázquez</t>
  </si>
  <si>
    <t>carlos.vázquez@mail.com</t>
  </si>
  <si>
    <t>ORD000448</t>
  </si>
  <si>
    <t>ORD000449</t>
  </si>
  <si>
    <t>Irene Martínez</t>
  </si>
  <si>
    <t>irene.martínez@mail.com</t>
  </si>
  <si>
    <t>2024-11-19</t>
  </si>
  <si>
    <t>ORD000450</t>
  </si>
  <si>
    <t>2026-02-25</t>
  </si>
  <si>
    <t>ORD000451</t>
  </si>
  <si>
    <t>2024-11-23</t>
  </si>
  <si>
    <t>ORD000452</t>
  </si>
  <si>
    <t>2024-09-04</t>
  </si>
  <si>
    <t>ORD000453</t>
  </si>
  <si>
    <t>ORD000454</t>
  </si>
  <si>
    <t>ORD000455</t>
  </si>
  <si>
    <t>2024-01-09</t>
  </si>
  <si>
    <t>ORD000456</t>
  </si>
  <si>
    <t>2025-09-24</t>
  </si>
  <si>
    <t>ORD000457</t>
  </si>
  <si>
    <t>Pablo Pérez</t>
  </si>
  <si>
    <t>pablo.pérez@mail.com</t>
  </si>
  <si>
    <t>ORD000458</t>
  </si>
  <si>
    <t>ORD000459</t>
  </si>
  <si>
    <t>2025-01-19</t>
  </si>
  <si>
    <t>ORD000460</t>
  </si>
  <si>
    <t>Miguel García</t>
  </si>
  <si>
    <t>miguel.garcía@mail.com</t>
  </si>
  <si>
    <t>2024-06-17</t>
  </si>
  <si>
    <t>ORD000461</t>
  </si>
  <si>
    <t>ORD000462</t>
  </si>
  <si>
    <t>Pablo Gómez</t>
  </si>
  <si>
    <t>pablo.gómez@mail.com</t>
  </si>
  <si>
    <t>2025-01-28</t>
  </si>
  <si>
    <t>ORD000463</t>
  </si>
  <si>
    <t>2025-08-11</t>
  </si>
  <si>
    <t>ORD000464</t>
  </si>
  <si>
    <t>ORD000465</t>
  </si>
  <si>
    <t>2026-03-21</t>
  </si>
  <si>
    <t>ORD000466</t>
  </si>
  <si>
    <t>2024-12-19</t>
  </si>
  <si>
    <t>ORD000467</t>
  </si>
  <si>
    <t>ORD000468</t>
  </si>
  <si>
    <t>2024-11-11</t>
  </si>
  <si>
    <t>ORD000469</t>
  </si>
  <si>
    <t>ORD000470</t>
  </si>
  <si>
    <t>2024-09-12</t>
  </si>
  <si>
    <t>ORD000471</t>
  </si>
  <si>
    <t>ORD000472</t>
  </si>
  <si>
    <t>ORD000473</t>
  </si>
  <si>
    <t>ORD000474</t>
  </si>
  <si>
    <t>2024-02-16</t>
  </si>
  <si>
    <t>ORD000475</t>
  </si>
  <si>
    <t>2025-06-23</t>
  </si>
  <si>
    <t>ORD000476</t>
  </si>
  <si>
    <t>2024-09-10</t>
  </si>
  <si>
    <t>ORD000477</t>
  </si>
  <si>
    <t>2025-03-09</t>
  </si>
  <si>
    <t>ORD000478</t>
  </si>
  <si>
    <t>Carmen Rodríguez</t>
  </si>
  <si>
    <t>carmen.rodríguez@mail.com</t>
  </si>
  <si>
    <t>ORD000479</t>
  </si>
  <si>
    <t>ORD000480</t>
  </si>
  <si>
    <t>2025-08-19</t>
  </si>
  <si>
    <t>ORD000481</t>
  </si>
  <si>
    <t>Irene Gómez</t>
  </si>
  <si>
    <t>irene.gómez@mail.com</t>
  </si>
  <si>
    <t>2024-06-21</t>
  </si>
  <si>
    <t>ORD000482</t>
  </si>
  <si>
    <t>2025-08-21</t>
  </si>
  <si>
    <t>ORD000483</t>
  </si>
  <si>
    <t>2025-06-24</t>
  </si>
  <si>
    <t>ORD000484</t>
  </si>
  <si>
    <t>Raúl Sánchez</t>
  </si>
  <si>
    <t>raúl.sánchez@mail.com</t>
  </si>
  <si>
    <t>ORD000485</t>
  </si>
  <si>
    <t>ORD000486</t>
  </si>
  <si>
    <t>ORD000487</t>
  </si>
  <si>
    <t>ORD000488</t>
  </si>
  <si>
    <t>ORD000489</t>
  </si>
  <si>
    <t>ORD000490</t>
  </si>
  <si>
    <t>ORD000491</t>
  </si>
  <si>
    <t>2024-09-22</t>
  </si>
  <si>
    <t>ORD000492</t>
  </si>
  <si>
    <t>2025-12-01</t>
  </si>
  <si>
    <t>ORD000493</t>
  </si>
  <si>
    <t>2026-02-18</t>
  </si>
  <si>
    <t>ORD000494</t>
  </si>
  <si>
    <t>Laura Ruiz</t>
  </si>
  <si>
    <t>laura.ruiz@mail.com</t>
  </si>
  <si>
    <t>2025-07-18</t>
  </si>
  <si>
    <t>ORD000495</t>
  </si>
  <si>
    <t>2026-01-31</t>
  </si>
  <si>
    <t>ORD000496</t>
  </si>
  <si>
    <t>ORD000497</t>
  </si>
  <si>
    <t>ORD000498</t>
  </si>
  <si>
    <t>ORD000499</t>
  </si>
  <si>
    <t>2025-06-29</t>
  </si>
  <si>
    <t>ORD000500</t>
  </si>
  <si>
    <t>2025-09-25</t>
  </si>
  <si>
    <t>ORD000501</t>
  </si>
  <si>
    <t>2025-07-03</t>
  </si>
  <si>
    <t>ORD000502</t>
  </si>
  <si>
    <t>ORD000503</t>
  </si>
  <si>
    <t>2025-01-17</t>
  </si>
  <si>
    <t>ORD000504</t>
  </si>
  <si>
    <t>ORD000505</t>
  </si>
  <si>
    <t>ORD000506</t>
  </si>
  <si>
    <t>ORD000507</t>
  </si>
  <si>
    <t>ORD000508</t>
  </si>
  <si>
    <t>2024-01-27</t>
  </si>
  <si>
    <t>ORD000509</t>
  </si>
  <si>
    <t>2025-03-18</t>
  </si>
  <si>
    <t>ORD000510</t>
  </si>
  <si>
    <t>2024-11-17</t>
  </si>
  <si>
    <t>ORD000511</t>
  </si>
  <si>
    <t>2025-04-12</t>
  </si>
  <si>
    <t>ORD000512</t>
  </si>
  <si>
    <t>ORD000513</t>
  </si>
  <si>
    <t>ORD000514</t>
  </si>
  <si>
    <t>2025-07-21</t>
  </si>
  <si>
    <t>ORD000515</t>
  </si>
  <si>
    <t>ORD000516</t>
  </si>
  <si>
    <t>2025-01-21</t>
  </si>
  <si>
    <t>ORD000517</t>
  </si>
  <si>
    <t>2026-01-20</t>
  </si>
  <si>
    <t>ORD000518</t>
  </si>
  <si>
    <t>2024-09-08</t>
  </si>
  <si>
    <t>ORD000519</t>
  </si>
  <si>
    <t>ORD000520</t>
  </si>
  <si>
    <t>2026-03-15</t>
  </si>
  <si>
    <t>ORD000521</t>
  </si>
  <si>
    <t>2024-09-05</t>
  </si>
  <si>
    <t>ORD000522</t>
  </si>
  <si>
    <t>2024-04-07</t>
  </si>
  <si>
    <t>ORD000523</t>
  </si>
  <si>
    <t>2024-04-25</t>
  </si>
  <si>
    <t>ORD000524</t>
  </si>
  <si>
    <t>Javier Sánchez</t>
  </si>
  <si>
    <t>javier.sánchez@mail.com</t>
  </si>
  <si>
    <t>2024-04-08</t>
  </si>
  <si>
    <t>ORD000525</t>
  </si>
  <si>
    <t>Luis Sánchez</t>
  </si>
  <si>
    <t>luis.sánchez@mail.com</t>
  </si>
  <si>
    <t>2025-12-28</t>
  </si>
  <si>
    <t>ORD000526</t>
  </si>
  <si>
    <t>ORD000527</t>
  </si>
  <si>
    <t>Ana Ruiz</t>
  </si>
  <si>
    <t>ana.ruiz@mail.com</t>
  </si>
  <si>
    <t>ORD000528</t>
  </si>
  <si>
    <t>ORD000529</t>
  </si>
  <si>
    <t>2024-12-17</t>
  </si>
  <si>
    <t>ORD000530</t>
  </si>
  <si>
    <t>ORD000531</t>
  </si>
  <si>
    <t>ORD000532</t>
  </si>
  <si>
    <t>2024-03-09</t>
  </si>
  <si>
    <t>ORD000533</t>
  </si>
  <si>
    <t>Ana Fernández</t>
  </si>
  <si>
    <t>ana.fernández@mail.com</t>
  </si>
  <si>
    <t>2024-04-18</t>
  </si>
  <si>
    <t>ORD000534</t>
  </si>
  <si>
    <t>ORD000535</t>
  </si>
  <si>
    <t>ORD000536</t>
  </si>
  <si>
    <t>Irene Fernández</t>
  </si>
  <si>
    <t>irene.fernández@mail.com</t>
  </si>
  <si>
    <t>2026-01-22</t>
  </si>
  <si>
    <t>ORD000537</t>
  </si>
  <si>
    <t>2024-12-12</t>
  </si>
  <si>
    <t>ORD000538</t>
  </si>
  <si>
    <t>2025-06-04</t>
  </si>
  <si>
    <t>ORD000539</t>
  </si>
  <si>
    <t>2024-07-12</t>
  </si>
  <si>
    <t>ORD000540</t>
  </si>
  <si>
    <t>ORD000541</t>
  </si>
  <si>
    <t>2024-05-21</t>
  </si>
  <si>
    <t>ORD000542</t>
  </si>
  <si>
    <t>ORD000543</t>
  </si>
  <si>
    <t>2025-05-06</t>
  </si>
  <si>
    <t>ORD000544</t>
  </si>
  <si>
    <t>2025-12-19</t>
  </si>
  <si>
    <t>ORD000545</t>
  </si>
  <si>
    <t>ORD000546</t>
  </si>
  <si>
    <t>ORD000547</t>
  </si>
  <si>
    <t>Irene Navarro</t>
  </si>
  <si>
    <t>irene.navarro@mail.com</t>
  </si>
  <si>
    <t>2025-04-25</t>
  </si>
  <si>
    <t>ORD000548</t>
  </si>
  <si>
    <t>2025-03-16</t>
  </si>
  <si>
    <t>ORD000549</t>
  </si>
  <si>
    <t>2024-12-01</t>
  </si>
  <si>
    <t>ORD000550</t>
  </si>
  <si>
    <t>ORD000551</t>
  </si>
  <si>
    <t>ORD000552</t>
  </si>
  <si>
    <t>2025-03-31</t>
  </si>
  <si>
    <t>ORD000553</t>
  </si>
  <si>
    <t>ORD000554</t>
  </si>
  <si>
    <t>ORD000555</t>
  </si>
  <si>
    <t>ORD000556</t>
  </si>
  <si>
    <t>2024-12-20</t>
  </si>
  <si>
    <t>ORD000557</t>
  </si>
  <si>
    <t>2024-06-16</t>
  </si>
  <si>
    <t>ORD000558</t>
  </si>
  <si>
    <t>2026-03-02</t>
  </si>
  <si>
    <t>ORD000559</t>
  </si>
  <si>
    <t>2025-10-28</t>
  </si>
  <si>
    <t>ORD000560</t>
  </si>
  <si>
    <t>2025-03-03</t>
  </si>
  <si>
    <t>ORD000561</t>
  </si>
  <si>
    <t>2026-02-15</t>
  </si>
  <si>
    <t>ORD000562</t>
  </si>
  <si>
    <t>2025-12-26</t>
  </si>
  <si>
    <t>ORD000563</t>
  </si>
  <si>
    <t>ORD000564</t>
  </si>
  <si>
    <t>2024-11-28</t>
  </si>
  <si>
    <t>ORD000565</t>
  </si>
  <si>
    <t>Luis Rodríguez</t>
  </si>
  <si>
    <t>luis.rodríguez@mail.com</t>
  </si>
  <si>
    <t>2024-07-02</t>
  </si>
  <si>
    <t>ORD000566</t>
  </si>
  <si>
    <t>ORD000567</t>
  </si>
  <si>
    <t>2025-07-09</t>
  </si>
  <si>
    <t>ORD000568</t>
  </si>
  <si>
    <t>2024-06-25</t>
  </si>
  <si>
    <t>ORD000569</t>
  </si>
  <si>
    <t>2025-11-03</t>
  </si>
  <si>
    <t>ORD000570</t>
  </si>
  <si>
    <t>2026-02-14</t>
  </si>
  <si>
    <t>ORD000571</t>
  </si>
  <si>
    <t>ORD000572</t>
  </si>
  <si>
    <t>Javier Martínez</t>
  </si>
  <si>
    <t>javier.martínez@mail.com</t>
  </si>
  <si>
    <t>2024-11-27</t>
  </si>
  <si>
    <t>ORD000573</t>
  </si>
  <si>
    <t>ORD000574</t>
  </si>
  <si>
    <t>ORD000575</t>
  </si>
  <si>
    <t>Ana Torres</t>
  </si>
  <si>
    <t>ana.torres@mail.com</t>
  </si>
  <si>
    <t>2024-08-08</t>
  </si>
  <si>
    <t>ORD000576</t>
  </si>
  <si>
    <t>2024-08-22</t>
  </si>
  <si>
    <t>ORD000577</t>
  </si>
  <si>
    <t>ORD000578</t>
  </si>
  <si>
    <t>Irene Torres</t>
  </si>
  <si>
    <t>irene.torres@mail.com</t>
  </si>
  <si>
    <t>ORD000579</t>
  </si>
  <si>
    <t>ORD000580</t>
  </si>
  <si>
    <t>ORD000581</t>
  </si>
  <si>
    <t>2024-12-08</t>
  </si>
  <si>
    <t>ORD000582</t>
  </si>
  <si>
    <t>2024-10-01</t>
  </si>
  <si>
    <t>ORD000583</t>
  </si>
  <si>
    <t>Sofía Navarro</t>
  </si>
  <si>
    <t>sofía.navarro@mail.com</t>
  </si>
  <si>
    <t>2024-06-23</t>
  </si>
  <si>
    <t>ORD000584</t>
  </si>
  <si>
    <t>2024-08-24</t>
  </si>
  <si>
    <t>ORD000585</t>
  </si>
  <si>
    <t>ORD000586</t>
  </si>
  <si>
    <t>ORD000587</t>
  </si>
  <si>
    <t>2025-10-12</t>
  </si>
  <si>
    <t>ORD000588</t>
  </si>
  <si>
    <t>2024-05-09</t>
  </si>
  <si>
    <t>ORD000589</t>
  </si>
  <si>
    <t>2025-09-05</t>
  </si>
  <si>
    <t>ORD000590</t>
  </si>
  <si>
    <t>ORD000591</t>
  </si>
  <si>
    <t>2025-01-07</t>
  </si>
  <si>
    <t>ORD000592</t>
  </si>
  <si>
    <t>2024-08-23</t>
  </si>
  <si>
    <t>ORD000593</t>
  </si>
  <si>
    <t>2026-02-08</t>
  </si>
  <si>
    <t>ORD000594</t>
  </si>
  <si>
    <t>2025-08-13</t>
  </si>
  <si>
    <t>ORD000595</t>
  </si>
  <si>
    <t>ORD000596</t>
  </si>
  <si>
    <t>ORD000597</t>
  </si>
  <si>
    <t>ORD000598</t>
  </si>
  <si>
    <t>2024-07-21</t>
  </si>
  <si>
    <t>ORD000599</t>
  </si>
  <si>
    <t>2024-10-17</t>
  </si>
  <si>
    <t>ORD000600</t>
  </si>
  <si>
    <t>2025-06-10</t>
  </si>
  <si>
    <t>ORD000601</t>
  </si>
  <si>
    <t>2024-08-31</t>
  </si>
  <si>
    <t>ORD000602</t>
  </si>
  <si>
    <t>ORD000603</t>
  </si>
  <si>
    <t>2025-03-20</t>
  </si>
  <si>
    <t>ORD000604</t>
  </si>
  <si>
    <t>2026-03-27</t>
  </si>
  <si>
    <t>ORD000605</t>
  </si>
  <si>
    <t>ORD000606</t>
  </si>
  <si>
    <t>ORD000607</t>
  </si>
  <si>
    <t>ORD000608</t>
  </si>
  <si>
    <t>ORD000609</t>
  </si>
  <si>
    <t>2024-09-01</t>
  </si>
  <si>
    <t>ORD000610</t>
  </si>
  <si>
    <t>2024-01-30</t>
  </si>
  <si>
    <t>ORD000611</t>
  </si>
  <si>
    <t>2024-03-20</t>
  </si>
  <si>
    <t>ORD000612</t>
  </si>
  <si>
    <t>2024-11-02</t>
  </si>
  <si>
    <t>ORD000613</t>
  </si>
  <si>
    <t>2026-01-26</t>
  </si>
  <si>
    <t>ORD000614</t>
  </si>
  <si>
    <t>2024-04-21</t>
  </si>
  <si>
    <t>ORD000615</t>
  </si>
  <si>
    <t>ORD000616</t>
  </si>
  <si>
    <t>2024-02-04</t>
  </si>
  <si>
    <t>ORD000617</t>
  </si>
  <si>
    <t>ORD000618</t>
  </si>
  <si>
    <t>ORD000619</t>
  </si>
  <si>
    <t>ORD000620</t>
  </si>
  <si>
    <t>ORD000621</t>
  </si>
  <si>
    <t>Miguel Vázquez</t>
  </si>
  <si>
    <t>miguel.vázquez@mail.com</t>
  </si>
  <si>
    <t>2024-07-01</t>
  </si>
  <si>
    <t>ORD000622</t>
  </si>
  <si>
    <t>2025-09-08</t>
  </si>
  <si>
    <t>ORD000623</t>
  </si>
  <si>
    <t>2026-02-20</t>
  </si>
  <si>
    <t>ORD000624</t>
  </si>
  <si>
    <t>ORD000625</t>
  </si>
  <si>
    <t>2025-01-15</t>
  </si>
  <si>
    <t>ORD000626</t>
  </si>
  <si>
    <t>2025-06-28</t>
  </si>
  <si>
    <t>ORD000627</t>
  </si>
  <si>
    <t>ORD000628</t>
  </si>
  <si>
    <t>2025-07-19</t>
  </si>
  <si>
    <t>ORD000629</t>
  </si>
  <si>
    <t>2024-01-16</t>
  </si>
  <si>
    <t>ORD000630</t>
  </si>
  <si>
    <t>2025-04-05</t>
  </si>
  <si>
    <t>ORD000631</t>
  </si>
  <si>
    <t>2025-04-08</t>
  </si>
  <si>
    <t>ORD000632</t>
  </si>
  <si>
    <t>ORD000633</t>
  </si>
  <si>
    <t>ORD000634</t>
  </si>
  <si>
    <t>ORD000635</t>
  </si>
  <si>
    <t>ORD000636</t>
  </si>
  <si>
    <t>ORD000637</t>
  </si>
  <si>
    <t>ORD000638</t>
  </si>
  <si>
    <t>2026-01-24</t>
  </si>
  <si>
    <t>ORD000639</t>
  </si>
  <si>
    <t>2025-12-31</t>
  </si>
  <si>
    <t>ORD000640</t>
  </si>
  <si>
    <t>ORD000641</t>
  </si>
  <si>
    <t>ORD000642</t>
  </si>
  <si>
    <t>ORD000643</t>
  </si>
  <si>
    <t>2026-02-27</t>
  </si>
  <si>
    <t>ORD000644</t>
  </si>
  <si>
    <t>2025-05-21</t>
  </si>
  <si>
    <t>ORD000645</t>
  </si>
  <si>
    <t>ORD000646</t>
  </si>
  <si>
    <t>ORD000647</t>
  </si>
  <si>
    <t>2025-04-11</t>
  </si>
  <si>
    <t>ORD000648</t>
  </si>
  <si>
    <t>ORD000649</t>
  </si>
  <si>
    <t>ORD000650</t>
  </si>
  <si>
    <t>2024-02-11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</si>
  <si>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</si>
  <si>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</si>
  <si>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</si>
  <si>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</si>
  <si>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</si>
  <si>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</si>
  <si>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</si>
  <si>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</si>
  <si>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</si>
  <si>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2025-01-10</t>
  </si>
  <si>
    <t>ORD000660</t>
  </si>
  <si>
    <t>ORD000661</t>
  </si>
  <si>
    <t>ORD000662</t>
  </si>
  <si>
    <t>ORD000663</t>
  </si>
  <si>
    <t>2024-05-20</t>
  </si>
  <si>
    <t>ORD000664</t>
  </si>
  <si>
    <t>2025-08-07</t>
  </si>
  <si>
    <t>ORD000665</t>
  </si>
  <si>
    <t>ORD000666</t>
  </si>
  <si>
    <t>ORD000667</t>
  </si>
  <si>
    <t>2026-01-04</t>
  </si>
  <si>
    <t>ORD000668</t>
  </si>
  <si>
    <t>Carlos Torres</t>
  </si>
  <si>
    <t>carlos.torres@mail.com</t>
  </si>
  <si>
    <t>ORD000669</t>
  </si>
  <si>
    <t>2024-10-22</t>
  </si>
  <si>
    <t>ORD000670</t>
  </si>
  <si>
    <t>ORD000671</t>
  </si>
  <si>
    <t>ORD000672</t>
  </si>
  <si>
    <t>2024-02-18</t>
  </si>
  <si>
    <t>ORD000673</t>
  </si>
  <si>
    <t>ORD000674</t>
  </si>
  <si>
    <t>2025-03-01</t>
  </si>
  <si>
    <t>ORD000675</t>
  </si>
  <si>
    <t>ORD000676</t>
  </si>
  <si>
    <t>2025-05-10</t>
  </si>
  <si>
    <t>ORD000677</t>
  </si>
  <si>
    <t>Sofía Sánchez</t>
  </si>
  <si>
    <t>sofía.sánchez@mail.com</t>
  </si>
  <si>
    <t>ORD000678</t>
  </si>
  <si>
    <t>ORD000679</t>
  </si>
  <si>
    <t>Luis Gómez</t>
  </si>
  <si>
    <t>luis.gómez@mail.com</t>
  </si>
  <si>
    <t>2024-08-06</t>
  </si>
  <si>
    <t>ORD000680</t>
  </si>
  <si>
    <t>ORD000681</t>
  </si>
  <si>
    <t>ORD000682</t>
  </si>
  <si>
    <t>ORD000683</t>
  </si>
  <si>
    <t>ORD000684</t>
  </si>
  <si>
    <t>ORD000685</t>
  </si>
  <si>
    <t>ORD000686</t>
  </si>
  <si>
    <t>2025-04-14</t>
  </si>
  <si>
    <t>ORD000687</t>
  </si>
  <si>
    <t>2024-03-29</t>
  </si>
  <si>
    <t>ORD000688</t>
  </si>
  <si>
    <t>ORD000689</t>
  </si>
  <si>
    <t>ORD000690</t>
  </si>
  <si>
    <t>ORD000691</t>
  </si>
  <si>
    <t>ORD000692</t>
  </si>
  <si>
    <t>ORD000693</t>
  </si>
  <si>
    <t>ORD000694</t>
  </si>
  <si>
    <t>2025-09-13</t>
  </si>
  <si>
    <t>ORD000695</t>
  </si>
  <si>
    <t>2024-10-08</t>
  </si>
  <si>
    <t>ORD000696</t>
  </si>
  <si>
    <t>ORD000697</t>
  </si>
  <si>
    <t>ORD000698</t>
  </si>
  <si>
    <t>Carmen López</t>
  </si>
  <si>
    <t>carmen.lópez@mail.com</t>
  </si>
  <si>
    <t>ORD000699</t>
  </si>
  <si>
    <t>ORD000700</t>
  </si>
  <si>
    <t>ORD000701</t>
  </si>
  <si>
    <t>ORD000702</t>
  </si>
  <si>
    <t>ORD000703</t>
  </si>
  <si>
    <t>2025-02-03</t>
  </si>
  <si>
    <t>ORD000704</t>
  </si>
  <si>
    <t>2025-09-11</t>
  </si>
  <si>
    <t>ORD000705</t>
  </si>
  <si>
    <t>ORD000706</t>
  </si>
  <si>
    <t>ORD000707</t>
  </si>
  <si>
    <t>ORD000708</t>
  </si>
  <si>
    <t>ORD000709</t>
  </si>
  <si>
    <t>2024-03-30</t>
  </si>
  <si>
    <t>ORD000710</t>
  </si>
  <si>
    <t>ORD000711</t>
  </si>
  <si>
    <t>ORD000712</t>
  </si>
  <si>
    <t>ORD000713</t>
  </si>
  <si>
    <t>2024-07-24</t>
  </si>
  <si>
    <t>ORD000714</t>
  </si>
  <si>
    <t>ORD000715</t>
  </si>
  <si>
    <t>ORD000716</t>
  </si>
  <si>
    <t>2024-03-05</t>
  </si>
  <si>
    <t>ORD000717</t>
  </si>
  <si>
    <t>2024-06-14</t>
  </si>
  <si>
    <t>ORD000718</t>
  </si>
  <si>
    <t>2024-11-30</t>
  </si>
  <si>
    <t>ORD000719</t>
  </si>
  <si>
    <t>2025-08-09</t>
  </si>
  <si>
    <t>ORD000720</t>
  </si>
  <si>
    <t>ORD000721</t>
  </si>
  <si>
    <t>ORD000722</t>
  </si>
  <si>
    <t>2024-03-15</t>
  </si>
  <si>
    <t>ORD000723</t>
  </si>
  <si>
    <t>María Alonso</t>
  </si>
  <si>
    <t>maría.alonso@mail.com</t>
  </si>
  <si>
    <t>ORD000724</t>
  </si>
  <si>
    <t>ORD000725</t>
  </si>
  <si>
    <t>2025-06-15</t>
  </si>
  <si>
    <t>ORD000726</t>
  </si>
  <si>
    <t>Elena Díaz</t>
  </si>
  <si>
    <t>elena.díaz@mail.com</t>
  </si>
  <si>
    <t>ORD000727</t>
  </si>
  <si>
    <t>ORD000728</t>
  </si>
  <si>
    <t>ORD000729</t>
  </si>
  <si>
    <t>2024-09-28</t>
  </si>
  <si>
    <t>ORD000730</t>
  </si>
  <si>
    <t>2024-01-12</t>
  </si>
  <si>
    <t>ORD000731</t>
  </si>
  <si>
    <t>2024-05-13</t>
  </si>
  <si>
    <t>ORD000732</t>
  </si>
  <si>
    <t>ORD000733</t>
  </si>
  <si>
    <t>2024-08-26</t>
  </si>
  <si>
    <t>ORD000734</t>
  </si>
  <si>
    <t>2025-12-08</t>
  </si>
  <si>
    <t>ORD000735</t>
  </si>
  <si>
    <t>ORD000736</t>
  </si>
  <si>
    <t>ORD000737</t>
  </si>
  <si>
    <t>ORD000738</t>
  </si>
  <si>
    <t>ORD000739</t>
  </si>
  <si>
    <t>ORD000740</t>
  </si>
  <si>
    <t>2025-12-21</t>
  </si>
  <si>
    <t>ORD000741</t>
  </si>
  <si>
    <t>ORD000742</t>
  </si>
  <si>
    <t>ORD000743</t>
  </si>
  <si>
    <t>ORD000744</t>
  </si>
  <si>
    <t>2024-07-25</t>
  </si>
  <si>
    <t>ORD000745</t>
  </si>
  <si>
    <t>ORD000746</t>
  </si>
  <si>
    <t>ORD000747</t>
  </si>
  <si>
    <t>2026-04-01</t>
  </si>
  <si>
    <t>ORD000748</t>
  </si>
  <si>
    <t>2025-11-28</t>
  </si>
  <si>
    <t>ORD000749</t>
  </si>
  <si>
    <t>ORD000750</t>
  </si>
  <si>
    <t>2024-12-22</t>
  </si>
  <si>
    <t>ORD000751</t>
  </si>
  <si>
    <t>ORD000752</t>
  </si>
  <si>
    <t>2025-09-03</t>
  </si>
  <si>
    <t>ORD000753</t>
  </si>
  <si>
    <t>ORD000754</t>
  </si>
  <si>
    <t>ORD000755</t>
  </si>
  <si>
    <t>2024-01-29</t>
  </si>
  <si>
    <t>ORD000756</t>
  </si>
  <si>
    <t>Raúl Vázquez</t>
  </si>
  <si>
    <t>raúl.vázquez@mail.com</t>
  </si>
  <si>
    <t>ORD000757</t>
  </si>
  <si>
    <t>2025-04-28</t>
  </si>
  <si>
    <t>ORD000758</t>
  </si>
  <si>
    <t>ORD000759</t>
  </si>
  <si>
    <t>ORD000760</t>
  </si>
  <si>
    <t>ORD000761</t>
  </si>
  <si>
    <t>ORD000762</t>
  </si>
  <si>
    <t>ORD000763</t>
  </si>
  <si>
    <t>2024-05-18</t>
  </si>
  <si>
    <t>ORD000764</t>
  </si>
  <si>
    <t>2024-11-12</t>
  </si>
  <si>
    <t>ORD000765</t>
  </si>
  <si>
    <t>ORD000766</t>
  </si>
  <si>
    <t>ORD000767</t>
  </si>
  <si>
    <t>2025-01-13</t>
  </si>
  <si>
    <t>ORD000768</t>
  </si>
  <si>
    <t>2025-11-21</t>
  </si>
  <si>
    <t>ORD000769</t>
  </si>
  <si>
    <t>2025-03-19</t>
  </si>
  <si>
    <t>ORD000770</t>
  </si>
  <si>
    <t>2024-02-06</t>
  </si>
  <si>
    <t>ORD000771</t>
  </si>
  <si>
    <t>2025-12-09</t>
  </si>
  <si>
    <t>ORD000772</t>
  </si>
  <si>
    <t>ORD000773</t>
  </si>
  <si>
    <t>ORD000774</t>
  </si>
  <si>
    <t>ORD000775</t>
  </si>
  <si>
    <t>2024-08-13</t>
  </si>
  <si>
    <t>ORD000776</t>
  </si>
  <si>
    <t>2024-12-28</t>
  </si>
  <si>
    <t>ORD000777</t>
  </si>
  <si>
    <t>2026-01-12</t>
  </si>
  <si>
    <t>ORD000778</t>
  </si>
  <si>
    <t>Carmen Gómez</t>
  </si>
  <si>
    <t>carmen.gómez@mail.com</t>
  </si>
  <si>
    <t>ORD000779</t>
  </si>
  <si>
    <t>ORD000780</t>
  </si>
  <si>
    <t>ORD000781</t>
  </si>
  <si>
    <t>2024-07-18</t>
  </si>
  <si>
    <t>ORD000782</t>
  </si>
  <si>
    <t>2025-11-05</t>
  </si>
  <si>
    <t>ORD000783</t>
  </si>
  <si>
    <t>2024-02-05</t>
  </si>
  <si>
    <t>ORD000784</t>
  </si>
  <si>
    <t>2024-11-22</t>
  </si>
  <si>
    <t>ORD000785</t>
  </si>
  <si>
    <t>2024-01-26</t>
  </si>
  <si>
    <t>ORD000786</t>
  </si>
  <si>
    <t>2024-08-03</t>
  </si>
  <si>
    <t>ORD000787</t>
  </si>
  <si>
    <t>2024-09-25</t>
  </si>
  <si>
    <t>ORD000788</t>
  </si>
  <si>
    <t>2024-09-15</t>
  </si>
  <si>
    <t>ORD000789</t>
  </si>
  <si>
    <t>ORD000790</t>
  </si>
  <si>
    <t>2024-03-14</t>
  </si>
  <si>
    <t>ORD000791</t>
  </si>
  <si>
    <t>2024-02-26</t>
  </si>
  <si>
    <t>ORD000792</t>
  </si>
  <si>
    <t>2025-10-16</t>
  </si>
  <si>
    <t>ORD000793</t>
  </si>
  <si>
    <t>Raúl Gil</t>
  </si>
  <si>
    <t>raúl.gil@mail.com</t>
  </si>
  <si>
    <t>2025-04-27</t>
  </si>
  <si>
    <t>ORD000794</t>
  </si>
  <si>
    <t>2024-08-02</t>
  </si>
  <si>
    <t>ORD000795</t>
  </si>
  <si>
    <t>2025-08-05</t>
  </si>
  <si>
    <t>ORD000796</t>
  </si>
  <si>
    <t>ORD000797</t>
  </si>
  <si>
    <t>ORD000798</t>
  </si>
  <si>
    <t>2024-01-28</t>
  </si>
  <si>
    <t>ORD000799</t>
  </si>
  <si>
    <t>ORD000800</t>
  </si>
  <si>
    <t>ORD000801</t>
  </si>
  <si>
    <t>ORD000802</t>
  </si>
  <si>
    <t>ORD000803</t>
  </si>
  <si>
    <t>ORD000804</t>
  </si>
  <si>
    <t>2025-01-24</t>
  </si>
  <si>
    <t>ORD000805</t>
  </si>
  <si>
    <t>Miguel Martínez</t>
  </si>
  <si>
    <t>miguel.martínez@mail.com</t>
  </si>
  <si>
    <t>ORD000806</t>
  </si>
  <si>
    <t>ORD000807</t>
  </si>
  <si>
    <t>2025-04-26</t>
  </si>
  <si>
    <t>ORD000808</t>
  </si>
  <si>
    <t>ORD000809</t>
  </si>
  <si>
    <t>2024-06-12</t>
  </si>
  <si>
    <t>ORD000810</t>
  </si>
  <si>
    <t>ORD000811</t>
  </si>
  <si>
    <t>ORD000812</t>
  </si>
  <si>
    <t>2024-01-10</t>
  </si>
  <si>
    <t>ORD000813</t>
  </si>
  <si>
    <t>ORD000814</t>
  </si>
  <si>
    <t>2024-12-15</t>
  </si>
  <si>
    <t>ORD000815</t>
  </si>
  <si>
    <t>ORD000816</t>
  </si>
  <si>
    <t>2025-10-01</t>
  </si>
  <si>
    <t>ORD000817</t>
  </si>
  <si>
    <t>2024-01-14</t>
  </si>
  <si>
    <t>ORD000818</t>
  </si>
  <si>
    <t>ORD000819</t>
  </si>
  <si>
    <t>ORD000820</t>
  </si>
  <si>
    <t>2025-06-12</t>
  </si>
  <si>
    <t>ORD000821</t>
  </si>
  <si>
    <t>2025-04-06</t>
  </si>
  <si>
    <t>ORD000822</t>
  </si>
  <si>
    <t>ORD000823</t>
  </si>
  <si>
    <t>ORD000824</t>
  </si>
  <si>
    <t>ORD000825</t>
  </si>
  <si>
    <t>2025-04-16</t>
  </si>
  <si>
    <t>ORD000826</t>
  </si>
  <si>
    <t>Lucía Fernández</t>
  </si>
  <si>
    <t>lucía.fernández@mail.com</t>
  </si>
  <si>
    <t>ORD000827</t>
  </si>
  <si>
    <t>ORD000828</t>
  </si>
  <si>
    <t>ORD000829</t>
  </si>
  <si>
    <t>2024-07-29</t>
  </si>
  <si>
    <t>ORD000830</t>
  </si>
  <si>
    <t>2025-11-22</t>
  </si>
  <si>
    <t>ORD000831</t>
  </si>
  <si>
    <t>ORD000832</t>
  </si>
  <si>
    <t>ORD000833</t>
  </si>
  <si>
    <t>ORD000834</t>
  </si>
  <si>
    <t>2024-12-10</t>
  </si>
  <si>
    <t>ORD000835</t>
  </si>
  <si>
    <t>ORD000836</t>
  </si>
  <si>
    <t>ORD000837</t>
  </si>
  <si>
    <t>ORD000838</t>
  </si>
  <si>
    <t>ORD000839</t>
  </si>
  <si>
    <t>ORD000840</t>
  </si>
  <si>
    <t>ORD000841</t>
  </si>
  <si>
    <t>2024-08-16</t>
  </si>
  <si>
    <t>ORD000842</t>
  </si>
  <si>
    <t>2025-06-16</t>
  </si>
  <si>
    <t>ORD000843</t>
  </si>
  <si>
    <t>2024-08-18</t>
  </si>
  <si>
    <t>ORD000844</t>
  </si>
  <si>
    <t>ORD000845</t>
  </si>
  <si>
    <t>2024-11-08</t>
  </si>
  <si>
    <t>ORD000846</t>
  </si>
  <si>
    <t>ORD000847</t>
  </si>
  <si>
    <t>ORD000848</t>
  </si>
  <si>
    <t>2024-01-15</t>
  </si>
  <si>
    <t>ORD000849</t>
  </si>
  <si>
    <t>Javier Ruiz</t>
  </si>
  <si>
    <t>javier.ruiz@mail.com</t>
  </si>
  <si>
    <t>2025-09-07</t>
  </si>
  <si>
    <t>ORD000850</t>
  </si>
  <si>
    <t>ORD000851</t>
  </si>
  <si>
    <t>ORD000852</t>
  </si>
  <si>
    <t>ORD000853</t>
  </si>
  <si>
    <t>2025-03-30</t>
  </si>
  <si>
    <t>ORD000854</t>
  </si>
  <si>
    <t>2025-01-06</t>
  </si>
  <si>
    <t>ORD000855</t>
  </si>
  <si>
    <t>ORD000856</t>
  </si>
  <si>
    <t>2024-03-28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</si>
  <si>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</si>
  <si>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</si>
  <si>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</si>
  <si>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</si>
  <si>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</si>
  <si>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</si>
  <si>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</si>
  <si>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</si>
  <si>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2025-07-10</t>
  </si>
  <si>
    <t>ORD000865</t>
  </si>
  <si>
    <t>2025-11-07</t>
  </si>
  <si>
    <t>ORD000866</t>
  </si>
  <si>
    <t>ORD000867</t>
  </si>
  <si>
    <t>2024-11-21</t>
  </si>
  <si>
    <t>ORD000868</t>
  </si>
  <si>
    <t>ORD000869</t>
  </si>
  <si>
    <t>ORD000870</t>
  </si>
  <si>
    <t>2025-07-06</t>
  </si>
  <si>
    <t>ORD000871</t>
  </si>
  <si>
    <t>ORD000872</t>
  </si>
  <si>
    <t>ORD000873</t>
  </si>
  <si>
    <t>2024-08-14</t>
  </si>
  <si>
    <t>ORD000874</t>
  </si>
  <si>
    <t>2024-06-15</t>
  </si>
  <si>
    <t>ORD000875</t>
  </si>
  <si>
    <t>ORD000876</t>
  </si>
  <si>
    <t>ORD000877</t>
  </si>
  <si>
    <t>ORD000878</t>
  </si>
  <si>
    <t>ORD000879</t>
  </si>
  <si>
    <t>2025-01-02</t>
  </si>
  <si>
    <t>ORD000880</t>
  </si>
  <si>
    <t>2024-05-27</t>
  </si>
  <si>
    <t>ORD000881</t>
  </si>
  <si>
    <t>ORD000882</t>
  </si>
  <si>
    <t>2025-06-18</t>
  </si>
  <si>
    <t>ORD000883</t>
  </si>
  <si>
    <t>ORD000884</t>
  </si>
  <si>
    <t>ORD000885</t>
  </si>
  <si>
    <t>ORD000886</t>
  </si>
  <si>
    <t>2025-08-28</t>
  </si>
  <si>
    <t>ORD000887</t>
  </si>
  <si>
    <t>ORD000888</t>
  </si>
  <si>
    <t>2024-01-03</t>
  </si>
  <si>
    <t>ORD000889</t>
  </si>
  <si>
    <t>ORD000890</t>
  </si>
  <si>
    <t>ORD000891</t>
  </si>
  <si>
    <t>ORD000892</t>
  </si>
  <si>
    <t>2025-10-17</t>
  </si>
  <si>
    <t>ORD000893</t>
  </si>
  <si>
    <t>María Vázquez</t>
  </si>
  <si>
    <t>maría.vázquez@mail.com</t>
  </si>
  <si>
    <t>ORD000894</t>
  </si>
  <si>
    <t>ORD000895</t>
  </si>
  <si>
    <t>ORD000896</t>
  </si>
  <si>
    <t>ORD000897</t>
  </si>
  <si>
    <t>ORD000898</t>
  </si>
  <si>
    <t>ORD000899</t>
  </si>
  <si>
    <t>ORD000900</t>
  </si>
  <si>
    <t>2024-01-18</t>
  </si>
  <si>
    <t>ORD000901</t>
  </si>
  <si>
    <t>ORD000902</t>
  </si>
  <si>
    <t>2025-01-26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</si>
  <si>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</si>
  <si>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</si>
  <si>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</si>
  <si>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</si>
  <si>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</si>
  <si>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</si>
  <si>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</si>
  <si>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</si>
  <si>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2024-02-19</t>
  </si>
  <si>
    <t>ORD000911</t>
  </si>
  <si>
    <t>ORD000912</t>
  </si>
  <si>
    <t>ORD000913</t>
  </si>
  <si>
    <t>2025-05-23</t>
  </si>
  <si>
    <t>ORD000914</t>
  </si>
  <si>
    <t>ORD000915</t>
  </si>
  <si>
    <t>2025-04-30</t>
  </si>
  <si>
    <t>ORD000916</t>
  </si>
  <si>
    <t>ORD000917</t>
  </si>
  <si>
    <t>ORD000918</t>
  </si>
  <si>
    <t>ORD000919</t>
  </si>
  <si>
    <t>2024-01-11</t>
  </si>
  <si>
    <t>ORD000920</t>
  </si>
  <si>
    <t>2025-07-23</t>
  </si>
  <si>
    <t>ORD000921</t>
  </si>
  <si>
    <t>ORD000922</t>
  </si>
  <si>
    <t>ORD000923</t>
  </si>
  <si>
    <t>ORD000924</t>
  </si>
  <si>
    <t>2024-05-14</t>
  </si>
  <si>
    <t>ORD000925</t>
  </si>
  <si>
    <t>2025-02-16</t>
  </si>
  <si>
    <t>ORD000926</t>
  </si>
  <si>
    <t>2024-12-09</t>
  </si>
  <si>
    <t>ORD000927</t>
  </si>
  <si>
    <t>2025-11-11</t>
  </si>
  <si>
    <t>ORD000928</t>
  </si>
  <si>
    <t>2024-11-07</t>
  </si>
  <si>
    <t>ORD000929</t>
  </si>
  <si>
    <t>2024-03-21</t>
  </si>
  <si>
    <t>ORD000930</t>
  </si>
  <si>
    <t>2025-06-06</t>
  </si>
  <si>
    <t>ORD000931</t>
  </si>
  <si>
    <t>ORD000932</t>
  </si>
  <si>
    <t>2025-02-06</t>
  </si>
  <si>
    <t>ORD000933</t>
  </si>
  <si>
    <t>ORD000934</t>
  </si>
  <si>
    <t>2024-04-23</t>
  </si>
  <si>
    <t>ORD000935</t>
  </si>
  <si>
    <t>2025-12-30</t>
  </si>
  <si>
    <t>ORD000936</t>
  </si>
  <si>
    <t>ORD000937</t>
  </si>
  <si>
    <t>2024-03-22</t>
  </si>
  <si>
    <t>ORD000938</t>
  </si>
  <si>
    <t>ORD000939</t>
  </si>
  <si>
    <t>ORD000940</t>
  </si>
  <si>
    <t>2024-02-01</t>
  </si>
  <si>
    <t>ORD000941</t>
  </si>
  <si>
    <t>ORD000942</t>
  </si>
  <si>
    <t>ORD000943</t>
  </si>
  <si>
    <t>ORD000944</t>
  </si>
  <si>
    <t>2024-05-05</t>
  </si>
  <si>
    <t>ORD000945</t>
  </si>
  <si>
    <t>2025-09-17</t>
  </si>
  <si>
    <t>ORD000946</t>
  </si>
  <si>
    <t>ORD000947</t>
  </si>
  <si>
    <t>ORD000948</t>
  </si>
  <si>
    <t>ORD000949</t>
  </si>
  <si>
    <t>2025-09-09</t>
  </si>
  <si>
    <t>ORD000950</t>
  </si>
  <si>
    <t>ORD000951</t>
  </si>
  <si>
    <t>ORD000952</t>
  </si>
  <si>
    <t>ORD000953</t>
  </si>
  <si>
    <t>2026-01-06</t>
  </si>
  <si>
    <t>ORD000954</t>
  </si>
  <si>
    <t>ORD000955</t>
  </si>
  <si>
    <t>ORD000956</t>
  </si>
  <si>
    <t>ORD000957</t>
  </si>
  <si>
    <t>ORD000958</t>
  </si>
  <si>
    <t>ORD000959</t>
  </si>
  <si>
    <t>2024-06-11</t>
  </si>
  <si>
    <t>ORD000960</t>
  </si>
  <si>
    <t>2026-03-30</t>
  </si>
  <si>
    <t>ORD000961</t>
  </si>
  <si>
    <t>ORD000962</t>
  </si>
  <si>
    <t>2025-02-12</t>
  </si>
  <si>
    <t>ORD000963</t>
  </si>
  <si>
    <t>2024-11-06</t>
  </si>
  <si>
    <t>ORD000964</t>
  </si>
  <si>
    <t>ORD000965</t>
  </si>
  <si>
    <t>ORD000966</t>
  </si>
  <si>
    <t>2024-10-28</t>
  </si>
  <si>
    <t>ORD000967</t>
  </si>
  <si>
    <t>ORD000968</t>
  </si>
  <si>
    <t>ORD000969</t>
  </si>
  <si>
    <t>2024-04-11</t>
  </si>
  <si>
    <t>ORD000970</t>
  </si>
  <si>
    <t>ORD000971</t>
  </si>
  <si>
    <t>2024-10-07</t>
  </si>
  <si>
    <t>ORD000972</t>
  </si>
  <si>
    <t>ORD000973</t>
  </si>
  <si>
    <t>ORD000974</t>
  </si>
  <si>
    <t>ORD000975</t>
  </si>
  <si>
    <t>2025-08-06</t>
  </si>
  <si>
    <t>ORD000976</t>
  </si>
  <si>
    <t>ORD000977</t>
  </si>
  <si>
    <t>ORD000978</t>
  </si>
  <si>
    <t>ORD000979</t>
  </si>
  <si>
    <t>2024-07-06</t>
  </si>
  <si>
    <t>ORD000980</t>
  </si>
  <si>
    <t>ORD000981</t>
  </si>
  <si>
    <t>ORD000982</t>
  </si>
  <si>
    <t>ORD000983</t>
  </si>
  <si>
    <t>ORD000984</t>
  </si>
  <si>
    <t>ORD000985</t>
  </si>
  <si>
    <t>ORD000986</t>
  </si>
  <si>
    <t>2025-06-30</t>
  </si>
  <si>
    <t>ORD000987</t>
  </si>
  <si>
    <t>2026-02-19</t>
  </si>
  <si>
    <t>ORD000988</t>
  </si>
  <si>
    <t>ORD000989</t>
  </si>
  <si>
    <t>ORD000990</t>
  </si>
  <si>
    <t>ORD000991</t>
  </si>
  <si>
    <t>2024-03-16</t>
  </si>
  <si>
    <t>ORD000992</t>
  </si>
  <si>
    <t>ORD000993</t>
  </si>
  <si>
    <t>ORD000994</t>
  </si>
  <si>
    <t>2024-10-19</t>
  </si>
  <si>
    <t>ORD000995</t>
  </si>
  <si>
    <t>2025-05-24</t>
  </si>
  <si>
    <t>ORD000996</t>
  </si>
  <si>
    <t>ORD000997</t>
  </si>
  <si>
    <t>ORD000998</t>
  </si>
  <si>
    <t>2024-01-31</t>
  </si>
  <si>
    <t>ORD000999</t>
  </si>
  <si>
    <t>ORD001000</t>
  </si>
  <si>
    <t>2025-10-03</t>
  </si>
  <si>
    <t>ORD001001</t>
  </si>
  <si>
    <t>2025-01-04</t>
  </si>
  <si>
    <t>ORD001002</t>
  </si>
  <si>
    <t>2024-05-03</t>
  </si>
  <si>
    <t>ORD001003</t>
  </si>
  <si>
    <t>ORD001004</t>
  </si>
  <si>
    <t>ORD001005</t>
  </si>
  <si>
    <t>Elena Sánchez</t>
  </si>
  <si>
    <t>elena.sánchez@mail.com</t>
  </si>
  <si>
    <t>ORD001006</t>
  </si>
  <si>
    <t>ORD001007</t>
  </si>
  <si>
    <t>2025-11-06</t>
  </si>
  <si>
    <t>ORD001008</t>
  </si>
  <si>
    <t>ORD001009</t>
  </si>
  <si>
    <t>2025-01-16</t>
  </si>
  <si>
    <t>ORD001010</t>
  </si>
  <si>
    <t>ORD001011</t>
  </si>
  <si>
    <t>2024-09-27</t>
  </si>
  <si>
    <t>ORD001012</t>
  </si>
  <si>
    <t>ORD001013</t>
  </si>
  <si>
    <t>ORD001014</t>
  </si>
  <si>
    <t>ORD001015</t>
  </si>
  <si>
    <t>2024-04-26</t>
  </si>
  <si>
    <t>ORD001016</t>
  </si>
  <si>
    <t>ORD001017</t>
  </si>
  <si>
    <t>ORD001018</t>
  </si>
  <si>
    <t>ORD001019</t>
  </si>
  <si>
    <t>ORD001020</t>
  </si>
  <si>
    <t>ORD001021</t>
  </si>
  <si>
    <t>2024-10-21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</si>
  <si>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</si>
  <si>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</si>
  <si>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</si>
  <si>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</si>
  <si>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</si>
  <si>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</si>
  <si>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</si>
  <si>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</si>
  <si>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Elena Fernández</t>
  </si>
  <si>
    <t>elena.fernández@mail.com</t>
  </si>
  <si>
    <t>ORD001030</t>
  </si>
  <si>
    <t>ORD001031</t>
  </si>
  <si>
    <t>ORD001032</t>
  </si>
  <si>
    <t>2025-04-03</t>
  </si>
  <si>
    <t>ORD001033</t>
  </si>
  <si>
    <t>ORD001034</t>
  </si>
  <si>
    <t>2025-08-29</t>
  </si>
  <si>
    <t>ORD001035</t>
  </si>
  <si>
    <t>2025-04-20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</si>
  <si>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</si>
  <si>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</si>
  <si>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</si>
  <si>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</si>
  <si>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</si>
  <si>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</si>
  <si>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</si>
  <si>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</si>
  <si>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2024-10-14</t>
  </si>
  <si>
    <t>ORD001044</t>
  </si>
  <si>
    <t>ORD001045</t>
  </si>
  <si>
    <t>2024-11-24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</si>
  <si>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</si>
  <si>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</si>
  <si>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</si>
  <si>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</si>
  <si>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</si>
  <si>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</si>
  <si>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</si>
  <si>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</si>
  <si>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</si>
  <si>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</si>
  <si>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2025-12-24</t>
  </si>
  <si>
    <t>ORD001056</t>
  </si>
  <si>
    <t>2025-07-31</t>
  </si>
  <si>
    <t>ORD001057</t>
  </si>
  <si>
    <t>2025-09-21</t>
  </si>
  <si>
    <t>ORD001058</t>
  </si>
  <si>
    <t>2025-12-14</t>
  </si>
  <si>
    <t>ORD001059</t>
  </si>
  <si>
    <t>ORD001060</t>
  </si>
  <si>
    <t>2026-03-29</t>
  </si>
  <si>
    <t>ORD001061</t>
  </si>
  <si>
    <t>2024-04-13</t>
  </si>
  <si>
    <t>ORD001062</t>
  </si>
  <si>
    <t>ORD001063</t>
  </si>
  <si>
    <t>2024-07-20</t>
  </si>
  <si>
    <t>ORD001064</t>
  </si>
  <si>
    <t>2024-12-13</t>
  </si>
  <si>
    <t>ORD001065</t>
  </si>
  <si>
    <t>ORD001066</t>
  </si>
  <si>
    <t>ORD001067</t>
  </si>
  <si>
    <t>ORD001068</t>
  </si>
  <si>
    <t>ORD001069</t>
  </si>
  <si>
    <t>2024-07-31</t>
  </si>
  <si>
    <t>ORD001070</t>
  </si>
  <si>
    <t>María Sánchez</t>
  </si>
  <si>
    <t>maría.sánchez@mail.com</t>
  </si>
  <si>
    <t>ORD001071</t>
  </si>
  <si>
    <t>2024-05-04</t>
  </si>
  <si>
    <t>ORD001072</t>
  </si>
  <si>
    <t>ORD001073</t>
  </si>
  <si>
    <t>ORD001074</t>
  </si>
  <si>
    <t>2025-07-25</t>
  </si>
  <si>
    <t>ORD001075</t>
  </si>
  <si>
    <t>ORD001076</t>
  </si>
  <si>
    <t>2024-08-01</t>
  </si>
  <si>
    <t>ORD001077</t>
  </si>
  <si>
    <t>ORD001078</t>
  </si>
  <si>
    <t>2025-11-12</t>
  </si>
  <si>
    <t>ORD001079</t>
  </si>
  <si>
    <t>2025-11-30</t>
  </si>
  <si>
    <t>ORD001080</t>
  </si>
  <si>
    <t>2024-02-27</t>
  </si>
  <si>
    <t>ORD001081</t>
  </si>
  <si>
    <t>ORD001082</t>
  </si>
  <si>
    <t>ORD001083</t>
  </si>
  <si>
    <t>ORD001084</t>
  </si>
  <si>
    <t>ORD001085</t>
  </si>
  <si>
    <t>ORD001086</t>
  </si>
  <si>
    <t>ORD001087</t>
  </si>
  <si>
    <t>2025-10-08</t>
  </si>
  <si>
    <t>ORD001088</t>
  </si>
  <si>
    <t>ORD001089</t>
  </si>
  <si>
    <t>ORD001090</t>
  </si>
  <si>
    <t>2024-03-07</t>
  </si>
  <si>
    <t>ORD001091</t>
  </si>
  <si>
    <t>2024-10-27</t>
  </si>
  <si>
    <t>ORD001092</t>
  </si>
  <si>
    <t>2026-01-02</t>
  </si>
  <si>
    <t>ORD001093</t>
  </si>
  <si>
    <t>ORD001094</t>
  </si>
  <si>
    <t>ORD001095</t>
  </si>
  <si>
    <t>ORD001096</t>
  </si>
  <si>
    <t>ORD001097</t>
  </si>
  <si>
    <t>ORD001098</t>
  </si>
  <si>
    <t>2025-09-29</t>
  </si>
  <si>
    <t>ORD001099</t>
  </si>
  <si>
    <t>2026-03-16</t>
  </si>
  <si>
    <t>ORD001100</t>
  </si>
  <si>
    <t>2024-12-07</t>
  </si>
  <si>
    <t>ORD001101</t>
  </si>
  <si>
    <t>ORD001102</t>
  </si>
  <si>
    <t>ORD001103</t>
  </si>
  <si>
    <t>ORD001104</t>
  </si>
  <si>
    <t>2025-09-18</t>
  </si>
  <si>
    <t>ORD001105</t>
  </si>
  <si>
    <t>ORD001106</t>
  </si>
  <si>
    <t>ORD001107</t>
  </si>
  <si>
    <t>2025-03-25</t>
  </si>
  <si>
    <t>ORD001108</t>
  </si>
  <si>
    <t>ORD001109</t>
  </si>
  <si>
    <t>2026-02-26</t>
  </si>
  <si>
    <t>ORD001110</t>
  </si>
  <si>
    <t>ORD001111</t>
  </si>
  <si>
    <t>2025-11-08</t>
  </si>
  <si>
    <t>ORD001112</t>
  </si>
  <si>
    <t>ORD001113</t>
  </si>
  <si>
    <t>ORD001114</t>
  </si>
  <si>
    <t>ORD001115</t>
  </si>
  <si>
    <t>ORD001116</t>
  </si>
  <si>
    <t>ORD001117</t>
  </si>
  <si>
    <t>2025-07-15</t>
  </si>
  <si>
    <t>ORD001118</t>
  </si>
  <si>
    <t>ORD001119</t>
  </si>
  <si>
    <t>ORD001120</t>
  </si>
  <si>
    <t>2025-12-04</t>
  </si>
  <si>
    <t>ORD001121</t>
  </si>
  <si>
    <t>ORD001122</t>
  </si>
  <si>
    <t>ORD001123</t>
  </si>
  <si>
    <t>ORD001124</t>
  </si>
  <si>
    <t>2025-12-11</t>
  </si>
  <si>
    <t>ORD001125</t>
  </si>
  <si>
    <t>ORD001126</t>
  </si>
  <si>
    <t>ORD001127</t>
  </si>
  <si>
    <t>ORD001128</t>
  </si>
  <si>
    <t>ORD001129</t>
  </si>
  <si>
    <t>ORD001130</t>
  </si>
  <si>
    <t>2024-04-22</t>
  </si>
  <si>
    <t>ORD001131</t>
  </si>
  <si>
    <t>ORD001132</t>
  </si>
  <si>
    <t>ORD001133</t>
  </si>
  <si>
    <t>2025-08-25</t>
  </si>
  <si>
    <t>ORD001134</t>
  </si>
  <si>
    <t>ORD001135</t>
  </si>
  <si>
    <t>2025-12-16</t>
  </si>
  <si>
    <t>ORD001136</t>
  </si>
  <si>
    <t>2026-03-20</t>
  </si>
  <si>
    <t>ORD001137</t>
  </si>
  <si>
    <t>2025-06-09</t>
  </si>
  <si>
    <t>ORD001138</t>
  </si>
  <si>
    <t>2025-05-08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</si>
  <si>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</si>
  <si>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</si>
  <si>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</si>
  <si>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</si>
  <si>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</si>
  <si>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</si>
  <si>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</si>
  <si>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Sofía García</t>
  </si>
  <si>
    <t>sofía.garcía@mail.com</t>
  </si>
  <si>
    <t>ORD001146</t>
  </si>
  <si>
    <t>ORD001147</t>
  </si>
  <si>
    <t>ORD001148</t>
  </si>
  <si>
    <t>ORD001149</t>
  </si>
  <si>
    <t>2024-07-07</t>
  </si>
  <si>
    <t>ORD001150</t>
  </si>
  <si>
    <t>ORD001151</t>
  </si>
  <si>
    <t>ORD001152</t>
  </si>
  <si>
    <t>ORD001153</t>
  </si>
  <si>
    <t>ORD001154</t>
  </si>
  <si>
    <t>ORD001155</t>
  </si>
  <si>
    <t>ORD001156</t>
  </si>
  <si>
    <t>2024-06-24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</si>
  <si>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</si>
  <si>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</si>
  <si>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</si>
  <si>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</si>
  <si>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</si>
  <si>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</si>
  <si>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</si>
  <si>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</si>
  <si>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2024-03-25</t>
  </si>
  <si>
    <t>ORD001165</t>
  </si>
  <si>
    <t>ORD001166</t>
  </si>
  <si>
    <t>ORD001167</t>
  </si>
  <si>
    <t>ORD001168</t>
  </si>
  <si>
    <t>ORD001169</t>
  </si>
  <si>
    <t>2024-09-11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</si>
  <si>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</si>
  <si>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</si>
  <si>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</si>
  <si>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</si>
  <si>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</si>
  <si>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</si>
  <si>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</si>
  <si>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</si>
  <si>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</si>
  <si>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</si>
  <si>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2025-05-03</t>
  </si>
  <si>
    <t>ORD001180</t>
  </si>
  <si>
    <t>ORD001181</t>
  </si>
  <si>
    <t>ORD001182</t>
  </si>
  <si>
    <t>ORD001183</t>
  </si>
  <si>
    <t>ORD001184</t>
  </si>
  <si>
    <t>ORD001185</t>
  </si>
  <si>
    <t>ORD001186</t>
  </si>
  <si>
    <t>2025-08-20</t>
  </si>
  <si>
    <t>ORD001187</t>
  </si>
  <si>
    <t>ORD001188</t>
  </si>
  <si>
    <t>Pedro Torres</t>
  </si>
  <si>
    <t>pedro.torres@mail.com</t>
  </si>
  <si>
    <t>ORD001189</t>
  </si>
  <si>
    <t>ORD001190</t>
  </si>
  <si>
    <t>ORD001191</t>
  </si>
  <si>
    <t>ORD001192</t>
  </si>
  <si>
    <t>2025-12-23</t>
  </si>
  <si>
    <t>ORD001193</t>
  </si>
  <si>
    <t>ORD001194</t>
  </si>
  <si>
    <t>ORD001195</t>
  </si>
  <si>
    <t>2024-06-08</t>
  </si>
  <si>
    <t>ORD001196</t>
  </si>
  <si>
    <t>ORD001197</t>
  </si>
  <si>
    <t>2025-07-20</t>
  </si>
  <si>
    <t>ORD001198</t>
  </si>
  <si>
    <t>ORD001199</t>
  </si>
  <si>
    <t>2025-05-25</t>
  </si>
  <si>
    <t>ORD001200</t>
  </si>
  <si>
    <t>ORD001201</t>
  </si>
  <si>
    <t>ORD001202</t>
  </si>
  <si>
    <t>ORD001203</t>
  </si>
  <si>
    <t>2026-03-07</t>
  </si>
  <si>
    <t>ORD001204</t>
  </si>
  <si>
    <t>ORD001205</t>
  </si>
  <si>
    <t>2025-06-14</t>
  </si>
  <si>
    <t>ORD001206</t>
  </si>
  <si>
    <t>ORD001207</t>
  </si>
  <si>
    <t>ORD001208</t>
  </si>
  <si>
    <t>ORD001209</t>
  </si>
  <si>
    <t>2024-08-05</t>
  </si>
  <si>
    <t>ORD001210</t>
  </si>
  <si>
    <t>2024-02-12</t>
  </si>
  <si>
    <t>ORD001211</t>
  </si>
  <si>
    <t>ORD001212</t>
  </si>
  <si>
    <t>ORD001213</t>
  </si>
  <si>
    <t>ORD001214</t>
  </si>
  <si>
    <t>ORD001215</t>
  </si>
  <si>
    <t>ORD001216</t>
  </si>
  <si>
    <t>2026-03-17</t>
  </si>
  <si>
    <t>ORD001217</t>
  </si>
  <si>
    <t>2026-02-03</t>
  </si>
  <si>
    <t>ORD001218</t>
  </si>
  <si>
    <t>ORD001219</t>
  </si>
  <si>
    <t>ORD001220</t>
  </si>
  <si>
    <t>ORD001221</t>
  </si>
  <si>
    <t>ORD001222</t>
  </si>
  <si>
    <t>ORD001223</t>
  </si>
  <si>
    <t>2026-02-24</t>
  </si>
  <si>
    <t>ORD001224</t>
  </si>
  <si>
    <t>ORD001225</t>
  </si>
  <si>
    <t>ORD001226</t>
  </si>
  <si>
    <t>2024-10-04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</si>
  <si>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</si>
  <si>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</si>
  <si>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</si>
  <si>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</si>
  <si>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</si>
  <si>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</si>
  <si>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</si>
  <si>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</si>
  <si>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</si>
  <si>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</si>
  <si>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</si>
  <si>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</si>
  <si>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2024-11-03</t>
  </si>
  <si>
    <t>ORD001239</t>
  </si>
  <si>
    <t>2024-10-23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</si>
  <si>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</si>
  <si>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</si>
  <si>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</si>
  <si>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</si>
  <si>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</si>
  <si>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</si>
  <si>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</si>
  <si>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</si>
  <si>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2025-12-22</t>
  </si>
  <si>
    <t>ORD001248</t>
  </si>
  <si>
    <t>ORD001249</t>
  </si>
  <si>
    <t>ORD001250</t>
  </si>
  <si>
    <t>2024-06-03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</si>
  <si>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</si>
  <si>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</si>
  <si>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</si>
  <si>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</si>
  <si>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</si>
  <si>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</si>
  <si>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</si>
  <si>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</si>
  <si>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</si>
  <si>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</si>
  <si>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</si>
  <si>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2026-01-05</t>
  </si>
  <si>
    <t>ORD001262</t>
  </si>
  <si>
    <t>ORD001263</t>
  </si>
  <si>
    <t>ORD001264</t>
  </si>
  <si>
    <t>ORD001265</t>
  </si>
  <si>
    <t>2025-06-08</t>
  </si>
  <si>
    <t>ORD001266</t>
  </si>
  <si>
    <t>ORD001267</t>
  </si>
  <si>
    <t>ORD001268</t>
  </si>
  <si>
    <t>ORD001269</t>
  </si>
  <si>
    <t>ORD001270</t>
  </si>
  <si>
    <t>ORD001271</t>
  </si>
  <si>
    <t>ORD001272</t>
  </si>
  <si>
    <t>2024-09-16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</si>
  <si>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</si>
  <si>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</si>
  <si>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</si>
  <si>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</si>
  <si>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</si>
  <si>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</si>
  <si>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</si>
  <si>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</si>
  <si>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</si>
  <si>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</si>
  <si>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</si>
  <si>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</si>
  <si>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</si>
  <si>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</si>
  <si>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2025-07-17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</si>
  <si>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</si>
  <si>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</si>
  <si>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</si>
  <si>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</si>
  <si>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</si>
  <si>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</si>
  <si>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</si>
  <si>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</si>
  <si>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</si>
  <si>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</si>
  <si>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</si>
  <si>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</si>
  <si>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</si>
  <si>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2024-03-04</t>
  </si>
  <si>
    <t>ORD001300</t>
  </si>
  <si>
    <t>2025-08-17</t>
  </si>
  <si>
    <t>ORD001301</t>
  </si>
  <si>
    <t>ORD001302</t>
  </si>
  <si>
    <t>ORD001303</t>
  </si>
  <si>
    <t>ORD001304</t>
  </si>
  <si>
    <t>ORD001305</t>
  </si>
  <si>
    <t>2024-04-14</t>
  </si>
  <si>
    <t>ORD001306</t>
  </si>
  <si>
    <t>2025-12-07</t>
  </si>
  <si>
    <t>ORD001307</t>
  </si>
  <si>
    <t>ORD001308</t>
  </si>
  <si>
    <t>ORD001309</t>
  </si>
  <si>
    <t>ORD001310</t>
  </si>
  <si>
    <t>2024-11-16</t>
  </si>
  <si>
    <t>ORD001311</t>
  </si>
  <si>
    <t>ORD001312</t>
  </si>
  <si>
    <t>ORD001313</t>
  </si>
  <si>
    <t>2025-10-25</t>
  </si>
  <si>
    <t>ORD001314</t>
  </si>
  <si>
    <t>ORD001315</t>
  </si>
  <si>
    <t>2026-03-03</t>
  </si>
  <si>
    <t>ORD001316</t>
  </si>
  <si>
    <t>2024-06-01</t>
  </si>
  <si>
    <t>ORD001317</t>
  </si>
  <si>
    <t>ORD001318</t>
  </si>
  <si>
    <t>ORD001319</t>
  </si>
  <si>
    <t>ORD001320</t>
  </si>
  <si>
    <t>2025-10-06</t>
  </si>
  <si>
    <t>ORD001321</t>
  </si>
  <si>
    <t>ORD001322</t>
  </si>
  <si>
    <t>ORD001323</t>
  </si>
  <si>
    <t>2024-10-05</t>
  </si>
  <si>
    <t>ORD001324</t>
  </si>
  <si>
    <t>ORD001325</t>
  </si>
  <si>
    <t>2025-07-07</t>
  </si>
  <si>
    <t>ORD001326</t>
  </si>
  <si>
    <t>ORD001327</t>
  </si>
  <si>
    <t>ORD001328</t>
  </si>
  <si>
    <t>ORD001329</t>
  </si>
  <si>
    <t>ORD001330</t>
  </si>
  <si>
    <t>ORD001331</t>
  </si>
  <si>
    <t>2024-02-13</t>
  </si>
  <si>
    <t>ORD001332</t>
  </si>
  <si>
    <t>ORD001333</t>
  </si>
  <si>
    <t>2025-05-30</t>
  </si>
  <si>
    <t>ORD001334</t>
  </si>
  <si>
    <t>ORD001335</t>
  </si>
  <si>
    <t>2025-10-02</t>
  </si>
  <si>
    <t>ORD001336</t>
  </si>
  <si>
    <t>ORD001337</t>
  </si>
  <si>
    <t>ORD001338</t>
  </si>
  <si>
    <t>ORD001339</t>
  </si>
  <si>
    <t>ORD001340</t>
  </si>
  <si>
    <t>ORD001341</t>
  </si>
  <si>
    <t>2025-09-28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</si>
  <si>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</si>
  <si>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</si>
  <si>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</si>
  <si>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</si>
  <si>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</si>
  <si>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</si>
  <si>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</si>
  <si>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</si>
  <si>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</si>
  <si>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</si>
  <si>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</si>
  <si>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</si>
  <si>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</si>
  <si>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</si>
  <si>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</si>
  <si>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</si>
  <si>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</si>
  <si>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2025-05-17</t>
  </si>
  <si>
    <t>ORD001359</t>
  </si>
  <si>
    <t>ORD001360</t>
  </si>
  <si>
    <t>2024-11-05</t>
  </si>
  <si>
    <t>ORD001361</t>
  </si>
  <si>
    <t>ORD001362</t>
  </si>
  <si>
    <t>ORD001363</t>
  </si>
  <si>
    <t>2024-05-26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</si>
  <si>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</si>
  <si>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</si>
  <si>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</si>
  <si>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</si>
  <si>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</si>
  <si>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</si>
  <si>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</si>
  <si>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</si>
  <si>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</si>
  <si>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2024-06-28</t>
  </si>
  <si>
    <t>ORD001373</t>
  </si>
  <si>
    <t>ORD001374</t>
  </si>
  <si>
    <t>ORD001375</t>
  </si>
  <si>
    <t>ORD001376</t>
  </si>
  <si>
    <t>ORD001377</t>
  </si>
  <si>
    <t>ORD001378</t>
  </si>
  <si>
    <t>ORD001379</t>
  </si>
  <si>
    <t>2025-10-31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</si>
  <si>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</si>
  <si>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</si>
  <si>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</si>
  <si>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</si>
  <si>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</si>
  <si>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</si>
  <si>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</si>
  <si>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</si>
  <si>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</si>
  <si>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2025-11-25</t>
  </si>
  <si>
    <t>ORD001389</t>
  </si>
  <si>
    <t>ORD001390</t>
  </si>
  <si>
    <t>ORD001391</t>
  </si>
  <si>
    <t>ORD001392</t>
  </si>
  <si>
    <t>ORD001393</t>
  </si>
  <si>
    <t>ORD001394</t>
  </si>
  <si>
    <t>2024-09-23</t>
  </si>
  <si>
    <t>ORD001395</t>
  </si>
  <si>
    <t>ORD001396</t>
  </si>
  <si>
    <t>ORD001397</t>
  </si>
  <si>
    <t>ORD001398</t>
  </si>
  <si>
    <t>ORD001399</t>
  </si>
  <si>
    <t>ORD001400</t>
  </si>
  <si>
    <t>2024-04-10</t>
  </si>
  <si>
    <t>ORD001401</t>
  </si>
  <si>
    <t>ORD001402</t>
  </si>
  <si>
    <t>ORD001403</t>
  </si>
  <si>
    <t>ORD001404</t>
  </si>
  <si>
    <t>ORD001405</t>
  </si>
  <si>
    <t>ORD001406</t>
  </si>
  <si>
    <t>2025-10-04</t>
  </si>
  <si>
    <t>ORD001407</t>
  </si>
  <si>
    <t>ORD001408</t>
  </si>
  <si>
    <t>ORD001409</t>
  </si>
  <si>
    <t>ORD001410</t>
  </si>
  <si>
    <t>2025-01-27</t>
  </si>
  <si>
    <t>ORD001411</t>
  </si>
  <si>
    <t>ORD001412</t>
  </si>
  <si>
    <t>ORD001413</t>
  </si>
  <si>
    <t>ORD001414</t>
  </si>
  <si>
    <t>ORD001415</t>
  </si>
  <si>
    <t>2026-03-05</t>
  </si>
  <si>
    <t>ORD001416</t>
  </si>
  <si>
    <t>ORD001417</t>
  </si>
  <si>
    <t>ORD001418</t>
  </si>
  <si>
    <t>ORD001419</t>
  </si>
  <si>
    <t>ORD001420</t>
  </si>
  <si>
    <t>ORD001421</t>
  </si>
  <si>
    <t>2025-07-30</t>
  </si>
  <si>
    <t>ORD001422</t>
  </si>
  <si>
    <t>2026-03-26</t>
  </si>
  <si>
    <t>ORD001423</t>
  </si>
  <si>
    <t>2024-04-16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</si>
  <si>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</si>
  <si>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</si>
  <si>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</si>
  <si>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</si>
  <si>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</si>
  <si>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</si>
  <si>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</si>
  <si>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</si>
  <si>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</si>
  <si>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</si>
  <si>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2024-12-03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</si>
  <si>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</si>
  <si>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</si>
  <si>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</si>
  <si>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</si>
  <si>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</si>
  <si>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</si>
  <si>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</si>
  <si>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2024-11-04</t>
  </si>
  <si>
    <t>ORD001441</t>
  </si>
  <si>
    <t>2024-05-08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</si>
  <si>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</si>
  <si>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</si>
  <si>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</si>
  <si>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</si>
  <si>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</si>
  <si>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</si>
  <si>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</si>
  <si>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</si>
  <si>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</si>
  <si>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</si>
  <si>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</si>
  <si>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</si>
  <si>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</si>
  <si>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Miguel Gil</t>
  </si>
  <si>
    <t>miguel.gil@mail.com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</si>
  <si>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</si>
  <si>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</si>
  <si>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</si>
  <si>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</si>
  <si>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</si>
  <si>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</si>
  <si>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</si>
  <si>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</si>
  <si>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2025-11-14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</si>
  <si>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</si>
  <si>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</si>
  <si>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</si>
  <si>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</si>
  <si>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</si>
  <si>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</si>
  <si>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</si>
  <si>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</si>
  <si>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</si>
  <si>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</si>
  <si>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</si>
  <si>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</si>
  <si>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</si>
  <si>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</si>
  <si>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</si>
  <si>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</si>
  <si>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</si>
  <si>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</si>
  <si>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</si>
  <si>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</si>
  <si>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</si>
  <si>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</si>
  <si>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</si>
  <si>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</si>
  <si>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</si>
  <si>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2024-09-02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</si>
  <si>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</si>
  <si>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</si>
  <si>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</si>
  <si>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</si>
  <si>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</si>
  <si>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</si>
  <si>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</si>
  <si>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</si>
  <si>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</si>
  <si>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</si>
  <si>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2024-04-04</t>
  </si>
  <si>
    <t>ORD001498</t>
  </si>
  <si>
    <t>ORD001499</t>
  </si>
  <si>
    <t>ORD001500</t>
  </si>
  <si>
    <t>ORD001501</t>
  </si>
  <si>
    <t>ORD001502</t>
  </si>
  <si>
    <t>2025-09-19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</si>
  <si>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</si>
  <si>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</si>
  <si>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</si>
  <si>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</si>
  <si>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</si>
  <si>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</si>
  <si>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</si>
  <si>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</si>
  <si>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</si>
  <si>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</si>
  <si>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</si>
  <si>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</si>
  <si>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</si>
  <si>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</si>
  <si>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</si>
  <si>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</si>
  <si>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</si>
  <si>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</si>
  <si>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</si>
  <si>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</si>
  <si>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</si>
  <si>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</si>
  <si>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</si>
  <si>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</si>
  <si>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</si>
  <si>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</si>
  <si>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</si>
  <si>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2024-02-14</t>
  </si>
  <si>
    <t>ORD001530</t>
  </si>
  <si>
    <t>ORD001531</t>
  </si>
  <si>
    <t>ORD001532</t>
  </si>
  <si>
    <t>ORD001533</t>
  </si>
  <si>
    <t>ORD001534</t>
  </si>
  <si>
    <t>ORD001535</t>
  </si>
  <si>
    <t>ORD001536</t>
  </si>
  <si>
    <t>2026-03-28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</si>
  <si>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</si>
  <si>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</si>
  <si>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</si>
  <si>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</si>
  <si>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</si>
  <si>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</si>
  <si>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</si>
  <si>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</si>
  <si>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</si>
  <si>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</si>
  <si>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</si>
  <si>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</si>
  <si>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</si>
  <si>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</si>
  <si>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</si>
  <si>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</si>
  <si>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</si>
  <si>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</si>
  <si>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</si>
  <si>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</si>
  <si>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</si>
  <si>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</si>
  <si>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2025-02-23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</si>
  <si>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</si>
  <si>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</si>
  <si>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</si>
  <si>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</si>
  <si>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</si>
  <si>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</si>
  <si>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</si>
  <si>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</si>
  <si>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</si>
  <si>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2025-12-25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</si>
  <si>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</si>
  <si>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</si>
  <si>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</si>
  <si>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</si>
  <si>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</si>
  <si>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</si>
  <si>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</si>
  <si>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</si>
  <si>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2024-04-19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</si>
  <si>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</si>
  <si>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</si>
  <si>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</si>
  <si>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</si>
  <si>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</si>
  <si>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</si>
  <si>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</si>
  <si>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</si>
  <si>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</si>
  <si>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</si>
  <si>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</si>
  <si>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</si>
  <si>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</si>
  <si>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2025-03-24</t>
  </si>
  <si>
    <t>ORD001589</t>
  </si>
  <si>
    <t>ORD001590</t>
  </si>
  <si>
    <t>ORD001591</t>
  </si>
  <si>
    <t>2024-02-23</t>
  </si>
  <si>
    <t>ORD001592</t>
  </si>
  <si>
    <t>ORD001593</t>
  </si>
  <si>
    <t>ORD001594</t>
  </si>
  <si>
    <t>2025-04-07</t>
  </si>
  <si>
    <t>ORD001595</t>
  </si>
  <si>
    <t>ORD001596</t>
  </si>
  <si>
    <t>ORD001597</t>
  </si>
  <si>
    <t>ORD001598</t>
  </si>
  <si>
    <t>2026-01-21</t>
  </si>
  <si>
    <t>ORD001599</t>
  </si>
  <si>
    <t>ORD001600</t>
  </si>
  <si>
    <t>ORD001601</t>
  </si>
  <si>
    <t>ORD001602</t>
  </si>
  <si>
    <t>ORD001603</t>
  </si>
  <si>
    <t>ORD001604</t>
  </si>
  <si>
    <t>2024-08-09</t>
  </si>
  <si>
    <t>ORD001605</t>
  </si>
  <si>
    <t>ORD001606</t>
  </si>
  <si>
    <t>2024-08-07</t>
  </si>
  <si>
    <t>ORD001607</t>
  </si>
  <si>
    <t>ORD001608</t>
  </si>
  <si>
    <t>ORD001609</t>
  </si>
  <si>
    <t>ORD001610</t>
  </si>
  <si>
    <t>ORD001611</t>
  </si>
  <si>
    <t>ORD001612</t>
  </si>
  <si>
    <t>2024-03-17</t>
  </si>
  <si>
    <t>ORD001613</t>
  </si>
  <si>
    <t>2024-07-09</t>
  </si>
  <si>
    <t>ORD001614</t>
  </si>
  <si>
    <t>2024-08-29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</si>
  <si>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</si>
  <si>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</si>
  <si>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</si>
  <si>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</si>
  <si>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</si>
  <si>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</si>
  <si>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</si>
  <si>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</si>
  <si>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</si>
  <si>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</si>
  <si>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</si>
  <si>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</si>
  <si>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2024-01-01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</si>
  <si>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</si>
  <si>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</si>
  <si>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</si>
  <si>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</si>
  <si>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</si>
  <si>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</si>
  <si>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</si>
  <si>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</si>
  <si>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</si>
  <si>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</si>
  <si>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</si>
  <si>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</si>
  <si>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</si>
  <si>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</si>
  <si>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2024-03-18</t>
  </si>
  <si>
    <t>ORD001641</t>
  </si>
  <si>
    <t>ORD001642</t>
  </si>
  <si>
    <t>ORD001643</t>
  </si>
  <si>
    <t>2024-11-14</t>
  </si>
  <si>
    <t>ORD001644</t>
  </si>
  <si>
    <t>ORD001645</t>
  </si>
  <si>
    <t>ORD001646</t>
  </si>
  <si>
    <t>ORD001647</t>
  </si>
  <si>
    <t>2025-02-14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</si>
  <si>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</si>
  <si>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</si>
  <si>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</si>
  <si>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</si>
  <si>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</si>
  <si>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</si>
  <si>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</si>
  <si>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</si>
  <si>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</si>
  <si>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</si>
  <si>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</si>
  <si>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</si>
  <si>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</si>
  <si>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</si>
  <si>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</si>
  <si>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</si>
  <si>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</si>
  <si>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</si>
  <si>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</si>
  <si>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</si>
  <si>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</si>
  <si>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</si>
  <si>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</si>
  <si>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</si>
  <si>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</si>
  <si>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2025-05-12</t>
  </si>
  <si>
    <t>ORD001673</t>
  </si>
  <si>
    <t>ORD001674</t>
  </si>
  <si>
    <t>ORD001675</t>
  </si>
  <si>
    <t>2024-09-24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</si>
  <si>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</si>
  <si>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</si>
  <si>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</si>
  <si>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</si>
  <si>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</si>
  <si>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</si>
  <si>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</si>
  <si>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</si>
  <si>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</si>
  <si>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</si>
  <si>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</si>
  <si>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</si>
  <si>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</si>
  <si>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</si>
  <si>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</si>
  <si>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</si>
  <si>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2025-09-23</t>
  </si>
  <si>
    <t>ORD001692</t>
  </si>
  <si>
    <t>ORD001693</t>
  </si>
  <si>
    <t>ORD001694</t>
  </si>
  <si>
    <t>ORD001695</t>
  </si>
  <si>
    <t>2025-10-24</t>
  </si>
  <si>
    <t>ORD001696</t>
  </si>
  <si>
    <t>ORD001697</t>
  </si>
  <si>
    <t>2024-03-26</t>
  </si>
  <si>
    <t>ORD001698</t>
  </si>
  <si>
    <t>2024-09-20</t>
  </si>
  <si>
    <t>ORD001699</t>
  </si>
  <si>
    <t>2026-02-10</t>
  </si>
  <si>
    <t>ORD001700</t>
  </si>
  <si>
    <t>ORD001701</t>
  </si>
  <si>
    <t>ORD001702</t>
  </si>
  <si>
    <t>ORD001703</t>
  </si>
  <si>
    <t>2024-07-27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</si>
  <si>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</si>
  <si>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</si>
  <si>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</si>
  <si>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</si>
  <si>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</si>
  <si>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</si>
  <si>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</si>
  <si>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</si>
  <si>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</si>
  <si>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</si>
  <si>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2025-03-05</t>
  </si>
  <si>
    <t>ORD001714</t>
  </si>
  <si>
    <t>ORD001715</t>
  </si>
  <si>
    <t>ORD001716</t>
  </si>
  <si>
    <t>ORD001717</t>
  </si>
  <si>
    <t>ORD001718</t>
  </si>
  <si>
    <t>ORD001719</t>
  </si>
  <si>
    <t>2024-10-09</t>
  </si>
  <si>
    <t>ORD001720</t>
  </si>
  <si>
    <t>ORD001721</t>
  </si>
  <si>
    <t>ORD001722</t>
  </si>
  <si>
    <t>ORD001723</t>
  </si>
  <si>
    <t>2025-06-03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</si>
  <si>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</si>
  <si>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</si>
  <si>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</si>
  <si>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</si>
  <si>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</si>
  <si>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</si>
  <si>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</si>
  <si>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</si>
  <si>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</si>
  <si>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</si>
  <si>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</si>
  <si>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</si>
  <si>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</si>
  <si>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</si>
  <si>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</si>
  <si>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</si>
  <si>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</si>
  <si>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</si>
  <si>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</si>
  <si>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</si>
  <si>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2024-01-23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</si>
  <si>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</si>
  <si>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</si>
  <si>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</si>
  <si>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</si>
  <si>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</si>
  <si>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</si>
  <si>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</si>
  <si>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2024-12-25</t>
  </si>
  <si>
    <t>ORD001751</t>
  </si>
  <si>
    <t>ORD001752</t>
  </si>
  <si>
    <t>2026-01-28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</si>
  <si>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</si>
  <si>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</si>
  <si>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</si>
  <si>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</si>
  <si>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</si>
  <si>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</si>
  <si>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</si>
  <si>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</si>
  <si>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</si>
  <si>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2026-02-02</t>
  </si>
  <si>
    <t>ORD001762</t>
  </si>
  <si>
    <t>ORD001763</t>
  </si>
  <si>
    <t>2024-10-10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</si>
  <si>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</si>
  <si>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</si>
  <si>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</si>
  <si>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</si>
  <si>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</si>
  <si>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</si>
  <si>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</si>
  <si>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</si>
  <si>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</si>
  <si>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</si>
  <si>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2025-03-15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</si>
  <si>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</si>
  <si>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</si>
  <si>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</si>
  <si>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</si>
  <si>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</si>
  <si>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</si>
  <si>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</si>
  <si>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</si>
  <si>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</si>
  <si>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</si>
  <si>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</si>
  <si>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</si>
  <si>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</si>
  <si>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</si>
  <si>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</si>
  <si>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2024-03-31</t>
  </si>
  <si>
    <t>ORD001789</t>
  </si>
  <si>
    <t>ORD001790</t>
  </si>
  <si>
    <t>2025-04-19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</si>
  <si>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</si>
  <si>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</si>
  <si>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</si>
  <si>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</si>
  <si>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</si>
  <si>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</si>
  <si>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</si>
  <si>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</si>
  <si>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</si>
  <si>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</si>
  <si>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</si>
  <si>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2025-09-27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</si>
  <si>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</si>
  <si>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</si>
  <si>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</si>
  <si>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</si>
  <si>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</si>
  <si>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</si>
  <si>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</si>
  <si>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</si>
  <si>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</si>
  <si>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</si>
  <si>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</si>
  <si>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</si>
  <si>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</si>
  <si>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</si>
  <si>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</si>
  <si>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</si>
  <si>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</si>
  <si>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</si>
  <si>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</si>
  <si>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2024-12-14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</si>
  <si>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</si>
  <si>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</si>
  <si>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</si>
  <si>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</si>
  <si>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</si>
  <si>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</si>
  <si>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</si>
  <si>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</si>
  <si>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</si>
  <si>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</si>
  <si>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</si>
  <si>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</si>
  <si>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</si>
  <si>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</si>
  <si>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2026-01-07</t>
  </si>
  <si>
    <t>ORD001835</t>
  </si>
  <si>
    <t>2025-10-20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</si>
  <si>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</si>
  <si>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</si>
  <si>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</si>
  <si>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</si>
  <si>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</si>
  <si>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</si>
  <si>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</si>
  <si>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</si>
  <si>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2025-11-02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</si>
  <si>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</si>
  <si>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</si>
  <si>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</si>
  <si>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</si>
  <si>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</si>
  <si>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</si>
  <si>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</si>
  <si>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</si>
  <si>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</si>
  <si>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</si>
  <si>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</si>
  <si>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</si>
  <si>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</si>
  <si>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</si>
  <si>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</si>
  <si>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</si>
  <si>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</si>
  <si>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</si>
  <si>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</si>
  <si>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</si>
  <si>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</si>
  <si>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2025-10-13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</si>
  <si>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</si>
  <si>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</si>
  <si>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</si>
  <si>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</si>
  <si>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</si>
  <si>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</si>
  <si>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</si>
  <si>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</si>
  <si>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</si>
  <si>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</si>
  <si>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</si>
  <si>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</si>
  <si>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</si>
  <si>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</si>
  <si>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</si>
  <si>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</si>
  <si>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</si>
  <si>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</si>
  <si>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</si>
  <si>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2024-03-13</t>
  </si>
  <si>
    <t>ORD001884</t>
  </si>
  <si>
    <t>ORD001885</t>
  </si>
  <si>
    <t>2024-01-21</t>
  </si>
  <si>
    <t>ORD001886</t>
  </si>
  <si>
    <t>ORD001887</t>
  </si>
  <si>
    <t>ORD001888</t>
  </si>
  <si>
    <t>ORD001889</t>
  </si>
  <si>
    <t>ORD001890</t>
  </si>
  <si>
    <t>ORD001891</t>
  </si>
  <si>
    <t>ORD001892</t>
  </si>
  <si>
    <t>2024-05-30</t>
  </si>
  <si>
    <t>ORD001893</t>
  </si>
  <si>
    <t>ORD001894</t>
  </si>
  <si>
    <t>2025-03-11</t>
  </si>
  <si>
    <t>ORD001895</t>
  </si>
  <si>
    <t>ORD001896</t>
  </si>
  <si>
    <t>ORD001897</t>
  </si>
  <si>
    <t>ORD001898</t>
  </si>
  <si>
    <t>ORD001899</t>
  </si>
  <si>
    <t>2024-03-19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</si>
  <si>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</si>
  <si>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</si>
  <si>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</si>
  <si>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</si>
  <si>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</si>
  <si>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</si>
  <si>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</si>
  <si>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</si>
  <si>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</si>
  <si>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</si>
  <si>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</si>
  <si>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</si>
  <si>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</si>
  <si>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</si>
  <si>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</si>
  <si>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</si>
  <si>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</si>
  <si>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</si>
  <si>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</si>
  <si>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</si>
  <si>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</si>
  <si>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2024-02-21</t>
  </si>
  <si>
    <t>ORD001921</t>
  </si>
  <si>
    <t>ORD001922</t>
  </si>
  <si>
    <t>ORD001923</t>
  </si>
  <si>
    <t>ORD001924</t>
  </si>
  <si>
    <t>ORD001925</t>
  </si>
  <si>
    <t>2024-03-06</t>
  </si>
  <si>
    <t>ORD001926</t>
  </si>
  <si>
    <t>ORD001927</t>
  </si>
  <si>
    <t>2024-12-21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</si>
  <si>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</si>
  <si>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</si>
  <si>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</si>
  <si>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</si>
  <si>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</si>
  <si>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</si>
  <si>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</si>
  <si>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</si>
  <si>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2024-07-03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</si>
  <si>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</si>
  <si>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</si>
  <si>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</si>
  <si>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</si>
  <si>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</si>
  <si>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</si>
  <si>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</si>
  <si>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</si>
  <si>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</si>
  <si>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</si>
  <si>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</si>
  <si>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</si>
  <si>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</si>
  <si>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</si>
  <si>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</si>
  <si>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2025-06-21</t>
  </si>
  <si>
    <t>ORD001951</t>
  </si>
  <si>
    <t>ORD001952</t>
  </si>
  <si>
    <t>ORD001953</t>
  </si>
  <si>
    <t>ORD001954</t>
  </si>
  <si>
    <t>ORD001955</t>
  </si>
  <si>
    <t>ORD001956</t>
  </si>
  <si>
    <t>ORD001957</t>
  </si>
  <si>
    <t>2025-03-14</t>
  </si>
  <si>
    <t>ORD001958</t>
  </si>
  <si>
    <t>ORD001959</t>
  </si>
  <si>
    <t>ORD001960</t>
  </si>
  <si>
    <t>ORD001961</t>
  </si>
  <si>
    <t>2025-08-22</t>
  </si>
  <si>
    <t>ORD001962</t>
  </si>
  <si>
    <t>ORD001963</t>
  </si>
  <si>
    <t>2024-04-12</t>
  </si>
  <si>
    <t>ORD001964</t>
  </si>
  <si>
    <t>2025-01-23</t>
  </si>
  <si>
    <t>ORD001965</t>
  </si>
  <si>
    <t>ORD001966</t>
  </si>
  <si>
    <t>ORD001967</t>
  </si>
  <si>
    <t>2024-03-27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</si>
  <si>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</si>
  <si>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</si>
  <si>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</si>
  <si>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</si>
  <si>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</si>
  <si>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</si>
  <si>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</si>
  <si>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</si>
  <si>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</si>
  <si>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2024-09-29</t>
  </si>
  <si>
    <t>ORD001977</t>
  </si>
  <si>
    <t>ORD001978</t>
  </si>
  <si>
    <t>ORD001979</t>
  </si>
  <si>
    <t>ORD001980</t>
  </si>
  <si>
    <t>2025-11-01</t>
  </si>
  <si>
    <t>ORD001981</t>
  </si>
  <si>
    <t>ORD001982</t>
  </si>
  <si>
    <t>ORD001983</t>
  </si>
  <si>
    <t>ORD001984</t>
  </si>
  <si>
    <t>ORD001985</t>
  </si>
  <si>
    <t>2024-08-12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</si>
  <si>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</si>
  <si>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</si>
  <si>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</si>
  <si>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</si>
  <si>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</si>
  <si>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</si>
  <si>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</si>
  <si>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</si>
  <si>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</si>
  <si>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</si>
  <si>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</si>
  <si>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</si>
  <si>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</si>
  <si>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</si>
  <si>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</si>
  <si>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</si>
  <si>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</si>
  <si>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</si>
  <si>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</si>
  <si>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</si>
  <si>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</si>
  <si>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</si>
  <si>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</si>
  <si>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</si>
  <si>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2026-03-01</t>
  </si>
  <si>
    <t>ORD002010</t>
  </si>
  <si>
    <t>ORD002011</t>
  </si>
  <si>
    <t>2025-12-15</t>
  </si>
  <si>
    <t>ORD002012</t>
  </si>
  <si>
    <t>2025-04-04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</si>
  <si>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</si>
  <si>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</si>
  <si>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</si>
  <si>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</si>
  <si>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</si>
  <si>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</si>
  <si>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</si>
  <si>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</si>
  <si>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</si>
  <si>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2026-02-11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</si>
  <si>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</si>
  <si>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</si>
  <si>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</si>
  <si>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</si>
  <si>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</si>
  <si>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</si>
  <si>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</si>
  <si>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</si>
  <si>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</si>
  <si>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</si>
  <si>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</si>
  <si>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</si>
  <si>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</si>
  <si>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</si>
  <si>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</si>
  <si>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</si>
  <si>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</si>
  <si>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</si>
  <si>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</si>
  <si>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</si>
  <si>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</si>
  <si>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</si>
  <si>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</si>
  <si>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</si>
  <si>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</si>
  <si>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2025-11-26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</si>
  <si>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</si>
  <si>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</si>
  <si>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</si>
  <si>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</si>
  <si>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</si>
  <si>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</si>
  <si>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</si>
  <si>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</si>
  <si>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</si>
  <si>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</si>
  <si>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</si>
  <si>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</si>
  <si>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</si>
  <si>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</si>
  <si>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</si>
  <si>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2026-03-23</t>
  </si>
  <si>
    <t>ORD002062</t>
  </si>
  <si>
    <t>ORD002063</t>
  </si>
  <si>
    <t>2025-04-23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</si>
  <si>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</si>
  <si>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</si>
  <si>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</si>
  <si>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</si>
  <si>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</si>
  <si>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</si>
  <si>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</si>
  <si>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</si>
  <si>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</si>
  <si>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</si>
  <si>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</si>
  <si>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</si>
  <si>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</si>
  <si>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</si>
  <si>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2025-12-12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</si>
  <si>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</si>
  <si>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</si>
  <si>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</si>
  <si>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</si>
  <si>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</si>
  <si>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</si>
  <si>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</si>
  <si>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</si>
  <si>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2025-02-15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</si>
  <si>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</si>
  <si>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</si>
  <si>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</si>
  <si>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</si>
  <si>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</si>
  <si>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</si>
  <si>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</si>
  <si>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</si>
  <si>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2024-11-25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</si>
  <si>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</si>
  <si>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</si>
  <si>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</si>
  <si>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</si>
  <si>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</si>
  <si>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</si>
  <si>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</si>
  <si>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</si>
  <si>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</si>
  <si>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</si>
  <si>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</si>
  <si>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</si>
  <si>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</si>
  <si>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</si>
  <si>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</si>
  <si>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</si>
  <si>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2025-04-01</t>
  </si>
  <si>
    <t>ORD002110</t>
  </si>
  <si>
    <t>ORD002111</t>
  </si>
  <si>
    <t>ORD002112</t>
  </si>
  <si>
    <t>ORD002113</t>
  </si>
  <si>
    <t>ORD002114</t>
  </si>
  <si>
    <t>2025-12-13</t>
  </si>
  <si>
    <t>ORD002115</t>
  </si>
  <si>
    <t>ORD002116</t>
  </si>
  <si>
    <t>ORD002117</t>
  </si>
  <si>
    <t>ORD002118</t>
  </si>
  <si>
    <t>ORD002119</t>
  </si>
  <si>
    <t>ORD002120</t>
  </si>
  <si>
    <t>ORD002121</t>
  </si>
  <si>
    <t>2024-04-20</t>
  </si>
  <si>
    <t>ORD002122</t>
  </si>
  <si>
    <t>ORD002123</t>
  </si>
  <si>
    <t>ORD002124</t>
  </si>
  <si>
    <t>ORD002125</t>
  </si>
  <si>
    <t>ORD002126</t>
  </si>
  <si>
    <t>2025-05-13</t>
  </si>
  <si>
    <t>ORD002127</t>
  </si>
  <si>
    <t>2025-11-18</t>
  </si>
  <si>
    <t>ORD002128</t>
  </si>
  <si>
    <t>ORD002129</t>
  </si>
  <si>
    <t>ORD002130</t>
  </si>
  <si>
    <t>ORD002131</t>
  </si>
  <si>
    <t>ORD002132</t>
  </si>
  <si>
    <t>2024-05-19</t>
  </si>
  <si>
    <t>ORD002133</t>
  </si>
  <si>
    <t>ORD002134</t>
  </si>
  <si>
    <t>ORD002135</t>
  </si>
  <si>
    <t>ORD002136</t>
  </si>
  <si>
    <t>ORD002137</t>
  </si>
  <si>
    <t>ORD002138</t>
  </si>
  <si>
    <t>2025-01-18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</si>
  <si>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</si>
  <si>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</si>
  <si>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</si>
  <si>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</si>
  <si>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</si>
  <si>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</si>
  <si>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</si>
  <si>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</si>
  <si>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</si>
  <si>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</si>
  <si>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</si>
  <si>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</si>
  <si>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</si>
  <si>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</si>
  <si>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</si>
  <si>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</si>
  <si>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</si>
  <si>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2024-04-02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</si>
  <si>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</si>
  <si>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</si>
  <si>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</si>
  <si>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</si>
  <si>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</si>
  <si>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</si>
  <si>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</si>
  <si>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</si>
  <si>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</si>
  <si>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</si>
  <si>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</si>
  <si>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</si>
  <si>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</si>
  <si>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</si>
  <si>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</si>
  <si>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</si>
  <si>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</si>
  <si>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</si>
  <si>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</si>
  <si>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2025-10-29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</si>
  <si>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</si>
  <si>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</si>
  <si>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</si>
  <si>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</si>
  <si>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</si>
  <si>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</si>
  <si>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</si>
  <si>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</si>
  <si>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</si>
  <si>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</si>
  <si>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</si>
  <si>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</si>
  <si>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</si>
  <si>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</si>
  <si>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</si>
  <si>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</si>
  <si>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</si>
  <si>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</si>
  <si>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</si>
  <si>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</si>
  <si>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</si>
  <si>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</si>
  <si>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</si>
  <si>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</si>
  <si>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</si>
  <si>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</si>
  <si>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</si>
  <si>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</si>
  <si>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</si>
  <si>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</si>
  <si>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</si>
  <si>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</si>
  <si>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</si>
  <si>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</si>
  <si>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</si>
  <si>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</si>
  <si>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</si>
  <si>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</si>
  <si>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</si>
  <si>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</si>
  <si>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</si>
  <si>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</si>
  <si>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</si>
  <si>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</si>
  <si>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2024-11-01</t>
  </si>
  <si>
    <t>ORD002219</t>
  </si>
  <si>
    <t>2025-04-09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</si>
  <si>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</si>
  <si>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</si>
  <si>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</si>
  <si>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</si>
  <si>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</si>
  <si>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</si>
  <si>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</si>
  <si>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</si>
  <si>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</si>
  <si>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</si>
  <si>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2025-10-23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</si>
  <si>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</si>
  <si>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</si>
  <si>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</si>
  <si>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</si>
  <si>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</si>
  <si>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</si>
  <si>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</si>
  <si>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</si>
  <si>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</si>
  <si>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</si>
  <si>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</si>
  <si>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</si>
  <si>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</si>
  <si>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2024-05-28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</si>
  <si>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</si>
  <si>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</si>
  <si>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</si>
  <si>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</si>
  <si>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</si>
  <si>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</si>
  <si>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</si>
  <si>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</si>
  <si>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</si>
  <si>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</si>
  <si>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</si>
  <si>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</si>
  <si>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</si>
  <si>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</si>
  <si>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</si>
  <si>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</si>
  <si>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</si>
  <si>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</si>
  <si>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</si>
  <si>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</si>
  <si>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</si>
  <si>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</si>
  <si>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</si>
  <si>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</si>
  <si>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</si>
  <si>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</si>
  <si>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</si>
  <si>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</si>
  <si>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</si>
  <si>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</si>
  <si>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</si>
  <si>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</si>
  <si>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</si>
  <si>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</si>
  <si>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</si>
  <si>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</si>
  <si>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</si>
  <si>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</si>
  <si>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</si>
  <si>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</si>
  <si>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</si>
  <si>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</si>
  <si>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</si>
  <si>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</si>
  <si>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</si>
  <si>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</si>
  <si>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</si>
  <si>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</si>
  <si>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</si>
  <si>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</si>
  <si>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2024-12-24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</si>
  <si>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</si>
  <si>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</si>
  <si>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</si>
  <si>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</si>
  <si>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</si>
  <si>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</si>
  <si>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</si>
  <si>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</si>
  <si>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</si>
  <si>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</si>
  <si>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</si>
  <si>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</si>
  <si>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</si>
  <si>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</si>
  <si>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</si>
  <si>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</si>
  <si>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</si>
  <si>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</si>
  <si>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</si>
  <si>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</si>
  <si>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</si>
  <si>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</si>
  <si>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</si>
  <si>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</si>
  <si>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</si>
  <si>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</si>
  <si>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2025-02-07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</si>
  <si>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</si>
  <si>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</si>
  <si>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</si>
  <si>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</si>
  <si>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</si>
  <si>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</si>
  <si>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</si>
  <si>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</si>
  <si>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</si>
  <si>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</si>
  <si>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</si>
  <si>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</si>
  <si>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</si>
  <si>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</si>
  <si>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</si>
  <si>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</si>
  <si>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</si>
  <si>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</si>
  <si>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</si>
  <si>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</si>
  <si>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</si>
  <si>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</si>
  <si>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2024-11-20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</si>
  <si>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</si>
  <si>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</si>
  <si>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</si>
  <si>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</si>
  <si>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</si>
  <si>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</si>
  <si>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</si>
  <si>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</si>
  <si>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</si>
  <si>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</si>
  <si>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</si>
  <si>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</si>
  <si>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</si>
  <si>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</si>
  <si>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</si>
  <si>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</si>
  <si>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</si>
  <si>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</si>
  <si>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2025-10-09</t>
  </si>
  <si>
    <t>ORD002359</t>
  </si>
  <si>
    <t>ORD002360</t>
  </si>
  <si>
    <t>ORD002361</t>
  </si>
  <si>
    <t>ORD002362</t>
  </si>
  <si>
    <t>ORD002363</t>
  </si>
  <si>
    <t>ORD002364</t>
  </si>
  <si>
    <t>2024-03-01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</si>
  <si>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</si>
  <si>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</si>
  <si>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</si>
  <si>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</si>
  <si>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</si>
  <si>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</si>
  <si>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</si>
  <si>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</si>
  <si>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</si>
  <si>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</si>
  <si>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</si>
  <si>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</si>
  <si>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</si>
  <si>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</si>
  <si>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</si>
  <si>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</si>
  <si>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</si>
  <si>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</si>
  <si>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</si>
  <si>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</si>
  <si>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</si>
  <si>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</si>
  <si>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</si>
  <si>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</si>
  <si>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2026-02-07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</si>
  <si>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</si>
  <si>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</si>
  <si>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</si>
  <si>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</si>
  <si>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</si>
  <si>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</si>
  <si>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</si>
  <si>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</si>
  <si>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</si>
  <si>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</si>
  <si>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</si>
  <si>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</si>
  <si>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</si>
  <si>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</si>
  <si>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</si>
  <si>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</si>
  <si>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</si>
  <si>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</si>
  <si>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</si>
  <si>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</si>
  <si>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</si>
  <si>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</si>
  <si>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</si>
  <si>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</si>
  <si>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2024-03-11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</si>
  <si>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</si>
  <si>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</si>
  <si>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</si>
  <si>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</si>
  <si>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</si>
  <si>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</si>
  <si>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</si>
  <si>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</si>
  <si>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</si>
  <si>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</si>
  <si>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</si>
  <si>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</si>
  <si>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</si>
  <si>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</si>
  <si>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</si>
  <si>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</si>
  <si>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2026-01-16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</si>
  <si>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</si>
  <si>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</si>
  <si>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</si>
  <si>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</si>
  <si>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</si>
  <si>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</si>
  <si>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</si>
  <si>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</si>
  <si>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</si>
  <si>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</si>
  <si>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</si>
  <si>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</si>
  <si>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</si>
  <si>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</si>
  <si>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</si>
  <si>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</si>
  <si>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</si>
  <si>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</si>
  <si>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</si>
  <si>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</si>
  <si>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</si>
  <si>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</si>
  <si>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</si>
  <si>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</si>
  <si>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</si>
  <si>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</si>
  <si>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</si>
  <si>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</si>
  <si>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</si>
  <si>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</si>
  <si>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</si>
  <si>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</si>
  <si>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</si>
  <si>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</si>
  <si>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</si>
  <si>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2025-07-05</t>
  </si>
  <si>
    <t>ORD002464</t>
  </si>
  <si>
    <t>ORD002465</t>
  </si>
  <si>
    <t>ORD002466</t>
  </si>
  <si>
    <t>2024-03-12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</si>
  <si>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</si>
  <si>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</si>
  <si>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</si>
  <si>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</si>
  <si>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</si>
  <si>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</si>
  <si>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</si>
  <si>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</si>
  <si>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</si>
  <si>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</si>
  <si>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</si>
  <si>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</si>
  <si>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</si>
  <si>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</si>
  <si>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</si>
  <si>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</si>
  <si>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</si>
  <si>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</si>
  <si>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2025-03-06</t>
  </si>
  <si>
    <t>ORD002485</t>
  </si>
  <si>
    <t>ORD002486</t>
  </si>
  <si>
    <t>ORD002487</t>
  </si>
  <si>
    <t>ORD002488</t>
  </si>
  <si>
    <t>ORD002489</t>
  </si>
  <si>
    <t>ORD002490</t>
  </si>
  <si>
    <t>ORD002491</t>
  </si>
  <si>
    <t>2026-01-08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</si>
  <si>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</si>
  <si>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</si>
  <si>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</si>
  <si>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</si>
  <si>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</si>
  <si>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</si>
  <si>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</si>
  <si>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</si>
  <si>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</si>
  <si>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Total price</t>
  </si>
  <si>
    <t>Nº total de pedidos</t>
  </si>
  <si>
    <t>Ingresos totales</t>
  </si>
  <si>
    <t>Ticket medio</t>
  </si>
  <si>
    <t>Total general</t>
  </si>
  <si>
    <t>País</t>
  </si>
  <si>
    <t>Ventas</t>
  </si>
  <si>
    <t>Categoría</t>
  </si>
  <si>
    <t>Mes</t>
  </si>
  <si>
    <t>Año</t>
  </si>
  <si>
    <t>mes</t>
  </si>
  <si>
    <t>Pedidos</t>
  </si>
  <si>
    <t>Estado del pedidoetas de fila</t>
  </si>
  <si>
    <t>Fecha</t>
  </si>
  <si>
    <t>Análisis de pedidos 2024-2026</t>
  </si>
  <si>
    <t>Total ventas</t>
  </si>
  <si>
    <t>Evolución total de ventas 2024-26</t>
  </si>
  <si>
    <t>Total pedidos</t>
  </si>
  <si>
    <t>Cantidad media de unidades</t>
  </si>
  <si>
    <t>TotalPrice</t>
  </si>
  <si>
    <t>% Ventas por país</t>
  </si>
  <si>
    <t>% Ventas por categoría</t>
  </si>
  <si>
    <t>% Estado del pedido</t>
  </si>
  <si>
    <t>Ventas por mes</t>
  </si>
  <si>
    <t>Promedio pedidos</t>
  </si>
  <si>
    <t>Nombre de producto</t>
  </si>
  <si>
    <t>Ventas por producto</t>
  </si>
  <si>
    <t>Cantidad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</si>
</sst>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44" fontId="0" fillId="0" borderId="0" xfId="1" applyFont="1" applyAlignment="1">
      <alignment horizont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44" fontId="0" fillId="2" borderId="0" xfId="0" applyNumberFormat="1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0" borderId="0" xfId="0" applyAlignment="1">
      <alignment horizontal="left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NumberFormat="1"/>
    <xf numFmtId="0" fontId="7" fillId="0" borderId="0" xfId="0" applyFont="1"/>
    <xf numFmtId="0" fontId="8" fillId="0" borderId="0" xfId="0" applyFont="1" applyAlignment="1">
      <alignment horizontal="center" vertical="center" readingOrder="1"/>
    </xf>
    <xf numFmtId="0" fontId="5" fillId="0" borderId="0" xfId="0" applyFont="1" applyAlignment="1">
      <alignment vertical="center" wrapText="1"/>
    </xf>
    <xf numFmtId="164" fontId="0" fillId="0" borderId="0" xfId="1" applyNumberFormat="1" applyFont="1"/>
    <xf numFmtId="44" fontId="5" fillId="0" borderId="0" xfId="0" applyNumberFormat="1" applyFont="1" applyAlignment="1">
      <alignment horizontal="center" vertical="center"/>
    </xf>
    <xf numFmtId="44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164" fontId="0" fillId="0" borderId="0" xfId="0" applyNumberFormat="1"/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top"/>
    </xf>
  </cellXfs>
  <cellStyles count="2">
    <cellStyle name="Moneda" xfId="1" builtinId="4"/>
    <cellStyle name="Normal" xfId="0" builtinId="0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34" formatCode="_-* #,##0.00\ &quot;€&quot;_-;\-* #,##0.00\ &quot;€&quot;_-;_-* &quot;-&quot;??\ &quot;€&quot;_-;_-@_-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34" formatCode="_-* #,##0.00\ &quot;€&quot;_-;\-* #,##0.00\ &quot;€&quot;_-;_-* &quot;-&quot;??\ &quot;€&quot;_-;_-@_-"/>
    </dxf>
    <dxf>
      <alignment horizontal="right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34" formatCode="_-* #,##0.00\ &quot;€&quot;_-;\-* #,##0.00\ &quot;€&quot;_-;_-* &quot;-&quot;??\ &quot;€&quot;_-;_-@_-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34" formatCode="_-* #,##0.00\ &quot;€&quot;_-;\-* #,##0.00\ &quot;€&quot;_-;_-* &quot;-&quot;??\ &quot;€&quot;_-;_-@_-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34" formatCode="_-* #,##0.00\ &quot;€&quot;_-;\-* #,##0.00\ &quot;€&quot;_-;_-* &quot;-&quot;??\ &quot;€&quot;_-;_-@_-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34" formatCode="_-* #,##0.00\ &quot;€&quot;_-;\-* #,##0.00\ &quot;€&quot;_-;_-* &quot;-&quot;??\ &quot;€&quot;_-;_-@_-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right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57B0F3"/>
      <color rgb="FFBCD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[datos_ecommerce.xlsx]Análisis !Ventas por pais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%</a:t>
            </a:r>
            <a:r>
              <a:rPr lang="en-US" b="1" baseline="0">
                <a:solidFill>
                  <a:sysClr val="windowText" lastClr="000000"/>
                </a:solidFill>
              </a:rPr>
              <a:t> Ventas por país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5781233595800521"/>
          <c:y val="3.0478715143602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389938757655294"/>
          <c:y val="0.2948942501651044"/>
          <c:w val="0.35331233595800526"/>
          <c:h val="0.54735844817788781"/>
        </c:manualLayout>
      </c:layout>
      <c:pieChart>
        <c:varyColors val="1"/>
        <c:ser>
          <c:idx val="0"/>
          <c:order val="0"/>
          <c:tx>
            <c:strRef>
              <c:f>'Análisis '!$H$6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17-40DA-BAF3-F866B15D90FC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17-40DA-BAF3-F866B15D90FC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17-40DA-BAF3-F866B15D90FC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17-40DA-BAF3-F866B15D90FC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17-40DA-BAF3-F866B15D90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'!$G$7:$G$12</c:f>
              <c:strCache>
                <c:ptCount val="5"/>
                <c:pt idx="0">
                  <c:v>Alemania</c:v>
                </c:pt>
                <c:pt idx="1">
                  <c:v>España</c:v>
                </c:pt>
                <c:pt idx="2">
                  <c:v>Francia</c:v>
                </c:pt>
                <c:pt idx="3">
                  <c:v>Italia</c:v>
                </c:pt>
                <c:pt idx="4">
                  <c:v>Portugal</c:v>
                </c:pt>
              </c:strCache>
            </c:strRef>
          </c:cat>
          <c:val>
            <c:numRef>
              <c:f>'Análisis '!$H$7:$H$12</c:f>
              <c:numCache>
                <c:formatCode>_("€"* #,##0.00_);_("€"* \(#,##0.00\);_("€"* "-"??_);_(@_)</c:formatCode>
                <c:ptCount val="5"/>
                <c:pt idx="0">
                  <c:v>1197110.8200000008</c:v>
                </c:pt>
                <c:pt idx="1">
                  <c:v>1188262.0300000012</c:v>
                </c:pt>
                <c:pt idx="2">
                  <c:v>1180976.4300000002</c:v>
                </c:pt>
                <c:pt idx="3">
                  <c:v>1067194.4400000004</c:v>
                </c:pt>
                <c:pt idx="4">
                  <c:v>1100630.6100000001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B-4E06-8FB3-FB05FB5F784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[datos_ecommerce.xlsx]Análisis !Ventas por categoria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% Ventas por categoría</a:t>
            </a:r>
          </a:p>
        </c:rich>
      </c:tx>
      <c:layout>
        <c:manualLayout>
          <c:xMode val="edge"/>
          <c:yMode val="edge"/>
          <c:x val="0.32798346824288088"/>
          <c:y val="5.7707388821662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'Análisis '!$H$21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7A-4AC7-9A15-32875519AE57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525-49E5-9226-628204D35BA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7A-4AC7-9A15-32875519AE57}"/>
              </c:ext>
            </c:extLst>
          </c:dPt>
          <c:dPt>
            <c:idx val="3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7A-4AC7-9A15-32875519AE57}"/>
              </c:ext>
            </c:extLst>
          </c:dPt>
          <c:dPt>
            <c:idx val="4"/>
            <c:bubble3D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7A-4AC7-9A15-32875519AE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'!$G$22:$G$27</c:f>
              <c:strCache>
                <c:ptCount val="5"/>
                <c:pt idx="0">
                  <c:v>Deporte</c:v>
                </c:pt>
                <c:pt idx="1">
                  <c:v>Electrónica</c:v>
                </c:pt>
                <c:pt idx="2">
                  <c:v>Hogar</c:v>
                </c:pt>
                <c:pt idx="3">
                  <c:v>Libros</c:v>
                </c:pt>
                <c:pt idx="4">
                  <c:v>Moda</c:v>
                </c:pt>
              </c:strCache>
            </c:strRef>
          </c:cat>
          <c:val>
            <c:numRef>
              <c:f>'Análisis '!$H$22:$H$27</c:f>
              <c:numCache>
                <c:formatCode>_("€"* #,##0.00_);_("€"* \(#,##0.00\);_("€"* "-"??_);_(@_)</c:formatCode>
                <c:ptCount val="5"/>
                <c:pt idx="0">
                  <c:v>1059078.7300000014</c:v>
                </c:pt>
                <c:pt idx="1">
                  <c:v>1198872.8200000005</c:v>
                </c:pt>
                <c:pt idx="2">
                  <c:v>1149979.4100000001</c:v>
                </c:pt>
                <c:pt idx="3">
                  <c:v>1150623.6700000004</c:v>
                </c:pt>
                <c:pt idx="4">
                  <c:v>1175619.7000000004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5-49E5-9226-628204D35BA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[datos_ecommerce.xlsx]Análisis !Ventas por mes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200" b="1">
                <a:solidFill>
                  <a:sysClr val="windowText" lastClr="000000"/>
                </a:solidFill>
              </a:rPr>
              <a:t>Ventas</a:t>
            </a:r>
            <a:r>
              <a:rPr lang="es-ES" sz="1200" b="1" baseline="0">
                <a:solidFill>
                  <a:sysClr val="windowText" lastClr="000000"/>
                </a:solidFill>
              </a:rPr>
              <a:t> por mes</a:t>
            </a:r>
            <a:endParaRPr lang="es-E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'Análisis '!$H$32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'Análisis '!$G$33:$G$45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'Análisis '!$H$33:$H$45</c:f>
              <c:numCache>
                <c:formatCode>_("€"* #,##0.00_);_("€"* \(#,##0.00\);_("€"* "-"??_);_(@_)</c:formatCode>
                <c:ptCount val="12"/>
                <c:pt idx="0">
                  <c:v>668705.51</c:v>
                </c:pt>
                <c:pt idx="1">
                  <c:v>611036.54000000015</c:v>
                </c:pt>
                <c:pt idx="2">
                  <c:v>555314.80999999982</c:v>
                </c:pt>
                <c:pt idx="3">
                  <c:v>420755.08000000013</c:v>
                </c:pt>
                <c:pt idx="4">
                  <c:v>422627.94000000024</c:v>
                </c:pt>
                <c:pt idx="5">
                  <c:v>442571.72000000015</c:v>
                </c:pt>
                <c:pt idx="6">
                  <c:v>426873.06000000023</c:v>
                </c:pt>
                <c:pt idx="7">
                  <c:v>419805.47000000003</c:v>
                </c:pt>
                <c:pt idx="8">
                  <c:v>510687.32000000007</c:v>
                </c:pt>
                <c:pt idx="9">
                  <c:v>391921.38999999996</c:v>
                </c:pt>
                <c:pt idx="10">
                  <c:v>432090.72000000015</c:v>
                </c:pt>
                <c:pt idx="11">
                  <c:v>431784.77000000014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E-464B-960B-1D7127443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944064"/>
        <c:axId val="520957024"/>
      </c:lineChart>
      <c:catAx>
        <c:axId val="52094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0957024"/>
        <c:crosses val="autoZero"/>
        <c:auto val="1"/>
        <c:lblAlgn val="ctr"/>
        <c:lblOffset val="100"/>
        <c:noMultiLvlLbl val="0"/>
      </c:catAx>
      <c:valAx>
        <c:axId val="520957024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094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[datos_ecommerce.xlsx]Análisis !Estado del pedido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% Estado</a:t>
            </a:r>
            <a:r>
              <a:rPr lang="en-US" sz="1200" b="1" baseline="0">
                <a:solidFill>
                  <a:sysClr val="windowText" lastClr="000000"/>
                </a:solidFill>
              </a:rPr>
              <a:t> del pedido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846362781239067"/>
          <c:y val="3.7696068200886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'Análisis '!$H$52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16-447E-83E4-4836BA539397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16-447E-83E4-4836BA53939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16-447E-83E4-4836BA539397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16-447E-83E4-4836BA539397}"/>
              </c:ext>
            </c:extLst>
          </c:dPt>
          <c:dPt>
            <c:idx val="4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16-447E-83E4-4836BA5393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'!$G$53:$G$58</c:f>
              <c:strCache>
                <c:ptCount val="5"/>
                <c:pt idx="0">
                  <c:v>Cancelado</c:v>
                </c:pt>
                <c:pt idx="1">
                  <c:v>Devuelto</c:v>
                </c:pt>
                <c:pt idx="2">
                  <c:v>Entregado</c:v>
                </c:pt>
                <c:pt idx="3">
                  <c:v>Enviado</c:v>
                </c:pt>
                <c:pt idx="4">
                  <c:v>Pendiente</c:v>
                </c:pt>
              </c:strCache>
            </c:strRef>
          </c:cat>
          <c:val>
            <c:numRef>
              <c:f>'Análisis '!$H$53:$H$58</c:f>
              <c:numCache>
                <c:formatCode>General</c:formatCode>
                <c:ptCount val="5"/>
                <c:pt idx="0">
                  <c:v>485</c:v>
                </c:pt>
                <c:pt idx="1">
                  <c:v>509</c:v>
                </c:pt>
                <c:pt idx="2">
                  <c:v>505</c:v>
                </c:pt>
                <c:pt idx="3">
                  <c:v>497</c:v>
                </c:pt>
                <c:pt idx="4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B-40D7-82D9-5C943D0EDD0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[datos_ecommerce.xlsx]Análisis !Evolución de ventas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Evolutivo total</a:t>
            </a:r>
            <a:r>
              <a:rPr lang="en-US" baseline="0"/>
              <a:t> de ventas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19050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'Análisis '!$H$66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'Análisis '!$G$67:$G$98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'Análisis '!$H$67:$H$98</c:f>
              <c:numCache>
                <c:formatCode>_("€"* #,##0.00_);_("€"* \(#,##0.00\);_("€"* "-"??_);_(@_)</c:formatCode>
                <c:ptCount val="28"/>
                <c:pt idx="0">
                  <c:v>255123.13000000006</c:v>
                </c:pt>
                <c:pt idx="1">
                  <c:v>233466.57999999996</c:v>
                </c:pt>
                <c:pt idx="2">
                  <c:v>158987.13999999998</c:v>
                </c:pt>
                <c:pt idx="3">
                  <c:v>205501.25999999995</c:v>
                </c:pt>
                <c:pt idx="4">
                  <c:v>185970.97999999992</c:v>
                </c:pt>
                <c:pt idx="5">
                  <c:v>196529.36999999997</c:v>
                </c:pt>
                <c:pt idx="6">
                  <c:v>210983.41</c:v>
                </c:pt>
                <c:pt idx="7">
                  <c:v>218278.66</c:v>
                </c:pt>
                <c:pt idx="8">
                  <c:v>288042.23999999999</c:v>
                </c:pt>
                <c:pt idx="9">
                  <c:v>191273.00999999998</c:v>
                </c:pt>
                <c:pt idx="10">
                  <c:v>190974.57</c:v>
                </c:pt>
                <c:pt idx="11">
                  <c:v>239192.97000000003</c:v>
                </c:pt>
                <c:pt idx="12">
                  <c:v>210369.20999999996</c:v>
                </c:pt>
                <c:pt idx="13">
                  <c:v>198691.41999999995</c:v>
                </c:pt>
                <c:pt idx="14">
                  <c:v>199732.25999999995</c:v>
                </c:pt>
                <c:pt idx="15">
                  <c:v>204623.18999999997</c:v>
                </c:pt>
                <c:pt idx="16">
                  <c:v>236656.96</c:v>
                </c:pt>
                <c:pt idx="17">
                  <c:v>246042.35000000003</c:v>
                </c:pt>
                <c:pt idx="18">
                  <c:v>215889.64999999997</c:v>
                </c:pt>
                <c:pt idx="19">
                  <c:v>201526.80999999997</c:v>
                </c:pt>
                <c:pt idx="20">
                  <c:v>222645.07999999996</c:v>
                </c:pt>
                <c:pt idx="21">
                  <c:v>200648.37999999989</c:v>
                </c:pt>
                <c:pt idx="22">
                  <c:v>241116.15000000005</c:v>
                </c:pt>
                <c:pt idx="23">
                  <c:v>192591.79999999996</c:v>
                </c:pt>
                <c:pt idx="24">
                  <c:v>203213.16999999993</c:v>
                </c:pt>
                <c:pt idx="25">
                  <c:v>178878.54000000004</c:v>
                </c:pt>
                <c:pt idx="26">
                  <c:v>196595.41000000006</c:v>
                </c:pt>
                <c:pt idx="27">
                  <c:v>10630.63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6-4442-A420-A80C7F5C3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43952"/>
        <c:axId val="192442992"/>
      </c:lineChart>
      <c:catAx>
        <c:axId val="19244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442992"/>
        <c:crosses val="autoZero"/>
        <c:auto val="1"/>
        <c:lblAlgn val="ctr"/>
        <c:lblOffset val="100"/>
        <c:noMultiLvlLbl val="0"/>
      </c:catAx>
      <c:valAx>
        <c:axId val="19244299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44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[datos_ecommerce.xlsx]Tablas dinamicas!Ventas por pais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%</a:t>
            </a:r>
            <a:r>
              <a:rPr lang="en-US" b="1" baseline="0">
                <a:solidFill>
                  <a:sysClr val="windowText" lastClr="000000"/>
                </a:solidFill>
              </a:rPr>
              <a:t> Ventas por país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5781233595800521"/>
          <c:y val="3.0478715143602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389938757655294"/>
          <c:y val="0.2948942501651044"/>
          <c:w val="0.35331233595800526"/>
          <c:h val="0.54735844817788781"/>
        </c:manualLayout>
      </c:layout>
      <c:pieChart>
        <c:varyColors val="1"/>
        <c:ser>
          <c:idx val="0"/>
          <c:order val="0"/>
          <c:tx>
            <c:strRef>
              <c:f>'Tablas dinamicas'!$H$6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7C-47EF-B21E-E4559ECE873F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7C-47EF-B21E-E4559ECE873F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7C-47EF-B21E-E4559ECE873F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7C-47EF-B21E-E4559ECE873F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87C-47EF-B21E-E4559ECE87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dinamicas'!$G$7:$G$12</c:f>
              <c:strCache>
                <c:ptCount val="5"/>
                <c:pt idx="0">
                  <c:v>Alemania</c:v>
                </c:pt>
                <c:pt idx="1">
                  <c:v>España</c:v>
                </c:pt>
                <c:pt idx="2">
                  <c:v>Francia</c:v>
                </c:pt>
                <c:pt idx="3">
                  <c:v>Italia</c:v>
                </c:pt>
                <c:pt idx="4">
                  <c:v>Portugal</c:v>
                </c:pt>
              </c:strCache>
            </c:strRef>
          </c:cat>
          <c:val>
            <c:numRef>
              <c:f>'Tablas dinamicas'!$H$7:$H$12</c:f>
              <c:numCache>
                <c:formatCode>_("€"* #,##0.00_);_("€"* \(#,##0.00\);_("€"* "-"??_);_(@_)</c:formatCode>
                <c:ptCount val="5"/>
                <c:pt idx="0">
                  <c:v>1197110.8200000008</c:v>
                </c:pt>
                <c:pt idx="1">
                  <c:v>1188262.0300000012</c:v>
                </c:pt>
                <c:pt idx="2">
                  <c:v>1180976.4300000002</c:v>
                </c:pt>
                <c:pt idx="3">
                  <c:v>1067194.4400000004</c:v>
                </c:pt>
                <c:pt idx="4">
                  <c:v>1100630.6100000001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7C-47EF-B21E-E4559ECE873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[datos_ecommerce.xlsx]Tablas dinamicas!Ventas por categoria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% Ventas por categoría</a:t>
            </a:r>
          </a:p>
        </c:rich>
      </c:tx>
      <c:layout>
        <c:manualLayout>
          <c:xMode val="edge"/>
          <c:yMode val="edge"/>
          <c:x val="0.32798346824288088"/>
          <c:y val="5.7707388821662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dinamicas'!$H$21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93-4E76-8517-F2ADC212F69E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93-4E76-8517-F2ADC212F69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93-4E76-8517-F2ADC212F69E}"/>
              </c:ext>
            </c:extLst>
          </c:dPt>
          <c:dPt>
            <c:idx val="3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93-4E76-8517-F2ADC212F69E}"/>
              </c:ext>
            </c:extLst>
          </c:dPt>
          <c:dPt>
            <c:idx val="4"/>
            <c:bubble3D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93-4E76-8517-F2ADC212F6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dinamicas'!$G$22:$G$27</c:f>
              <c:strCache>
                <c:ptCount val="5"/>
                <c:pt idx="0">
                  <c:v>Deporte</c:v>
                </c:pt>
                <c:pt idx="1">
                  <c:v>Electrónica</c:v>
                </c:pt>
                <c:pt idx="2">
                  <c:v>Hogar</c:v>
                </c:pt>
                <c:pt idx="3">
                  <c:v>Libros</c:v>
                </c:pt>
                <c:pt idx="4">
                  <c:v>Moda</c:v>
                </c:pt>
              </c:strCache>
            </c:strRef>
          </c:cat>
          <c:val>
            <c:numRef>
              <c:f>'Tablas dinamicas'!$H$22:$H$27</c:f>
              <c:numCache>
                <c:formatCode>_("€"* #,##0.00_);_("€"* \(#,##0.00\);_("€"* "-"??_);_(@_)</c:formatCode>
                <c:ptCount val="5"/>
                <c:pt idx="0">
                  <c:v>1059078.7300000014</c:v>
                </c:pt>
                <c:pt idx="1">
                  <c:v>1198872.8200000005</c:v>
                </c:pt>
                <c:pt idx="2">
                  <c:v>1149979.4100000001</c:v>
                </c:pt>
                <c:pt idx="3">
                  <c:v>1150623.6700000004</c:v>
                </c:pt>
                <c:pt idx="4">
                  <c:v>1175619.7000000004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93-4E76-8517-F2ADC212F69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[datos_ecommerce.xlsx]Tablas dinamicas!Ventas por mes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200" b="1">
                <a:solidFill>
                  <a:sysClr val="windowText" lastClr="000000"/>
                </a:solidFill>
              </a:rPr>
              <a:t>Ventas</a:t>
            </a:r>
            <a:r>
              <a:rPr lang="es-ES" sz="1200" b="1" baseline="0">
                <a:solidFill>
                  <a:sysClr val="windowText" lastClr="000000"/>
                </a:solidFill>
              </a:rPr>
              <a:t> por mes</a:t>
            </a:r>
            <a:endParaRPr lang="es-E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dinamicas'!$H$32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dinamicas'!$G$33:$G$45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dinamicas'!$H$33:$H$45</c:f>
              <c:numCache>
                <c:formatCode>_("€"* #,##0.00_);_("€"* \(#,##0.00\);_("€"* "-"??_);_(@_)</c:formatCode>
                <c:ptCount val="12"/>
                <c:pt idx="0">
                  <c:v>668705.51</c:v>
                </c:pt>
                <c:pt idx="1">
                  <c:v>611036.54000000015</c:v>
                </c:pt>
                <c:pt idx="2">
                  <c:v>555314.80999999982</c:v>
                </c:pt>
                <c:pt idx="3">
                  <c:v>420755.08000000013</c:v>
                </c:pt>
                <c:pt idx="4">
                  <c:v>422627.94000000024</c:v>
                </c:pt>
                <c:pt idx="5">
                  <c:v>442571.72000000015</c:v>
                </c:pt>
                <c:pt idx="6">
                  <c:v>426873.06000000023</c:v>
                </c:pt>
                <c:pt idx="7">
                  <c:v>419805.47000000003</c:v>
                </c:pt>
                <c:pt idx="8">
                  <c:v>510687.32000000007</c:v>
                </c:pt>
                <c:pt idx="9">
                  <c:v>391921.38999999996</c:v>
                </c:pt>
                <c:pt idx="10">
                  <c:v>432090.72000000015</c:v>
                </c:pt>
                <c:pt idx="11">
                  <c:v>431784.77000000014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2-4FE9-A816-DDFB5BF60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944064"/>
        <c:axId val="520957024"/>
      </c:lineChart>
      <c:catAx>
        <c:axId val="52094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0957024"/>
        <c:crosses val="autoZero"/>
        <c:auto val="1"/>
        <c:lblAlgn val="ctr"/>
        <c:lblOffset val="100"/>
        <c:noMultiLvlLbl val="0"/>
      </c:catAx>
      <c:valAx>
        <c:axId val="520957024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094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[datos_ecommerce.xlsx]Tablas dinamicas!Estado del pedido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% Estado</a:t>
            </a:r>
            <a:r>
              <a:rPr lang="en-US" sz="1200" b="1" baseline="0">
                <a:solidFill>
                  <a:sysClr val="windowText" lastClr="000000"/>
                </a:solidFill>
              </a:rPr>
              <a:t> del pedido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846362781239067"/>
          <c:y val="3.7696068200886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dinamicas'!$H$52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64-47F8-8B85-5CA1927927CA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64-47F8-8B85-5CA1927927CA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64-47F8-8B85-5CA1927927CA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64-47F8-8B85-5CA1927927CA}"/>
              </c:ext>
            </c:extLst>
          </c:dPt>
          <c:dPt>
            <c:idx val="4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64-47F8-8B85-5CA1927927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dinamicas'!$G$53:$G$58</c:f>
              <c:strCache>
                <c:ptCount val="5"/>
                <c:pt idx="0">
                  <c:v>Cancelado</c:v>
                </c:pt>
                <c:pt idx="1">
                  <c:v>Devuelto</c:v>
                </c:pt>
                <c:pt idx="2">
                  <c:v>Entregado</c:v>
                </c:pt>
                <c:pt idx="3">
                  <c:v>Enviado</c:v>
                </c:pt>
                <c:pt idx="4">
                  <c:v>Pendiente</c:v>
                </c:pt>
              </c:strCache>
            </c:strRef>
          </c:cat>
          <c:val>
            <c:numRef>
              <c:f>'Tablas dinamicas'!$H$53:$H$58</c:f>
              <c:numCache>
                <c:formatCode>General</c:formatCode>
                <c:ptCount val="5"/>
                <c:pt idx="0">
                  <c:v>485</c:v>
                </c:pt>
                <c:pt idx="1">
                  <c:v>509</c:v>
                </c:pt>
                <c:pt idx="2">
                  <c:v>505</c:v>
                </c:pt>
                <c:pt idx="3">
                  <c:v>497</c:v>
                </c:pt>
                <c:pt idx="4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64-47F8-8B85-5CA1927927C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[datos_ecommerce.xlsx]Tablas dinamicas!Evolución de ventas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Evolutivo total</a:t>
            </a:r>
            <a:r>
              <a:rPr lang="en-US" baseline="0"/>
              <a:t> de ventas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9050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dinamicas'!$H$66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'Tablas dinamicas'!$G$67:$G$98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'Tablas dinamicas'!$H$67:$H$98</c:f>
              <c:numCache>
                <c:formatCode>_("€"* #,##0.00_);_("€"* \(#,##0.00\);_("€"* "-"??_);_(@_)</c:formatCode>
                <c:ptCount val="28"/>
                <c:pt idx="0">
                  <c:v>255123.13000000006</c:v>
                </c:pt>
                <c:pt idx="1">
                  <c:v>233466.57999999996</c:v>
                </c:pt>
                <c:pt idx="2">
                  <c:v>158987.13999999998</c:v>
                </c:pt>
                <c:pt idx="3">
                  <c:v>205501.25999999995</c:v>
                </c:pt>
                <c:pt idx="4">
                  <c:v>185970.97999999992</c:v>
                </c:pt>
                <c:pt idx="5">
                  <c:v>196529.36999999997</c:v>
                </c:pt>
                <c:pt idx="6">
                  <c:v>210983.41</c:v>
                </c:pt>
                <c:pt idx="7">
                  <c:v>218278.66</c:v>
                </c:pt>
                <c:pt idx="8">
                  <c:v>288042.23999999999</c:v>
                </c:pt>
                <c:pt idx="9">
                  <c:v>191273.00999999998</c:v>
                </c:pt>
                <c:pt idx="10">
                  <c:v>190974.57</c:v>
                </c:pt>
                <c:pt idx="11">
                  <c:v>239192.97000000003</c:v>
                </c:pt>
                <c:pt idx="12">
                  <c:v>210369.20999999996</c:v>
                </c:pt>
                <c:pt idx="13">
                  <c:v>198691.41999999995</c:v>
                </c:pt>
                <c:pt idx="14">
                  <c:v>199732.25999999995</c:v>
                </c:pt>
                <c:pt idx="15">
                  <c:v>204623.18999999997</c:v>
                </c:pt>
                <c:pt idx="16">
                  <c:v>236656.96</c:v>
                </c:pt>
                <c:pt idx="17">
                  <c:v>246042.35000000003</c:v>
                </c:pt>
                <c:pt idx="18">
                  <c:v>215889.64999999997</c:v>
                </c:pt>
                <c:pt idx="19">
                  <c:v>201526.80999999997</c:v>
                </c:pt>
                <c:pt idx="20">
                  <c:v>222645.07999999996</c:v>
                </c:pt>
                <c:pt idx="21">
                  <c:v>200648.37999999989</c:v>
                </c:pt>
                <c:pt idx="22">
                  <c:v>241116.15000000005</c:v>
                </c:pt>
                <c:pt idx="23">
                  <c:v>192591.79999999996</c:v>
                </c:pt>
                <c:pt idx="24">
                  <c:v>203213.16999999993</c:v>
                </c:pt>
                <c:pt idx="25">
                  <c:v>178878.54000000004</c:v>
                </c:pt>
                <c:pt idx="26">
                  <c:v>196595.41000000006</c:v>
                </c:pt>
                <c:pt idx="27">
                  <c:v>10630.63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C-467D-8C98-56C86F832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43952"/>
        <c:axId val="192442992"/>
      </c:lineChart>
      <c:catAx>
        <c:axId val="19244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442992"/>
        <c:crosses val="autoZero"/>
        <c:auto val="1"/>
        <c:lblAlgn val="ctr"/>
        <c:lblOffset val="100"/>
        <c:noMultiLvlLbl val="0"/>
      </c:catAx>
      <c:valAx>
        <c:axId val="19244299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44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[datos_ecommerce.xlsx]Tablas dinamicas!Ventas por pais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224368464853266"/>
              <c:y val="0.20516891678015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473754379753661"/>
                  <c:h val="0.29064397165287376"/>
                </c:manualLayout>
              </c15:layout>
            </c:ext>
          </c:extLst>
        </c:dLbl>
      </c:pivotFmt>
      <c:pivotFmt>
        <c:idx val="20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962102838307316"/>
                  <c:h val="0.25078289160781936"/>
                </c:manualLayout>
              </c15:layout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649139399829765"/>
                  <c:h val="0.25078289160781936"/>
                </c:manualLayout>
              </c15:layout>
            </c:ext>
          </c:extLst>
        </c:dLbl>
      </c:pivotFmt>
      <c:pivotFmt>
        <c:idx val="22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23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863908218419895"/>
              <c:y val="0.20192370005942398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C6AF5BB-B2BB-4C27-98E8-0B83622D7C9A}" type="CATEGORYNAME">
                  <a:rPr lang="en-US">
                    <a:solidFill>
                      <a:schemeClr val="bg1"/>
                    </a:solidFill>
                  </a:rPr>
                  <a:pPr algn="ctr">
                    <a:defRPr lang="en-US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 baseline="0">
                    <a:solidFill>
                      <a:schemeClr val="bg1"/>
                    </a:solidFill>
                  </a:rPr>
                  <a:t>
</a:t>
                </a:r>
                <a:fld id="{37BDE13C-8B24-49FC-B949-A123E377207F}" type="PERCENTAGE">
                  <a:rPr lang="en-US" baseline="0">
                    <a:solidFill>
                      <a:schemeClr val="bg1"/>
                    </a:solidFill>
                  </a:rPr>
                  <a:pPr algn="ctr">
                    <a:defRPr lang="en-US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 baseline="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255501424737751"/>
                  <c:h val="0.29064397165287376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913033066592166"/>
          <c:y val="0.15983259285471957"/>
          <c:w val="0.72740718454415354"/>
          <c:h val="0.84016760533226142"/>
        </c:manualLayout>
      </c:layout>
      <c:pieChart>
        <c:varyColors val="1"/>
        <c:ser>
          <c:idx val="0"/>
          <c:order val="0"/>
          <c:tx>
            <c:strRef>
              <c:f>'Tablas dinamicas'!$H$6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BF-4709-AD67-13639DF51B5F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BF-4709-AD67-13639DF51B5F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BF-4709-AD67-13639DF51B5F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BF-4709-AD67-13639DF51B5F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BF-4709-AD67-13639DF51B5F}"/>
              </c:ext>
            </c:extLst>
          </c:dPt>
          <c:dLbls>
            <c:dLbl>
              <c:idx val="0"/>
              <c:layout>
                <c:manualLayout>
                  <c:x val="-0.18224368464853266"/>
                  <c:y val="0.20516891678015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73754379753661"/>
                      <c:h val="0.290643971652873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5BF-4709-AD67-13639DF51B5F}"/>
                </c:ext>
              </c:extLst>
            </c:dLbl>
            <c:dLbl>
              <c:idx val="1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62102838307316"/>
                      <c:h val="0.250782891607819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5BF-4709-AD67-13639DF51B5F}"/>
                </c:ext>
              </c:extLst>
            </c:dLbl>
            <c:dLbl>
              <c:idx val="2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49139399829765"/>
                      <c:h val="0.250782891607819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5BF-4709-AD67-13639DF51B5F}"/>
                </c:ext>
              </c:extLst>
            </c:dLbl>
            <c:dLbl>
              <c:idx val="4"/>
              <c:layout>
                <c:manualLayout>
                  <c:x val="0.18863908218419895"/>
                  <c:y val="0.2019237000594239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C6AF5BB-B2BB-4C27-98E8-0B83622D7C9A}" type="CATEGORYNAME">
                      <a:rPr lang="en-US">
                        <a:solidFill>
                          <a:schemeClr val="bg1"/>
                        </a:solidFill>
                      </a:rPr>
                      <a:pPr algn="ctr">
                        <a:defRPr lang="en-US"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[NOMBRE DE CATEGORÍA]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37BDE13C-8B24-49FC-B949-A123E377207F}" type="PERCENTAGE">
                      <a:rPr lang="en-US" baseline="0">
                        <a:solidFill>
                          <a:schemeClr val="bg1"/>
                        </a:solidFill>
                      </a:rPr>
                      <a:pPr algn="ctr">
                        <a:defRPr lang="en-US"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[PORCENTAJE]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255501424737751"/>
                      <c:h val="0.2906439716528737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B5BF-4709-AD67-13639DF51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dinamicas'!$G$7:$G$12</c:f>
              <c:strCache>
                <c:ptCount val="5"/>
                <c:pt idx="0">
                  <c:v>Alemania</c:v>
                </c:pt>
                <c:pt idx="1">
                  <c:v>España</c:v>
                </c:pt>
                <c:pt idx="2">
                  <c:v>Francia</c:v>
                </c:pt>
                <c:pt idx="3">
                  <c:v>Italia</c:v>
                </c:pt>
                <c:pt idx="4">
                  <c:v>Portugal</c:v>
                </c:pt>
              </c:strCache>
            </c:strRef>
          </c:cat>
          <c:val>
            <c:numRef>
              <c:f>'Tablas dinamicas'!$H$7:$H$12</c:f>
              <c:numCache>
                <c:formatCode>_("€"* #,##0.00_);_("€"* \(#,##0.00\);_("€"* "-"??_);_(@_)</c:formatCode>
                <c:ptCount val="5"/>
                <c:pt idx="0">
                  <c:v>1197110.8200000008</c:v>
                </c:pt>
                <c:pt idx="1">
                  <c:v>1188262.0300000012</c:v>
                </c:pt>
                <c:pt idx="2">
                  <c:v>1180976.4300000002</c:v>
                </c:pt>
                <c:pt idx="3">
                  <c:v>1067194.4400000004</c:v>
                </c:pt>
                <c:pt idx="4">
                  <c:v>1100630.6100000001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BF-4709-AD67-13639DF51B5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[datos_ecommerce.xlsx]Análisis !Ventas por mes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095437169147629E-2"/>
          <c:y val="0.14066620869481983"/>
          <c:w val="0.91015463643726346"/>
          <c:h val="0.74518220934111434"/>
        </c:manualLayout>
      </c:layout>
      <c:lineChart>
        <c:grouping val="standard"/>
        <c:varyColors val="0"/>
        <c:ser>
          <c:idx val="0"/>
          <c:order val="0"/>
          <c:tx>
            <c:strRef>
              <c:f>'Análisis '!$H$32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'Análisis '!$G$33:$G$45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'Análisis '!$H$33:$H$45</c:f>
              <c:numCache>
                <c:formatCode>_("€"* #,##0.00_);_("€"* \(#,##0.00\);_("€"* "-"??_);_(@_)</c:formatCode>
                <c:ptCount val="12"/>
                <c:pt idx="0">
                  <c:v>668705.51</c:v>
                </c:pt>
                <c:pt idx="1">
                  <c:v>611036.54000000015</c:v>
                </c:pt>
                <c:pt idx="2">
                  <c:v>555314.80999999982</c:v>
                </c:pt>
                <c:pt idx="3">
                  <c:v>420755.08000000013</c:v>
                </c:pt>
                <c:pt idx="4">
                  <c:v>422627.94000000024</c:v>
                </c:pt>
                <c:pt idx="5">
                  <c:v>442571.72000000015</c:v>
                </c:pt>
                <c:pt idx="6">
                  <c:v>426873.06000000023</c:v>
                </c:pt>
                <c:pt idx="7">
                  <c:v>419805.47000000003</c:v>
                </c:pt>
                <c:pt idx="8">
                  <c:v>510687.32000000007</c:v>
                </c:pt>
                <c:pt idx="9">
                  <c:v>391921.38999999996</c:v>
                </c:pt>
                <c:pt idx="10">
                  <c:v>432090.72000000015</c:v>
                </c:pt>
                <c:pt idx="11">
                  <c:v>431784.77000000014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1-4F70-BD77-A3F2FCD12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944064"/>
        <c:axId val="520957024"/>
      </c:lineChart>
      <c:catAx>
        <c:axId val="52094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0957024"/>
        <c:crosses val="autoZero"/>
        <c:auto val="1"/>
        <c:lblAlgn val="ctr"/>
        <c:lblOffset val="100"/>
        <c:noMultiLvlLbl val="0"/>
      </c:catAx>
      <c:valAx>
        <c:axId val="520957024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094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[datos_ecommerce.xlsx]Tablas dinamicas!Ventas por categoria</c:name>
    <c:fmtId val="8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066153628368533"/>
                  <c:h val="0.25387501758275849"/>
                </c:manualLayout>
              </c15:layout>
            </c:ext>
          </c:extLst>
        </c:dLbl>
      </c:pivotFmt>
      <c:pivotFmt>
        <c:idx val="20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063107075119256"/>
                  <c:h val="0.24898415695821921"/>
                </c:manualLayout>
              </c15:layout>
            </c:ext>
          </c:extLst>
        </c:dLbl>
      </c:pivotFmt>
      <c:pivotFmt>
        <c:idx val="22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dinamicas'!$H$21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6D-4A37-BC66-1993A4B51C62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6D-4A37-BC66-1993A4B51C6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6D-4A37-BC66-1993A4B51C62}"/>
              </c:ext>
            </c:extLst>
          </c:dPt>
          <c:dPt>
            <c:idx val="3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6D-4A37-BC66-1993A4B51C62}"/>
              </c:ext>
            </c:extLst>
          </c:dPt>
          <c:dPt>
            <c:idx val="4"/>
            <c:bubble3D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6D-4A37-BC66-1993A4B51C62}"/>
              </c:ext>
            </c:extLst>
          </c:dPt>
          <c:dLbls>
            <c:dLbl>
              <c:idx val="0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66153628368533"/>
                      <c:h val="0.253875017582758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C6D-4A37-BC66-1993A4B51C62}"/>
                </c:ext>
              </c:extLst>
            </c:dLbl>
            <c:dLbl>
              <c:idx val="2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63107075119256"/>
                      <c:h val="0.248984156958219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C6D-4A37-BC66-1993A4B51C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dinamicas'!$G$22:$G$27</c:f>
              <c:strCache>
                <c:ptCount val="5"/>
                <c:pt idx="0">
                  <c:v>Deporte</c:v>
                </c:pt>
                <c:pt idx="1">
                  <c:v>Electrónica</c:v>
                </c:pt>
                <c:pt idx="2">
                  <c:v>Hogar</c:v>
                </c:pt>
                <c:pt idx="3">
                  <c:v>Libros</c:v>
                </c:pt>
                <c:pt idx="4">
                  <c:v>Moda</c:v>
                </c:pt>
              </c:strCache>
            </c:strRef>
          </c:cat>
          <c:val>
            <c:numRef>
              <c:f>'Tablas dinamicas'!$H$22:$H$27</c:f>
              <c:numCache>
                <c:formatCode>_("€"* #,##0.00_);_("€"* \(#,##0.00\);_("€"* "-"??_);_(@_)</c:formatCode>
                <c:ptCount val="5"/>
                <c:pt idx="0">
                  <c:v>1059078.7300000014</c:v>
                </c:pt>
                <c:pt idx="1">
                  <c:v>1198872.8200000005</c:v>
                </c:pt>
                <c:pt idx="2">
                  <c:v>1149979.4100000001</c:v>
                </c:pt>
                <c:pt idx="3">
                  <c:v>1150623.6700000004</c:v>
                </c:pt>
                <c:pt idx="4">
                  <c:v>1175619.7000000004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6D-4A37-BC66-1993A4B51C6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[datos_ecommerce.xlsx]Tablas dinamicas!Estado del pedido</c:name>
    <c:fmtId val="8"/>
  </c:pivotSource>
  <c:chart>
    <c:autoTitleDeleted val="1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086529751155477"/>
                  <c:h val="0.22337188101958777"/>
                </c:manualLayout>
              </c15:layout>
            </c:ext>
          </c:extLst>
        </c:dLbl>
      </c:pivotFmt>
      <c:pivotFmt>
        <c:idx val="20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989027473460425"/>
                  <c:h val="0.17757213974433544"/>
                </c:manualLayout>
              </c15:layout>
            </c:ext>
          </c:extLst>
        </c:dLbl>
      </c:pivotFmt>
      <c:pivotFmt>
        <c:idx val="22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21917352870965"/>
                  <c:h val="0.22337188101958777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'Tablas dinamicas'!$H$52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7E-48D6-A679-A4372235B4A5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7E-48D6-A679-A4372235B4A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7E-48D6-A679-A4372235B4A5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7E-48D6-A679-A4372235B4A5}"/>
              </c:ext>
            </c:extLst>
          </c:dPt>
          <c:dPt>
            <c:idx val="4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7E-48D6-A679-A4372235B4A5}"/>
              </c:ext>
            </c:extLst>
          </c:dPt>
          <c:dLbls>
            <c:dLbl>
              <c:idx val="0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86529751155477"/>
                      <c:h val="0.223371881019587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57E-48D6-A679-A4372235B4A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989027473460425"/>
                      <c:h val="0.177572139744335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57E-48D6-A679-A4372235B4A5}"/>
                </c:ext>
              </c:extLst>
            </c:dLbl>
            <c:dLbl>
              <c:idx val="4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21917352870965"/>
                      <c:h val="0.223371881019587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57E-48D6-A679-A4372235B4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dinamicas'!$G$53:$G$58</c:f>
              <c:strCache>
                <c:ptCount val="5"/>
                <c:pt idx="0">
                  <c:v>Cancelado</c:v>
                </c:pt>
                <c:pt idx="1">
                  <c:v>Devuelto</c:v>
                </c:pt>
                <c:pt idx="2">
                  <c:v>Entregado</c:v>
                </c:pt>
                <c:pt idx="3">
                  <c:v>Enviado</c:v>
                </c:pt>
                <c:pt idx="4">
                  <c:v>Pendiente</c:v>
                </c:pt>
              </c:strCache>
            </c:strRef>
          </c:cat>
          <c:val>
            <c:numRef>
              <c:f>'Tablas dinamicas'!$H$53:$H$58</c:f>
              <c:numCache>
                <c:formatCode>General</c:formatCode>
                <c:ptCount val="5"/>
                <c:pt idx="0">
                  <c:v>485</c:v>
                </c:pt>
                <c:pt idx="1">
                  <c:v>509</c:v>
                </c:pt>
                <c:pt idx="2">
                  <c:v>505</c:v>
                </c:pt>
                <c:pt idx="3">
                  <c:v>497</c:v>
                </c:pt>
                <c:pt idx="4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7E-48D6-A679-A4372235B4A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[datos_ecommerce.xlsx]Análisis !Evolución de ventas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816684629905865E-2"/>
          <c:y val="0.1371201746607249"/>
          <c:w val="0.92213327347168905"/>
          <c:h val="0.63712227934491006"/>
        </c:manualLayout>
      </c:layout>
      <c:lineChart>
        <c:grouping val="standard"/>
        <c:varyColors val="0"/>
        <c:ser>
          <c:idx val="0"/>
          <c:order val="0"/>
          <c:tx>
            <c:strRef>
              <c:f>'Análisis '!$H$66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'Análisis '!$G$67:$G$98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'Análisis '!$H$67:$H$98</c:f>
              <c:numCache>
                <c:formatCode>_("€"* #,##0.00_);_("€"* \(#,##0.00\);_("€"* "-"??_);_(@_)</c:formatCode>
                <c:ptCount val="28"/>
                <c:pt idx="0">
                  <c:v>255123.13000000006</c:v>
                </c:pt>
                <c:pt idx="1">
                  <c:v>233466.57999999996</c:v>
                </c:pt>
                <c:pt idx="2">
                  <c:v>158987.13999999998</c:v>
                </c:pt>
                <c:pt idx="3">
                  <c:v>205501.25999999995</c:v>
                </c:pt>
                <c:pt idx="4">
                  <c:v>185970.97999999992</c:v>
                </c:pt>
                <c:pt idx="5">
                  <c:v>196529.36999999997</c:v>
                </c:pt>
                <c:pt idx="6">
                  <c:v>210983.41</c:v>
                </c:pt>
                <c:pt idx="7">
                  <c:v>218278.66</c:v>
                </c:pt>
                <c:pt idx="8">
                  <c:v>288042.23999999999</c:v>
                </c:pt>
                <c:pt idx="9">
                  <c:v>191273.00999999998</c:v>
                </c:pt>
                <c:pt idx="10">
                  <c:v>190974.57</c:v>
                </c:pt>
                <c:pt idx="11">
                  <c:v>239192.97000000003</c:v>
                </c:pt>
                <c:pt idx="12">
                  <c:v>210369.20999999996</c:v>
                </c:pt>
                <c:pt idx="13">
                  <c:v>198691.41999999995</c:v>
                </c:pt>
                <c:pt idx="14">
                  <c:v>199732.25999999995</c:v>
                </c:pt>
                <c:pt idx="15">
                  <c:v>204623.18999999997</c:v>
                </c:pt>
                <c:pt idx="16">
                  <c:v>236656.96</c:v>
                </c:pt>
                <c:pt idx="17">
                  <c:v>246042.35000000003</c:v>
                </c:pt>
                <c:pt idx="18">
                  <c:v>215889.64999999997</c:v>
                </c:pt>
                <c:pt idx="19">
                  <c:v>201526.80999999997</c:v>
                </c:pt>
                <c:pt idx="20">
                  <c:v>222645.07999999996</c:v>
                </c:pt>
                <c:pt idx="21">
                  <c:v>200648.37999999989</c:v>
                </c:pt>
                <c:pt idx="22">
                  <c:v>241116.15000000005</c:v>
                </c:pt>
                <c:pt idx="23">
                  <c:v>192591.79999999996</c:v>
                </c:pt>
                <c:pt idx="24">
                  <c:v>203213.16999999993</c:v>
                </c:pt>
                <c:pt idx="25">
                  <c:v>178878.54000000004</c:v>
                </c:pt>
                <c:pt idx="26">
                  <c:v>196595.41000000006</c:v>
                </c:pt>
                <c:pt idx="27">
                  <c:v>10630.63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2-4FA6-AD64-66CA6CDB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43952"/>
        <c:axId val="192442992"/>
      </c:lineChart>
      <c:catAx>
        <c:axId val="19244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442992"/>
        <c:crosses val="autoZero"/>
        <c:auto val="1"/>
        <c:lblAlgn val="ctr"/>
        <c:lblOffset val="100"/>
        <c:noMultiLvlLbl val="0"/>
      </c:catAx>
      <c:valAx>
        <c:axId val="192442992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44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0</xdr:row>
      <xdr:rowOff>0</xdr:rowOff>
    </xdr:from>
    <xdr:to>
      <xdr:col>14</xdr:col>
      <xdr:colOff>561975</xdr:colOff>
      <xdr:row>13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03877A-CF0D-D727-6D98-4AC62F66B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485774</xdr:colOff>
      <xdr:row>15</xdr:row>
      <xdr:rowOff>93661</xdr:rowOff>
    </xdr:from>
    <xdr:to>
      <xdr:col>14</xdr:col>
      <xdr:colOff>542925</xdr:colOff>
      <xdr:row>27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41D6F3-6A5B-7259-C2E4-D498F6B11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542925</xdr:colOff>
      <xdr:row>29</xdr:row>
      <xdr:rowOff>134937</xdr:rowOff>
    </xdr:from>
    <xdr:to>
      <xdr:col>14</xdr:col>
      <xdr:colOff>542925</xdr:colOff>
      <xdr:row>44</xdr:row>
      <xdr:rowOff>163512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ECE0CDC-C2E7-D59A-6783-73B095D52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646112</xdr:colOff>
      <xdr:row>47</xdr:row>
      <xdr:rowOff>141286</xdr:rowOff>
    </xdr:from>
    <xdr:to>
      <xdr:col>14</xdr:col>
      <xdr:colOff>200025</xdr:colOff>
      <xdr:row>62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AAC1E66-9BF5-B456-4894-6A086BE4A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236534</xdr:colOff>
      <xdr:row>63</xdr:row>
      <xdr:rowOff>106362</xdr:rowOff>
    </xdr:from>
    <xdr:to>
      <xdr:col>16</xdr:col>
      <xdr:colOff>761999</xdr:colOff>
      <xdr:row>80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201A178-62D8-1020-AE90-5C859AD99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0</xdr:row>
      <xdr:rowOff>0</xdr:rowOff>
    </xdr:from>
    <xdr:to>
      <xdr:col>14</xdr:col>
      <xdr:colOff>558800</xdr:colOff>
      <xdr:row>13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C8C6C7-8E74-4AA1-8FED-CDBBD19B3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485774</xdr:colOff>
      <xdr:row>15</xdr:row>
      <xdr:rowOff>93661</xdr:rowOff>
    </xdr:from>
    <xdr:to>
      <xdr:col>14</xdr:col>
      <xdr:colOff>542925</xdr:colOff>
      <xdr:row>27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F7D2F5-EB0C-414E-BF62-E4E6BC885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542925</xdr:colOff>
      <xdr:row>29</xdr:row>
      <xdr:rowOff>134937</xdr:rowOff>
    </xdr:from>
    <xdr:to>
      <xdr:col>14</xdr:col>
      <xdr:colOff>542925</xdr:colOff>
      <xdr:row>44</xdr:row>
      <xdr:rowOff>163512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456DCE4-5FE6-4BFC-9C4B-A99855EED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646112</xdr:colOff>
      <xdr:row>47</xdr:row>
      <xdr:rowOff>141286</xdr:rowOff>
    </xdr:from>
    <xdr:to>
      <xdr:col>14</xdr:col>
      <xdr:colOff>200025</xdr:colOff>
      <xdr:row>62</xdr:row>
      <xdr:rowOff>47624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17202A8-57A8-44F4-BBC5-3222FC573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236534</xdr:colOff>
      <xdr:row>63</xdr:row>
      <xdr:rowOff>106362</xdr:rowOff>
    </xdr:from>
    <xdr:to>
      <xdr:col>16</xdr:col>
      <xdr:colOff>761999</xdr:colOff>
      <xdr:row>80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E0B9DD4-F875-4AA7-92B4-6DC3DC435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301625</xdr:colOff>
      <xdr:row>3</xdr:row>
      <xdr:rowOff>15875</xdr:rowOff>
    </xdr:from>
    <xdr:to>
      <xdr:col>4</xdr:col>
      <xdr:colOff>142875</xdr:colOff>
      <xdr:row>13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ountry">
              <a:extLst>
                <a:ext uri="{FF2B5EF4-FFF2-40B4-BE49-F238E27FC236}">
                  <a16:creationId xmlns:a16="http://schemas.microsoft.com/office/drawing/2014/main" id="{F28C9FB5-4865-0CF7-72D6-04EC505F7D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9775" y="568325"/>
              <a:ext cx="1393825" cy="1863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228600</xdr:colOff>
      <xdr:row>17</xdr:row>
      <xdr:rowOff>66676</xdr:rowOff>
    </xdr:from>
    <xdr:to>
      <xdr:col>4</xdr:col>
      <xdr:colOff>85725</xdr:colOff>
      <xdr:row>26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ía">
              <a:extLst>
                <a:ext uri="{FF2B5EF4-FFF2-40B4-BE49-F238E27FC236}">
                  <a16:creationId xmlns:a16="http://schemas.microsoft.com/office/drawing/2014/main" id="{B8FDC2A9-B79D-C342-46BB-4ADA1ED230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6750" y="3197226"/>
              <a:ext cx="1409700" cy="1743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1266825</xdr:colOff>
      <xdr:row>31</xdr:row>
      <xdr:rowOff>19050</xdr:rowOff>
    </xdr:from>
    <xdr:to>
      <xdr:col>2</xdr:col>
      <xdr:colOff>437572</xdr:colOff>
      <xdr:row>41</xdr:row>
      <xdr:rowOff>158750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es">
              <a:extLst>
                <a:ext uri="{FF2B5EF4-FFF2-40B4-BE49-F238E27FC236}">
                  <a16:creationId xmlns:a16="http://schemas.microsoft.com/office/drawing/2014/main" id="{1D1B81BB-9A1A-67F3-D935-17298F3D2A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8825" y="5727700"/>
              <a:ext cx="1603375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19050</xdr:colOff>
      <xdr:row>31</xdr:row>
      <xdr:rowOff>123825</xdr:rowOff>
    </xdr:from>
    <xdr:to>
      <xdr:col>4</xdr:col>
      <xdr:colOff>1152524</xdr:colOff>
      <xdr:row>38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ño">
              <a:extLst>
                <a:ext uri="{FF2B5EF4-FFF2-40B4-BE49-F238E27FC236}">
                  <a16:creationId xmlns:a16="http://schemas.microsoft.com/office/drawing/2014/main" id="{FF0D381A-C61D-E666-E40B-D348AA7935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9200" y="5832475"/>
              <a:ext cx="1133475" cy="125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285750</xdr:colOff>
      <xdr:row>49</xdr:row>
      <xdr:rowOff>53975</xdr:rowOff>
    </xdr:from>
    <xdr:to>
      <xdr:col>4</xdr:col>
      <xdr:colOff>9525</xdr:colOff>
      <xdr:row>59</xdr:row>
      <xdr:rowOff>44450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Estado del pedido">
              <a:extLst>
                <a:ext uri="{FF2B5EF4-FFF2-40B4-BE49-F238E27FC236}">
                  <a16:creationId xmlns:a16="http://schemas.microsoft.com/office/drawing/2014/main" id="{2A6E0439-CA50-E4EF-CAB5-BE69D9C2FA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del pedi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3900" y="9077325"/>
              <a:ext cx="1276350" cy="1831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652607</xdr:colOff>
      <xdr:row>83</xdr:row>
      <xdr:rowOff>72736</xdr:rowOff>
    </xdr:from>
    <xdr:to>
      <xdr:col>4</xdr:col>
      <xdr:colOff>182995</xdr:colOff>
      <xdr:row>97</xdr:row>
      <xdr:rowOff>172316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es 2">
              <a:extLst>
                <a:ext uri="{FF2B5EF4-FFF2-40B4-BE49-F238E27FC236}">
                  <a16:creationId xmlns:a16="http://schemas.microsoft.com/office/drawing/2014/main" id="{F5C365EA-3E7D-9961-FBB6-627BCC5AB3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3850" y="14443652"/>
              <a:ext cx="1819275" cy="252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736023</xdr:colOff>
      <xdr:row>65</xdr:row>
      <xdr:rowOff>72737</xdr:rowOff>
    </xdr:from>
    <xdr:to>
      <xdr:col>4</xdr:col>
      <xdr:colOff>269586</xdr:colOff>
      <xdr:row>80</xdr:row>
      <xdr:rowOff>11835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Año 2">
              <a:extLst>
                <a:ext uri="{FF2B5EF4-FFF2-40B4-BE49-F238E27FC236}">
                  <a16:creationId xmlns:a16="http://schemas.microsoft.com/office/drawing/2014/main" id="{BEFF705B-3E84-303B-B3BD-6084B35B3B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0916" y="11326380"/>
              <a:ext cx="1835150" cy="253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1559762</xdr:colOff>
      <xdr:row>73</xdr:row>
      <xdr:rowOff>15673</xdr:rowOff>
    </xdr:from>
    <xdr:to>
      <xdr:col>8</xdr:col>
      <xdr:colOff>530727</xdr:colOff>
      <xdr:row>82</xdr:row>
      <xdr:rowOff>189498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DC2469-E713-4F42-AE7B-51DACC91E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502770</xdr:colOff>
      <xdr:row>3</xdr:row>
      <xdr:rowOff>139701</xdr:rowOff>
    </xdr:from>
    <xdr:to>
      <xdr:col>5</xdr:col>
      <xdr:colOff>95250</xdr:colOff>
      <xdr:row>5</xdr:row>
      <xdr:rowOff>45945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02451F4-A352-FE85-AF01-9142C0C1BE2D}"/>
            </a:ext>
          </a:extLst>
        </xdr:cNvPr>
        <xdr:cNvSpPr/>
      </xdr:nvSpPr>
      <xdr:spPr>
        <a:xfrm>
          <a:off x="2026770" y="1187451"/>
          <a:ext cx="2926230" cy="382494"/>
        </a:xfrm>
        <a:prstGeom prst="round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400"/>
        </a:p>
      </xdr:txBody>
    </xdr:sp>
    <xdr:clientData/>
  </xdr:twoCellAnchor>
  <xdr:twoCellAnchor>
    <xdr:from>
      <xdr:col>9</xdr:col>
      <xdr:colOff>42333</xdr:colOff>
      <xdr:row>3</xdr:row>
      <xdr:rowOff>119718</xdr:rowOff>
    </xdr:from>
    <xdr:to>
      <xdr:col>9</xdr:col>
      <xdr:colOff>1333501</xdr:colOff>
      <xdr:row>6</xdr:row>
      <xdr:rowOff>102721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53B01619-3FDF-4E71-86A3-68E1DBD19756}"/>
            </a:ext>
          </a:extLst>
        </xdr:cNvPr>
        <xdr:cNvSpPr/>
      </xdr:nvSpPr>
      <xdr:spPr>
        <a:xfrm>
          <a:off x="11631083" y="1908301"/>
          <a:ext cx="1291168" cy="639170"/>
        </a:xfrm>
        <a:prstGeom prst="round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615951</xdr:colOff>
      <xdr:row>10</xdr:row>
      <xdr:rowOff>55033</xdr:rowOff>
    </xdr:from>
    <xdr:to>
      <xdr:col>20</xdr:col>
      <xdr:colOff>381000</xdr:colOff>
      <xdr:row>28</xdr:row>
      <xdr:rowOff>114300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6368F8A3-81DE-4C53-A55D-8701A32216BB}"/>
            </a:ext>
          </a:extLst>
        </xdr:cNvPr>
        <xdr:cNvSpPr/>
      </xdr:nvSpPr>
      <xdr:spPr>
        <a:xfrm>
          <a:off x="5473701" y="2452158"/>
          <a:ext cx="16894174" cy="3456517"/>
        </a:xfrm>
        <a:prstGeom prst="round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745066</xdr:colOff>
      <xdr:row>11</xdr:row>
      <xdr:rowOff>416719</xdr:rowOff>
    </xdr:from>
    <xdr:to>
      <xdr:col>20</xdr:col>
      <xdr:colOff>142875</xdr:colOff>
      <xdr:row>26</xdr:row>
      <xdr:rowOff>82550</xdr:rowOff>
    </xdr:to>
    <xdr:graphicFrame macro="">
      <xdr:nvGraphicFramePr>
        <xdr:cNvPr id="5" name="Evolución total de ventas 2024-26">
          <a:extLst>
            <a:ext uri="{FF2B5EF4-FFF2-40B4-BE49-F238E27FC236}">
              <a16:creationId xmlns:a16="http://schemas.microsoft.com/office/drawing/2014/main" id="{C5ED9196-9428-4CD9-9E7C-BF5F93661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1653873</xdr:colOff>
      <xdr:row>3</xdr:row>
      <xdr:rowOff>140561</xdr:rowOff>
    </xdr:from>
    <xdr:to>
      <xdr:col>6</xdr:col>
      <xdr:colOff>1356446</xdr:colOff>
      <xdr:row>6</xdr:row>
      <xdr:rowOff>145416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F986A76D-F1FE-428D-AABA-951928FB7C9E}"/>
            </a:ext>
          </a:extLst>
        </xdr:cNvPr>
        <xdr:cNvSpPr/>
      </xdr:nvSpPr>
      <xdr:spPr>
        <a:xfrm>
          <a:off x="6525230" y="1201918"/>
          <a:ext cx="1389859" cy="657998"/>
        </a:xfrm>
        <a:prstGeom prst="round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657226</xdr:colOff>
      <xdr:row>71</xdr:row>
      <xdr:rowOff>63500</xdr:rowOff>
    </xdr:from>
    <xdr:to>
      <xdr:col>8</xdr:col>
      <xdr:colOff>804334</xdr:colOff>
      <xdr:row>83</xdr:row>
      <xdr:rowOff>148166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5CD58D72-A370-4815-9D82-3E505D3A2A05}"/>
            </a:ext>
          </a:extLst>
        </xdr:cNvPr>
        <xdr:cNvSpPr/>
      </xdr:nvSpPr>
      <xdr:spPr>
        <a:xfrm>
          <a:off x="3705226" y="10953750"/>
          <a:ext cx="3957108" cy="2296583"/>
        </a:xfrm>
        <a:prstGeom prst="round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5</xdr:col>
      <xdr:colOff>719666</xdr:colOff>
      <xdr:row>73</xdr:row>
      <xdr:rowOff>113241</xdr:rowOff>
    </xdr:from>
    <xdr:to>
      <xdr:col>6</xdr:col>
      <xdr:colOff>584048</xdr:colOff>
      <xdr:row>81</xdr:row>
      <xdr:rowOff>10023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ountry 1">
              <a:extLst>
                <a:ext uri="{FF2B5EF4-FFF2-40B4-BE49-F238E27FC236}">
                  <a16:creationId xmlns:a16="http://schemas.microsoft.com/office/drawing/2014/main" id="{9C5E940C-7799-4B7E-9B00-EF69555B14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4241" y="15010341"/>
              <a:ext cx="1559832" cy="14176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172508</xdr:colOff>
      <xdr:row>71</xdr:row>
      <xdr:rowOff>63500</xdr:rowOff>
    </xdr:from>
    <xdr:to>
      <xdr:col>14</xdr:col>
      <xdr:colOff>753532</xdr:colOff>
      <xdr:row>84</xdr:row>
      <xdr:rowOff>23812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8BA8F08E-3A0C-490F-8A30-6D566D011C1B}"/>
            </a:ext>
          </a:extLst>
        </xdr:cNvPr>
        <xdr:cNvSpPr/>
      </xdr:nvSpPr>
      <xdr:spPr>
        <a:xfrm>
          <a:off x="9935633" y="11120438"/>
          <a:ext cx="4208462" cy="2389187"/>
        </a:xfrm>
        <a:prstGeom prst="round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1158875</xdr:colOff>
      <xdr:row>73</xdr:row>
      <xdr:rowOff>26989</xdr:rowOff>
    </xdr:from>
    <xdr:to>
      <xdr:col>14</xdr:col>
      <xdr:colOff>476250</xdr:colOff>
      <xdr:row>83</xdr:row>
      <xdr:rowOff>111126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7A77025-7E19-4BAC-85D6-D2546D56B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331258</xdr:colOff>
      <xdr:row>73</xdr:row>
      <xdr:rowOff>76200</xdr:rowOff>
    </xdr:from>
    <xdr:to>
      <xdr:col>11</xdr:col>
      <xdr:colOff>1092201</xdr:colOff>
      <xdr:row>82</xdr:row>
      <xdr:rowOff>161395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Categoría 1">
              <a:extLst>
                <a:ext uri="{FF2B5EF4-FFF2-40B4-BE49-F238E27FC236}">
                  <a16:creationId xmlns:a16="http://schemas.microsoft.com/office/drawing/2014/main" id="{BBC307B0-ED0C-4787-BE67-9D68273B0B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1283" y="14973300"/>
              <a:ext cx="1522943" cy="1802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16</xdr:col>
      <xdr:colOff>32884</xdr:colOff>
      <xdr:row>71</xdr:row>
      <xdr:rowOff>42333</xdr:rowOff>
    </xdr:from>
    <xdr:to>
      <xdr:col>21</xdr:col>
      <xdr:colOff>261938</xdr:colOff>
      <xdr:row>84</xdr:row>
      <xdr:rowOff>95250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305621DF-642D-4E6D-ABCC-3B7437819218}"/>
            </a:ext>
          </a:extLst>
        </xdr:cNvPr>
        <xdr:cNvSpPr/>
      </xdr:nvSpPr>
      <xdr:spPr>
        <a:xfrm>
          <a:off x="16754551" y="11980333"/>
          <a:ext cx="4039054" cy="2571750"/>
        </a:xfrm>
        <a:prstGeom prst="round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36514</xdr:colOff>
      <xdr:row>73</xdr:row>
      <xdr:rowOff>4158</xdr:rowOff>
    </xdr:from>
    <xdr:to>
      <xdr:col>21</xdr:col>
      <xdr:colOff>42333</xdr:colOff>
      <xdr:row>83</xdr:row>
      <xdr:rowOff>169334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04D5CFC-B388-4030-9A4E-B02230ABA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257175</xdr:colOff>
      <xdr:row>73</xdr:row>
      <xdr:rowOff>23812</xdr:rowOff>
    </xdr:from>
    <xdr:to>
      <xdr:col>17</xdr:col>
      <xdr:colOff>504825</xdr:colOff>
      <xdr:row>83</xdr:row>
      <xdr:rowOff>30162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Estado del pedido 1">
              <a:extLst>
                <a:ext uri="{FF2B5EF4-FFF2-40B4-BE49-F238E27FC236}">
                  <a16:creationId xmlns:a16="http://schemas.microsoft.com/office/drawing/2014/main" id="{DC2DCBA8-B326-42CA-9381-2573DD91CC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del pedid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13700" y="14924087"/>
              <a:ext cx="100965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751417</xdr:colOff>
      <xdr:row>14</xdr:row>
      <xdr:rowOff>0</xdr:rowOff>
    </xdr:from>
    <xdr:to>
      <xdr:col>6</xdr:col>
      <xdr:colOff>542925</xdr:colOff>
      <xdr:row>22</xdr:row>
      <xdr:rowOff>102660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Mes 1">
              <a:extLst>
                <a:ext uri="{FF2B5EF4-FFF2-40B4-BE49-F238E27FC236}">
                  <a16:creationId xmlns:a16="http://schemas.microsoft.com/office/drawing/2014/main" id="{B480C2B1-B05D-4B8C-8F79-15FCE93391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2342" y="3543300"/>
              <a:ext cx="1480608" cy="16298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609599</xdr:colOff>
      <xdr:row>14</xdr:row>
      <xdr:rowOff>25400</xdr:rowOff>
    </xdr:from>
    <xdr:to>
      <xdr:col>7</xdr:col>
      <xdr:colOff>407723</xdr:colOff>
      <xdr:row>21</xdr:row>
      <xdr:rowOff>83344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Año 1">
              <a:extLst>
                <a:ext uri="{FF2B5EF4-FFF2-40B4-BE49-F238E27FC236}">
                  <a16:creationId xmlns:a16="http://schemas.microsoft.com/office/drawing/2014/main" id="{3CBA402F-B341-4BA2-BE05-5B93543083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62799" y="3571875"/>
              <a:ext cx="1172899" cy="13914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644525</xdr:colOff>
      <xdr:row>30</xdr:row>
      <xdr:rowOff>26987</xdr:rowOff>
    </xdr:from>
    <xdr:to>
      <xdr:col>20</xdr:col>
      <xdr:colOff>557893</xdr:colOff>
      <xdr:row>50</xdr:row>
      <xdr:rowOff>95249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7AC42DDD-3A64-4011-A1A7-A37D3F1B5AAE}"/>
            </a:ext>
          </a:extLst>
        </xdr:cNvPr>
        <xdr:cNvSpPr/>
      </xdr:nvSpPr>
      <xdr:spPr>
        <a:xfrm>
          <a:off x="5515882" y="6245451"/>
          <a:ext cx="17031154" cy="3674155"/>
        </a:xfrm>
        <a:prstGeom prst="round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57944</xdr:colOff>
      <xdr:row>32</xdr:row>
      <xdr:rowOff>130286</xdr:rowOff>
    </xdr:from>
    <xdr:to>
      <xdr:col>20</xdr:col>
      <xdr:colOff>388408</xdr:colOff>
      <xdr:row>48</xdr:row>
      <xdr:rowOff>118127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F642462-5E92-411D-80A4-7AEF19A60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373062</xdr:colOff>
      <xdr:row>34</xdr:row>
      <xdr:rowOff>18256</xdr:rowOff>
    </xdr:from>
    <xdr:to>
      <xdr:col>7</xdr:col>
      <xdr:colOff>30955</xdr:colOff>
      <xdr:row>43</xdr:row>
      <xdr:rowOff>95251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Año 3">
              <a:extLst>
                <a:ext uri="{FF2B5EF4-FFF2-40B4-BE49-F238E27FC236}">
                  <a16:creationId xmlns:a16="http://schemas.microsoft.com/office/drawing/2014/main" id="{6895FC9E-7140-4EA3-A94B-027B912997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3087" y="7428706"/>
              <a:ext cx="1029493" cy="17914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762000</xdr:colOff>
      <xdr:row>33</xdr:row>
      <xdr:rowOff>120651</xdr:rowOff>
    </xdr:from>
    <xdr:to>
      <xdr:col>6</xdr:col>
      <xdr:colOff>301625</xdr:colOff>
      <xdr:row>45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Mes 3">
              <a:extLst>
                <a:ext uri="{FF2B5EF4-FFF2-40B4-BE49-F238E27FC236}">
                  <a16:creationId xmlns:a16="http://schemas.microsoft.com/office/drawing/2014/main" id="{9D57D75F-410F-4212-9EE4-249F7250D5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0" y="7343776"/>
              <a:ext cx="1235075" cy="216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800100</xdr:colOff>
      <xdr:row>3</xdr:row>
      <xdr:rowOff>161924</xdr:rowOff>
    </xdr:from>
    <xdr:to>
      <xdr:col>16</xdr:col>
      <xdr:colOff>666749</xdr:colOff>
      <xdr:row>6</xdr:row>
      <xdr:rowOff>88732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6A46FE7-7C07-4742-9D5B-D326FACC4959}"/>
            </a:ext>
          </a:extLst>
        </xdr:cNvPr>
        <xdr:cNvSpPr/>
      </xdr:nvSpPr>
      <xdr:spPr>
        <a:xfrm>
          <a:off x="18973800" y="1247774"/>
          <a:ext cx="2781299" cy="612608"/>
        </a:xfrm>
        <a:prstGeom prst="round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971550</xdr:colOff>
      <xdr:row>3</xdr:row>
      <xdr:rowOff>136258</xdr:rowOff>
    </xdr:from>
    <xdr:to>
      <xdr:col>13</xdr:col>
      <xdr:colOff>465366</xdr:colOff>
      <xdr:row>6</xdr:row>
      <xdr:rowOff>86586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AE562DB-7634-47DD-9C55-5BB7CF41B630}"/>
            </a:ext>
          </a:extLst>
        </xdr:cNvPr>
        <xdr:cNvSpPr/>
      </xdr:nvSpPr>
      <xdr:spPr>
        <a:xfrm>
          <a:off x="15259050" y="1222108"/>
          <a:ext cx="1951266" cy="636128"/>
        </a:xfrm>
        <a:prstGeom prst="round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barrilero" refreshedDate="46131.47998113426" createdVersion="8" refreshedVersion="8" minRefreshableVersion="3" recordCount="2500" xr:uid="{79399394-325C-429A-873E-39AE85E74F15}">
  <cacheSource type="worksheet">
    <worksheetSource name="Tabla2"/>
  </cacheSource>
  <cacheFields count="14">
    <cacheField name="OrderID" numFmtId="0">
      <sharedItems/>
    </cacheField>
    <cacheField name="CustomerName" numFmtId="0">
      <sharedItems/>
    </cacheField>
    <cacheField name="Email" numFmtId="0">
      <sharedItems/>
    </cacheField>
    <cacheField name="Country" numFmtId="0">
      <sharedItems count="5">
        <s v="España"/>
        <s v="Alemania"/>
        <s v="Portugal"/>
        <s v="Italia"/>
        <s v="Francia"/>
      </sharedItems>
    </cacheField>
    <cacheField name="City" numFmtId="0">
      <sharedItems/>
    </cacheField>
    <cacheField name="ProductCategory" numFmtId="0">
      <sharedItems count="5">
        <s v="Electrónica"/>
        <s v="Hogar"/>
        <s v="Moda"/>
        <s v="Deporte"/>
        <s v="Libros"/>
      </sharedItems>
    </cacheField>
    <cacheField name="ProductName" numFmtId="0">
      <sharedItems count="24">
        <s v="Cámara"/>
        <s v="Aspiradora"/>
        <s v="Cafetera"/>
        <s v="Chaqueta"/>
        <s v="Bicicleta"/>
        <s v="Balón"/>
        <s v="Mesa"/>
        <s v="Esterilla"/>
        <s v="Silla"/>
        <s v="Pantalón"/>
        <s v="Vestido"/>
        <s v="Ensayo"/>
        <s v="Lámpara"/>
        <s v="Portátil"/>
        <s v="Biografía"/>
        <s v="Zapatillas"/>
        <s v="Auriculares"/>
        <s v="Smartphone"/>
        <s v="Mochila"/>
        <s v="Camiseta"/>
        <s v="Tablet"/>
        <s v="Novela"/>
        <s v="Cómic"/>
        <s v="Infantil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5.19" maxValue="1499.74"/>
    </cacheField>
    <cacheField name="Total price" numFmtId="44">
      <sharedItems containsSemiMixedTypes="0" containsString="0" containsNumber="1" minValue="6.2" maxValue="7474.3499999999995"/>
    </cacheField>
    <cacheField name="Mes" numFmtId="0">
      <sharedItems containsSemiMixedTypes="0" containsString="0" containsNumber="1" containsInteger="1" minValue="1" maxValue="12" count="12">
        <n v="11"/>
        <n v="12"/>
        <n v="2"/>
        <n v="7"/>
        <n v="9"/>
        <n v="1"/>
        <n v="10"/>
        <n v="6"/>
        <n v="5"/>
        <n v="8"/>
        <n v="3"/>
        <n v="4"/>
      </sharedItems>
    </cacheField>
    <cacheField name="Año" numFmtId="0">
      <sharedItems containsSemiMixedTypes="0" containsString="0" containsNumber="1" containsInteger="1" minValue="2024" maxValue="2026" count="3">
        <n v="2025"/>
        <n v="2024"/>
        <n v="2026"/>
      </sharedItems>
    </cacheField>
    <cacheField name="OrderDate" numFmtId="0">
      <sharedItems count="788">
        <s v="2025-11-17"/>
        <s v="2024-12-06"/>
        <s v="2026-02-12"/>
        <s v="2025-07-11"/>
        <s v="2024-02-17"/>
        <s v="2025-02-27"/>
        <s v="2025-11-04"/>
        <s v="2024-09-07"/>
        <s v="2024-01-20"/>
        <s v="2024-11-09"/>
        <s v="2024-10-15"/>
        <s v="2024-06-02"/>
        <s v="2024-05-10"/>
        <s v="2025-02-09"/>
        <s v="2024-02-08"/>
        <s v="2025-02-01"/>
        <s v="2025-02-08"/>
        <s v="2024-02-28"/>
        <s v="2026-01-11"/>
        <s v="2025-12-05"/>
        <s v="2024-08-19"/>
        <s v="2025-01-22"/>
        <s v="2024-02-02"/>
        <s v="2024-06-22"/>
        <s v="2025-09-26"/>
        <s v="2025-09-06"/>
        <s v="2025-10-15"/>
        <s v="2024-10-26"/>
        <s v="2024-02-09"/>
        <s v="2025-11-27"/>
        <s v="2024-06-18"/>
        <s v="2025-07-08"/>
        <s v="2024-02-20"/>
        <s v="2025-12-03"/>
        <s v="2025-12-17"/>
        <s v="2025-06-19"/>
        <s v="2024-07-22"/>
        <s v="2025-03-27"/>
        <s v="2024-05-22"/>
        <s v="2024-11-18"/>
        <s v="2024-07-28"/>
        <s v="2024-04-06"/>
        <s v="2025-08-31"/>
        <s v="2025-10-27"/>
        <s v="2025-08-23"/>
        <s v="2026-01-18"/>
        <s v="2025-05-05"/>
        <s v="2025-05-04"/>
        <s v="2024-03-23"/>
        <s v="2025-08-04"/>
        <s v="2025-07-12"/>
        <s v="2025-10-07"/>
        <s v="2024-01-13"/>
        <s v="2024-10-29"/>
        <s v="2024-12-11"/>
        <s v="2025-03-22"/>
        <s v="2024-06-19"/>
        <s v="2025-08-10"/>
        <s v="2024-09-19"/>
        <s v="2025-03-08"/>
        <s v="2024-07-30"/>
        <s v="2025-05-09"/>
        <s v="2025-06-22"/>
        <s v="2025-02-13"/>
        <s v="2024-06-06"/>
        <s v="2024-05-02"/>
        <s v="2025-05-14"/>
        <s v="2025-10-18"/>
        <s v="2024-04-28"/>
        <s v="2025-02-04"/>
        <s v="2025-08-24"/>
        <s v="2024-06-27"/>
        <s v="2025-03-12"/>
        <s v="2024-05-29"/>
        <s v="2025-02-11"/>
        <s v="2024-06-10"/>
        <s v="2024-04-24"/>
        <s v="2025-10-05"/>
        <s v="2025-07-02"/>
        <s v="2025-06-25"/>
        <s v="2025-11-19"/>
        <s v="2025-12-20"/>
        <s v="2024-01-19"/>
        <s v="2026-03-14"/>
        <s v="2025-03-10"/>
        <s v="2024-12-29"/>
        <s v="2024-10-12"/>
        <s v="2025-01-05"/>
        <s v="2025-05-20"/>
        <s v="2024-01-17"/>
        <s v="2024-07-16"/>
        <s v="2025-06-05"/>
        <s v="2024-07-15"/>
        <s v="2025-06-17"/>
        <s v="2025-04-24"/>
        <s v="2025-01-01"/>
        <s v="2026-01-23"/>
        <s v="2024-06-09"/>
        <s v="2026-03-24"/>
        <s v="2024-07-13"/>
        <s v="2024-03-03"/>
        <s v="2026-03-11"/>
        <s v="2024-10-02"/>
        <s v="2024-01-02"/>
        <s v="2024-08-20"/>
        <s v="2024-01-22"/>
        <s v="2024-12-18"/>
        <s v="2024-05-15"/>
        <s v="2025-11-20"/>
        <s v="2025-05-22"/>
        <s v="2025-07-26"/>
        <s v="2025-10-30"/>
        <s v="2025-04-18"/>
        <s v="2026-03-06"/>
        <s v="2025-11-10"/>
        <s v="2024-01-25"/>
        <s v="2025-02-26"/>
        <s v="2025-02-28"/>
        <s v="2025-06-26"/>
        <s v="2026-03-25"/>
        <s v="2025-04-10"/>
        <s v="2024-04-29"/>
        <s v="2026-02-09"/>
        <s v="2024-02-24"/>
        <s v="2024-05-01"/>
        <s v="2024-07-04"/>
        <s v="2025-04-22"/>
        <s v="2026-02-01"/>
        <s v="2025-03-26"/>
        <s v="2024-02-22"/>
        <s v="2024-01-04"/>
        <s v="2025-03-28"/>
        <s v="2025-02-05"/>
        <s v="2024-09-21"/>
        <s v="2025-05-15"/>
        <s v="2025-07-01"/>
        <s v="2025-03-29"/>
        <s v="2025-12-27"/>
        <s v="2024-09-14"/>
        <s v="2025-05-11"/>
        <s v="2024-05-12"/>
        <s v="2024-07-17"/>
        <s v="2025-08-18"/>
        <s v="2026-01-03"/>
        <s v="2024-05-31"/>
        <s v="2026-01-25"/>
        <s v="2024-08-21"/>
        <s v="2025-08-03"/>
        <s v="2024-09-03"/>
        <s v="2026-03-10"/>
        <s v="2025-08-12"/>
        <s v="2024-04-15"/>
        <s v="2024-10-06"/>
        <s v="2026-02-05"/>
        <s v="2026-02-04"/>
        <s v="2025-01-25"/>
        <s v="2026-02-22"/>
        <s v="2025-03-02"/>
        <s v="2025-05-31"/>
        <s v="2025-09-10"/>
        <s v="2024-10-03"/>
        <s v="2025-05-07"/>
        <s v="2026-02-06"/>
        <s v="2025-05-26"/>
        <s v="2025-03-07"/>
        <s v="2025-06-11"/>
        <s v="2024-10-13"/>
        <s v="2025-08-08"/>
        <s v="2025-06-01"/>
        <s v="2025-02-02"/>
        <s v="2024-12-02"/>
        <s v="2025-09-15"/>
        <s v="2025-05-01"/>
        <s v="2025-12-18"/>
        <s v="2025-11-13"/>
        <s v="2026-01-17"/>
        <s v="2024-11-29"/>
        <s v="2024-04-17"/>
        <s v="2025-09-12"/>
        <s v="2024-07-05"/>
        <s v="2024-03-08"/>
        <s v="2024-10-16"/>
        <s v="2024-02-07"/>
        <s v="2026-03-19"/>
        <s v="2024-06-30"/>
        <s v="2024-08-11"/>
        <s v="2025-03-23"/>
        <s v="2025-04-29"/>
        <s v="2026-01-27"/>
        <s v="2024-04-30"/>
        <s v="2025-02-19"/>
        <s v="2024-12-16"/>
        <s v="2025-07-28"/>
        <s v="2025-07-16"/>
        <s v="2025-11-09"/>
        <s v="2024-08-10"/>
        <s v="2026-02-28"/>
        <s v="2024-09-30"/>
        <s v="2025-02-20"/>
        <s v="2026-03-22"/>
        <s v="2024-03-24"/>
        <s v="2024-10-25"/>
        <s v="2025-05-27"/>
        <s v="2025-01-08"/>
        <s v="2024-08-30"/>
        <s v="2025-08-02"/>
        <s v="2025-08-14"/>
        <s v="2024-04-01"/>
        <s v="2025-10-19"/>
        <s v="2024-12-05"/>
        <s v="2024-05-23"/>
        <s v="2024-06-13"/>
        <s v="2024-02-25"/>
        <s v="2025-08-27"/>
        <s v="2024-04-05"/>
        <s v="2024-08-15"/>
        <s v="2025-05-28"/>
        <s v="2025-02-22"/>
        <s v="2024-05-17"/>
        <s v="2025-01-12"/>
        <s v="2024-09-26"/>
        <s v="2024-07-08"/>
        <s v="2026-01-29"/>
        <s v="2024-06-29"/>
        <s v="2025-07-27"/>
        <s v="2025-11-29"/>
        <s v="2024-08-27"/>
        <s v="2024-02-29"/>
        <s v="2024-06-04"/>
        <s v="2024-11-15"/>
        <s v="2025-11-16"/>
        <s v="2026-01-15"/>
        <s v="2024-11-26"/>
        <s v="2026-01-14"/>
        <s v="2025-02-21"/>
        <s v="2024-08-28"/>
        <s v="2024-02-03"/>
        <s v="2024-12-23"/>
        <s v="2025-08-01"/>
        <s v="2024-06-20"/>
        <s v="2025-05-19"/>
        <s v="2025-09-14"/>
        <s v="2025-03-17"/>
        <s v="2024-10-24"/>
        <s v="2025-11-15"/>
        <s v="2024-03-02"/>
        <s v="2025-01-11"/>
        <s v="2025-09-30"/>
        <s v="2025-02-25"/>
        <s v="2024-09-17"/>
        <s v="2026-03-31"/>
        <s v="2024-09-06"/>
        <s v="2026-03-08"/>
        <s v="2024-12-30"/>
        <s v="2024-09-18"/>
        <s v="2026-01-09"/>
        <s v="2024-01-05"/>
        <s v="2024-06-26"/>
        <s v="2025-08-30"/>
        <s v="2024-11-13"/>
        <s v="2025-02-17"/>
        <s v="2026-01-30"/>
        <s v="2025-03-13"/>
        <s v="2024-02-10"/>
        <s v="2025-11-24"/>
        <s v="2025-09-16"/>
        <s v="2025-04-17"/>
        <s v="2025-01-03"/>
        <s v="2024-04-27"/>
        <s v="2026-01-01"/>
        <s v="2024-07-11"/>
        <s v="2025-07-29"/>
        <s v="2024-04-09"/>
        <s v="2025-01-20"/>
        <s v="2026-02-23"/>
        <s v="2024-06-07"/>
        <s v="2024-08-17"/>
        <s v="2025-04-13"/>
        <s v="2024-07-26"/>
        <s v="2025-10-21"/>
        <s v="2024-09-09"/>
        <s v="2024-05-11"/>
        <s v="2024-12-27"/>
        <s v="2025-10-11"/>
        <s v="2026-01-10"/>
        <s v="2025-10-22"/>
        <s v="2025-05-16"/>
        <s v="2025-12-06"/>
        <s v="2024-03-10"/>
        <s v="2025-03-04"/>
        <s v="2025-09-20"/>
        <s v="2026-03-09"/>
        <s v="2024-01-24"/>
        <s v="2025-01-30"/>
        <s v="2024-09-13"/>
        <s v="2024-01-08"/>
        <s v="2026-02-13"/>
        <s v="2024-05-16"/>
        <s v="2024-05-24"/>
        <s v="2025-06-02"/>
        <s v="2025-08-16"/>
        <s v="2024-07-14"/>
        <s v="2024-12-31"/>
        <s v="2024-02-15"/>
        <s v="2024-11-10"/>
        <s v="2024-01-06"/>
        <s v="2025-07-04"/>
        <s v="2024-01-07"/>
        <s v="2025-12-10"/>
        <s v="2025-02-10"/>
        <s v="2026-01-13"/>
        <s v="2025-07-22"/>
        <s v="2026-03-18"/>
        <s v="2025-11-23"/>
        <s v="2025-04-15"/>
        <s v="2024-04-03"/>
        <s v="2025-02-18"/>
        <s v="2025-12-29"/>
        <s v="2024-05-06"/>
        <s v="2026-01-19"/>
        <s v="2026-02-21"/>
        <s v="2025-07-14"/>
        <s v="2025-06-20"/>
        <s v="2025-02-24"/>
        <s v="2025-01-31"/>
        <s v="2024-07-19"/>
        <s v="2025-06-13"/>
        <s v="2024-10-11"/>
        <s v="2024-06-05"/>
        <s v="2026-02-17"/>
        <s v="2024-10-20"/>
        <s v="2025-10-10"/>
        <s v="2025-01-14"/>
        <s v="2025-07-13"/>
        <s v="2025-04-02"/>
        <s v="2024-11-19"/>
        <s v="2026-02-25"/>
        <s v="2024-11-23"/>
        <s v="2024-09-04"/>
        <s v="2024-01-09"/>
        <s v="2025-09-24"/>
        <s v="2025-01-19"/>
        <s v="2024-06-17"/>
        <s v="2025-01-28"/>
        <s v="2025-08-11"/>
        <s v="2026-03-21"/>
        <s v="2024-12-19"/>
        <s v="2024-11-11"/>
        <s v="2024-09-12"/>
        <s v="2024-02-16"/>
        <s v="2025-06-23"/>
        <s v="2024-09-10"/>
        <s v="2025-03-09"/>
        <s v="2025-08-19"/>
        <s v="2024-06-21"/>
        <s v="2025-08-21"/>
        <s v="2025-06-24"/>
        <s v="2024-09-22"/>
        <s v="2025-12-01"/>
        <s v="2026-02-18"/>
        <s v="2025-07-18"/>
        <s v="2026-01-31"/>
        <s v="2025-06-29"/>
        <s v="2025-09-25"/>
        <s v="2025-07-03"/>
        <s v="2025-01-17"/>
        <s v="2024-01-27"/>
        <s v="2025-03-18"/>
        <s v="2024-11-17"/>
        <s v="2025-04-12"/>
        <s v="2025-07-21"/>
        <s v="2025-01-21"/>
        <s v="2026-01-20"/>
        <s v="2024-09-08"/>
        <s v="2026-03-15"/>
        <s v="2024-09-05"/>
        <s v="2024-04-07"/>
        <s v="2024-04-25"/>
        <s v="2024-04-08"/>
        <s v="2025-12-28"/>
        <s v="2024-12-17"/>
        <s v="2024-03-09"/>
        <s v="2024-04-18"/>
        <s v="2026-01-22"/>
        <s v="2024-12-12"/>
        <s v="2025-06-04"/>
        <s v="2024-07-12"/>
        <s v="2024-05-21"/>
        <s v="2025-05-06"/>
        <s v="2025-12-19"/>
        <s v="2025-04-25"/>
        <s v="2025-03-16"/>
        <s v="2024-12-01"/>
        <s v="2025-03-31"/>
        <s v="2024-12-20"/>
        <s v="2024-06-16"/>
        <s v="2026-03-02"/>
        <s v="2025-10-28"/>
        <s v="2025-03-03"/>
        <s v="2026-02-15"/>
        <s v="2025-12-26"/>
        <s v="2024-11-28"/>
        <s v="2024-07-02"/>
        <s v="2025-07-09"/>
        <s v="2024-06-25"/>
        <s v="2025-11-03"/>
        <s v="2026-02-14"/>
        <s v="2024-11-27"/>
        <s v="2024-08-08"/>
        <s v="2024-08-22"/>
        <s v="2024-12-08"/>
        <s v="2024-10-01"/>
        <s v="2024-06-23"/>
        <s v="2024-08-24"/>
        <s v="2025-10-12"/>
        <s v="2024-05-09"/>
        <s v="2025-09-05"/>
        <s v="2025-01-07"/>
        <s v="2024-08-23"/>
        <s v="2026-02-08"/>
        <s v="2025-08-13"/>
        <s v="2024-07-21"/>
        <s v="2024-10-17"/>
        <s v="2025-06-10"/>
        <s v="2024-08-31"/>
        <s v="2025-03-20"/>
        <s v="2026-03-27"/>
        <s v="2024-09-01"/>
        <s v="2024-01-30"/>
        <s v="2024-03-20"/>
        <s v="2024-11-02"/>
        <s v="2026-01-26"/>
        <s v="2024-04-21"/>
        <s v="2024-02-04"/>
        <s v="2024-07-01"/>
        <s v="2025-09-08"/>
        <s v="2026-02-20"/>
        <s v="2025-01-15"/>
        <s v="2025-06-28"/>
        <s v="2025-07-19"/>
        <s v="2024-01-16"/>
        <s v="2025-04-05"/>
        <s v="2025-04-08"/>
        <s v="2026-01-24"/>
        <s v="2025-12-31"/>
        <s v="2026-02-27"/>
        <s v="2025-05-21"/>
        <s v="2025-04-11"/>
        <s v="2024-02-11"/>
        <s v="2025-01-10"/>
        <s v="2024-05-20"/>
        <s v="2025-08-07"/>
        <s v="2026-01-04"/>
        <s v="2024-10-22"/>
        <s v="2024-02-18"/>
        <s v="2025-03-01"/>
        <s v="2025-05-10"/>
        <s v="2024-08-06"/>
        <s v="2025-04-14"/>
        <s v="2024-03-29"/>
        <s v="2025-09-13"/>
        <s v="2024-10-08"/>
        <s v="2025-02-03"/>
        <s v="2025-09-11"/>
        <s v="2024-03-30"/>
        <s v="2024-07-24"/>
        <s v="2024-03-05"/>
        <s v="2024-06-14"/>
        <s v="2024-11-30"/>
        <s v="2025-08-09"/>
        <s v="2024-03-15"/>
        <s v="2025-06-15"/>
        <s v="2024-09-28"/>
        <s v="2024-01-12"/>
        <s v="2024-05-13"/>
        <s v="2024-08-26"/>
        <s v="2025-12-08"/>
        <s v="2025-12-21"/>
        <s v="2024-07-25"/>
        <s v="2026-04-01"/>
        <s v="2025-11-28"/>
        <s v="2024-12-22"/>
        <s v="2025-09-03"/>
        <s v="2024-01-29"/>
        <s v="2025-04-28"/>
        <s v="2024-05-18"/>
        <s v="2024-11-12"/>
        <s v="2025-01-13"/>
        <s v="2025-11-21"/>
        <s v="2025-03-19"/>
        <s v="2024-02-06"/>
        <s v="2025-12-09"/>
        <s v="2024-08-13"/>
        <s v="2024-12-28"/>
        <s v="2026-01-12"/>
        <s v="2024-07-18"/>
        <s v="2025-11-05"/>
        <s v="2024-02-05"/>
        <s v="2024-11-22"/>
        <s v="2024-01-26"/>
        <s v="2024-08-03"/>
        <s v="2024-09-25"/>
        <s v="2024-09-15"/>
        <s v="2024-03-14"/>
        <s v="2024-02-26"/>
        <s v="2025-10-16"/>
        <s v="2025-04-27"/>
        <s v="2024-08-02"/>
        <s v="2025-08-05"/>
        <s v="2024-01-28"/>
        <s v="2025-01-24"/>
        <s v="2025-04-26"/>
        <s v="2024-06-12"/>
        <s v="2024-01-10"/>
        <s v="2024-12-15"/>
        <s v="2025-10-01"/>
        <s v="2024-01-14"/>
        <s v="2025-06-12"/>
        <s v="2025-04-06"/>
        <s v="2025-04-16"/>
        <s v="2024-07-29"/>
        <s v="2025-11-22"/>
        <s v="2024-12-10"/>
        <s v="2024-08-16"/>
        <s v="2025-06-16"/>
        <s v="2024-08-18"/>
        <s v="2024-11-08"/>
        <s v="2024-01-15"/>
        <s v="2025-09-07"/>
        <s v="2025-03-30"/>
        <s v="2025-01-06"/>
        <s v="2024-03-28"/>
        <s v="2025-07-10"/>
        <s v="2025-11-07"/>
        <s v="2024-11-21"/>
        <s v="2025-07-06"/>
        <s v="2024-08-14"/>
        <s v="2024-06-15"/>
        <s v="2025-01-02"/>
        <s v="2024-05-27"/>
        <s v="2025-06-18"/>
        <s v="2025-08-28"/>
        <s v="2024-01-03"/>
        <s v="2025-10-17"/>
        <s v="2024-01-18"/>
        <s v="2025-01-26"/>
        <s v="2024-02-19"/>
        <s v="2025-05-23"/>
        <s v="2025-04-30"/>
        <s v="2024-01-11"/>
        <s v="2025-07-23"/>
        <s v="2024-05-14"/>
        <s v="2025-02-16"/>
        <s v="2024-12-09"/>
        <s v="2025-11-11"/>
        <s v="2024-11-07"/>
        <s v="2024-03-21"/>
        <s v="2025-06-06"/>
        <s v="2025-02-06"/>
        <s v="2024-04-23"/>
        <s v="2025-12-30"/>
        <s v="2024-03-22"/>
        <s v="2024-02-01"/>
        <s v="2024-05-05"/>
        <s v="2025-09-17"/>
        <s v="2025-09-09"/>
        <s v="2026-01-06"/>
        <s v="2024-06-11"/>
        <s v="2026-03-30"/>
        <s v="2025-02-12"/>
        <s v="2024-11-06"/>
        <s v="2024-10-28"/>
        <s v="2024-04-11"/>
        <s v="2024-10-07"/>
        <s v="2025-08-06"/>
        <s v="2024-07-06"/>
        <s v="2025-06-30"/>
        <s v="2026-02-19"/>
        <s v="2024-03-16"/>
        <s v="2024-10-19"/>
        <s v="2025-05-24"/>
        <s v="2024-01-31"/>
        <s v="2025-10-03"/>
        <s v="2025-01-04"/>
        <s v="2024-05-03"/>
        <s v="2025-11-06"/>
        <s v="2025-01-16"/>
        <s v="2024-09-27"/>
        <s v="2024-04-26"/>
        <s v="2024-10-21"/>
        <s v="2025-04-03"/>
        <s v="2025-08-29"/>
        <s v="2025-04-20"/>
        <s v="2024-10-14"/>
        <s v="2024-11-24"/>
        <s v="2025-12-24"/>
        <s v="2025-07-31"/>
        <s v="2025-09-21"/>
        <s v="2025-12-14"/>
        <s v="2026-03-29"/>
        <s v="2024-04-13"/>
        <s v="2024-07-20"/>
        <s v="2024-12-13"/>
        <s v="2024-07-31"/>
        <s v="2024-05-04"/>
        <s v="2025-07-25"/>
        <s v="2024-08-01"/>
        <s v="2025-11-12"/>
        <s v="2025-11-30"/>
        <s v="2024-02-27"/>
        <s v="2025-10-08"/>
        <s v="2024-03-07"/>
        <s v="2024-10-27"/>
        <s v="2026-01-02"/>
        <s v="2025-09-29"/>
        <s v="2026-03-16"/>
        <s v="2024-12-07"/>
        <s v="2025-09-18"/>
        <s v="2025-03-25"/>
        <s v="2026-02-26"/>
        <s v="2025-11-08"/>
        <s v="2025-07-15"/>
        <s v="2025-12-04"/>
        <s v="2025-12-11"/>
        <s v="2024-04-22"/>
        <s v="2025-08-25"/>
        <s v="2025-12-16"/>
        <s v="2026-03-20"/>
        <s v="2025-06-09"/>
        <s v="2025-05-08"/>
        <s v="2024-07-07"/>
        <s v="2024-06-24"/>
        <s v="2024-03-25"/>
        <s v="2024-09-11"/>
        <s v="2025-05-03"/>
        <s v="2025-08-20"/>
        <s v="2025-12-23"/>
        <s v="2024-06-08"/>
        <s v="2025-07-20"/>
        <s v="2025-05-25"/>
        <s v="2026-03-07"/>
        <s v="2025-06-14"/>
        <s v="2024-08-05"/>
        <s v="2024-02-12"/>
        <s v="2026-03-17"/>
        <s v="2026-02-03"/>
        <s v="2026-02-24"/>
        <s v="2024-10-04"/>
        <s v="2024-11-03"/>
        <s v="2024-10-23"/>
        <s v="2025-12-22"/>
        <s v="2024-06-03"/>
        <s v="2026-01-05"/>
        <s v="2025-06-08"/>
        <s v="2024-09-16"/>
        <s v="2025-07-17"/>
        <s v="2024-03-04"/>
        <s v="2025-08-17"/>
        <s v="2024-04-14"/>
        <s v="2025-12-07"/>
        <s v="2024-11-16"/>
        <s v="2025-10-25"/>
        <s v="2026-03-03"/>
        <s v="2024-06-01"/>
        <s v="2025-10-06"/>
        <s v="2024-10-05"/>
        <s v="2025-07-07"/>
        <s v="2024-02-13"/>
        <s v="2025-05-30"/>
        <s v="2025-10-02"/>
        <s v="2025-09-28"/>
        <s v="2025-05-17"/>
        <s v="2024-11-05"/>
        <s v="2024-05-26"/>
        <s v="2024-06-28"/>
        <s v="2025-10-31"/>
        <s v="2025-11-25"/>
        <s v="2024-09-23"/>
        <s v="2024-04-10"/>
        <s v="2025-10-04"/>
        <s v="2025-01-27"/>
        <s v="2026-03-05"/>
        <s v="2025-07-30"/>
        <s v="2026-03-26"/>
        <s v="2024-04-16"/>
        <s v="2024-12-03"/>
        <s v="2024-11-04"/>
        <s v="2024-05-08"/>
        <s v="2025-11-14"/>
        <s v="2024-09-02"/>
        <s v="2024-04-04"/>
        <s v="2025-09-19"/>
        <s v="2024-02-14"/>
        <s v="2026-03-28"/>
        <s v="2025-02-23"/>
        <s v="2025-12-25"/>
        <s v="2024-04-19"/>
        <s v="2025-03-24"/>
        <s v="2024-02-23"/>
        <s v="2025-04-07"/>
        <s v="2026-01-21"/>
        <s v="2024-08-09"/>
        <s v="2024-08-07"/>
        <s v="2024-03-17"/>
        <s v="2024-07-09"/>
        <s v="2024-08-29"/>
        <s v="2024-01-01"/>
        <s v="2024-03-18"/>
        <s v="2024-11-14"/>
        <s v="2025-02-14"/>
        <s v="2025-05-12"/>
        <s v="2024-09-24"/>
        <s v="2025-09-23"/>
        <s v="2025-10-24"/>
        <s v="2024-03-26"/>
        <s v="2024-09-20"/>
        <s v="2026-02-10"/>
        <s v="2024-07-27"/>
        <s v="2025-03-05"/>
        <s v="2024-10-09"/>
        <s v="2025-06-03"/>
        <s v="2024-01-23"/>
        <s v="2024-12-25"/>
        <s v="2026-01-28"/>
        <s v="2026-02-02"/>
        <s v="2024-10-10"/>
        <s v="2025-03-15"/>
        <s v="2024-03-31"/>
        <s v="2025-04-19"/>
        <s v="2025-09-27"/>
        <s v="2024-12-14"/>
        <s v="2026-01-07"/>
        <s v="2025-10-20"/>
        <s v="2025-11-02"/>
        <s v="2025-10-13"/>
        <s v="2024-03-13"/>
        <s v="2024-01-21"/>
        <s v="2024-05-30"/>
        <s v="2025-03-11"/>
        <s v="2024-03-19"/>
        <s v="2024-02-21"/>
        <s v="2024-03-06"/>
        <s v="2024-12-21"/>
        <s v="2024-07-03"/>
        <s v="2025-06-21"/>
        <s v="2025-03-14"/>
        <s v="2025-08-22"/>
        <s v="2024-04-12"/>
        <s v="2025-01-23"/>
        <s v="2024-03-27"/>
        <s v="2024-09-29"/>
        <s v="2025-11-01"/>
        <s v="2024-08-12"/>
        <s v="2026-03-01"/>
        <s v="2025-12-15"/>
        <s v="2025-04-04"/>
        <s v="2026-02-11"/>
        <s v="2025-11-26"/>
        <s v="2026-03-23"/>
        <s v="2025-04-23"/>
        <s v="2025-12-12"/>
        <s v="2025-02-15"/>
        <s v="2024-11-25"/>
        <s v="2025-04-01"/>
        <s v="2025-12-13"/>
        <s v="2024-04-20"/>
        <s v="2025-05-13"/>
        <s v="2025-11-18"/>
        <s v="2024-05-19"/>
        <s v="2025-01-18"/>
        <s v="2024-04-02"/>
        <s v="2025-10-29"/>
        <s v="2024-11-01"/>
        <s v="2025-04-09"/>
        <s v="2025-10-23"/>
        <s v="2024-05-28"/>
        <s v="2024-12-24"/>
        <s v="2025-02-07"/>
        <s v="2024-11-20"/>
        <s v="2025-10-09"/>
        <s v="2024-03-01"/>
        <s v="2026-02-07"/>
        <s v="2024-03-11"/>
        <s v="2026-01-16"/>
        <s v="2025-07-05"/>
        <s v="2024-03-12"/>
        <s v="2025-03-06"/>
        <s v="2026-01-08"/>
      </sharedItems>
    </cacheField>
    <cacheField name="OrderStatus" numFmtId="0">
      <sharedItems count="5">
        <s v="Pendiente"/>
        <s v="Cancelado"/>
        <s v="Devuelto"/>
        <s v="Enviado"/>
        <s v="Entregado"/>
      </sharedItems>
    </cacheField>
  </cacheFields>
  <extLst>
    <ext xmlns:x14="http://schemas.microsoft.com/office/spreadsheetml/2009/9/main" uri="{725AE2AE-9491-48be-B2B4-4EB974FC3084}">
      <x14:pivotCacheDefinition pivotCacheId="20148426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ORD000001"/>
    <s v="Elena Gil"/>
    <s v="elena.gil@mail.com"/>
    <x v="0"/>
    <s v="Valencia"/>
    <x v="0"/>
    <x v="0"/>
    <n v="2"/>
    <n v="1218.21"/>
    <n v="2436.42"/>
    <x v="0"/>
    <x v="0"/>
    <x v="0"/>
    <x v="0"/>
  </r>
  <r>
    <s v="ORD000002"/>
    <s v="Ana Navarro"/>
    <s v="ana.navarro@mail.com"/>
    <x v="1"/>
    <s v="Hamburgo"/>
    <x v="1"/>
    <x v="1"/>
    <n v="1"/>
    <n v="1208.83"/>
    <n v="1208.83"/>
    <x v="1"/>
    <x v="1"/>
    <x v="1"/>
    <x v="1"/>
  </r>
  <r>
    <s v="ORD000003"/>
    <s v="Ana Sánchez"/>
    <s v="ana.sánchez@mail.com"/>
    <x v="2"/>
    <s v="Braga"/>
    <x v="1"/>
    <x v="2"/>
    <n v="4"/>
    <n v="447.32"/>
    <n v="1789.28"/>
    <x v="2"/>
    <x v="2"/>
    <x v="2"/>
    <x v="2"/>
  </r>
  <r>
    <s v="ORD000004"/>
    <s v="Diego Torres"/>
    <s v="diego.torres@mail.com"/>
    <x v="3"/>
    <s v="Roma"/>
    <x v="2"/>
    <x v="3"/>
    <n v="1"/>
    <n v="1499.74"/>
    <n v="1499.74"/>
    <x v="3"/>
    <x v="0"/>
    <x v="3"/>
    <x v="3"/>
  </r>
  <r>
    <s v="ORD000005"/>
    <s v="Pedro Rodríguez"/>
    <s v="pedro.rodríguez@mail.com"/>
    <x v="1"/>
    <s v="Berlín"/>
    <x v="3"/>
    <x v="4"/>
    <n v="2"/>
    <n v="1394.85"/>
    <n v="2789.7"/>
    <x v="2"/>
    <x v="1"/>
    <x v="4"/>
    <x v="0"/>
  </r>
  <r>
    <s v="ORD000006"/>
    <s v="Pablo Rodríguez"/>
    <s v="pablo.rodríguez@mail.com"/>
    <x v="2"/>
    <s v="Braga"/>
    <x v="3"/>
    <x v="5"/>
    <n v="4"/>
    <n v="882.18"/>
    <n v="3528.72"/>
    <x v="2"/>
    <x v="0"/>
    <x v="5"/>
    <x v="1"/>
  </r>
  <r>
    <s v="ORD000007"/>
    <s v="Diego López"/>
    <s v="diego.lópez@mail.com"/>
    <x v="2"/>
    <s v="Oporto"/>
    <x v="1"/>
    <x v="6"/>
    <n v="4"/>
    <n v="1374.2"/>
    <n v="5496.8"/>
    <x v="0"/>
    <x v="0"/>
    <x v="6"/>
    <x v="2"/>
  </r>
  <r>
    <s v="ORD000008"/>
    <s v="Raúl García"/>
    <s v="raúl.garcía@mail.com"/>
    <x v="4"/>
    <s v="París"/>
    <x v="3"/>
    <x v="7"/>
    <n v="4"/>
    <n v="181.01"/>
    <n v="724.04"/>
    <x v="4"/>
    <x v="1"/>
    <x v="7"/>
    <x v="0"/>
  </r>
  <r>
    <s v="ORD000009"/>
    <s v="Lucía López"/>
    <s v="lucía.lópez@mail.com"/>
    <x v="1"/>
    <s v="Berlín"/>
    <x v="1"/>
    <x v="8"/>
    <n v="1"/>
    <n v="494.54"/>
    <n v="494.54"/>
    <x v="5"/>
    <x v="1"/>
    <x v="8"/>
    <x v="3"/>
  </r>
  <r>
    <s v="ORD000010"/>
    <s v="María Pérez"/>
    <s v="maría.pérez@mail.com"/>
    <x v="3"/>
    <s v="Milán"/>
    <x v="2"/>
    <x v="9"/>
    <n v="2"/>
    <n v="994.81"/>
    <n v="1989.62"/>
    <x v="0"/>
    <x v="1"/>
    <x v="9"/>
    <x v="2"/>
  </r>
  <r>
    <s v="ORD000011"/>
    <s v="Elena Vázquez"/>
    <s v="elena.vázquez@mail.com"/>
    <x v="3"/>
    <s v="Roma"/>
    <x v="1"/>
    <x v="2"/>
    <n v="5"/>
    <n v="663.8"/>
    <n v="3319"/>
    <x v="6"/>
    <x v="1"/>
    <x v="10"/>
    <x v="1"/>
  </r>
  <r>
    <s v="ORD000012"/>
    <s v="Sofía Vázquez"/>
    <s v="sofía.vázquez@mail.com"/>
    <x v="2"/>
    <s v="Oporto"/>
    <x v="2"/>
    <x v="10"/>
    <n v="3"/>
    <n v="451.42"/>
    <n v="1354.26"/>
    <x v="7"/>
    <x v="1"/>
    <x v="11"/>
    <x v="4"/>
  </r>
  <r>
    <s v="ORD000013"/>
    <s v="Sofía Torres"/>
    <s v="sofía.torres@mail.com"/>
    <x v="0"/>
    <s v="Barcelona"/>
    <x v="0"/>
    <x v="0"/>
    <n v="3"/>
    <n v="413.31"/>
    <n v="1239.93"/>
    <x v="8"/>
    <x v="1"/>
    <x v="12"/>
    <x v="4"/>
  </r>
  <r>
    <s v="ORD000014"/>
    <s v="Pedro García"/>
    <s v="pedro.garcía@mail.com"/>
    <x v="0"/>
    <s v="Sevilla"/>
    <x v="4"/>
    <x v="11"/>
    <n v="3"/>
    <n v="1454.38"/>
    <n v="4363.1400000000003"/>
    <x v="2"/>
    <x v="0"/>
    <x v="13"/>
    <x v="2"/>
  </r>
  <r>
    <s v="ORD000015"/>
    <s v="Sofía Martínez"/>
    <s v="sofía.martínez@mail.com"/>
    <x v="0"/>
    <s v="Sevilla"/>
    <x v="1"/>
    <x v="6"/>
    <n v="2"/>
    <n v="390.62"/>
    <n v="781.24"/>
    <x v="2"/>
    <x v="1"/>
    <x v="14"/>
    <x v="0"/>
  </r>
  <r>
    <s v="ORD000016"/>
    <s v="Javier Torres"/>
    <s v="javier.torres@mail.com"/>
    <x v="1"/>
    <s v="Berlín"/>
    <x v="2"/>
    <x v="9"/>
    <n v="4"/>
    <n v="993.68"/>
    <n v="3974.72"/>
    <x v="2"/>
    <x v="0"/>
    <x v="15"/>
    <x v="2"/>
  </r>
  <r>
    <s v="ORD000017"/>
    <s v="Lucía Gil"/>
    <s v="lucía.gil@mail.com"/>
    <x v="4"/>
    <s v="Marsella"/>
    <x v="0"/>
    <x v="0"/>
    <n v="3"/>
    <n v="585.51"/>
    <n v="1756.53"/>
    <x v="2"/>
    <x v="0"/>
    <x v="16"/>
    <x v="2"/>
  </r>
  <r>
    <s v="ORD000018"/>
    <s v="Pedro Pérez"/>
    <s v="pedro.pérez@mail.com"/>
    <x v="3"/>
    <s v="Nápoles"/>
    <x v="1"/>
    <x v="2"/>
    <n v="5"/>
    <n v="159.43"/>
    <n v="797.15000000000009"/>
    <x v="2"/>
    <x v="1"/>
    <x v="17"/>
    <x v="4"/>
  </r>
  <r>
    <s v="ORD000019"/>
    <s v="Carlos Ramos"/>
    <s v="carlos.ramos@mail.com"/>
    <x v="0"/>
    <s v="Bilbao"/>
    <x v="2"/>
    <x v="9"/>
    <n v="1"/>
    <n v="809.41"/>
    <n v="809.41"/>
    <x v="5"/>
    <x v="2"/>
    <x v="18"/>
    <x v="2"/>
  </r>
  <r>
    <s v="ORD000020"/>
    <s v="Ana López"/>
    <s v="ana.lópez@mail.com"/>
    <x v="4"/>
    <s v="Lyon"/>
    <x v="1"/>
    <x v="6"/>
    <n v="4"/>
    <n v="1454.96"/>
    <n v="5819.84"/>
    <x v="1"/>
    <x v="0"/>
    <x v="19"/>
    <x v="0"/>
  </r>
  <r>
    <s v="ORD000021"/>
    <s v="Laura Rodríguez"/>
    <s v="laura.rodríguez@mail.com"/>
    <x v="1"/>
    <s v="Berlín"/>
    <x v="2"/>
    <x v="10"/>
    <n v="2"/>
    <n v="784"/>
    <n v="1568"/>
    <x v="9"/>
    <x v="1"/>
    <x v="20"/>
    <x v="2"/>
  </r>
  <r>
    <s v="ORD000022"/>
    <s v="Elena Rodríguez"/>
    <s v="elena.rodríguez@mail.com"/>
    <x v="2"/>
    <s v="Braga"/>
    <x v="1"/>
    <x v="12"/>
    <n v="2"/>
    <n v="187.52"/>
    <n v="375.04"/>
    <x v="5"/>
    <x v="0"/>
    <x v="21"/>
    <x v="3"/>
  </r>
  <r>
    <s v="ORD000023"/>
    <s v="María López"/>
    <s v="maría.lópez@mail.com"/>
    <x v="0"/>
    <s v="Valencia"/>
    <x v="2"/>
    <x v="3"/>
    <n v="5"/>
    <n v="673.27"/>
    <n v="3366.35"/>
    <x v="2"/>
    <x v="1"/>
    <x v="22"/>
    <x v="3"/>
  </r>
  <r>
    <s v="ORD000024"/>
    <s v="Miguel Fernández"/>
    <s v="miguel.fernández@mail.com"/>
    <x v="3"/>
    <s v="Nápoles"/>
    <x v="0"/>
    <x v="13"/>
    <n v="5"/>
    <n v="931.88"/>
    <n v="4659.3999999999996"/>
    <x v="7"/>
    <x v="1"/>
    <x v="23"/>
    <x v="4"/>
  </r>
  <r>
    <s v="ORD000025"/>
    <s v="Pablo Martínez"/>
    <s v="pablo.martínez@mail.com"/>
    <x v="2"/>
    <s v="Oporto"/>
    <x v="2"/>
    <x v="9"/>
    <n v="4"/>
    <n v="579.27"/>
    <n v="2317.08"/>
    <x v="4"/>
    <x v="0"/>
    <x v="24"/>
    <x v="1"/>
  </r>
  <r>
    <s v="ORD000026"/>
    <s v="Pedro Ramos"/>
    <s v="pedro.ramos@mail.com"/>
    <x v="4"/>
    <s v="Lyon"/>
    <x v="3"/>
    <x v="4"/>
    <n v="3"/>
    <n v="1023.82"/>
    <n v="3071.46"/>
    <x v="4"/>
    <x v="0"/>
    <x v="25"/>
    <x v="4"/>
  </r>
  <r>
    <s v="ORD000027"/>
    <s v="Diego Pérez"/>
    <s v="diego.pérez@mail.com"/>
    <x v="1"/>
    <s v="Berlín"/>
    <x v="2"/>
    <x v="10"/>
    <n v="4"/>
    <n v="1008.23"/>
    <n v="4032.92"/>
    <x v="6"/>
    <x v="0"/>
    <x v="26"/>
    <x v="4"/>
  </r>
  <r>
    <s v="ORD000028"/>
    <s v="Miguel Pérez"/>
    <s v="miguel.pérez@mail.com"/>
    <x v="4"/>
    <s v="Marsella"/>
    <x v="4"/>
    <x v="14"/>
    <n v="5"/>
    <n v="149.41999999999999"/>
    <n v="747.09999999999991"/>
    <x v="6"/>
    <x v="1"/>
    <x v="27"/>
    <x v="1"/>
  </r>
  <r>
    <s v="ORD000029"/>
    <s v="Carlos Alonso"/>
    <s v="carlos.alonso@mail.com"/>
    <x v="1"/>
    <s v="Hamburgo"/>
    <x v="2"/>
    <x v="15"/>
    <n v="5"/>
    <n v="189.09"/>
    <n v="945.45"/>
    <x v="2"/>
    <x v="1"/>
    <x v="28"/>
    <x v="0"/>
  </r>
  <r>
    <s v="ORD000030"/>
    <s v="Irene García"/>
    <s v="irene.garcía@mail.com"/>
    <x v="2"/>
    <s v="Braga"/>
    <x v="1"/>
    <x v="12"/>
    <n v="4"/>
    <n v="996.49"/>
    <n v="3985.96"/>
    <x v="0"/>
    <x v="0"/>
    <x v="29"/>
    <x v="0"/>
  </r>
  <r>
    <s v="ORD000031"/>
    <s v="Sofía Martínez"/>
    <s v="sofía.martínez@mail.com"/>
    <x v="0"/>
    <s v="Barcelona"/>
    <x v="0"/>
    <x v="16"/>
    <n v="3"/>
    <n v="185.92"/>
    <n v="557.76"/>
    <x v="7"/>
    <x v="1"/>
    <x v="30"/>
    <x v="3"/>
  </r>
  <r>
    <s v="ORD000032"/>
    <s v="Ana Díaz"/>
    <s v="ana.díaz@mail.com"/>
    <x v="3"/>
    <s v="Roma"/>
    <x v="0"/>
    <x v="17"/>
    <n v="3"/>
    <n v="401.14"/>
    <n v="1203.42"/>
    <x v="3"/>
    <x v="0"/>
    <x v="31"/>
    <x v="1"/>
  </r>
  <r>
    <s v="ORD000033"/>
    <s v="Raúl López"/>
    <s v="raúl.lópez@mail.com"/>
    <x v="0"/>
    <s v="Valencia"/>
    <x v="3"/>
    <x v="7"/>
    <n v="3"/>
    <n v="710.34"/>
    <n v="2131.02"/>
    <x v="2"/>
    <x v="1"/>
    <x v="32"/>
    <x v="1"/>
  </r>
  <r>
    <s v="ORD000034"/>
    <s v="Ana Pérez"/>
    <s v="ana.pérez@mail.com"/>
    <x v="0"/>
    <s v="Valencia"/>
    <x v="4"/>
    <x v="11"/>
    <n v="4"/>
    <n v="1225.6600000000001"/>
    <n v="4902.6400000000003"/>
    <x v="1"/>
    <x v="0"/>
    <x v="33"/>
    <x v="0"/>
  </r>
  <r>
    <s v="ORD000035"/>
    <s v="Raúl Díaz"/>
    <s v="raúl.díaz@mail.com"/>
    <x v="4"/>
    <s v="Lyon"/>
    <x v="3"/>
    <x v="5"/>
    <n v="2"/>
    <n v="71.900000000000006"/>
    <n v="143.80000000000001"/>
    <x v="1"/>
    <x v="0"/>
    <x v="34"/>
    <x v="2"/>
  </r>
  <r>
    <s v="ORD000036"/>
    <s v="Luis López"/>
    <s v="luis.lópez@mail.com"/>
    <x v="4"/>
    <s v="Lyon"/>
    <x v="2"/>
    <x v="3"/>
    <n v="3"/>
    <n v="1299.6300000000001"/>
    <n v="3898.8900000000003"/>
    <x v="7"/>
    <x v="0"/>
    <x v="35"/>
    <x v="2"/>
  </r>
  <r>
    <s v="ORD000037"/>
    <s v="Laura Gil"/>
    <s v="laura.gil@mail.com"/>
    <x v="2"/>
    <s v="Lisboa"/>
    <x v="2"/>
    <x v="10"/>
    <n v="3"/>
    <n v="1481.8"/>
    <n v="4445.3999999999996"/>
    <x v="3"/>
    <x v="1"/>
    <x v="36"/>
    <x v="0"/>
  </r>
  <r>
    <s v="ORD000038"/>
    <s v="Carmen Sánchez"/>
    <s v="carmen.sánchez@mail.com"/>
    <x v="0"/>
    <s v="Sevilla"/>
    <x v="2"/>
    <x v="3"/>
    <n v="1"/>
    <n v="1030.6300000000001"/>
    <n v="1030.6300000000001"/>
    <x v="10"/>
    <x v="0"/>
    <x v="37"/>
    <x v="1"/>
  </r>
  <r>
    <s v="ORD000039"/>
    <s v="Ana Gil"/>
    <s v="ana.gil@mail.com"/>
    <x v="3"/>
    <s v="Milán"/>
    <x v="2"/>
    <x v="15"/>
    <n v="5"/>
    <n v="1247.46"/>
    <n v="6237.3"/>
    <x v="8"/>
    <x v="1"/>
    <x v="38"/>
    <x v="3"/>
  </r>
  <r>
    <s v="ORD000040"/>
    <s v="Elena Pérez"/>
    <s v="elena.pérez@mail.com"/>
    <x v="3"/>
    <s v="Roma"/>
    <x v="3"/>
    <x v="18"/>
    <n v="4"/>
    <n v="221.55"/>
    <n v="886.2"/>
    <x v="0"/>
    <x v="1"/>
    <x v="39"/>
    <x v="0"/>
  </r>
  <r>
    <s v="ORD000041"/>
    <s v="Diego Vázquez"/>
    <s v="diego.vázquez@mail.com"/>
    <x v="4"/>
    <s v="Lyon"/>
    <x v="2"/>
    <x v="3"/>
    <n v="5"/>
    <n v="836.2"/>
    <n v="4181"/>
    <x v="3"/>
    <x v="1"/>
    <x v="40"/>
    <x v="4"/>
  </r>
  <r>
    <s v="ORD000042"/>
    <s v="Lucía Díaz"/>
    <s v="lucía.díaz@mail.com"/>
    <x v="3"/>
    <s v="Milán"/>
    <x v="2"/>
    <x v="19"/>
    <n v="3"/>
    <n v="1037.21"/>
    <n v="3111.63"/>
    <x v="11"/>
    <x v="1"/>
    <x v="41"/>
    <x v="3"/>
  </r>
  <r>
    <s v="ORD000043"/>
    <s v="Laura Pérez"/>
    <s v="laura.pérez@mail.com"/>
    <x v="4"/>
    <s v="Lyon"/>
    <x v="0"/>
    <x v="20"/>
    <n v="3"/>
    <n v="1101.03"/>
    <n v="3303.09"/>
    <x v="9"/>
    <x v="0"/>
    <x v="42"/>
    <x v="4"/>
  </r>
  <r>
    <s v="ORD000044"/>
    <s v="Irene García"/>
    <s v="irene.garcía@mail.com"/>
    <x v="2"/>
    <s v="Braga"/>
    <x v="3"/>
    <x v="18"/>
    <n v="2"/>
    <n v="518.76"/>
    <n v="1037.52"/>
    <x v="6"/>
    <x v="0"/>
    <x v="43"/>
    <x v="1"/>
  </r>
  <r>
    <s v="ORD000045"/>
    <s v="Pablo Ruiz"/>
    <s v="pablo.ruiz@mail.com"/>
    <x v="3"/>
    <s v="Milán"/>
    <x v="4"/>
    <x v="21"/>
    <n v="4"/>
    <n v="441.18"/>
    <n v="1764.72"/>
    <x v="9"/>
    <x v="0"/>
    <x v="44"/>
    <x v="3"/>
  </r>
  <r>
    <s v="ORD000046"/>
    <s v="Carmen Fernández"/>
    <s v="carmen.fernández@mail.com"/>
    <x v="2"/>
    <s v="Oporto"/>
    <x v="1"/>
    <x v="12"/>
    <n v="4"/>
    <n v="124.29"/>
    <n v="497.16"/>
    <x v="5"/>
    <x v="2"/>
    <x v="45"/>
    <x v="3"/>
  </r>
  <r>
    <s v="ORD000047"/>
    <s v="Luis Navarro"/>
    <s v="luis.navarro@mail.com"/>
    <x v="2"/>
    <s v="Lisboa"/>
    <x v="0"/>
    <x v="20"/>
    <n v="5"/>
    <n v="775.51"/>
    <n v="3877.55"/>
    <x v="8"/>
    <x v="0"/>
    <x v="46"/>
    <x v="2"/>
  </r>
  <r>
    <s v="ORD000048"/>
    <s v="Carlos Rodríguez"/>
    <s v="carlos.rodríguez@mail.com"/>
    <x v="3"/>
    <s v="Nápoles"/>
    <x v="4"/>
    <x v="11"/>
    <n v="4"/>
    <n v="26.43"/>
    <n v="105.72"/>
    <x v="8"/>
    <x v="0"/>
    <x v="47"/>
    <x v="2"/>
  </r>
  <r>
    <s v="ORD000049"/>
    <s v="Luis Vázquez"/>
    <s v="luis.vázquez@mail.com"/>
    <x v="4"/>
    <s v="Marsella"/>
    <x v="0"/>
    <x v="17"/>
    <n v="1"/>
    <n v="1338.55"/>
    <n v="1338.55"/>
    <x v="10"/>
    <x v="1"/>
    <x v="48"/>
    <x v="0"/>
  </r>
  <r>
    <s v="ORD000050"/>
    <s v="Ana Vázquez"/>
    <s v="ana.vázquez@mail.com"/>
    <x v="0"/>
    <s v="Barcelona"/>
    <x v="1"/>
    <x v="6"/>
    <n v="1"/>
    <n v="407.18"/>
    <n v="407.18"/>
    <x v="9"/>
    <x v="0"/>
    <x v="49"/>
    <x v="4"/>
  </r>
  <r>
    <s v="ORD000051"/>
    <s v="Sofía Fernández"/>
    <s v="sofía.fernández@mail.com"/>
    <x v="1"/>
    <s v="Hamburgo"/>
    <x v="2"/>
    <x v="9"/>
    <n v="2"/>
    <n v="871.92"/>
    <n v="1743.84"/>
    <x v="3"/>
    <x v="0"/>
    <x v="50"/>
    <x v="3"/>
  </r>
  <r>
    <s v="ORD000052"/>
    <s v="Pedro López"/>
    <s v="pedro.lópez@mail.com"/>
    <x v="0"/>
    <s v="Madrid"/>
    <x v="1"/>
    <x v="6"/>
    <n v="5"/>
    <n v="1131.8800000000001"/>
    <n v="5659.4000000000005"/>
    <x v="6"/>
    <x v="0"/>
    <x v="51"/>
    <x v="3"/>
  </r>
  <r>
    <s v="ORD000053"/>
    <s v="Javier Fernández"/>
    <s v="javier.fernández@mail.com"/>
    <x v="0"/>
    <s v="Sevilla"/>
    <x v="0"/>
    <x v="17"/>
    <n v="1"/>
    <n v="1484.1"/>
    <n v="1484.1"/>
    <x v="5"/>
    <x v="1"/>
    <x v="52"/>
    <x v="3"/>
  </r>
  <r>
    <s v="ORD000054"/>
    <s v="Elena Martínez"/>
    <s v="elena.martínez@mail.com"/>
    <x v="2"/>
    <s v="Oporto"/>
    <x v="0"/>
    <x v="0"/>
    <n v="3"/>
    <n v="255.97"/>
    <n v="767.91"/>
    <x v="6"/>
    <x v="1"/>
    <x v="53"/>
    <x v="0"/>
  </r>
  <r>
    <s v="ORD000055"/>
    <s v="Ana López"/>
    <s v="ana.lópez@mail.com"/>
    <x v="2"/>
    <s v="Oporto"/>
    <x v="3"/>
    <x v="7"/>
    <n v="1"/>
    <n v="1373.33"/>
    <n v="1373.33"/>
    <x v="1"/>
    <x v="1"/>
    <x v="54"/>
    <x v="3"/>
  </r>
  <r>
    <s v="ORD000056"/>
    <s v="Elena Gil"/>
    <s v="elena.gil@mail.com"/>
    <x v="3"/>
    <s v="Milán"/>
    <x v="0"/>
    <x v="13"/>
    <n v="3"/>
    <n v="1229.5999999999999"/>
    <n v="3688.7999999999997"/>
    <x v="10"/>
    <x v="0"/>
    <x v="55"/>
    <x v="0"/>
  </r>
  <r>
    <s v="ORD000057"/>
    <s v="Laura Gómez"/>
    <s v="laura.gómez@mail.com"/>
    <x v="0"/>
    <s v="Valencia"/>
    <x v="1"/>
    <x v="6"/>
    <n v="1"/>
    <n v="227.18"/>
    <n v="227.18"/>
    <x v="7"/>
    <x v="1"/>
    <x v="56"/>
    <x v="0"/>
  </r>
  <r>
    <s v="ORD000058"/>
    <s v="Pedro López"/>
    <s v="pedro.lópez@mail.com"/>
    <x v="4"/>
    <s v="Lyon"/>
    <x v="3"/>
    <x v="4"/>
    <n v="4"/>
    <n v="903.08"/>
    <n v="3612.32"/>
    <x v="9"/>
    <x v="0"/>
    <x v="57"/>
    <x v="0"/>
  </r>
  <r>
    <s v="ORD000059"/>
    <s v="Carlos Gil"/>
    <s v="carlos.gil@mail.com"/>
    <x v="2"/>
    <s v="Lisboa"/>
    <x v="3"/>
    <x v="15"/>
    <n v="4"/>
    <n v="1119.1400000000001"/>
    <n v="4476.5600000000004"/>
    <x v="4"/>
    <x v="1"/>
    <x v="58"/>
    <x v="0"/>
  </r>
  <r>
    <s v="ORD000060"/>
    <s v="María Fernández"/>
    <s v="maría.fernández@mail.com"/>
    <x v="3"/>
    <s v="Milán"/>
    <x v="0"/>
    <x v="0"/>
    <n v="2"/>
    <n v="1318.75"/>
    <n v="2637.5"/>
    <x v="10"/>
    <x v="0"/>
    <x v="59"/>
    <x v="4"/>
  </r>
  <r>
    <s v="ORD000061"/>
    <s v="Pedro Vázquez"/>
    <s v="pedro.vázquez@mail.com"/>
    <x v="2"/>
    <s v="Lisboa"/>
    <x v="3"/>
    <x v="15"/>
    <n v="1"/>
    <n v="629.77"/>
    <n v="629.77"/>
    <x v="3"/>
    <x v="1"/>
    <x v="60"/>
    <x v="2"/>
  </r>
  <r>
    <s v="ORD000062"/>
    <s v="Javier Gil"/>
    <s v="javier.gil@mail.com"/>
    <x v="0"/>
    <s v="Valencia"/>
    <x v="1"/>
    <x v="6"/>
    <n v="4"/>
    <n v="194.98"/>
    <n v="779.92"/>
    <x v="8"/>
    <x v="0"/>
    <x v="61"/>
    <x v="2"/>
  </r>
  <r>
    <s v="ORD000063"/>
    <s v="Miguel Sánchez"/>
    <s v="miguel.sánchez@mail.com"/>
    <x v="2"/>
    <s v="Oporto"/>
    <x v="3"/>
    <x v="4"/>
    <n v="1"/>
    <n v="643.64"/>
    <n v="643.64"/>
    <x v="7"/>
    <x v="0"/>
    <x v="62"/>
    <x v="3"/>
  </r>
  <r>
    <s v="ORD000064"/>
    <s v="Miguel López"/>
    <s v="miguel.lópez@mail.com"/>
    <x v="1"/>
    <s v="Berlín"/>
    <x v="3"/>
    <x v="15"/>
    <n v="1"/>
    <n v="601.29999999999995"/>
    <n v="601.29999999999995"/>
    <x v="2"/>
    <x v="0"/>
    <x v="63"/>
    <x v="4"/>
  </r>
  <r>
    <s v="ORD000065"/>
    <s v="Elena Torres"/>
    <s v="elena.torres@mail.com"/>
    <x v="3"/>
    <s v="Milán"/>
    <x v="1"/>
    <x v="1"/>
    <n v="2"/>
    <n v="236.03"/>
    <n v="472.06"/>
    <x v="7"/>
    <x v="1"/>
    <x v="64"/>
    <x v="2"/>
  </r>
  <r>
    <s v="ORD000066"/>
    <s v="Carmen Díaz"/>
    <s v="carmen.díaz@mail.com"/>
    <x v="2"/>
    <s v="Braga"/>
    <x v="4"/>
    <x v="21"/>
    <n v="3"/>
    <n v="425.78"/>
    <n v="1277.3399999999999"/>
    <x v="8"/>
    <x v="1"/>
    <x v="65"/>
    <x v="3"/>
  </r>
  <r>
    <s v="ORD000067"/>
    <s v="Ana López"/>
    <s v="ana.lópez@mail.com"/>
    <x v="0"/>
    <s v="Sevilla"/>
    <x v="2"/>
    <x v="10"/>
    <n v="1"/>
    <n v="1161.6099999999999"/>
    <n v="1161.6099999999999"/>
    <x v="8"/>
    <x v="0"/>
    <x v="66"/>
    <x v="3"/>
  </r>
  <r>
    <s v="ORD000068"/>
    <s v="Carmen Navarro"/>
    <s v="carmen.navarro@mail.com"/>
    <x v="2"/>
    <s v="Lisboa"/>
    <x v="0"/>
    <x v="17"/>
    <n v="3"/>
    <n v="1151.94"/>
    <n v="3455.82"/>
    <x v="6"/>
    <x v="0"/>
    <x v="67"/>
    <x v="2"/>
  </r>
  <r>
    <s v="ORD000069"/>
    <s v="Raúl Alonso"/>
    <s v="raúl.alonso@mail.com"/>
    <x v="1"/>
    <s v="Hamburgo"/>
    <x v="4"/>
    <x v="21"/>
    <n v="3"/>
    <n v="373.06"/>
    <n v="1119.18"/>
    <x v="11"/>
    <x v="1"/>
    <x v="68"/>
    <x v="2"/>
  </r>
  <r>
    <s v="ORD000070"/>
    <s v="Elena Gil"/>
    <s v="elena.gil@mail.com"/>
    <x v="0"/>
    <s v="Bilbao"/>
    <x v="3"/>
    <x v="15"/>
    <n v="2"/>
    <n v="1419.18"/>
    <n v="2838.36"/>
    <x v="2"/>
    <x v="0"/>
    <x v="69"/>
    <x v="4"/>
  </r>
  <r>
    <s v="ORD000071"/>
    <s v="Luis Vázquez"/>
    <s v="luis.vázquez@mail.com"/>
    <x v="4"/>
    <s v="Marsella"/>
    <x v="1"/>
    <x v="6"/>
    <n v="4"/>
    <n v="1059.96"/>
    <n v="4239.84"/>
    <x v="9"/>
    <x v="0"/>
    <x v="70"/>
    <x v="0"/>
  </r>
  <r>
    <s v="ORD000072"/>
    <s v="Diego Díaz"/>
    <s v="diego.díaz@mail.com"/>
    <x v="4"/>
    <s v="Lyon"/>
    <x v="2"/>
    <x v="19"/>
    <n v="5"/>
    <n v="848.14"/>
    <n v="4240.7"/>
    <x v="2"/>
    <x v="1"/>
    <x v="14"/>
    <x v="3"/>
  </r>
  <r>
    <s v="ORD000073"/>
    <s v="Elena García"/>
    <s v="elena.garcía@mail.com"/>
    <x v="1"/>
    <s v="Múnich"/>
    <x v="1"/>
    <x v="12"/>
    <n v="5"/>
    <n v="658.67"/>
    <n v="3293.35"/>
    <x v="7"/>
    <x v="1"/>
    <x v="71"/>
    <x v="4"/>
  </r>
  <r>
    <s v="ORD000074"/>
    <s v="Elena Navarro"/>
    <s v="elena.navarro@mail.com"/>
    <x v="0"/>
    <s v="Barcelona"/>
    <x v="3"/>
    <x v="7"/>
    <n v="2"/>
    <n v="1384.79"/>
    <n v="2769.58"/>
    <x v="10"/>
    <x v="0"/>
    <x v="72"/>
    <x v="3"/>
  </r>
  <r>
    <s v="ORD000075"/>
    <s v="Lucía Ramos"/>
    <s v="lucía.ramos@mail.com"/>
    <x v="0"/>
    <s v="Sevilla"/>
    <x v="1"/>
    <x v="1"/>
    <n v="3"/>
    <n v="384.24"/>
    <n v="1152.72"/>
    <x v="8"/>
    <x v="0"/>
    <x v="47"/>
    <x v="0"/>
  </r>
  <r>
    <s v="ORD000076"/>
    <s v="Carmen Vázquez"/>
    <s v="carmen.vázquez@mail.com"/>
    <x v="2"/>
    <s v="Oporto"/>
    <x v="2"/>
    <x v="9"/>
    <n v="3"/>
    <n v="1350.86"/>
    <n v="4052.58"/>
    <x v="8"/>
    <x v="1"/>
    <x v="73"/>
    <x v="3"/>
  </r>
  <r>
    <s v="ORD000077"/>
    <s v="Pablo Gil"/>
    <s v="pablo.gil@mail.com"/>
    <x v="3"/>
    <s v="Milán"/>
    <x v="0"/>
    <x v="20"/>
    <n v="2"/>
    <n v="1020.73"/>
    <n v="2041.46"/>
    <x v="3"/>
    <x v="0"/>
    <x v="31"/>
    <x v="2"/>
  </r>
  <r>
    <s v="ORD000078"/>
    <s v="Carlos García"/>
    <s v="carlos.garcía@mail.com"/>
    <x v="2"/>
    <s v="Braga"/>
    <x v="1"/>
    <x v="8"/>
    <n v="2"/>
    <n v="484.03"/>
    <n v="968.06"/>
    <x v="2"/>
    <x v="0"/>
    <x v="74"/>
    <x v="0"/>
  </r>
  <r>
    <s v="ORD000079"/>
    <s v="Javier Navarro"/>
    <s v="javier.navarro@mail.com"/>
    <x v="1"/>
    <s v="Berlín"/>
    <x v="3"/>
    <x v="5"/>
    <n v="4"/>
    <n v="402.26"/>
    <n v="1609.04"/>
    <x v="7"/>
    <x v="1"/>
    <x v="75"/>
    <x v="3"/>
  </r>
  <r>
    <s v="ORD000080"/>
    <s v="Pablo Fernández"/>
    <s v="pablo.fernández@mail.com"/>
    <x v="0"/>
    <s v="Sevilla"/>
    <x v="0"/>
    <x v="0"/>
    <n v="5"/>
    <n v="366.34"/>
    <n v="1831.6999999999998"/>
    <x v="11"/>
    <x v="1"/>
    <x v="76"/>
    <x v="2"/>
  </r>
  <r>
    <s v="ORD000081"/>
    <s v="Carlos Gómez"/>
    <s v="carlos.gómez@mail.com"/>
    <x v="2"/>
    <s v="Oporto"/>
    <x v="0"/>
    <x v="13"/>
    <n v="4"/>
    <n v="1158.5"/>
    <n v="4634"/>
    <x v="6"/>
    <x v="0"/>
    <x v="77"/>
    <x v="1"/>
  </r>
  <r>
    <s v="ORD000082"/>
    <s v="Pablo Ruiz"/>
    <s v="pablo.ruiz@mail.com"/>
    <x v="1"/>
    <s v="Hamburgo"/>
    <x v="1"/>
    <x v="12"/>
    <n v="4"/>
    <n v="676.92"/>
    <n v="2707.68"/>
    <x v="3"/>
    <x v="0"/>
    <x v="78"/>
    <x v="3"/>
  </r>
  <r>
    <s v="ORD000083"/>
    <s v="Elena Gil"/>
    <s v="elena.gil@mail.com"/>
    <x v="0"/>
    <s v="Barcelona"/>
    <x v="4"/>
    <x v="22"/>
    <n v="3"/>
    <n v="1317.26"/>
    <n v="3951.7799999999997"/>
    <x v="7"/>
    <x v="0"/>
    <x v="79"/>
    <x v="1"/>
  </r>
  <r>
    <s v="ORD000084"/>
    <s v="Carlos Martínez"/>
    <s v="carlos.martínez@mail.com"/>
    <x v="1"/>
    <s v="Múnich"/>
    <x v="0"/>
    <x v="17"/>
    <n v="4"/>
    <n v="685.52"/>
    <n v="2742.08"/>
    <x v="0"/>
    <x v="0"/>
    <x v="80"/>
    <x v="2"/>
  </r>
  <r>
    <s v="ORD000085"/>
    <s v="Elena López"/>
    <s v="elena.lópez@mail.com"/>
    <x v="0"/>
    <s v="Barcelona"/>
    <x v="1"/>
    <x v="2"/>
    <n v="5"/>
    <n v="532.41"/>
    <n v="2662.0499999999997"/>
    <x v="1"/>
    <x v="0"/>
    <x v="81"/>
    <x v="2"/>
  </r>
  <r>
    <s v="ORD000086"/>
    <s v="Ana Ramos"/>
    <s v="ana.ramos@mail.com"/>
    <x v="2"/>
    <s v="Braga"/>
    <x v="3"/>
    <x v="18"/>
    <n v="2"/>
    <n v="221.97"/>
    <n v="443.94"/>
    <x v="5"/>
    <x v="1"/>
    <x v="82"/>
    <x v="3"/>
  </r>
  <r>
    <s v="ORD000087"/>
    <s v="Luis Martínez"/>
    <s v="luis.martínez@mail.com"/>
    <x v="3"/>
    <s v="Nápoles"/>
    <x v="2"/>
    <x v="15"/>
    <n v="2"/>
    <n v="1321.24"/>
    <n v="2642.48"/>
    <x v="10"/>
    <x v="2"/>
    <x v="83"/>
    <x v="1"/>
  </r>
  <r>
    <s v="ORD000088"/>
    <s v="Pablo Alonso"/>
    <s v="pablo.alonso@mail.com"/>
    <x v="2"/>
    <s v="Oporto"/>
    <x v="1"/>
    <x v="2"/>
    <n v="4"/>
    <n v="591.25"/>
    <n v="2365"/>
    <x v="10"/>
    <x v="0"/>
    <x v="84"/>
    <x v="2"/>
  </r>
  <r>
    <s v="ORD000089"/>
    <s v="Luis Ruiz"/>
    <s v="luis.ruiz@mail.com"/>
    <x v="4"/>
    <s v="Marsella"/>
    <x v="1"/>
    <x v="8"/>
    <n v="4"/>
    <n v="76.22"/>
    <n v="304.88"/>
    <x v="1"/>
    <x v="1"/>
    <x v="85"/>
    <x v="0"/>
  </r>
  <r>
    <s v="ORD000090"/>
    <s v="Elena Vázquez"/>
    <s v="elena.vázquez@mail.com"/>
    <x v="2"/>
    <s v="Braga"/>
    <x v="0"/>
    <x v="0"/>
    <n v="1"/>
    <n v="595.85"/>
    <n v="595.85"/>
    <x v="6"/>
    <x v="1"/>
    <x v="86"/>
    <x v="4"/>
  </r>
  <r>
    <s v="ORD000091"/>
    <s v="Carmen Gil"/>
    <s v="carmen.gil@mail.com"/>
    <x v="3"/>
    <s v="Milán"/>
    <x v="0"/>
    <x v="13"/>
    <n v="2"/>
    <n v="1397.02"/>
    <n v="2794.04"/>
    <x v="5"/>
    <x v="0"/>
    <x v="87"/>
    <x v="2"/>
  </r>
  <r>
    <s v="ORD000092"/>
    <s v="Sofía Ruiz"/>
    <s v="sofía.ruiz@mail.com"/>
    <x v="2"/>
    <s v="Lisboa"/>
    <x v="2"/>
    <x v="15"/>
    <n v="2"/>
    <n v="27.37"/>
    <n v="54.74"/>
    <x v="8"/>
    <x v="0"/>
    <x v="88"/>
    <x v="1"/>
  </r>
  <r>
    <s v="ORD000093"/>
    <s v="María López"/>
    <s v="maría.lópez@mail.com"/>
    <x v="2"/>
    <s v="Lisboa"/>
    <x v="0"/>
    <x v="0"/>
    <n v="5"/>
    <n v="756.33"/>
    <n v="3781.65"/>
    <x v="5"/>
    <x v="1"/>
    <x v="89"/>
    <x v="1"/>
  </r>
  <r>
    <s v="ORD000094"/>
    <s v="Pedro Navarro"/>
    <s v="pedro.navarro@mail.com"/>
    <x v="3"/>
    <s v="Roma"/>
    <x v="4"/>
    <x v="14"/>
    <n v="4"/>
    <n v="1223.7"/>
    <n v="4894.8"/>
    <x v="3"/>
    <x v="1"/>
    <x v="90"/>
    <x v="1"/>
  </r>
  <r>
    <s v="ORD000095"/>
    <s v="Miguel Pérez"/>
    <s v="miguel.pérez@mail.com"/>
    <x v="1"/>
    <s v="Múnich"/>
    <x v="0"/>
    <x v="20"/>
    <n v="1"/>
    <n v="136.19"/>
    <n v="136.19"/>
    <x v="7"/>
    <x v="0"/>
    <x v="91"/>
    <x v="1"/>
  </r>
  <r>
    <s v="ORD000096"/>
    <s v="Javier López"/>
    <s v="javier.lópez@mail.com"/>
    <x v="1"/>
    <s v="Berlín"/>
    <x v="4"/>
    <x v="14"/>
    <n v="4"/>
    <n v="1303.0999999999999"/>
    <n v="5212.3999999999996"/>
    <x v="3"/>
    <x v="1"/>
    <x v="92"/>
    <x v="1"/>
  </r>
  <r>
    <s v="ORD000097"/>
    <s v="María Pérez"/>
    <s v="maría.pérez@mail.com"/>
    <x v="4"/>
    <s v="París"/>
    <x v="2"/>
    <x v="10"/>
    <n v="2"/>
    <n v="1065.43"/>
    <n v="2130.86"/>
    <x v="7"/>
    <x v="0"/>
    <x v="93"/>
    <x v="4"/>
  </r>
  <r>
    <s v="ORD000098"/>
    <s v="Lucía López"/>
    <s v="lucía.lópez@mail.com"/>
    <x v="1"/>
    <s v="Múnich"/>
    <x v="2"/>
    <x v="19"/>
    <n v="3"/>
    <n v="1117.21"/>
    <n v="3351.63"/>
    <x v="11"/>
    <x v="0"/>
    <x v="94"/>
    <x v="4"/>
  </r>
  <r>
    <s v="ORD000099"/>
    <s v="Miguel Rodríguez"/>
    <s v="miguel.rodríguez@mail.com"/>
    <x v="3"/>
    <s v="Roma"/>
    <x v="1"/>
    <x v="12"/>
    <n v="2"/>
    <n v="1219.76"/>
    <n v="2439.52"/>
    <x v="7"/>
    <x v="0"/>
    <x v="62"/>
    <x v="1"/>
  </r>
  <r>
    <s v="ORD000100"/>
    <s v="Sofía Díaz"/>
    <s v="sofía.díaz@mail.com"/>
    <x v="2"/>
    <s v="Lisboa"/>
    <x v="1"/>
    <x v="2"/>
    <n v="1"/>
    <n v="896.06"/>
    <n v="896.06"/>
    <x v="5"/>
    <x v="0"/>
    <x v="95"/>
    <x v="2"/>
  </r>
  <r>
    <s v="ORD000101"/>
    <s v="Luis Vázquez"/>
    <s v="luis.vázquez@mail.com"/>
    <x v="4"/>
    <s v="Lyon"/>
    <x v="4"/>
    <x v="21"/>
    <n v="3"/>
    <n v="738.48"/>
    <n v="2215.44"/>
    <x v="5"/>
    <x v="2"/>
    <x v="96"/>
    <x v="3"/>
  </r>
  <r>
    <s v="ORD000102"/>
    <s v="Lucía García"/>
    <s v="lucía.garcía@mail.com"/>
    <x v="0"/>
    <s v="Madrid"/>
    <x v="4"/>
    <x v="22"/>
    <n v="5"/>
    <n v="1099.57"/>
    <n v="5497.8499999999995"/>
    <x v="7"/>
    <x v="1"/>
    <x v="97"/>
    <x v="4"/>
  </r>
  <r>
    <s v="ORD000103"/>
    <s v="Laura Alonso"/>
    <s v="laura.alonso@mail.com"/>
    <x v="0"/>
    <s v="Bilbao"/>
    <x v="3"/>
    <x v="4"/>
    <n v="4"/>
    <n v="847.54"/>
    <n v="3390.16"/>
    <x v="10"/>
    <x v="2"/>
    <x v="98"/>
    <x v="4"/>
  </r>
  <r>
    <s v="ORD000104"/>
    <s v="Raúl Pérez"/>
    <s v="raúl.pérez@mail.com"/>
    <x v="1"/>
    <s v="Hamburgo"/>
    <x v="1"/>
    <x v="12"/>
    <n v="3"/>
    <n v="11.59"/>
    <n v="34.769999999999996"/>
    <x v="2"/>
    <x v="0"/>
    <x v="69"/>
    <x v="2"/>
  </r>
  <r>
    <s v="ORD000105"/>
    <s v="Diego Rodríguez"/>
    <s v="diego.rodríguez@mail.com"/>
    <x v="3"/>
    <s v="Roma"/>
    <x v="2"/>
    <x v="15"/>
    <n v="5"/>
    <n v="164.65"/>
    <n v="823.25"/>
    <x v="3"/>
    <x v="1"/>
    <x v="99"/>
    <x v="3"/>
  </r>
  <r>
    <s v="ORD000106"/>
    <s v="Laura Ramos"/>
    <s v="laura.ramos@mail.com"/>
    <x v="3"/>
    <s v="Nápoles"/>
    <x v="1"/>
    <x v="12"/>
    <n v="4"/>
    <n v="51.36"/>
    <n v="205.44"/>
    <x v="10"/>
    <x v="1"/>
    <x v="100"/>
    <x v="0"/>
  </r>
  <r>
    <s v="ORD000107"/>
    <s v="Carlos Fernández"/>
    <s v="carlos.fernández@mail.com"/>
    <x v="4"/>
    <s v="París"/>
    <x v="3"/>
    <x v="18"/>
    <n v="4"/>
    <n v="1258.03"/>
    <n v="5032.12"/>
    <x v="10"/>
    <x v="2"/>
    <x v="101"/>
    <x v="2"/>
  </r>
  <r>
    <s v="ORD000108"/>
    <s v="Lucía García"/>
    <s v="lucía.garcía@mail.com"/>
    <x v="1"/>
    <s v="Múnich"/>
    <x v="2"/>
    <x v="19"/>
    <n v="4"/>
    <n v="1255.8699999999999"/>
    <n v="5023.4799999999996"/>
    <x v="6"/>
    <x v="1"/>
    <x v="102"/>
    <x v="4"/>
  </r>
  <r>
    <s v="ORD000109"/>
    <s v="Diego Ramos"/>
    <s v="diego.ramos@mail.com"/>
    <x v="0"/>
    <s v="Barcelona"/>
    <x v="3"/>
    <x v="4"/>
    <n v="2"/>
    <n v="896.52"/>
    <n v="1793.04"/>
    <x v="5"/>
    <x v="1"/>
    <x v="103"/>
    <x v="0"/>
  </r>
  <r>
    <s v="ORD000110"/>
    <s v="Diego Alonso"/>
    <s v="diego.alonso@mail.com"/>
    <x v="3"/>
    <s v="Milán"/>
    <x v="1"/>
    <x v="8"/>
    <n v="2"/>
    <n v="487.49"/>
    <n v="974.98"/>
    <x v="9"/>
    <x v="1"/>
    <x v="104"/>
    <x v="0"/>
  </r>
  <r>
    <s v="ORD000111"/>
    <s v="Miguel Sánchez"/>
    <s v="miguel.sánchez@mail.com"/>
    <x v="4"/>
    <s v="Lyon"/>
    <x v="1"/>
    <x v="8"/>
    <n v="1"/>
    <n v="374.6"/>
    <n v="374.6"/>
    <x v="5"/>
    <x v="1"/>
    <x v="105"/>
    <x v="3"/>
  </r>
  <r>
    <s v="ORD000112"/>
    <s v="Pedro Gil"/>
    <s v="pedro.gil@mail.com"/>
    <x v="2"/>
    <s v="Braga"/>
    <x v="1"/>
    <x v="2"/>
    <n v="4"/>
    <n v="761.97"/>
    <n v="3047.88"/>
    <x v="1"/>
    <x v="1"/>
    <x v="106"/>
    <x v="3"/>
  </r>
  <r>
    <s v="ORD000113"/>
    <s v="Pedro Díaz"/>
    <s v="pedro.díaz@mail.com"/>
    <x v="4"/>
    <s v="París"/>
    <x v="4"/>
    <x v="21"/>
    <n v="1"/>
    <n v="1374.43"/>
    <n v="1374.43"/>
    <x v="6"/>
    <x v="1"/>
    <x v="86"/>
    <x v="2"/>
  </r>
  <r>
    <s v="ORD000114"/>
    <s v="Luis Martínez"/>
    <s v="luis.martínez@mail.com"/>
    <x v="1"/>
    <s v="Múnich"/>
    <x v="2"/>
    <x v="19"/>
    <n v="5"/>
    <n v="833.26"/>
    <n v="4166.3"/>
    <x v="8"/>
    <x v="1"/>
    <x v="107"/>
    <x v="2"/>
  </r>
  <r>
    <s v="ORD000115"/>
    <s v="Elena Navarro"/>
    <s v="elena.navarro@mail.com"/>
    <x v="1"/>
    <s v="Berlín"/>
    <x v="1"/>
    <x v="2"/>
    <n v="2"/>
    <n v="614.83000000000004"/>
    <n v="1229.6600000000001"/>
    <x v="0"/>
    <x v="0"/>
    <x v="108"/>
    <x v="0"/>
  </r>
  <r>
    <s v="ORD000116"/>
    <s v="Carlos Pérez"/>
    <s v="carlos.pérez@mail.com"/>
    <x v="4"/>
    <s v="Marsella"/>
    <x v="3"/>
    <x v="7"/>
    <n v="4"/>
    <n v="1481.6"/>
    <n v="5926.4"/>
    <x v="8"/>
    <x v="0"/>
    <x v="109"/>
    <x v="4"/>
  </r>
  <r>
    <s v="ORD000117"/>
    <s v="Laura Alonso"/>
    <s v="laura.alonso@mail.com"/>
    <x v="4"/>
    <s v="Lyon"/>
    <x v="0"/>
    <x v="0"/>
    <n v="4"/>
    <n v="95.67"/>
    <n v="382.68"/>
    <x v="4"/>
    <x v="1"/>
    <x v="7"/>
    <x v="0"/>
  </r>
  <r>
    <s v="ORD000118"/>
    <s v="Laura Gil"/>
    <s v="laura.gil@mail.com"/>
    <x v="4"/>
    <s v="Lyon"/>
    <x v="0"/>
    <x v="20"/>
    <n v="5"/>
    <n v="224.04"/>
    <n v="1120.2"/>
    <x v="3"/>
    <x v="0"/>
    <x v="110"/>
    <x v="0"/>
  </r>
  <r>
    <s v="ORD000119"/>
    <s v="Laura Gómez"/>
    <s v="laura.gómez@mail.com"/>
    <x v="3"/>
    <s v="Nápoles"/>
    <x v="4"/>
    <x v="22"/>
    <n v="5"/>
    <n v="875.93"/>
    <n v="4379.6499999999996"/>
    <x v="6"/>
    <x v="0"/>
    <x v="111"/>
    <x v="0"/>
  </r>
  <r>
    <s v="ORD000120"/>
    <s v="Luis Vázquez"/>
    <s v="luis.vázquez@mail.com"/>
    <x v="4"/>
    <s v="París"/>
    <x v="2"/>
    <x v="10"/>
    <n v="5"/>
    <n v="368.84"/>
    <n v="1844.1999999999998"/>
    <x v="11"/>
    <x v="0"/>
    <x v="112"/>
    <x v="0"/>
  </r>
  <r>
    <s v="ORD000121"/>
    <s v="Laura García"/>
    <s v="laura.garcía@mail.com"/>
    <x v="4"/>
    <s v="París"/>
    <x v="1"/>
    <x v="2"/>
    <n v="2"/>
    <n v="176.75"/>
    <n v="353.5"/>
    <x v="10"/>
    <x v="2"/>
    <x v="113"/>
    <x v="2"/>
  </r>
  <r>
    <s v="ORD000122"/>
    <s v="Sofía Gómez"/>
    <s v="sofía.gómez@mail.com"/>
    <x v="2"/>
    <s v="Lisboa"/>
    <x v="4"/>
    <x v="21"/>
    <n v="1"/>
    <n v="429.48"/>
    <n v="429.48"/>
    <x v="0"/>
    <x v="0"/>
    <x v="114"/>
    <x v="2"/>
  </r>
  <r>
    <s v="ORD000123"/>
    <s v="Miguel Ramos"/>
    <s v="miguel.ramos@mail.com"/>
    <x v="2"/>
    <s v="Braga"/>
    <x v="3"/>
    <x v="18"/>
    <n v="4"/>
    <n v="231.9"/>
    <n v="927.6"/>
    <x v="5"/>
    <x v="1"/>
    <x v="115"/>
    <x v="0"/>
  </r>
  <r>
    <s v="ORD000124"/>
    <s v="Luis Martínez"/>
    <s v="luis.martínez@mail.com"/>
    <x v="4"/>
    <s v="Lyon"/>
    <x v="4"/>
    <x v="21"/>
    <n v="4"/>
    <n v="167.31"/>
    <n v="669.24"/>
    <x v="2"/>
    <x v="0"/>
    <x v="116"/>
    <x v="4"/>
  </r>
  <r>
    <s v="ORD000125"/>
    <s v="Carmen Alonso"/>
    <s v="carmen.alonso@mail.com"/>
    <x v="2"/>
    <s v="Braga"/>
    <x v="1"/>
    <x v="6"/>
    <n v="5"/>
    <n v="79.64"/>
    <n v="398.2"/>
    <x v="2"/>
    <x v="0"/>
    <x v="117"/>
    <x v="3"/>
  </r>
  <r>
    <s v="ORD000126"/>
    <s v="Elena Martínez"/>
    <s v="elena.martínez@mail.com"/>
    <x v="4"/>
    <s v="Marsella"/>
    <x v="0"/>
    <x v="17"/>
    <n v="1"/>
    <n v="377.23"/>
    <n v="377.23"/>
    <x v="7"/>
    <x v="0"/>
    <x v="118"/>
    <x v="0"/>
  </r>
  <r>
    <s v="ORD000127"/>
    <s v="Carmen Fernández"/>
    <s v="carmen.fernández@mail.com"/>
    <x v="3"/>
    <s v="Milán"/>
    <x v="3"/>
    <x v="7"/>
    <n v="2"/>
    <n v="960.39"/>
    <n v="1920.78"/>
    <x v="10"/>
    <x v="2"/>
    <x v="119"/>
    <x v="1"/>
  </r>
  <r>
    <s v="ORD000128"/>
    <s v="Javier Rodríguez"/>
    <s v="javier.rodríguez@mail.com"/>
    <x v="3"/>
    <s v="Milán"/>
    <x v="1"/>
    <x v="12"/>
    <n v="4"/>
    <n v="490.83"/>
    <n v="1963.32"/>
    <x v="11"/>
    <x v="0"/>
    <x v="120"/>
    <x v="4"/>
  </r>
  <r>
    <s v="ORD000129"/>
    <s v="Lucía Alonso"/>
    <s v="lucía.alonso@mail.com"/>
    <x v="2"/>
    <s v="Braga"/>
    <x v="4"/>
    <x v="22"/>
    <n v="2"/>
    <n v="956.51"/>
    <n v="1913.02"/>
    <x v="5"/>
    <x v="0"/>
    <x v="21"/>
    <x v="0"/>
  </r>
  <r>
    <s v="ORD000130"/>
    <s v="Lucía Sánchez"/>
    <s v="lucía.sánchez@mail.com"/>
    <x v="3"/>
    <s v="Milán"/>
    <x v="4"/>
    <x v="11"/>
    <n v="1"/>
    <n v="319.20999999999998"/>
    <n v="319.20999999999998"/>
    <x v="11"/>
    <x v="1"/>
    <x v="121"/>
    <x v="2"/>
  </r>
  <r>
    <s v="ORD000131"/>
    <s v="Javier López"/>
    <s v="javier.lópez@mail.com"/>
    <x v="4"/>
    <s v="Lyon"/>
    <x v="0"/>
    <x v="20"/>
    <n v="5"/>
    <n v="183.49"/>
    <n v="917.45"/>
    <x v="8"/>
    <x v="0"/>
    <x v="46"/>
    <x v="0"/>
  </r>
  <r>
    <s v="ORD000132"/>
    <s v="Carmen Gil"/>
    <s v="carmen.gil@mail.com"/>
    <x v="3"/>
    <s v="Nápoles"/>
    <x v="2"/>
    <x v="19"/>
    <n v="2"/>
    <n v="418.61"/>
    <n v="837.22"/>
    <x v="2"/>
    <x v="2"/>
    <x v="122"/>
    <x v="0"/>
  </r>
  <r>
    <s v="ORD000133"/>
    <s v="Javier Rodríguez"/>
    <s v="javier.rodríguez@mail.com"/>
    <x v="2"/>
    <s v="Oporto"/>
    <x v="3"/>
    <x v="5"/>
    <n v="1"/>
    <n v="580.89"/>
    <n v="580.89"/>
    <x v="2"/>
    <x v="1"/>
    <x v="123"/>
    <x v="2"/>
  </r>
  <r>
    <s v="ORD000134"/>
    <s v="Javier Torres"/>
    <s v="javier.torres@mail.com"/>
    <x v="4"/>
    <s v="Marsella"/>
    <x v="1"/>
    <x v="1"/>
    <n v="4"/>
    <n v="1475.99"/>
    <n v="5903.96"/>
    <x v="8"/>
    <x v="1"/>
    <x v="124"/>
    <x v="1"/>
  </r>
  <r>
    <s v="ORD000135"/>
    <s v="Lucía Gómez"/>
    <s v="lucía.gómez@mail.com"/>
    <x v="3"/>
    <s v="Nápoles"/>
    <x v="4"/>
    <x v="14"/>
    <n v="2"/>
    <n v="703.7"/>
    <n v="1407.4"/>
    <x v="3"/>
    <x v="1"/>
    <x v="125"/>
    <x v="2"/>
  </r>
  <r>
    <s v="ORD000136"/>
    <s v="Ana Martínez"/>
    <s v="ana.martínez@mail.com"/>
    <x v="1"/>
    <s v="Hamburgo"/>
    <x v="2"/>
    <x v="15"/>
    <n v="5"/>
    <n v="220.95"/>
    <n v="1104.75"/>
    <x v="11"/>
    <x v="0"/>
    <x v="126"/>
    <x v="3"/>
  </r>
  <r>
    <s v="ORD000137"/>
    <s v="Ana Vázquez"/>
    <s v="ana.vázquez@mail.com"/>
    <x v="0"/>
    <s v="Bilbao"/>
    <x v="4"/>
    <x v="21"/>
    <n v="3"/>
    <n v="547.20000000000005"/>
    <n v="1641.6000000000001"/>
    <x v="2"/>
    <x v="2"/>
    <x v="127"/>
    <x v="0"/>
  </r>
  <r>
    <s v="ORD000138"/>
    <s v="Diego López"/>
    <s v="diego.lópez@mail.com"/>
    <x v="3"/>
    <s v="Milán"/>
    <x v="0"/>
    <x v="0"/>
    <n v="4"/>
    <n v="1357.34"/>
    <n v="5429.36"/>
    <x v="10"/>
    <x v="0"/>
    <x v="128"/>
    <x v="4"/>
  </r>
  <r>
    <s v="ORD000139"/>
    <s v="Raúl Ruiz"/>
    <s v="raúl.ruiz@mail.com"/>
    <x v="3"/>
    <s v="Roma"/>
    <x v="1"/>
    <x v="8"/>
    <n v="4"/>
    <n v="831.82"/>
    <n v="3327.28"/>
    <x v="2"/>
    <x v="1"/>
    <x v="129"/>
    <x v="1"/>
  </r>
  <r>
    <s v="ORD000140"/>
    <s v="Ana Rodríguez"/>
    <s v="ana.rodríguez@mail.com"/>
    <x v="2"/>
    <s v="Oporto"/>
    <x v="1"/>
    <x v="12"/>
    <n v="1"/>
    <n v="1194.4000000000001"/>
    <n v="1194.4000000000001"/>
    <x v="5"/>
    <x v="1"/>
    <x v="130"/>
    <x v="4"/>
  </r>
  <r>
    <s v="ORD000141"/>
    <s v="Luis Ramos"/>
    <s v="luis.ramos@mail.com"/>
    <x v="2"/>
    <s v="Oporto"/>
    <x v="1"/>
    <x v="12"/>
    <n v="5"/>
    <n v="1464.72"/>
    <n v="7323.6"/>
    <x v="2"/>
    <x v="1"/>
    <x v="32"/>
    <x v="3"/>
  </r>
  <r>
    <s v="ORD000142"/>
    <s v="Luis García"/>
    <s v="luis.garcía@mail.com"/>
    <x v="2"/>
    <s v="Oporto"/>
    <x v="1"/>
    <x v="8"/>
    <n v="5"/>
    <n v="93.77"/>
    <n v="468.84999999999997"/>
    <x v="1"/>
    <x v="0"/>
    <x v="81"/>
    <x v="3"/>
  </r>
  <r>
    <s v="ORD000143"/>
    <s v="Diego Ruiz"/>
    <s v="diego.ruiz@mail.com"/>
    <x v="0"/>
    <s v="Bilbao"/>
    <x v="1"/>
    <x v="6"/>
    <n v="2"/>
    <n v="358.01"/>
    <n v="716.02"/>
    <x v="10"/>
    <x v="0"/>
    <x v="131"/>
    <x v="3"/>
  </r>
  <r>
    <s v="ORD000144"/>
    <s v="María Torres"/>
    <s v="maría.torres@mail.com"/>
    <x v="4"/>
    <s v="Lyon"/>
    <x v="3"/>
    <x v="5"/>
    <n v="1"/>
    <n v="244.03"/>
    <n v="244.03"/>
    <x v="2"/>
    <x v="0"/>
    <x v="132"/>
    <x v="3"/>
  </r>
  <r>
    <s v="ORD000145"/>
    <s v="Ana Pérez"/>
    <s v="ana.pérez@mail.com"/>
    <x v="2"/>
    <s v="Braga"/>
    <x v="1"/>
    <x v="8"/>
    <n v="4"/>
    <n v="747.78"/>
    <n v="2991.12"/>
    <x v="4"/>
    <x v="1"/>
    <x v="133"/>
    <x v="1"/>
  </r>
  <r>
    <s v="ORD000146"/>
    <s v="María Díaz"/>
    <s v="maría.díaz@mail.com"/>
    <x v="1"/>
    <s v="Berlín"/>
    <x v="1"/>
    <x v="2"/>
    <n v="2"/>
    <n v="1471.58"/>
    <n v="2943.16"/>
    <x v="8"/>
    <x v="0"/>
    <x v="134"/>
    <x v="4"/>
  </r>
  <r>
    <s v="ORD000147"/>
    <s v="Javier Navarro"/>
    <s v="javier.navarro@mail.com"/>
    <x v="3"/>
    <s v="Nápoles"/>
    <x v="2"/>
    <x v="9"/>
    <n v="1"/>
    <n v="1158.81"/>
    <n v="1158.81"/>
    <x v="3"/>
    <x v="0"/>
    <x v="135"/>
    <x v="1"/>
  </r>
  <r>
    <s v="ORD000148"/>
    <s v="Carmen Ramos"/>
    <s v="carmen.ramos@mail.com"/>
    <x v="1"/>
    <s v="Múnich"/>
    <x v="2"/>
    <x v="3"/>
    <n v="3"/>
    <n v="786.29"/>
    <n v="2358.87"/>
    <x v="8"/>
    <x v="0"/>
    <x v="109"/>
    <x v="3"/>
  </r>
  <r>
    <s v="ORD000149"/>
    <s v="María López"/>
    <s v="maría.lópez@mail.com"/>
    <x v="1"/>
    <s v="Hamburgo"/>
    <x v="2"/>
    <x v="10"/>
    <n v="5"/>
    <n v="242.81"/>
    <n v="1214.05"/>
    <x v="10"/>
    <x v="0"/>
    <x v="136"/>
    <x v="4"/>
  </r>
  <r>
    <s v="ORD000150"/>
    <s v="Irene Sánchez"/>
    <s v="irene.sánchez@mail.com"/>
    <x v="4"/>
    <s v="Marsella"/>
    <x v="2"/>
    <x v="10"/>
    <n v="5"/>
    <n v="1342.28"/>
    <n v="6711.4"/>
    <x v="1"/>
    <x v="0"/>
    <x v="137"/>
    <x v="4"/>
  </r>
  <r>
    <s v="ORD000151"/>
    <s v="Pedro Rodríguez"/>
    <s v="pedro.rodríguez@mail.com"/>
    <x v="3"/>
    <s v="Nápoles"/>
    <x v="0"/>
    <x v="0"/>
    <n v="4"/>
    <n v="197.02"/>
    <n v="788.08"/>
    <x v="4"/>
    <x v="1"/>
    <x v="138"/>
    <x v="3"/>
  </r>
  <r>
    <s v="ORD000152"/>
    <s v="Luis Vázquez"/>
    <s v="luis.vázquez@mail.com"/>
    <x v="0"/>
    <s v="Barcelona"/>
    <x v="0"/>
    <x v="0"/>
    <n v="4"/>
    <n v="474.96"/>
    <n v="1899.84"/>
    <x v="2"/>
    <x v="0"/>
    <x v="116"/>
    <x v="0"/>
  </r>
  <r>
    <s v="ORD000153"/>
    <s v="Miguel Díaz"/>
    <s v="miguel.díaz@mail.com"/>
    <x v="3"/>
    <s v="Milán"/>
    <x v="1"/>
    <x v="1"/>
    <n v="3"/>
    <n v="1034.54"/>
    <n v="3103.62"/>
    <x v="8"/>
    <x v="0"/>
    <x v="139"/>
    <x v="1"/>
  </r>
  <r>
    <s v="ORD000154"/>
    <s v="Sofía Pérez"/>
    <s v="sofía.pérez@mail.com"/>
    <x v="1"/>
    <s v="Hamburgo"/>
    <x v="0"/>
    <x v="16"/>
    <n v="3"/>
    <n v="1419.37"/>
    <n v="4258.1099999999997"/>
    <x v="8"/>
    <x v="1"/>
    <x v="140"/>
    <x v="0"/>
  </r>
  <r>
    <s v="ORD000155"/>
    <s v="Carmen Torres"/>
    <s v="carmen.torres@mail.com"/>
    <x v="3"/>
    <s v="Milán"/>
    <x v="0"/>
    <x v="0"/>
    <n v="2"/>
    <n v="1065.74"/>
    <n v="2131.48"/>
    <x v="3"/>
    <x v="1"/>
    <x v="141"/>
    <x v="2"/>
  </r>
  <r>
    <s v="ORD000156"/>
    <s v="Diego Gil"/>
    <s v="diego.gil@mail.com"/>
    <x v="3"/>
    <s v="Milán"/>
    <x v="1"/>
    <x v="1"/>
    <n v="3"/>
    <n v="908.93"/>
    <n v="2726.79"/>
    <x v="9"/>
    <x v="0"/>
    <x v="142"/>
    <x v="1"/>
  </r>
  <r>
    <s v="ORD000157"/>
    <s v="Raúl Gómez"/>
    <s v="raúl.gómez@mail.com"/>
    <x v="0"/>
    <s v="Madrid"/>
    <x v="1"/>
    <x v="1"/>
    <n v="2"/>
    <n v="646.99"/>
    <n v="1293.98"/>
    <x v="5"/>
    <x v="1"/>
    <x v="82"/>
    <x v="4"/>
  </r>
  <r>
    <s v="ORD000158"/>
    <s v="Diego Navarro"/>
    <s v="diego.navarro@mail.com"/>
    <x v="0"/>
    <s v="Valencia"/>
    <x v="2"/>
    <x v="19"/>
    <n v="2"/>
    <n v="418.16"/>
    <n v="836.32"/>
    <x v="2"/>
    <x v="0"/>
    <x v="132"/>
    <x v="3"/>
  </r>
  <r>
    <s v="ORD000159"/>
    <s v="Pablo Fernández"/>
    <s v="pablo.fernández@mail.com"/>
    <x v="4"/>
    <s v="Lyon"/>
    <x v="4"/>
    <x v="21"/>
    <n v="2"/>
    <n v="996.92"/>
    <n v="1993.84"/>
    <x v="10"/>
    <x v="2"/>
    <x v="113"/>
    <x v="2"/>
  </r>
  <r>
    <s v="ORD000160"/>
    <s v="Miguel Díaz"/>
    <s v="miguel.díaz@mail.com"/>
    <x v="0"/>
    <s v="Barcelona"/>
    <x v="3"/>
    <x v="7"/>
    <n v="3"/>
    <n v="30.38"/>
    <n v="91.14"/>
    <x v="3"/>
    <x v="1"/>
    <x v="90"/>
    <x v="4"/>
  </r>
  <r>
    <s v="ORD000161"/>
    <s v="Javier Torres"/>
    <s v="javier.torres@mail.com"/>
    <x v="2"/>
    <s v="Braga"/>
    <x v="0"/>
    <x v="16"/>
    <n v="3"/>
    <n v="176.51"/>
    <n v="529.53"/>
    <x v="7"/>
    <x v="0"/>
    <x v="79"/>
    <x v="4"/>
  </r>
  <r>
    <s v="ORD000162"/>
    <s v="Pablo García"/>
    <s v="pablo.garcía@mail.com"/>
    <x v="3"/>
    <s v="Roma"/>
    <x v="3"/>
    <x v="7"/>
    <n v="2"/>
    <n v="692.11"/>
    <n v="1384.22"/>
    <x v="3"/>
    <x v="0"/>
    <x v="3"/>
    <x v="2"/>
  </r>
  <r>
    <s v="ORD000163"/>
    <s v="Diego Alonso"/>
    <s v="diego.alonso@mail.com"/>
    <x v="4"/>
    <s v="París"/>
    <x v="1"/>
    <x v="2"/>
    <n v="5"/>
    <n v="1433.64"/>
    <n v="7168.2000000000007"/>
    <x v="5"/>
    <x v="2"/>
    <x v="143"/>
    <x v="4"/>
  </r>
  <r>
    <s v="ORD000164"/>
    <s v="Luis Navarro"/>
    <s v="luis.navarro@mail.com"/>
    <x v="2"/>
    <s v="Oporto"/>
    <x v="4"/>
    <x v="21"/>
    <n v="1"/>
    <n v="57.71"/>
    <n v="57.71"/>
    <x v="8"/>
    <x v="1"/>
    <x v="144"/>
    <x v="2"/>
  </r>
  <r>
    <s v="ORD000165"/>
    <s v="Elena Gómez"/>
    <s v="elena.gómez@mail.com"/>
    <x v="3"/>
    <s v="Nápoles"/>
    <x v="4"/>
    <x v="22"/>
    <n v="1"/>
    <n v="1392.35"/>
    <n v="1392.35"/>
    <x v="5"/>
    <x v="2"/>
    <x v="145"/>
    <x v="2"/>
  </r>
  <r>
    <s v="ORD000166"/>
    <s v="Luis Gil"/>
    <s v="luis.gil@mail.com"/>
    <x v="1"/>
    <s v="Múnich"/>
    <x v="0"/>
    <x v="16"/>
    <n v="2"/>
    <n v="539.54999999999995"/>
    <n v="1079.0999999999999"/>
    <x v="9"/>
    <x v="1"/>
    <x v="146"/>
    <x v="1"/>
  </r>
  <r>
    <s v="ORD000167"/>
    <s v="Pablo López"/>
    <s v="pablo.lópez@mail.com"/>
    <x v="2"/>
    <s v="Oporto"/>
    <x v="3"/>
    <x v="18"/>
    <n v="2"/>
    <n v="1162.92"/>
    <n v="2325.84"/>
    <x v="11"/>
    <x v="1"/>
    <x v="76"/>
    <x v="1"/>
  </r>
  <r>
    <s v="ORD000168"/>
    <s v="Pedro Martínez"/>
    <s v="pedro.martínez@mail.com"/>
    <x v="4"/>
    <s v="Lyon"/>
    <x v="3"/>
    <x v="5"/>
    <n v="4"/>
    <n v="936.65"/>
    <n v="3746.6"/>
    <x v="9"/>
    <x v="0"/>
    <x v="147"/>
    <x v="1"/>
  </r>
  <r>
    <s v="ORD000169"/>
    <s v="María Navarro"/>
    <s v="maría.navarro@mail.com"/>
    <x v="2"/>
    <s v="Braga"/>
    <x v="2"/>
    <x v="15"/>
    <n v="5"/>
    <n v="1283.32"/>
    <n v="6416.5999999999995"/>
    <x v="4"/>
    <x v="1"/>
    <x v="148"/>
    <x v="3"/>
  </r>
  <r>
    <s v="ORD000170"/>
    <s v="Elena Torres"/>
    <s v="elena.torres@mail.com"/>
    <x v="4"/>
    <s v="Lyon"/>
    <x v="2"/>
    <x v="9"/>
    <n v="3"/>
    <n v="774.27"/>
    <n v="2322.81"/>
    <x v="10"/>
    <x v="2"/>
    <x v="149"/>
    <x v="4"/>
  </r>
  <r>
    <s v="ORD000171"/>
    <s v="Diego García"/>
    <s v="diego.garcía@mail.com"/>
    <x v="1"/>
    <s v="Berlín"/>
    <x v="0"/>
    <x v="17"/>
    <n v="4"/>
    <n v="608.6"/>
    <n v="2434.4"/>
    <x v="9"/>
    <x v="0"/>
    <x v="150"/>
    <x v="4"/>
  </r>
  <r>
    <s v="ORD000172"/>
    <s v="Pablo Fernández"/>
    <s v="pablo.fernández@mail.com"/>
    <x v="3"/>
    <s v="Roma"/>
    <x v="4"/>
    <x v="14"/>
    <n v="2"/>
    <n v="831.39"/>
    <n v="1662.78"/>
    <x v="11"/>
    <x v="1"/>
    <x v="151"/>
    <x v="4"/>
  </r>
  <r>
    <s v="ORD000173"/>
    <s v="Pablo Martínez"/>
    <s v="pablo.martínez@mail.com"/>
    <x v="3"/>
    <s v="Milán"/>
    <x v="2"/>
    <x v="15"/>
    <n v="4"/>
    <n v="867.13"/>
    <n v="3468.52"/>
    <x v="6"/>
    <x v="1"/>
    <x v="152"/>
    <x v="1"/>
  </r>
  <r>
    <s v="ORD000174"/>
    <s v="Pablo López"/>
    <s v="pablo.lópez@mail.com"/>
    <x v="0"/>
    <s v="Sevilla"/>
    <x v="0"/>
    <x v="16"/>
    <n v="2"/>
    <n v="192.39"/>
    <n v="384.78"/>
    <x v="2"/>
    <x v="2"/>
    <x v="153"/>
    <x v="4"/>
  </r>
  <r>
    <s v="ORD000175"/>
    <s v="Elena Pérez"/>
    <s v="elena.pérez@mail.com"/>
    <x v="2"/>
    <s v="Lisboa"/>
    <x v="4"/>
    <x v="23"/>
    <n v="5"/>
    <n v="343.32"/>
    <n v="1716.6"/>
    <x v="2"/>
    <x v="2"/>
    <x v="154"/>
    <x v="0"/>
  </r>
  <r>
    <s v="ORD000176"/>
    <s v="Raúl Navarro"/>
    <s v="raúl.navarro@mail.com"/>
    <x v="0"/>
    <s v="Barcelona"/>
    <x v="0"/>
    <x v="17"/>
    <n v="2"/>
    <n v="1217.1600000000001"/>
    <n v="2434.3200000000002"/>
    <x v="5"/>
    <x v="0"/>
    <x v="155"/>
    <x v="3"/>
  </r>
  <r>
    <s v="ORD000177"/>
    <s v="Pablo Alonso"/>
    <s v="pablo.alonso@mail.com"/>
    <x v="0"/>
    <s v="Valencia"/>
    <x v="1"/>
    <x v="12"/>
    <n v="4"/>
    <n v="898.87"/>
    <n v="3595.48"/>
    <x v="2"/>
    <x v="2"/>
    <x v="156"/>
    <x v="4"/>
  </r>
  <r>
    <s v="ORD000178"/>
    <s v="Sofía Ramos"/>
    <s v="sofía.ramos@mail.com"/>
    <x v="4"/>
    <s v="París"/>
    <x v="1"/>
    <x v="1"/>
    <n v="4"/>
    <n v="1404.04"/>
    <n v="5616.16"/>
    <x v="10"/>
    <x v="0"/>
    <x v="157"/>
    <x v="1"/>
  </r>
  <r>
    <s v="ORD000179"/>
    <s v="Carlos Pérez"/>
    <s v="carlos.pérez@mail.com"/>
    <x v="1"/>
    <s v="Hamburgo"/>
    <x v="0"/>
    <x v="20"/>
    <n v="4"/>
    <n v="1239.01"/>
    <n v="4956.04"/>
    <x v="8"/>
    <x v="0"/>
    <x v="158"/>
    <x v="0"/>
  </r>
  <r>
    <s v="ORD000180"/>
    <s v="Lucía Gil"/>
    <s v="lucía.gil@mail.com"/>
    <x v="2"/>
    <s v="Braga"/>
    <x v="3"/>
    <x v="4"/>
    <n v="4"/>
    <n v="1136.96"/>
    <n v="4547.84"/>
    <x v="8"/>
    <x v="0"/>
    <x v="46"/>
    <x v="3"/>
  </r>
  <r>
    <s v="ORD000181"/>
    <s v="Carmen Alonso"/>
    <s v="carmen.alonso@mail.com"/>
    <x v="2"/>
    <s v="Oporto"/>
    <x v="1"/>
    <x v="12"/>
    <n v="5"/>
    <n v="574.95000000000005"/>
    <n v="2874.75"/>
    <x v="4"/>
    <x v="0"/>
    <x v="159"/>
    <x v="1"/>
  </r>
  <r>
    <s v="ORD000182"/>
    <s v="Luis Ruiz"/>
    <s v="luis.ruiz@mail.com"/>
    <x v="3"/>
    <s v="Roma"/>
    <x v="3"/>
    <x v="4"/>
    <n v="4"/>
    <n v="1179.8399999999999"/>
    <n v="4719.3599999999997"/>
    <x v="6"/>
    <x v="1"/>
    <x v="160"/>
    <x v="4"/>
  </r>
  <r>
    <s v="ORD000183"/>
    <s v="Diego Gil"/>
    <s v="diego.gil@mail.com"/>
    <x v="2"/>
    <s v="Lisboa"/>
    <x v="4"/>
    <x v="22"/>
    <n v="2"/>
    <n v="860.34"/>
    <n v="1720.68"/>
    <x v="8"/>
    <x v="0"/>
    <x v="161"/>
    <x v="3"/>
  </r>
  <r>
    <s v="ORD000184"/>
    <s v="Lucía Ramos"/>
    <s v="lucía.ramos@mail.com"/>
    <x v="4"/>
    <s v="Lyon"/>
    <x v="0"/>
    <x v="17"/>
    <n v="4"/>
    <n v="190.42"/>
    <n v="761.68"/>
    <x v="2"/>
    <x v="2"/>
    <x v="162"/>
    <x v="3"/>
  </r>
  <r>
    <s v="ORD000185"/>
    <s v="Lucía García"/>
    <s v="lucía.garcía@mail.com"/>
    <x v="3"/>
    <s v="Nápoles"/>
    <x v="3"/>
    <x v="7"/>
    <n v="4"/>
    <n v="909.52"/>
    <n v="3638.08"/>
    <x v="8"/>
    <x v="0"/>
    <x v="163"/>
    <x v="3"/>
  </r>
  <r>
    <s v="ORD000186"/>
    <s v="Sofía Martínez"/>
    <s v="sofía.martínez@mail.com"/>
    <x v="1"/>
    <s v="Berlín"/>
    <x v="3"/>
    <x v="7"/>
    <n v="3"/>
    <n v="1276.6199999999999"/>
    <n v="3829.8599999999997"/>
    <x v="10"/>
    <x v="0"/>
    <x v="164"/>
    <x v="0"/>
  </r>
  <r>
    <s v="ORD000187"/>
    <s v="Sofía Rodríguez"/>
    <s v="sofía.rodríguez@mail.com"/>
    <x v="3"/>
    <s v="Roma"/>
    <x v="2"/>
    <x v="19"/>
    <n v="3"/>
    <n v="795.05"/>
    <n v="2385.1499999999996"/>
    <x v="7"/>
    <x v="0"/>
    <x v="165"/>
    <x v="4"/>
  </r>
  <r>
    <s v="ORD000188"/>
    <s v="Laura Sánchez"/>
    <s v="laura.sánchez@mail.com"/>
    <x v="1"/>
    <s v="Múnich"/>
    <x v="4"/>
    <x v="22"/>
    <n v="5"/>
    <n v="442.73"/>
    <n v="2213.65"/>
    <x v="10"/>
    <x v="2"/>
    <x v="98"/>
    <x v="1"/>
  </r>
  <r>
    <s v="ORD000189"/>
    <s v="Diego Rodríguez"/>
    <s v="diego.rodríguez@mail.com"/>
    <x v="4"/>
    <s v="Marsella"/>
    <x v="0"/>
    <x v="17"/>
    <n v="5"/>
    <n v="327.84"/>
    <n v="1639.1999999999998"/>
    <x v="6"/>
    <x v="1"/>
    <x v="166"/>
    <x v="3"/>
  </r>
  <r>
    <s v="ORD000190"/>
    <s v="Carlos Ruiz"/>
    <s v="carlos.ruiz@mail.com"/>
    <x v="4"/>
    <s v="París"/>
    <x v="0"/>
    <x v="13"/>
    <n v="4"/>
    <n v="1462.61"/>
    <n v="5850.44"/>
    <x v="9"/>
    <x v="0"/>
    <x v="167"/>
    <x v="0"/>
  </r>
  <r>
    <s v="ORD000191"/>
    <s v="María Ruiz"/>
    <s v="maría.ruiz@mail.com"/>
    <x v="1"/>
    <s v="Berlín"/>
    <x v="0"/>
    <x v="20"/>
    <n v="3"/>
    <n v="123.81"/>
    <n v="371.43"/>
    <x v="7"/>
    <x v="0"/>
    <x v="168"/>
    <x v="3"/>
  </r>
  <r>
    <s v="ORD000192"/>
    <s v="Carmen Torres"/>
    <s v="carmen.torres@mail.com"/>
    <x v="0"/>
    <s v="Madrid"/>
    <x v="0"/>
    <x v="0"/>
    <n v="5"/>
    <n v="149.57"/>
    <n v="747.84999999999991"/>
    <x v="7"/>
    <x v="1"/>
    <x v="71"/>
    <x v="1"/>
  </r>
  <r>
    <s v="ORD000193"/>
    <s v="Laura Sánchez"/>
    <s v="laura.sánchez@mail.com"/>
    <x v="3"/>
    <s v="Roma"/>
    <x v="2"/>
    <x v="9"/>
    <n v="3"/>
    <n v="635.16"/>
    <n v="1905.48"/>
    <x v="2"/>
    <x v="0"/>
    <x v="169"/>
    <x v="4"/>
  </r>
  <r>
    <s v="ORD000194"/>
    <s v="Laura Sánchez"/>
    <s v="laura.sánchez@mail.com"/>
    <x v="3"/>
    <s v="Nápoles"/>
    <x v="4"/>
    <x v="23"/>
    <n v="1"/>
    <n v="287.89999999999998"/>
    <n v="287.89999999999998"/>
    <x v="1"/>
    <x v="1"/>
    <x v="170"/>
    <x v="2"/>
  </r>
  <r>
    <s v="ORD000195"/>
    <s v="Carlos Navarro"/>
    <s v="carlos.navarro@mail.com"/>
    <x v="4"/>
    <s v="París"/>
    <x v="0"/>
    <x v="17"/>
    <n v="5"/>
    <n v="443.65"/>
    <n v="2218.25"/>
    <x v="4"/>
    <x v="0"/>
    <x v="171"/>
    <x v="0"/>
  </r>
  <r>
    <s v="ORD000196"/>
    <s v="Laura Vázquez"/>
    <s v="laura.vázquez@mail.com"/>
    <x v="4"/>
    <s v="Marsella"/>
    <x v="3"/>
    <x v="18"/>
    <n v="2"/>
    <n v="1291.2"/>
    <n v="2582.4"/>
    <x v="8"/>
    <x v="0"/>
    <x v="172"/>
    <x v="0"/>
  </r>
  <r>
    <s v="ORD000197"/>
    <s v="Sofía Gil"/>
    <s v="sofía.gil@mail.com"/>
    <x v="2"/>
    <s v="Lisboa"/>
    <x v="4"/>
    <x v="14"/>
    <n v="2"/>
    <n v="109.01"/>
    <n v="218.02"/>
    <x v="1"/>
    <x v="0"/>
    <x v="173"/>
    <x v="0"/>
  </r>
  <r>
    <s v="ORD000198"/>
    <s v="Raúl Torres"/>
    <s v="raúl.torres@mail.com"/>
    <x v="3"/>
    <s v="Milán"/>
    <x v="3"/>
    <x v="5"/>
    <n v="1"/>
    <n v="1435.27"/>
    <n v="1435.27"/>
    <x v="0"/>
    <x v="0"/>
    <x v="174"/>
    <x v="3"/>
  </r>
  <r>
    <s v="ORD000199"/>
    <s v="María Gómez"/>
    <s v="maría.gómez@mail.com"/>
    <x v="1"/>
    <s v="Berlín"/>
    <x v="4"/>
    <x v="23"/>
    <n v="5"/>
    <n v="943.03"/>
    <n v="4715.1499999999996"/>
    <x v="3"/>
    <x v="0"/>
    <x v="78"/>
    <x v="0"/>
  </r>
  <r>
    <s v="ORD000200"/>
    <s v="Irene Ruiz"/>
    <s v="irene.ruiz@mail.com"/>
    <x v="4"/>
    <s v="Marsella"/>
    <x v="0"/>
    <x v="16"/>
    <n v="2"/>
    <n v="347.08"/>
    <n v="694.16"/>
    <x v="5"/>
    <x v="2"/>
    <x v="175"/>
    <x v="1"/>
  </r>
  <r>
    <s v="ORD000201"/>
    <s v="Pablo Fernández"/>
    <s v="pablo.fernández@mail.com"/>
    <x v="3"/>
    <s v="Nápoles"/>
    <x v="4"/>
    <x v="14"/>
    <n v="1"/>
    <n v="866.57"/>
    <n v="866.57"/>
    <x v="8"/>
    <x v="0"/>
    <x v="47"/>
    <x v="2"/>
  </r>
  <r>
    <s v="ORD000202"/>
    <s v="Laura Torres"/>
    <s v="laura.torres@mail.com"/>
    <x v="2"/>
    <s v="Braga"/>
    <x v="1"/>
    <x v="12"/>
    <n v="3"/>
    <n v="613.20000000000005"/>
    <n v="1839.6000000000001"/>
    <x v="0"/>
    <x v="1"/>
    <x v="176"/>
    <x v="1"/>
  </r>
  <r>
    <s v="ORD000203"/>
    <s v="María Martínez"/>
    <s v="maría.martínez@mail.com"/>
    <x v="2"/>
    <s v="Lisboa"/>
    <x v="0"/>
    <x v="20"/>
    <n v="2"/>
    <n v="365.29"/>
    <n v="730.58"/>
    <x v="8"/>
    <x v="1"/>
    <x v="73"/>
    <x v="0"/>
  </r>
  <r>
    <s v="ORD000204"/>
    <s v="Carlos Ramos"/>
    <s v="carlos.ramos@mail.com"/>
    <x v="1"/>
    <s v="Berlín"/>
    <x v="3"/>
    <x v="4"/>
    <n v="4"/>
    <n v="378.73"/>
    <n v="1514.92"/>
    <x v="11"/>
    <x v="1"/>
    <x v="177"/>
    <x v="2"/>
  </r>
  <r>
    <s v="ORD000205"/>
    <s v="Raúl Alonso"/>
    <s v="raúl.alonso@mail.com"/>
    <x v="4"/>
    <s v="Lyon"/>
    <x v="3"/>
    <x v="4"/>
    <n v="5"/>
    <n v="560.79999999999995"/>
    <n v="2804"/>
    <x v="11"/>
    <x v="1"/>
    <x v="41"/>
    <x v="2"/>
  </r>
  <r>
    <s v="ORD000206"/>
    <s v="Laura Gómez"/>
    <s v="laura.gómez@mail.com"/>
    <x v="4"/>
    <s v="París"/>
    <x v="0"/>
    <x v="20"/>
    <n v="4"/>
    <n v="685.27"/>
    <n v="2741.08"/>
    <x v="4"/>
    <x v="0"/>
    <x v="178"/>
    <x v="2"/>
  </r>
  <r>
    <s v="ORD000207"/>
    <s v="Sofía Díaz"/>
    <s v="sofía.díaz@mail.com"/>
    <x v="0"/>
    <s v="Sevilla"/>
    <x v="4"/>
    <x v="14"/>
    <n v="3"/>
    <n v="501.74"/>
    <n v="1505.22"/>
    <x v="3"/>
    <x v="1"/>
    <x v="179"/>
    <x v="2"/>
  </r>
  <r>
    <s v="ORD000208"/>
    <s v="Laura Ramos"/>
    <s v="laura.ramos@mail.com"/>
    <x v="2"/>
    <s v="Lisboa"/>
    <x v="2"/>
    <x v="3"/>
    <n v="2"/>
    <n v="1067.73"/>
    <n v="2135.46"/>
    <x v="6"/>
    <x v="1"/>
    <x v="160"/>
    <x v="4"/>
  </r>
  <r>
    <s v="ORD000209"/>
    <s v="Javier Pérez"/>
    <s v="javier.pérez@mail.com"/>
    <x v="1"/>
    <s v="Berlín"/>
    <x v="0"/>
    <x v="20"/>
    <n v="5"/>
    <n v="823.23"/>
    <n v="4116.1499999999996"/>
    <x v="10"/>
    <x v="1"/>
    <x v="180"/>
    <x v="4"/>
  </r>
  <r>
    <s v="ORD000210"/>
    <s v="Carmen Martínez"/>
    <s v="carmen.martínez@mail.com"/>
    <x v="0"/>
    <s v="Bilbao"/>
    <x v="4"/>
    <x v="11"/>
    <n v="1"/>
    <n v="99.72"/>
    <n v="99.72"/>
    <x v="6"/>
    <x v="1"/>
    <x v="181"/>
    <x v="1"/>
  </r>
  <r>
    <s v="ORD000211"/>
    <s v="Lucía Sánchez"/>
    <s v="lucía.sánchez@mail.com"/>
    <x v="4"/>
    <s v="París"/>
    <x v="4"/>
    <x v="23"/>
    <n v="2"/>
    <n v="60.8"/>
    <n v="121.6"/>
    <x v="6"/>
    <x v="1"/>
    <x v="152"/>
    <x v="1"/>
  </r>
  <r>
    <s v="ORD000212"/>
    <s v="Luis Martínez"/>
    <s v="luis.martínez@mail.com"/>
    <x v="1"/>
    <s v="Hamburgo"/>
    <x v="4"/>
    <x v="11"/>
    <n v="4"/>
    <n v="738.68"/>
    <n v="2954.72"/>
    <x v="2"/>
    <x v="1"/>
    <x v="182"/>
    <x v="2"/>
  </r>
  <r>
    <s v="ORD000213"/>
    <s v="Elena Pérez"/>
    <s v="elena.pérez@mail.com"/>
    <x v="4"/>
    <s v="Lyon"/>
    <x v="3"/>
    <x v="7"/>
    <n v="5"/>
    <n v="1212.8499999999999"/>
    <n v="6064.25"/>
    <x v="10"/>
    <x v="2"/>
    <x v="183"/>
    <x v="3"/>
  </r>
  <r>
    <s v="ORD000214"/>
    <s v="Diego Sánchez"/>
    <s v="diego.sánchez@mail.com"/>
    <x v="1"/>
    <s v="Berlín"/>
    <x v="4"/>
    <x v="21"/>
    <n v="4"/>
    <n v="1496.96"/>
    <n v="5987.84"/>
    <x v="7"/>
    <x v="1"/>
    <x v="184"/>
    <x v="3"/>
  </r>
  <r>
    <s v="ORD000215"/>
    <s v="Ana Gómez"/>
    <s v="ana.gómez@mail.com"/>
    <x v="1"/>
    <s v="Múnich"/>
    <x v="1"/>
    <x v="6"/>
    <n v="5"/>
    <n v="979.99"/>
    <n v="4899.95"/>
    <x v="9"/>
    <x v="1"/>
    <x v="185"/>
    <x v="1"/>
  </r>
  <r>
    <s v="ORD000216"/>
    <s v="Carlos Díaz"/>
    <s v="carlos.díaz@mail.com"/>
    <x v="0"/>
    <s v="Barcelona"/>
    <x v="1"/>
    <x v="12"/>
    <n v="1"/>
    <n v="1262.83"/>
    <n v="1262.83"/>
    <x v="10"/>
    <x v="0"/>
    <x v="186"/>
    <x v="1"/>
  </r>
  <r>
    <s v="ORD000217"/>
    <s v="Raúl Martínez"/>
    <s v="raúl.martínez@mail.com"/>
    <x v="4"/>
    <s v="París"/>
    <x v="4"/>
    <x v="22"/>
    <n v="3"/>
    <n v="589.12"/>
    <n v="1767.3600000000001"/>
    <x v="11"/>
    <x v="0"/>
    <x v="187"/>
    <x v="3"/>
  </r>
  <r>
    <s v="ORD000218"/>
    <s v="Luis Alonso"/>
    <s v="luis.alonso@mail.com"/>
    <x v="1"/>
    <s v="Hamburgo"/>
    <x v="4"/>
    <x v="14"/>
    <n v="1"/>
    <n v="357.53"/>
    <n v="357.53"/>
    <x v="5"/>
    <x v="2"/>
    <x v="188"/>
    <x v="3"/>
  </r>
  <r>
    <s v="ORD000219"/>
    <s v="Luis Fernández"/>
    <s v="luis.fernández@mail.com"/>
    <x v="2"/>
    <s v="Braga"/>
    <x v="1"/>
    <x v="1"/>
    <n v="4"/>
    <n v="351.3"/>
    <n v="1405.2"/>
    <x v="11"/>
    <x v="1"/>
    <x v="189"/>
    <x v="2"/>
  </r>
  <r>
    <s v="ORD000220"/>
    <s v="Pablo Ramos"/>
    <s v="pablo.ramos@mail.com"/>
    <x v="1"/>
    <s v="Berlín"/>
    <x v="1"/>
    <x v="12"/>
    <n v="5"/>
    <n v="1450.53"/>
    <n v="7252.65"/>
    <x v="2"/>
    <x v="0"/>
    <x v="190"/>
    <x v="2"/>
  </r>
  <r>
    <s v="ORD000221"/>
    <s v="Irene Pérez"/>
    <s v="irene.pérez@mail.com"/>
    <x v="0"/>
    <s v="Sevilla"/>
    <x v="1"/>
    <x v="1"/>
    <n v="4"/>
    <n v="407.7"/>
    <n v="1630.8"/>
    <x v="1"/>
    <x v="1"/>
    <x v="191"/>
    <x v="4"/>
  </r>
  <r>
    <s v="ORD000222"/>
    <s v="Pedro Rodríguez"/>
    <s v="pedro.rodríguez@mail.com"/>
    <x v="4"/>
    <s v="París"/>
    <x v="2"/>
    <x v="15"/>
    <n v="4"/>
    <n v="1489.54"/>
    <n v="5958.16"/>
    <x v="3"/>
    <x v="0"/>
    <x v="192"/>
    <x v="0"/>
  </r>
  <r>
    <s v="ORD000223"/>
    <s v="Miguel Alonso"/>
    <s v="miguel.alonso@mail.com"/>
    <x v="4"/>
    <s v="París"/>
    <x v="4"/>
    <x v="11"/>
    <n v="3"/>
    <n v="624.17999999999995"/>
    <n v="1872.54"/>
    <x v="3"/>
    <x v="0"/>
    <x v="193"/>
    <x v="1"/>
  </r>
  <r>
    <s v="ORD000224"/>
    <s v="Lucía Sánchez"/>
    <s v="lucía.sánchez@mail.com"/>
    <x v="0"/>
    <s v="Madrid"/>
    <x v="3"/>
    <x v="18"/>
    <n v="5"/>
    <n v="1317.44"/>
    <n v="6587.2000000000007"/>
    <x v="0"/>
    <x v="0"/>
    <x v="194"/>
    <x v="3"/>
  </r>
  <r>
    <s v="ORD000225"/>
    <s v="Javier Díaz"/>
    <s v="javier.díaz@mail.com"/>
    <x v="2"/>
    <s v="Braga"/>
    <x v="0"/>
    <x v="13"/>
    <n v="1"/>
    <n v="92.68"/>
    <n v="92.68"/>
    <x v="9"/>
    <x v="1"/>
    <x v="195"/>
    <x v="4"/>
  </r>
  <r>
    <s v="ORD000226"/>
    <s v="María Pérez"/>
    <s v="maría.pérez@mail.com"/>
    <x v="0"/>
    <s v="Valencia"/>
    <x v="1"/>
    <x v="6"/>
    <n v="3"/>
    <n v="230.69"/>
    <n v="692.06999999999994"/>
    <x v="2"/>
    <x v="2"/>
    <x v="196"/>
    <x v="1"/>
  </r>
  <r>
    <s v="ORD000227"/>
    <s v="Elena Ruiz"/>
    <s v="elena.ruiz@mail.com"/>
    <x v="0"/>
    <s v="Valencia"/>
    <x v="0"/>
    <x v="16"/>
    <n v="1"/>
    <n v="1298.94"/>
    <n v="1298.94"/>
    <x v="4"/>
    <x v="1"/>
    <x v="197"/>
    <x v="0"/>
  </r>
  <r>
    <s v="ORD000228"/>
    <s v="Diego Martínez"/>
    <s v="diego.martínez@mail.com"/>
    <x v="0"/>
    <s v="Barcelona"/>
    <x v="1"/>
    <x v="6"/>
    <n v="3"/>
    <n v="969.04"/>
    <n v="2907.12"/>
    <x v="2"/>
    <x v="0"/>
    <x v="198"/>
    <x v="1"/>
  </r>
  <r>
    <s v="ORD000229"/>
    <s v="Elena Gil"/>
    <s v="elena.gil@mail.com"/>
    <x v="2"/>
    <s v="Lisboa"/>
    <x v="2"/>
    <x v="19"/>
    <n v="3"/>
    <n v="571.20000000000005"/>
    <n v="1713.6000000000001"/>
    <x v="10"/>
    <x v="2"/>
    <x v="199"/>
    <x v="1"/>
  </r>
  <r>
    <s v="ORD000230"/>
    <s v="Carmen Navarro"/>
    <s v="carmen.navarro@mail.com"/>
    <x v="1"/>
    <s v="Hamburgo"/>
    <x v="2"/>
    <x v="19"/>
    <n v="4"/>
    <n v="1084.8699999999999"/>
    <n v="4339.4799999999996"/>
    <x v="10"/>
    <x v="1"/>
    <x v="200"/>
    <x v="3"/>
  </r>
  <r>
    <s v="ORD000231"/>
    <s v="Lucía Rodríguez"/>
    <s v="lucía.rodríguez@mail.com"/>
    <x v="2"/>
    <s v="Oporto"/>
    <x v="3"/>
    <x v="5"/>
    <n v="4"/>
    <n v="380.19"/>
    <n v="1520.76"/>
    <x v="6"/>
    <x v="1"/>
    <x v="201"/>
    <x v="1"/>
  </r>
  <r>
    <s v="ORD000232"/>
    <s v="Diego Sánchez"/>
    <s v="diego.sánchez@mail.com"/>
    <x v="4"/>
    <s v="Lyon"/>
    <x v="2"/>
    <x v="3"/>
    <n v="2"/>
    <n v="517.69000000000005"/>
    <n v="1035.3800000000001"/>
    <x v="8"/>
    <x v="0"/>
    <x v="202"/>
    <x v="1"/>
  </r>
  <r>
    <s v="ORD000233"/>
    <s v="Laura Alonso"/>
    <s v="laura.alonso@mail.com"/>
    <x v="2"/>
    <s v="Oporto"/>
    <x v="3"/>
    <x v="18"/>
    <n v="1"/>
    <n v="1142.4100000000001"/>
    <n v="1142.4100000000001"/>
    <x v="5"/>
    <x v="0"/>
    <x v="203"/>
    <x v="0"/>
  </r>
  <r>
    <s v="ORD000234"/>
    <s v="Carlos López"/>
    <s v="carlos.lópez@mail.com"/>
    <x v="1"/>
    <s v="Múnich"/>
    <x v="1"/>
    <x v="12"/>
    <n v="2"/>
    <n v="1090.96"/>
    <n v="2181.92"/>
    <x v="10"/>
    <x v="0"/>
    <x v="128"/>
    <x v="3"/>
  </r>
  <r>
    <s v="ORD000235"/>
    <s v="María Rodríguez"/>
    <s v="maría.rodríguez@mail.com"/>
    <x v="0"/>
    <s v="Madrid"/>
    <x v="1"/>
    <x v="12"/>
    <n v="4"/>
    <n v="1233.48"/>
    <n v="4933.92"/>
    <x v="9"/>
    <x v="1"/>
    <x v="204"/>
    <x v="3"/>
  </r>
  <r>
    <s v="ORD000236"/>
    <s v="Luis Fernández"/>
    <s v="luis.fernández@mail.com"/>
    <x v="2"/>
    <s v="Oporto"/>
    <x v="3"/>
    <x v="18"/>
    <n v="5"/>
    <n v="1095.7"/>
    <n v="5478.5"/>
    <x v="3"/>
    <x v="0"/>
    <x v="110"/>
    <x v="2"/>
  </r>
  <r>
    <s v="ORD000237"/>
    <s v="Elena Ruiz"/>
    <s v="elena.ruiz@mail.com"/>
    <x v="0"/>
    <s v="Bilbao"/>
    <x v="4"/>
    <x v="21"/>
    <n v="5"/>
    <n v="203.41"/>
    <n v="1017.05"/>
    <x v="9"/>
    <x v="0"/>
    <x v="205"/>
    <x v="4"/>
  </r>
  <r>
    <s v="ORD000238"/>
    <s v="Ana García"/>
    <s v="ana.garcía@mail.com"/>
    <x v="2"/>
    <s v="Oporto"/>
    <x v="4"/>
    <x v="11"/>
    <n v="4"/>
    <n v="347.41"/>
    <n v="1389.64"/>
    <x v="2"/>
    <x v="2"/>
    <x v="196"/>
    <x v="4"/>
  </r>
  <r>
    <s v="ORD000239"/>
    <s v="Diego Alonso"/>
    <s v="diego.alonso@mail.com"/>
    <x v="2"/>
    <s v="Oporto"/>
    <x v="0"/>
    <x v="0"/>
    <n v="2"/>
    <n v="67.5"/>
    <n v="135"/>
    <x v="9"/>
    <x v="0"/>
    <x v="206"/>
    <x v="1"/>
  </r>
  <r>
    <s v="ORD000240"/>
    <s v="Irene Ramos"/>
    <s v="irene.ramos@mail.com"/>
    <x v="4"/>
    <s v="Marsella"/>
    <x v="3"/>
    <x v="7"/>
    <n v="4"/>
    <n v="503.96"/>
    <n v="2015.84"/>
    <x v="11"/>
    <x v="1"/>
    <x v="207"/>
    <x v="1"/>
  </r>
  <r>
    <s v="ORD000241"/>
    <s v="Elena Martínez"/>
    <s v="elena.martínez@mail.com"/>
    <x v="1"/>
    <s v="Múnich"/>
    <x v="1"/>
    <x v="8"/>
    <n v="2"/>
    <n v="1236.78"/>
    <n v="2473.56"/>
    <x v="6"/>
    <x v="0"/>
    <x v="208"/>
    <x v="4"/>
  </r>
  <r>
    <s v="ORD000242"/>
    <s v="Raúl Rodríguez"/>
    <s v="raúl.rodríguez@mail.com"/>
    <x v="3"/>
    <s v="Milán"/>
    <x v="2"/>
    <x v="19"/>
    <n v="1"/>
    <n v="133.47"/>
    <n v="133.47"/>
    <x v="1"/>
    <x v="1"/>
    <x v="209"/>
    <x v="1"/>
  </r>
  <r>
    <s v="ORD000243"/>
    <s v="Pedro Gómez"/>
    <s v="pedro.gómez@mail.com"/>
    <x v="1"/>
    <s v="Múnich"/>
    <x v="3"/>
    <x v="4"/>
    <n v="3"/>
    <n v="1231.49"/>
    <n v="3694.4700000000003"/>
    <x v="8"/>
    <x v="1"/>
    <x v="210"/>
    <x v="1"/>
  </r>
  <r>
    <s v="ORD000244"/>
    <s v="Laura Sánchez"/>
    <s v="laura.sánchez@mail.com"/>
    <x v="2"/>
    <s v="Lisboa"/>
    <x v="4"/>
    <x v="22"/>
    <n v="5"/>
    <n v="1118.03"/>
    <n v="5590.15"/>
    <x v="7"/>
    <x v="1"/>
    <x v="211"/>
    <x v="3"/>
  </r>
  <r>
    <s v="ORD000245"/>
    <s v="Carlos Gil"/>
    <s v="carlos.gil@mail.com"/>
    <x v="0"/>
    <s v="Bilbao"/>
    <x v="2"/>
    <x v="3"/>
    <n v="1"/>
    <n v="215.6"/>
    <n v="215.6"/>
    <x v="0"/>
    <x v="0"/>
    <x v="174"/>
    <x v="2"/>
  </r>
  <r>
    <s v="ORD000246"/>
    <s v="Diego Rodríguez"/>
    <s v="diego.rodríguez@mail.com"/>
    <x v="3"/>
    <s v="Nápoles"/>
    <x v="3"/>
    <x v="15"/>
    <n v="1"/>
    <n v="891.28"/>
    <n v="891.28"/>
    <x v="4"/>
    <x v="0"/>
    <x v="171"/>
    <x v="3"/>
  </r>
  <r>
    <s v="ORD000247"/>
    <s v="Laura Torres"/>
    <s v="laura.torres@mail.com"/>
    <x v="2"/>
    <s v="Lisboa"/>
    <x v="1"/>
    <x v="6"/>
    <n v="2"/>
    <n v="342.44"/>
    <n v="684.88"/>
    <x v="2"/>
    <x v="1"/>
    <x v="212"/>
    <x v="3"/>
  </r>
  <r>
    <s v="ORD000248"/>
    <s v="Luis Martínez"/>
    <s v="luis.martínez@mail.com"/>
    <x v="1"/>
    <s v="Hamburgo"/>
    <x v="2"/>
    <x v="10"/>
    <n v="4"/>
    <n v="1427.91"/>
    <n v="5711.64"/>
    <x v="3"/>
    <x v="1"/>
    <x v="125"/>
    <x v="1"/>
  </r>
  <r>
    <s v="ORD000249"/>
    <s v="Luis Díaz"/>
    <s v="luis.díaz@mail.com"/>
    <x v="1"/>
    <s v="Berlín"/>
    <x v="1"/>
    <x v="1"/>
    <n v="2"/>
    <n v="369.14"/>
    <n v="738.28"/>
    <x v="2"/>
    <x v="1"/>
    <x v="129"/>
    <x v="0"/>
  </r>
  <r>
    <s v="ORD000250"/>
    <s v="Lucía Pérez"/>
    <s v="lucía.pérez@mail.com"/>
    <x v="4"/>
    <s v="Marsella"/>
    <x v="4"/>
    <x v="11"/>
    <n v="4"/>
    <n v="309.58999999999997"/>
    <n v="1238.3599999999999"/>
    <x v="9"/>
    <x v="0"/>
    <x v="213"/>
    <x v="2"/>
  </r>
  <r>
    <s v="ORD000251"/>
    <s v="Carlos Sánchez"/>
    <s v="carlos.sánchez@mail.com"/>
    <x v="3"/>
    <s v="Nápoles"/>
    <x v="0"/>
    <x v="16"/>
    <n v="2"/>
    <n v="336.85"/>
    <n v="673.7"/>
    <x v="11"/>
    <x v="1"/>
    <x v="214"/>
    <x v="4"/>
  </r>
  <r>
    <s v="ORD000252"/>
    <s v="Diego Fernández"/>
    <s v="diego.fernández@mail.com"/>
    <x v="4"/>
    <s v="Lyon"/>
    <x v="4"/>
    <x v="11"/>
    <n v="4"/>
    <n v="76.11"/>
    <n v="304.44"/>
    <x v="9"/>
    <x v="1"/>
    <x v="215"/>
    <x v="4"/>
  </r>
  <r>
    <s v="ORD000253"/>
    <s v="Laura Díaz"/>
    <s v="laura.díaz@mail.com"/>
    <x v="0"/>
    <s v="Bilbao"/>
    <x v="2"/>
    <x v="15"/>
    <n v="5"/>
    <n v="1185.07"/>
    <n v="5925.3499999999995"/>
    <x v="8"/>
    <x v="0"/>
    <x v="216"/>
    <x v="3"/>
  </r>
  <r>
    <s v="ORD000254"/>
    <s v="Sofía Pérez"/>
    <s v="sofía.pérez@mail.com"/>
    <x v="4"/>
    <s v="Lyon"/>
    <x v="0"/>
    <x v="17"/>
    <n v="5"/>
    <n v="870.91"/>
    <n v="4354.55"/>
    <x v="2"/>
    <x v="0"/>
    <x v="217"/>
    <x v="1"/>
  </r>
  <r>
    <s v="ORD000255"/>
    <s v="Carlos Gil"/>
    <s v="carlos.gil@mail.com"/>
    <x v="1"/>
    <s v="Berlín"/>
    <x v="2"/>
    <x v="3"/>
    <n v="5"/>
    <n v="385.79"/>
    <n v="1928.95"/>
    <x v="8"/>
    <x v="1"/>
    <x v="218"/>
    <x v="3"/>
  </r>
  <r>
    <s v="ORD000256"/>
    <s v="Carlos López"/>
    <s v="carlos.lópez@mail.com"/>
    <x v="1"/>
    <s v="Hamburgo"/>
    <x v="1"/>
    <x v="12"/>
    <n v="3"/>
    <n v="1359.96"/>
    <n v="4079.88"/>
    <x v="5"/>
    <x v="0"/>
    <x v="219"/>
    <x v="4"/>
  </r>
  <r>
    <s v="ORD000257"/>
    <s v="Pablo Torres"/>
    <s v="pablo.torres@mail.com"/>
    <x v="4"/>
    <s v="Lyon"/>
    <x v="4"/>
    <x v="22"/>
    <n v="1"/>
    <n v="898.12"/>
    <n v="898.12"/>
    <x v="4"/>
    <x v="1"/>
    <x v="220"/>
    <x v="3"/>
  </r>
  <r>
    <s v="ORD000258"/>
    <s v="Laura Alonso"/>
    <s v="laura.alonso@mail.com"/>
    <x v="1"/>
    <s v="Hamburgo"/>
    <x v="2"/>
    <x v="9"/>
    <n v="1"/>
    <n v="845.95"/>
    <n v="845.95"/>
    <x v="3"/>
    <x v="1"/>
    <x v="221"/>
    <x v="0"/>
  </r>
  <r>
    <s v="ORD000259"/>
    <s v="Carlos Ramos"/>
    <s v="carlos.ramos@mail.com"/>
    <x v="2"/>
    <s v="Oporto"/>
    <x v="0"/>
    <x v="13"/>
    <n v="2"/>
    <n v="748.45"/>
    <n v="1496.9"/>
    <x v="5"/>
    <x v="2"/>
    <x v="222"/>
    <x v="4"/>
  </r>
  <r>
    <s v="ORD000260"/>
    <s v="Elena Vázquez"/>
    <s v="elena.vázquez@mail.com"/>
    <x v="3"/>
    <s v="Roma"/>
    <x v="4"/>
    <x v="21"/>
    <n v="3"/>
    <n v="872.3"/>
    <n v="2616.8999999999996"/>
    <x v="7"/>
    <x v="1"/>
    <x v="223"/>
    <x v="2"/>
  </r>
  <r>
    <s v="ORD000261"/>
    <s v="Luis López"/>
    <s v="luis.lópez@mail.com"/>
    <x v="3"/>
    <s v="Milán"/>
    <x v="4"/>
    <x v="22"/>
    <n v="3"/>
    <n v="673.72"/>
    <n v="2021.16"/>
    <x v="3"/>
    <x v="0"/>
    <x v="224"/>
    <x v="0"/>
  </r>
  <r>
    <s v="ORD000262"/>
    <s v="Luis Vázquez"/>
    <s v="luis.vázquez@mail.com"/>
    <x v="2"/>
    <s v="Braga"/>
    <x v="2"/>
    <x v="15"/>
    <n v="3"/>
    <n v="1321.11"/>
    <n v="3963.33"/>
    <x v="0"/>
    <x v="0"/>
    <x v="225"/>
    <x v="2"/>
  </r>
  <r>
    <s v="ORD000263"/>
    <s v="Miguel Pérez"/>
    <s v="miguel.pérez@mail.com"/>
    <x v="3"/>
    <s v="Roma"/>
    <x v="1"/>
    <x v="2"/>
    <n v="4"/>
    <n v="615.25"/>
    <n v="2461"/>
    <x v="9"/>
    <x v="1"/>
    <x v="226"/>
    <x v="1"/>
  </r>
  <r>
    <s v="ORD000264"/>
    <s v="Carmen Torres"/>
    <s v="carmen.torres@mail.com"/>
    <x v="1"/>
    <s v="Berlín"/>
    <x v="2"/>
    <x v="19"/>
    <n v="4"/>
    <n v="1216.08"/>
    <n v="4864.32"/>
    <x v="2"/>
    <x v="1"/>
    <x v="227"/>
    <x v="2"/>
  </r>
  <r>
    <s v="ORD000265"/>
    <s v="Laura Rodríguez"/>
    <s v="laura.rodríguez@mail.com"/>
    <x v="2"/>
    <s v="Oporto"/>
    <x v="2"/>
    <x v="10"/>
    <n v="2"/>
    <n v="9.9"/>
    <n v="19.8"/>
    <x v="7"/>
    <x v="1"/>
    <x v="228"/>
    <x v="3"/>
  </r>
  <r>
    <s v="ORD000266"/>
    <s v="Carlos López"/>
    <s v="carlos.lópez@mail.com"/>
    <x v="0"/>
    <s v="Sevilla"/>
    <x v="0"/>
    <x v="16"/>
    <n v="2"/>
    <n v="221.77"/>
    <n v="443.54"/>
    <x v="7"/>
    <x v="1"/>
    <x v="75"/>
    <x v="4"/>
  </r>
  <r>
    <s v="ORD000267"/>
    <s v="Pablo Ramos"/>
    <s v="pablo.ramos@mail.com"/>
    <x v="1"/>
    <s v="Múnich"/>
    <x v="1"/>
    <x v="1"/>
    <n v="1"/>
    <n v="695"/>
    <n v="695"/>
    <x v="0"/>
    <x v="0"/>
    <x v="108"/>
    <x v="0"/>
  </r>
  <r>
    <s v="ORD000268"/>
    <s v="Elena Martínez"/>
    <s v="elena.martínez@mail.com"/>
    <x v="3"/>
    <s v="Milán"/>
    <x v="1"/>
    <x v="6"/>
    <n v="3"/>
    <n v="895.46"/>
    <n v="2686.38"/>
    <x v="8"/>
    <x v="0"/>
    <x v="66"/>
    <x v="1"/>
  </r>
  <r>
    <s v="ORD000269"/>
    <s v="Pedro Alonso"/>
    <s v="pedro.alonso@mail.com"/>
    <x v="4"/>
    <s v="París"/>
    <x v="4"/>
    <x v="23"/>
    <n v="3"/>
    <n v="99.01"/>
    <n v="297.03000000000003"/>
    <x v="8"/>
    <x v="1"/>
    <x v="12"/>
    <x v="3"/>
  </r>
  <r>
    <s v="ORD000270"/>
    <s v="Irene Rodríguez"/>
    <s v="irene.rodríguez@mail.com"/>
    <x v="0"/>
    <s v="Madrid"/>
    <x v="4"/>
    <x v="21"/>
    <n v="1"/>
    <n v="495.86"/>
    <n v="495.86"/>
    <x v="0"/>
    <x v="1"/>
    <x v="229"/>
    <x v="4"/>
  </r>
  <r>
    <s v="ORD000271"/>
    <s v="Carmen Sánchez"/>
    <s v="carmen.sánchez@mail.com"/>
    <x v="0"/>
    <s v="Sevilla"/>
    <x v="4"/>
    <x v="21"/>
    <n v="2"/>
    <n v="714.74"/>
    <n v="1429.48"/>
    <x v="0"/>
    <x v="0"/>
    <x v="230"/>
    <x v="2"/>
  </r>
  <r>
    <s v="ORD000272"/>
    <s v="Irene Gil"/>
    <s v="irene.gil@mail.com"/>
    <x v="3"/>
    <s v="Milán"/>
    <x v="3"/>
    <x v="5"/>
    <n v="3"/>
    <n v="876.27"/>
    <n v="2628.81"/>
    <x v="5"/>
    <x v="2"/>
    <x v="231"/>
    <x v="4"/>
  </r>
  <r>
    <s v="ORD000273"/>
    <s v="Ana Alonso"/>
    <s v="ana.alonso@mail.com"/>
    <x v="4"/>
    <s v="París"/>
    <x v="4"/>
    <x v="14"/>
    <n v="5"/>
    <n v="747.7"/>
    <n v="3738.5"/>
    <x v="0"/>
    <x v="1"/>
    <x v="232"/>
    <x v="4"/>
  </r>
  <r>
    <s v="ORD000274"/>
    <s v="Lucía Torres"/>
    <s v="lucía.torres@mail.com"/>
    <x v="2"/>
    <s v="Lisboa"/>
    <x v="2"/>
    <x v="3"/>
    <n v="5"/>
    <n v="69.11"/>
    <n v="345.55"/>
    <x v="5"/>
    <x v="2"/>
    <x v="233"/>
    <x v="3"/>
  </r>
  <r>
    <s v="ORD000275"/>
    <s v="Lucía Navarro"/>
    <s v="lucía.navarro@mail.com"/>
    <x v="3"/>
    <s v="Nápoles"/>
    <x v="0"/>
    <x v="13"/>
    <n v="1"/>
    <n v="156.08000000000001"/>
    <n v="156.08000000000001"/>
    <x v="7"/>
    <x v="1"/>
    <x v="228"/>
    <x v="0"/>
  </r>
  <r>
    <s v="ORD000276"/>
    <s v="Lucía Martínez"/>
    <s v="lucía.martínez@mail.com"/>
    <x v="2"/>
    <s v="Braga"/>
    <x v="2"/>
    <x v="10"/>
    <n v="2"/>
    <n v="671.44"/>
    <n v="1342.88"/>
    <x v="2"/>
    <x v="0"/>
    <x v="234"/>
    <x v="1"/>
  </r>
  <r>
    <s v="ORD000277"/>
    <s v="Lucía García"/>
    <s v="lucía.garcía@mail.com"/>
    <x v="4"/>
    <s v="Lyon"/>
    <x v="4"/>
    <x v="21"/>
    <n v="3"/>
    <n v="171.42"/>
    <n v="514.26"/>
    <x v="9"/>
    <x v="1"/>
    <x v="235"/>
    <x v="2"/>
  </r>
  <r>
    <s v="ORD000278"/>
    <s v="Pablo Díaz"/>
    <s v="pablo.díaz@mail.com"/>
    <x v="0"/>
    <s v="Madrid"/>
    <x v="3"/>
    <x v="15"/>
    <n v="5"/>
    <n v="1237.8599999999999"/>
    <n v="6189.2999999999993"/>
    <x v="2"/>
    <x v="1"/>
    <x v="236"/>
    <x v="3"/>
  </r>
  <r>
    <s v="ORD000279"/>
    <s v="Miguel Pérez"/>
    <s v="miguel.pérez@mail.com"/>
    <x v="4"/>
    <s v="Lyon"/>
    <x v="0"/>
    <x v="0"/>
    <n v="3"/>
    <n v="783.72"/>
    <n v="2351.16"/>
    <x v="8"/>
    <x v="0"/>
    <x v="158"/>
    <x v="0"/>
  </r>
  <r>
    <s v="ORD000280"/>
    <s v="Elena Ramos"/>
    <s v="elena.ramos@mail.com"/>
    <x v="3"/>
    <s v="Nápoles"/>
    <x v="3"/>
    <x v="5"/>
    <n v="4"/>
    <n v="1405.83"/>
    <n v="5623.32"/>
    <x v="1"/>
    <x v="1"/>
    <x v="237"/>
    <x v="2"/>
  </r>
  <r>
    <s v="ORD000281"/>
    <s v="Elena Vázquez"/>
    <s v="elena.vázquez@mail.com"/>
    <x v="2"/>
    <s v="Oporto"/>
    <x v="4"/>
    <x v="22"/>
    <n v="4"/>
    <n v="938.15"/>
    <n v="3752.6"/>
    <x v="9"/>
    <x v="0"/>
    <x v="238"/>
    <x v="2"/>
  </r>
  <r>
    <s v="ORD000282"/>
    <s v="María Rodríguez"/>
    <s v="maría.rodríguez@mail.com"/>
    <x v="1"/>
    <s v="Múnich"/>
    <x v="4"/>
    <x v="14"/>
    <n v="1"/>
    <n v="1250.99"/>
    <n v="1250.99"/>
    <x v="7"/>
    <x v="1"/>
    <x v="239"/>
    <x v="0"/>
  </r>
  <r>
    <s v="ORD000283"/>
    <s v="Pedro Díaz"/>
    <s v="pedro.díaz@mail.com"/>
    <x v="0"/>
    <s v="Madrid"/>
    <x v="2"/>
    <x v="15"/>
    <n v="5"/>
    <n v="755.07"/>
    <n v="3775.3500000000004"/>
    <x v="8"/>
    <x v="0"/>
    <x v="240"/>
    <x v="4"/>
  </r>
  <r>
    <s v="ORD000284"/>
    <s v="Laura Sánchez"/>
    <s v="laura.sánchez@mail.com"/>
    <x v="1"/>
    <s v="Berlín"/>
    <x v="0"/>
    <x v="0"/>
    <n v="4"/>
    <n v="473.79"/>
    <n v="1895.16"/>
    <x v="5"/>
    <x v="2"/>
    <x v="143"/>
    <x v="0"/>
  </r>
  <r>
    <s v="ORD000285"/>
    <s v="Irene López"/>
    <s v="irene.lópez@mail.com"/>
    <x v="2"/>
    <s v="Oporto"/>
    <x v="2"/>
    <x v="3"/>
    <n v="2"/>
    <n v="623.48"/>
    <n v="1246.96"/>
    <x v="5"/>
    <x v="2"/>
    <x v="188"/>
    <x v="4"/>
  </r>
  <r>
    <s v="ORD000286"/>
    <s v="Raúl Gómez"/>
    <s v="raúl.gómez@mail.com"/>
    <x v="0"/>
    <s v="Sevilla"/>
    <x v="3"/>
    <x v="4"/>
    <n v="1"/>
    <n v="234.67"/>
    <n v="234.67"/>
    <x v="4"/>
    <x v="0"/>
    <x v="241"/>
    <x v="2"/>
  </r>
  <r>
    <s v="ORD000287"/>
    <s v="Diego García"/>
    <s v="diego.garcía@mail.com"/>
    <x v="0"/>
    <s v="Sevilla"/>
    <x v="1"/>
    <x v="8"/>
    <n v="1"/>
    <n v="34.979999999999997"/>
    <n v="34.979999999999997"/>
    <x v="10"/>
    <x v="0"/>
    <x v="242"/>
    <x v="3"/>
  </r>
  <r>
    <s v="ORD000288"/>
    <s v="Laura Torres"/>
    <s v="laura.torres@mail.com"/>
    <x v="4"/>
    <s v="París"/>
    <x v="2"/>
    <x v="15"/>
    <n v="1"/>
    <n v="624.21"/>
    <n v="624.21"/>
    <x v="6"/>
    <x v="1"/>
    <x v="243"/>
    <x v="2"/>
  </r>
  <r>
    <s v="ORD000289"/>
    <s v="Sofía Ramos"/>
    <s v="sofía.ramos@mail.com"/>
    <x v="4"/>
    <s v="Lyon"/>
    <x v="0"/>
    <x v="0"/>
    <n v="5"/>
    <n v="627.48"/>
    <n v="3137.4"/>
    <x v="0"/>
    <x v="0"/>
    <x v="244"/>
    <x v="3"/>
  </r>
  <r>
    <s v="ORD000290"/>
    <s v="Carlos López"/>
    <s v="carlos.lópez@mail.com"/>
    <x v="0"/>
    <s v="Sevilla"/>
    <x v="1"/>
    <x v="8"/>
    <n v="2"/>
    <n v="832.85"/>
    <n v="1665.7"/>
    <x v="10"/>
    <x v="1"/>
    <x v="245"/>
    <x v="2"/>
  </r>
  <r>
    <s v="ORD000291"/>
    <s v="Javier Ramos"/>
    <s v="javier.ramos@mail.com"/>
    <x v="1"/>
    <s v="Hamburgo"/>
    <x v="3"/>
    <x v="18"/>
    <n v="3"/>
    <n v="1375.15"/>
    <n v="4125.4500000000007"/>
    <x v="2"/>
    <x v="1"/>
    <x v="32"/>
    <x v="4"/>
  </r>
  <r>
    <s v="ORD000292"/>
    <s v="Pedro Vázquez"/>
    <s v="pedro.vázquez@mail.com"/>
    <x v="3"/>
    <s v="Roma"/>
    <x v="3"/>
    <x v="15"/>
    <n v="3"/>
    <n v="484.57"/>
    <n v="1453.71"/>
    <x v="7"/>
    <x v="1"/>
    <x v="75"/>
    <x v="3"/>
  </r>
  <r>
    <s v="ORD000293"/>
    <s v="Sofía López"/>
    <s v="sofía.lópez@mail.com"/>
    <x v="3"/>
    <s v="Roma"/>
    <x v="2"/>
    <x v="15"/>
    <n v="1"/>
    <n v="406.21"/>
    <n v="406.21"/>
    <x v="11"/>
    <x v="0"/>
    <x v="187"/>
    <x v="0"/>
  </r>
  <r>
    <s v="ORD000294"/>
    <s v="Carmen Gil"/>
    <s v="carmen.gil@mail.com"/>
    <x v="1"/>
    <s v="Hamburgo"/>
    <x v="2"/>
    <x v="15"/>
    <n v="5"/>
    <n v="954.19"/>
    <n v="4770.9500000000007"/>
    <x v="5"/>
    <x v="0"/>
    <x v="246"/>
    <x v="1"/>
  </r>
  <r>
    <s v="ORD000295"/>
    <s v="Luis Pérez"/>
    <s v="luis.pérez@mail.com"/>
    <x v="2"/>
    <s v="Oporto"/>
    <x v="4"/>
    <x v="22"/>
    <n v="4"/>
    <n v="1110.1199999999999"/>
    <n v="4440.4799999999996"/>
    <x v="4"/>
    <x v="0"/>
    <x v="247"/>
    <x v="4"/>
  </r>
  <r>
    <s v="ORD000296"/>
    <s v="Raúl Ruiz"/>
    <s v="raúl.ruiz@mail.com"/>
    <x v="1"/>
    <s v="Múnich"/>
    <x v="3"/>
    <x v="4"/>
    <n v="3"/>
    <n v="670.98"/>
    <n v="2012.94"/>
    <x v="2"/>
    <x v="0"/>
    <x v="248"/>
    <x v="0"/>
  </r>
  <r>
    <s v="ORD000297"/>
    <s v="Javier Pérez"/>
    <s v="javier.pérez@mail.com"/>
    <x v="4"/>
    <s v="París"/>
    <x v="2"/>
    <x v="10"/>
    <n v="3"/>
    <n v="368.18"/>
    <n v="1104.54"/>
    <x v="4"/>
    <x v="1"/>
    <x v="249"/>
    <x v="2"/>
  </r>
  <r>
    <s v="ORD000298"/>
    <s v="Carmen Navarro"/>
    <s v="carmen.navarro@mail.com"/>
    <x v="4"/>
    <s v="Lyon"/>
    <x v="2"/>
    <x v="19"/>
    <n v="3"/>
    <n v="854.89"/>
    <n v="2564.67"/>
    <x v="1"/>
    <x v="1"/>
    <x v="106"/>
    <x v="1"/>
  </r>
  <r>
    <s v="ORD000299"/>
    <s v="Irene Pérez"/>
    <s v="irene.pérez@mail.com"/>
    <x v="4"/>
    <s v="Lyon"/>
    <x v="1"/>
    <x v="12"/>
    <n v="5"/>
    <n v="225.16"/>
    <n v="1125.8"/>
    <x v="10"/>
    <x v="2"/>
    <x v="250"/>
    <x v="1"/>
  </r>
  <r>
    <s v="ORD000300"/>
    <s v="Sofía Fernández"/>
    <s v="sofía.fernández@mail.com"/>
    <x v="2"/>
    <s v="Braga"/>
    <x v="3"/>
    <x v="18"/>
    <n v="3"/>
    <n v="49.96"/>
    <n v="149.88"/>
    <x v="11"/>
    <x v="1"/>
    <x v="151"/>
    <x v="3"/>
  </r>
  <r>
    <s v="ORD000301"/>
    <s v="Ana Alonso"/>
    <s v="ana.alonso@mail.com"/>
    <x v="4"/>
    <s v="Marsella"/>
    <x v="1"/>
    <x v="8"/>
    <n v="2"/>
    <n v="1288.81"/>
    <n v="2577.62"/>
    <x v="0"/>
    <x v="1"/>
    <x v="9"/>
    <x v="1"/>
  </r>
  <r>
    <s v="ORD000302"/>
    <s v="Luis Díaz"/>
    <s v="luis.díaz@mail.com"/>
    <x v="1"/>
    <s v="Múnich"/>
    <x v="1"/>
    <x v="8"/>
    <n v="1"/>
    <n v="752.98"/>
    <n v="752.98"/>
    <x v="4"/>
    <x v="1"/>
    <x v="7"/>
    <x v="1"/>
  </r>
  <r>
    <s v="ORD000303"/>
    <s v="Irene Ruiz"/>
    <s v="irene.ruiz@mail.com"/>
    <x v="3"/>
    <s v="Nápoles"/>
    <x v="2"/>
    <x v="10"/>
    <n v="1"/>
    <n v="964.3"/>
    <n v="964.3"/>
    <x v="4"/>
    <x v="1"/>
    <x v="251"/>
    <x v="3"/>
  </r>
  <r>
    <s v="ORD000304"/>
    <s v="Pedro Ramos"/>
    <s v="pedro.ramos@mail.com"/>
    <x v="0"/>
    <s v="Bilbao"/>
    <x v="2"/>
    <x v="19"/>
    <n v="4"/>
    <n v="701.68"/>
    <n v="2806.72"/>
    <x v="10"/>
    <x v="2"/>
    <x v="252"/>
    <x v="1"/>
  </r>
  <r>
    <s v="ORD000305"/>
    <s v="Ana Vázquez"/>
    <s v="ana.vázquez@mail.com"/>
    <x v="3"/>
    <s v="Milán"/>
    <x v="1"/>
    <x v="8"/>
    <n v="3"/>
    <n v="1359.95"/>
    <n v="4079.8500000000004"/>
    <x v="1"/>
    <x v="1"/>
    <x v="253"/>
    <x v="0"/>
  </r>
  <r>
    <s v="ORD000306"/>
    <s v="Sofía Ramos"/>
    <s v="sofía.ramos@mail.com"/>
    <x v="3"/>
    <s v="Nápoles"/>
    <x v="2"/>
    <x v="9"/>
    <n v="1"/>
    <n v="1275.71"/>
    <n v="1275.71"/>
    <x v="2"/>
    <x v="0"/>
    <x v="117"/>
    <x v="0"/>
  </r>
  <r>
    <s v="ORD000307"/>
    <s v="Javier Vázquez"/>
    <s v="javier.vázquez@mail.com"/>
    <x v="0"/>
    <s v="Bilbao"/>
    <x v="4"/>
    <x v="23"/>
    <n v="3"/>
    <n v="880.25"/>
    <n v="2640.75"/>
    <x v="6"/>
    <x v="1"/>
    <x v="160"/>
    <x v="0"/>
  </r>
  <r>
    <s v="ORD000308"/>
    <s v="Pablo Alonso"/>
    <s v="pablo.alonso@mail.com"/>
    <x v="3"/>
    <s v="Roma"/>
    <x v="2"/>
    <x v="15"/>
    <n v="5"/>
    <n v="1198.57"/>
    <n v="5992.8499999999995"/>
    <x v="4"/>
    <x v="1"/>
    <x v="254"/>
    <x v="1"/>
  </r>
  <r>
    <s v="ORD000309"/>
    <s v="Irene Rodríguez"/>
    <s v="irene.rodríguez@mail.com"/>
    <x v="1"/>
    <s v="Hamburgo"/>
    <x v="0"/>
    <x v="17"/>
    <n v="2"/>
    <n v="90.4"/>
    <n v="180.8"/>
    <x v="5"/>
    <x v="2"/>
    <x v="255"/>
    <x v="1"/>
  </r>
  <r>
    <s v="ORD000310"/>
    <s v="Elena Gómez"/>
    <s v="elena.gómez@mail.com"/>
    <x v="4"/>
    <s v="Marsella"/>
    <x v="0"/>
    <x v="17"/>
    <n v="5"/>
    <n v="243.63"/>
    <n v="1218.1500000000001"/>
    <x v="1"/>
    <x v="0"/>
    <x v="173"/>
    <x v="0"/>
  </r>
  <r>
    <s v="ORD000311"/>
    <s v="Raúl Navarro"/>
    <s v="raúl.navarro@mail.com"/>
    <x v="3"/>
    <s v="Roma"/>
    <x v="0"/>
    <x v="13"/>
    <n v="3"/>
    <n v="1200.6400000000001"/>
    <n v="3601.92"/>
    <x v="5"/>
    <x v="1"/>
    <x v="256"/>
    <x v="0"/>
  </r>
  <r>
    <s v="ORD000312"/>
    <s v="Miguel Sánchez"/>
    <s v="miguel.sánchez@mail.com"/>
    <x v="0"/>
    <s v="Valencia"/>
    <x v="3"/>
    <x v="5"/>
    <n v="1"/>
    <n v="506.03"/>
    <n v="506.03"/>
    <x v="6"/>
    <x v="0"/>
    <x v="51"/>
    <x v="2"/>
  </r>
  <r>
    <s v="ORD000313"/>
    <s v="Miguel Navarro"/>
    <s v="miguel.navarro@mail.com"/>
    <x v="2"/>
    <s v="Lisboa"/>
    <x v="1"/>
    <x v="12"/>
    <n v="1"/>
    <n v="963.66"/>
    <n v="963.66"/>
    <x v="7"/>
    <x v="1"/>
    <x v="257"/>
    <x v="3"/>
  </r>
  <r>
    <s v="ORD000314"/>
    <s v="Carmen Pérez"/>
    <s v="carmen.pérez@mail.com"/>
    <x v="4"/>
    <s v="Marsella"/>
    <x v="2"/>
    <x v="19"/>
    <n v="1"/>
    <n v="478.28"/>
    <n v="478.28"/>
    <x v="9"/>
    <x v="0"/>
    <x v="258"/>
    <x v="0"/>
  </r>
  <r>
    <s v="ORD000315"/>
    <s v="Javier Pérez"/>
    <s v="javier.pérez@mail.com"/>
    <x v="4"/>
    <s v="París"/>
    <x v="3"/>
    <x v="18"/>
    <n v="5"/>
    <n v="1256.9100000000001"/>
    <n v="6284.55"/>
    <x v="0"/>
    <x v="1"/>
    <x v="259"/>
    <x v="4"/>
  </r>
  <r>
    <s v="ORD000316"/>
    <s v="Pablo Gil"/>
    <s v="pablo.gil@mail.com"/>
    <x v="2"/>
    <s v="Lisboa"/>
    <x v="4"/>
    <x v="21"/>
    <n v="2"/>
    <n v="1353.89"/>
    <n v="2707.78"/>
    <x v="3"/>
    <x v="0"/>
    <x v="135"/>
    <x v="2"/>
  </r>
  <r>
    <s v="ORD000317"/>
    <s v="Raúl Díaz"/>
    <s v="raúl.díaz@mail.com"/>
    <x v="3"/>
    <s v="Nápoles"/>
    <x v="0"/>
    <x v="16"/>
    <n v="3"/>
    <n v="1394.38"/>
    <n v="4183.1400000000003"/>
    <x v="2"/>
    <x v="0"/>
    <x v="260"/>
    <x v="4"/>
  </r>
  <r>
    <s v="ORD000318"/>
    <s v="Sofía Díaz"/>
    <s v="sofía.díaz@mail.com"/>
    <x v="4"/>
    <s v="París"/>
    <x v="3"/>
    <x v="15"/>
    <n v="4"/>
    <n v="1323.79"/>
    <n v="5295.16"/>
    <x v="5"/>
    <x v="2"/>
    <x v="261"/>
    <x v="4"/>
  </r>
  <r>
    <s v="ORD000319"/>
    <s v="Raúl Rodríguez"/>
    <s v="raúl.rodríguez@mail.com"/>
    <x v="2"/>
    <s v="Lisboa"/>
    <x v="1"/>
    <x v="6"/>
    <n v="2"/>
    <n v="1038.33"/>
    <n v="2076.66"/>
    <x v="10"/>
    <x v="0"/>
    <x v="262"/>
    <x v="1"/>
  </r>
  <r>
    <s v="ORD000320"/>
    <s v="Pablo Navarro"/>
    <s v="pablo.navarro@mail.com"/>
    <x v="2"/>
    <s v="Oporto"/>
    <x v="0"/>
    <x v="20"/>
    <n v="3"/>
    <n v="236.09"/>
    <n v="708.27"/>
    <x v="5"/>
    <x v="2"/>
    <x v="233"/>
    <x v="2"/>
  </r>
  <r>
    <s v="ORD000321"/>
    <s v="María Pérez"/>
    <s v="maría.pérez@mail.com"/>
    <x v="0"/>
    <s v="Sevilla"/>
    <x v="1"/>
    <x v="6"/>
    <n v="3"/>
    <n v="1475.5"/>
    <n v="4426.5"/>
    <x v="3"/>
    <x v="1"/>
    <x v="36"/>
    <x v="4"/>
  </r>
  <r>
    <s v="ORD000322"/>
    <s v="Lucía Pérez"/>
    <s v="lucía.pérez@mail.com"/>
    <x v="3"/>
    <s v="Milán"/>
    <x v="3"/>
    <x v="5"/>
    <n v="4"/>
    <n v="1411.9"/>
    <n v="5647.6"/>
    <x v="2"/>
    <x v="1"/>
    <x v="263"/>
    <x v="1"/>
  </r>
  <r>
    <s v="ORD000323"/>
    <s v="Carmen Ruiz"/>
    <s v="carmen.ruiz@mail.com"/>
    <x v="3"/>
    <s v="Milán"/>
    <x v="1"/>
    <x v="1"/>
    <n v="3"/>
    <n v="890.46"/>
    <n v="2671.38"/>
    <x v="0"/>
    <x v="0"/>
    <x v="264"/>
    <x v="2"/>
  </r>
  <r>
    <s v="ORD000324"/>
    <s v="Lucía Ruiz"/>
    <s v="lucía.ruiz@mail.com"/>
    <x v="3"/>
    <s v="Milán"/>
    <x v="0"/>
    <x v="17"/>
    <n v="4"/>
    <n v="1259.1600000000001"/>
    <n v="5036.6400000000003"/>
    <x v="9"/>
    <x v="1"/>
    <x v="204"/>
    <x v="1"/>
  </r>
  <r>
    <s v="ORD000325"/>
    <s v="Elena Torres"/>
    <s v="elena.torres@mail.com"/>
    <x v="1"/>
    <s v="Hamburgo"/>
    <x v="2"/>
    <x v="15"/>
    <n v="2"/>
    <n v="194.38"/>
    <n v="388.76"/>
    <x v="10"/>
    <x v="2"/>
    <x v="149"/>
    <x v="1"/>
  </r>
  <r>
    <s v="ORD000326"/>
    <s v="Javier Pérez"/>
    <s v="javier.pérez@mail.com"/>
    <x v="4"/>
    <s v="Lyon"/>
    <x v="3"/>
    <x v="7"/>
    <n v="1"/>
    <n v="568.29999999999995"/>
    <n v="568.29999999999995"/>
    <x v="4"/>
    <x v="0"/>
    <x v="265"/>
    <x v="0"/>
  </r>
  <r>
    <s v="ORD000327"/>
    <s v="María Pérez"/>
    <s v="maría.pérez@mail.com"/>
    <x v="2"/>
    <s v="Oporto"/>
    <x v="3"/>
    <x v="5"/>
    <n v="3"/>
    <n v="1097.69"/>
    <n v="3293.07"/>
    <x v="11"/>
    <x v="0"/>
    <x v="266"/>
    <x v="4"/>
  </r>
  <r>
    <s v="ORD000328"/>
    <s v="Elena Ramos"/>
    <s v="elena.ramos@mail.com"/>
    <x v="1"/>
    <s v="Múnich"/>
    <x v="4"/>
    <x v="22"/>
    <n v="5"/>
    <n v="1128.6500000000001"/>
    <n v="5643.25"/>
    <x v="3"/>
    <x v="1"/>
    <x v="179"/>
    <x v="2"/>
  </r>
  <r>
    <s v="ORD000329"/>
    <s v="Pedro Díaz"/>
    <s v="pedro.díaz@mail.com"/>
    <x v="0"/>
    <s v="Valencia"/>
    <x v="1"/>
    <x v="1"/>
    <n v="1"/>
    <n v="1036.76"/>
    <n v="1036.76"/>
    <x v="10"/>
    <x v="0"/>
    <x v="186"/>
    <x v="2"/>
  </r>
  <r>
    <s v="ORD000330"/>
    <s v="María Pérez"/>
    <s v="maría.pérez@mail.com"/>
    <x v="0"/>
    <s v="Sevilla"/>
    <x v="1"/>
    <x v="1"/>
    <n v="4"/>
    <n v="1275.24"/>
    <n v="5100.96"/>
    <x v="5"/>
    <x v="0"/>
    <x v="267"/>
    <x v="3"/>
  </r>
  <r>
    <s v="ORD000331"/>
    <s v="Carmen Fernández"/>
    <s v="carmen.fernández@mail.com"/>
    <x v="0"/>
    <s v="Barcelona"/>
    <x v="4"/>
    <x v="22"/>
    <n v="4"/>
    <n v="1227.93"/>
    <n v="4911.72"/>
    <x v="11"/>
    <x v="1"/>
    <x v="268"/>
    <x v="0"/>
  </r>
  <r>
    <s v="ORD000332"/>
    <s v="Miguel Torres"/>
    <s v="miguel.torres@mail.com"/>
    <x v="1"/>
    <s v="Berlín"/>
    <x v="4"/>
    <x v="14"/>
    <n v="1"/>
    <n v="156.31"/>
    <n v="156.31"/>
    <x v="2"/>
    <x v="1"/>
    <x v="123"/>
    <x v="4"/>
  </r>
  <r>
    <s v="ORD000333"/>
    <s v="Javier Gil"/>
    <s v="javier.gil@mail.com"/>
    <x v="4"/>
    <s v="París"/>
    <x v="3"/>
    <x v="7"/>
    <n v="2"/>
    <n v="281.20999999999998"/>
    <n v="562.41999999999996"/>
    <x v="3"/>
    <x v="0"/>
    <x v="78"/>
    <x v="4"/>
  </r>
  <r>
    <s v="ORD000334"/>
    <s v="Raúl Ramos"/>
    <s v="raúl.ramos@mail.com"/>
    <x v="1"/>
    <s v="Múnich"/>
    <x v="1"/>
    <x v="8"/>
    <n v="4"/>
    <n v="670.79"/>
    <n v="2683.16"/>
    <x v="5"/>
    <x v="2"/>
    <x v="269"/>
    <x v="0"/>
  </r>
  <r>
    <s v="ORD000335"/>
    <s v="Luis Gil"/>
    <s v="luis.gil@mail.com"/>
    <x v="2"/>
    <s v="Oporto"/>
    <x v="0"/>
    <x v="16"/>
    <n v="1"/>
    <n v="1086.6600000000001"/>
    <n v="1086.6600000000001"/>
    <x v="0"/>
    <x v="0"/>
    <x v="6"/>
    <x v="1"/>
  </r>
  <r>
    <s v="ORD000336"/>
    <s v="Pablo López"/>
    <s v="pablo.lópez@mail.com"/>
    <x v="1"/>
    <s v="Múnich"/>
    <x v="1"/>
    <x v="1"/>
    <n v="1"/>
    <n v="977.89"/>
    <n v="977.89"/>
    <x v="1"/>
    <x v="1"/>
    <x v="253"/>
    <x v="0"/>
  </r>
  <r>
    <s v="ORD000337"/>
    <s v="Lucía Alonso"/>
    <s v="lucía.alonso@mail.com"/>
    <x v="2"/>
    <s v="Braga"/>
    <x v="2"/>
    <x v="3"/>
    <n v="5"/>
    <n v="1329.79"/>
    <n v="6648.95"/>
    <x v="3"/>
    <x v="1"/>
    <x v="270"/>
    <x v="4"/>
  </r>
  <r>
    <s v="ORD000338"/>
    <s v="Pablo Martínez"/>
    <s v="pablo.martínez@mail.com"/>
    <x v="2"/>
    <s v="Braga"/>
    <x v="2"/>
    <x v="15"/>
    <n v="2"/>
    <n v="84.21"/>
    <n v="168.42"/>
    <x v="3"/>
    <x v="0"/>
    <x v="271"/>
    <x v="2"/>
  </r>
  <r>
    <s v="ORD000339"/>
    <s v="Sofía Pérez"/>
    <s v="sofía.pérez@mail.com"/>
    <x v="4"/>
    <s v="Marsella"/>
    <x v="0"/>
    <x v="13"/>
    <n v="2"/>
    <n v="1432.53"/>
    <n v="2865.06"/>
    <x v="11"/>
    <x v="1"/>
    <x v="272"/>
    <x v="3"/>
  </r>
  <r>
    <s v="ORD000340"/>
    <s v="Javier Gómez"/>
    <s v="javier.gómez@mail.com"/>
    <x v="4"/>
    <s v="París"/>
    <x v="4"/>
    <x v="23"/>
    <n v="4"/>
    <n v="246.87"/>
    <n v="987.48"/>
    <x v="5"/>
    <x v="0"/>
    <x v="273"/>
    <x v="2"/>
  </r>
  <r>
    <s v="ORD000341"/>
    <s v="Lucía Gil"/>
    <s v="lucía.gil@mail.com"/>
    <x v="2"/>
    <s v="Braga"/>
    <x v="1"/>
    <x v="12"/>
    <n v="5"/>
    <n v="321.02"/>
    <n v="1605.1"/>
    <x v="2"/>
    <x v="2"/>
    <x v="274"/>
    <x v="1"/>
  </r>
  <r>
    <s v="ORD000342"/>
    <s v="Ana Martínez"/>
    <s v="ana.martínez@mail.com"/>
    <x v="0"/>
    <s v="Madrid"/>
    <x v="0"/>
    <x v="0"/>
    <n v="5"/>
    <n v="116.91"/>
    <n v="584.54999999999995"/>
    <x v="7"/>
    <x v="1"/>
    <x v="275"/>
    <x v="2"/>
  </r>
  <r>
    <s v="ORD000343"/>
    <s v="Pedro Fernández"/>
    <s v="pedro.fernández@mail.com"/>
    <x v="1"/>
    <s v="Berlín"/>
    <x v="3"/>
    <x v="18"/>
    <n v="2"/>
    <n v="811.47"/>
    <n v="1622.94"/>
    <x v="5"/>
    <x v="0"/>
    <x v="87"/>
    <x v="3"/>
  </r>
  <r>
    <s v="ORD000344"/>
    <s v="Ana López"/>
    <s v="ana.lópez@mail.com"/>
    <x v="3"/>
    <s v="Roma"/>
    <x v="4"/>
    <x v="14"/>
    <n v="1"/>
    <n v="1483.33"/>
    <n v="1483.33"/>
    <x v="9"/>
    <x v="1"/>
    <x v="276"/>
    <x v="1"/>
  </r>
  <r>
    <s v="ORD000345"/>
    <s v="Pedro Gil"/>
    <s v="pedro.gil@mail.com"/>
    <x v="4"/>
    <s v="Lyon"/>
    <x v="4"/>
    <x v="23"/>
    <n v="3"/>
    <n v="817.08"/>
    <n v="2451.2400000000002"/>
    <x v="5"/>
    <x v="2"/>
    <x v="231"/>
    <x v="3"/>
  </r>
  <r>
    <s v="ORD000346"/>
    <s v="Laura Ramos"/>
    <s v="laura.ramos@mail.com"/>
    <x v="0"/>
    <s v="Bilbao"/>
    <x v="1"/>
    <x v="2"/>
    <n v="1"/>
    <n v="232.08"/>
    <n v="232.08"/>
    <x v="1"/>
    <x v="1"/>
    <x v="1"/>
    <x v="0"/>
  </r>
  <r>
    <s v="ORD000347"/>
    <s v="Luis Torres"/>
    <s v="luis.torres@mail.com"/>
    <x v="4"/>
    <s v="Lyon"/>
    <x v="1"/>
    <x v="6"/>
    <n v="3"/>
    <n v="740.38"/>
    <n v="2221.14"/>
    <x v="11"/>
    <x v="0"/>
    <x v="277"/>
    <x v="4"/>
  </r>
  <r>
    <s v="ORD000348"/>
    <s v="Pablo Gil"/>
    <s v="pablo.gil@mail.com"/>
    <x v="2"/>
    <s v="Braga"/>
    <x v="1"/>
    <x v="8"/>
    <n v="1"/>
    <n v="426.63"/>
    <n v="426.63"/>
    <x v="3"/>
    <x v="1"/>
    <x v="278"/>
    <x v="1"/>
  </r>
  <r>
    <s v="ORD000349"/>
    <s v="Pedro Sánchez"/>
    <s v="pedro.sánchez@mail.com"/>
    <x v="1"/>
    <s v="Berlín"/>
    <x v="0"/>
    <x v="16"/>
    <n v="1"/>
    <n v="1457.85"/>
    <n v="1457.85"/>
    <x v="6"/>
    <x v="0"/>
    <x v="279"/>
    <x v="0"/>
  </r>
  <r>
    <s v="ORD000350"/>
    <s v="Carmen Navarro"/>
    <s v="carmen.navarro@mail.com"/>
    <x v="3"/>
    <s v="Milán"/>
    <x v="2"/>
    <x v="10"/>
    <n v="1"/>
    <n v="935.48"/>
    <n v="935.48"/>
    <x v="4"/>
    <x v="1"/>
    <x v="280"/>
    <x v="4"/>
  </r>
  <r>
    <s v="ORD000351"/>
    <s v="Miguel Ramos"/>
    <s v="miguel.ramos@mail.com"/>
    <x v="4"/>
    <s v="París"/>
    <x v="1"/>
    <x v="1"/>
    <n v="4"/>
    <n v="1150.25"/>
    <n v="4601"/>
    <x v="8"/>
    <x v="1"/>
    <x v="281"/>
    <x v="0"/>
  </r>
  <r>
    <s v="ORD000352"/>
    <s v="Elena Alonso"/>
    <s v="elena.alonso@mail.com"/>
    <x v="1"/>
    <s v="Hamburgo"/>
    <x v="1"/>
    <x v="12"/>
    <n v="4"/>
    <n v="1020.97"/>
    <n v="4083.88"/>
    <x v="5"/>
    <x v="0"/>
    <x v="87"/>
    <x v="2"/>
  </r>
  <r>
    <s v="ORD000353"/>
    <s v="Elena Martínez"/>
    <s v="elena.martínez@mail.com"/>
    <x v="1"/>
    <s v="Múnich"/>
    <x v="2"/>
    <x v="15"/>
    <n v="4"/>
    <n v="1211.29"/>
    <n v="4845.16"/>
    <x v="1"/>
    <x v="1"/>
    <x v="282"/>
    <x v="3"/>
  </r>
  <r>
    <s v="ORD000354"/>
    <s v="Miguel Gómez"/>
    <s v="miguel.gómez@mail.com"/>
    <x v="1"/>
    <s v="Berlín"/>
    <x v="2"/>
    <x v="10"/>
    <n v="1"/>
    <n v="1042.1500000000001"/>
    <n v="1042.1500000000001"/>
    <x v="6"/>
    <x v="0"/>
    <x v="283"/>
    <x v="0"/>
  </r>
  <r>
    <s v="ORD000355"/>
    <s v="Elena Pérez"/>
    <s v="elena.pérez@mail.com"/>
    <x v="4"/>
    <s v="Marsella"/>
    <x v="4"/>
    <x v="21"/>
    <n v="1"/>
    <n v="1015.04"/>
    <n v="1015.04"/>
    <x v="5"/>
    <x v="2"/>
    <x v="284"/>
    <x v="1"/>
  </r>
  <r>
    <s v="ORD000356"/>
    <s v="Carlos Ruiz"/>
    <s v="carlos.ruiz@mail.com"/>
    <x v="0"/>
    <s v="Valencia"/>
    <x v="4"/>
    <x v="23"/>
    <n v="1"/>
    <n v="686.02"/>
    <n v="686.02"/>
    <x v="6"/>
    <x v="0"/>
    <x v="285"/>
    <x v="3"/>
  </r>
  <r>
    <s v="ORD000357"/>
    <s v="Pedro López"/>
    <s v="pedro.lópez@mail.com"/>
    <x v="2"/>
    <s v="Lisboa"/>
    <x v="4"/>
    <x v="11"/>
    <n v="1"/>
    <n v="397.49"/>
    <n v="397.49"/>
    <x v="0"/>
    <x v="0"/>
    <x v="244"/>
    <x v="1"/>
  </r>
  <r>
    <s v="ORD000358"/>
    <s v="María Gil"/>
    <s v="maría.gil@mail.com"/>
    <x v="1"/>
    <s v="Hamburgo"/>
    <x v="2"/>
    <x v="3"/>
    <n v="1"/>
    <n v="442.37"/>
    <n v="442.37"/>
    <x v="8"/>
    <x v="0"/>
    <x v="286"/>
    <x v="1"/>
  </r>
  <r>
    <s v="ORD000359"/>
    <s v="Sofía Vázquez"/>
    <s v="sofía.vázquez@mail.com"/>
    <x v="3"/>
    <s v="Roma"/>
    <x v="2"/>
    <x v="9"/>
    <n v="5"/>
    <n v="1381.72"/>
    <n v="6908.6"/>
    <x v="10"/>
    <x v="2"/>
    <x v="83"/>
    <x v="1"/>
  </r>
  <r>
    <s v="ORD000360"/>
    <s v="Pedro Vázquez"/>
    <s v="pedro.vázquez@mail.com"/>
    <x v="4"/>
    <s v="Lyon"/>
    <x v="1"/>
    <x v="1"/>
    <n v="4"/>
    <n v="526.94000000000005"/>
    <n v="2107.7600000000002"/>
    <x v="1"/>
    <x v="0"/>
    <x v="287"/>
    <x v="4"/>
  </r>
  <r>
    <s v="ORD000361"/>
    <s v="Lucía García"/>
    <s v="lucía.garcía@mail.com"/>
    <x v="0"/>
    <s v="Madrid"/>
    <x v="0"/>
    <x v="16"/>
    <n v="3"/>
    <n v="1099.79"/>
    <n v="3299.37"/>
    <x v="10"/>
    <x v="1"/>
    <x v="288"/>
    <x v="4"/>
  </r>
  <r>
    <s v="ORD000362"/>
    <s v="Javier Ramos"/>
    <s v="javier.ramos@mail.com"/>
    <x v="0"/>
    <s v="Valencia"/>
    <x v="2"/>
    <x v="9"/>
    <n v="3"/>
    <n v="1051.9000000000001"/>
    <n v="3155.7000000000003"/>
    <x v="10"/>
    <x v="0"/>
    <x v="289"/>
    <x v="2"/>
  </r>
  <r>
    <s v="ORD000363"/>
    <s v="Irene Pérez"/>
    <s v="irene.pérez@mail.com"/>
    <x v="0"/>
    <s v="Bilbao"/>
    <x v="1"/>
    <x v="6"/>
    <n v="5"/>
    <n v="842.81"/>
    <n v="4214.0499999999993"/>
    <x v="4"/>
    <x v="0"/>
    <x v="290"/>
    <x v="3"/>
  </r>
  <r>
    <s v="ORD000364"/>
    <s v="Pedro Gómez"/>
    <s v="pedro.gómez@mail.com"/>
    <x v="4"/>
    <s v="París"/>
    <x v="0"/>
    <x v="17"/>
    <n v="4"/>
    <n v="549.74"/>
    <n v="2198.96"/>
    <x v="4"/>
    <x v="0"/>
    <x v="247"/>
    <x v="1"/>
  </r>
  <r>
    <s v="ORD000365"/>
    <s v="Sofía Gómez"/>
    <s v="sofía.gómez@mail.com"/>
    <x v="3"/>
    <s v="Nápoles"/>
    <x v="1"/>
    <x v="8"/>
    <n v="3"/>
    <n v="500.49"/>
    <n v="1501.47"/>
    <x v="2"/>
    <x v="2"/>
    <x v="154"/>
    <x v="4"/>
  </r>
  <r>
    <s v="ORD000366"/>
    <s v="María Navarro"/>
    <s v="maría.navarro@mail.com"/>
    <x v="1"/>
    <s v="Múnich"/>
    <x v="2"/>
    <x v="10"/>
    <n v="5"/>
    <n v="1431.78"/>
    <n v="7158.9"/>
    <x v="10"/>
    <x v="2"/>
    <x v="291"/>
    <x v="0"/>
  </r>
  <r>
    <s v="ORD000367"/>
    <s v="Luis García"/>
    <s v="luis.garcía@mail.com"/>
    <x v="3"/>
    <s v="Nápoles"/>
    <x v="0"/>
    <x v="0"/>
    <n v="5"/>
    <n v="159.07"/>
    <n v="795.34999999999991"/>
    <x v="5"/>
    <x v="1"/>
    <x v="292"/>
    <x v="2"/>
  </r>
  <r>
    <s v="ORD000368"/>
    <s v="Pablo Torres"/>
    <s v="pablo.torres@mail.com"/>
    <x v="2"/>
    <s v="Oporto"/>
    <x v="3"/>
    <x v="5"/>
    <n v="3"/>
    <n v="450.39"/>
    <n v="1351.17"/>
    <x v="3"/>
    <x v="0"/>
    <x v="50"/>
    <x v="2"/>
  </r>
  <r>
    <s v="ORD000369"/>
    <s v="Elena Gil"/>
    <s v="elena.gil@mail.com"/>
    <x v="1"/>
    <s v="Berlín"/>
    <x v="3"/>
    <x v="4"/>
    <n v="3"/>
    <n v="476.83"/>
    <n v="1430.49"/>
    <x v="2"/>
    <x v="1"/>
    <x v="227"/>
    <x v="1"/>
  </r>
  <r>
    <s v="ORD000370"/>
    <s v="Ana Navarro"/>
    <s v="ana.navarro@mail.com"/>
    <x v="0"/>
    <s v="Valencia"/>
    <x v="2"/>
    <x v="3"/>
    <n v="2"/>
    <n v="580.32000000000005"/>
    <n v="1160.6400000000001"/>
    <x v="5"/>
    <x v="0"/>
    <x v="293"/>
    <x v="4"/>
  </r>
  <r>
    <s v="ORD000371"/>
    <s v="Elena Gil"/>
    <s v="elena.gil@mail.com"/>
    <x v="3"/>
    <s v="Milán"/>
    <x v="4"/>
    <x v="21"/>
    <n v="2"/>
    <n v="1194.0899999999999"/>
    <n v="2388.1799999999998"/>
    <x v="4"/>
    <x v="1"/>
    <x v="294"/>
    <x v="3"/>
  </r>
  <r>
    <s v="ORD000372"/>
    <s v="Raúl Rodríguez"/>
    <s v="raúl.rodríguez@mail.com"/>
    <x v="0"/>
    <s v="Barcelona"/>
    <x v="3"/>
    <x v="5"/>
    <n v="3"/>
    <n v="313.87"/>
    <n v="941.61"/>
    <x v="5"/>
    <x v="1"/>
    <x v="295"/>
    <x v="2"/>
  </r>
  <r>
    <s v="ORD000373"/>
    <s v="Carmen García"/>
    <s v="carmen.garcía@mail.com"/>
    <x v="3"/>
    <s v="Roma"/>
    <x v="3"/>
    <x v="15"/>
    <n v="2"/>
    <n v="213.99"/>
    <n v="427.98"/>
    <x v="4"/>
    <x v="1"/>
    <x v="294"/>
    <x v="3"/>
  </r>
  <r>
    <s v="ORD000374"/>
    <s v="Laura Fernández"/>
    <s v="laura.fernández@mail.com"/>
    <x v="4"/>
    <s v="Lyon"/>
    <x v="3"/>
    <x v="7"/>
    <n v="1"/>
    <n v="365.19"/>
    <n v="365.19"/>
    <x v="1"/>
    <x v="1"/>
    <x v="237"/>
    <x v="4"/>
  </r>
  <r>
    <s v="ORD000375"/>
    <s v="Laura Alonso"/>
    <s v="laura.alonso@mail.com"/>
    <x v="4"/>
    <s v="Lyon"/>
    <x v="4"/>
    <x v="21"/>
    <n v="3"/>
    <n v="883.13"/>
    <n v="2649.39"/>
    <x v="2"/>
    <x v="2"/>
    <x v="296"/>
    <x v="1"/>
  </r>
  <r>
    <s v="ORD000376"/>
    <s v="Elena Navarro"/>
    <s v="elena.navarro@mail.com"/>
    <x v="0"/>
    <s v="Sevilla"/>
    <x v="4"/>
    <x v="22"/>
    <n v="2"/>
    <n v="1134.27"/>
    <n v="2268.54"/>
    <x v="0"/>
    <x v="1"/>
    <x v="259"/>
    <x v="4"/>
  </r>
  <r>
    <s v="ORD000377"/>
    <s v="Pedro Ruiz"/>
    <s v="pedro.ruiz@mail.com"/>
    <x v="1"/>
    <s v="Berlín"/>
    <x v="3"/>
    <x v="18"/>
    <n v="1"/>
    <n v="1362.07"/>
    <n v="1362.07"/>
    <x v="4"/>
    <x v="1"/>
    <x v="7"/>
    <x v="2"/>
  </r>
  <r>
    <s v="ORD000378"/>
    <s v="Diego Fernández"/>
    <s v="diego.fernández@mail.com"/>
    <x v="0"/>
    <s v="Sevilla"/>
    <x v="4"/>
    <x v="14"/>
    <n v="5"/>
    <n v="978.8"/>
    <n v="4894"/>
    <x v="2"/>
    <x v="0"/>
    <x v="132"/>
    <x v="3"/>
  </r>
  <r>
    <s v="ORD000379"/>
    <s v="Sofía Gil"/>
    <s v="sofía.gil@mail.com"/>
    <x v="3"/>
    <s v="Nápoles"/>
    <x v="1"/>
    <x v="1"/>
    <n v="1"/>
    <n v="367.18"/>
    <n v="367.18"/>
    <x v="10"/>
    <x v="2"/>
    <x v="183"/>
    <x v="4"/>
  </r>
  <r>
    <s v="ORD000380"/>
    <s v="Ana Gil"/>
    <s v="ana.gil@mail.com"/>
    <x v="1"/>
    <s v="Berlín"/>
    <x v="4"/>
    <x v="21"/>
    <n v="5"/>
    <n v="300.60000000000002"/>
    <n v="1503"/>
    <x v="8"/>
    <x v="0"/>
    <x v="46"/>
    <x v="0"/>
  </r>
  <r>
    <s v="ORD000381"/>
    <s v="María Martínez"/>
    <s v="maría.martínez@mail.com"/>
    <x v="3"/>
    <s v="Milán"/>
    <x v="3"/>
    <x v="5"/>
    <n v="3"/>
    <n v="548.57000000000005"/>
    <n v="1645.71"/>
    <x v="10"/>
    <x v="1"/>
    <x v="48"/>
    <x v="3"/>
  </r>
  <r>
    <s v="ORD000382"/>
    <s v="Lucía Vázquez"/>
    <s v="lucía.vázquez@mail.com"/>
    <x v="1"/>
    <s v="Hamburgo"/>
    <x v="0"/>
    <x v="13"/>
    <n v="3"/>
    <n v="1496.63"/>
    <n v="4489.8900000000003"/>
    <x v="3"/>
    <x v="1"/>
    <x v="40"/>
    <x v="4"/>
  </r>
  <r>
    <s v="ORD000383"/>
    <s v="Carlos Alonso"/>
    <s v="carlos.alonso@mail.com"/>
    <x v="2"/>
    <s v="Oporto"/>
    <x v="0"/>
    <x v="13"/>
    <n v="1"/>
    <n v="957.39"/>
    <n v="957.39"/>
    <x v="8"/>
    <x v="1"/>
    <x v="297"/>
    <x v="3"/>
  </r>
  <r>
    <s v="ORD000384"/>
    <s v="Irene Díaz"/>
    <s v="irene.díaz@mail.com"/>
    <x v="0"/>
    <s v="Barcelona"/>
    <x v="2"/>
    <x v="10"/>
    <n v="4"/>
    <n v="459.49"/>
    <n v="1837.96"/>
    <x v="8"/>
    <x v="1"/>
    <x v="298"/>
    <x v="0"/>
  </r>
  <r>
    <s v="ORD000385"/>
    <s v="Miguel Ruiz"/>
    <s v="miguel.ruiz@mail.com"/>
    <x v="2"/>
    <s v="Lisboa"/>
    <x v="4"/>
    <x v="14"/>
    <n v="5"/>
    <n v="143.69"/>
    <n v="718.45"/>
    <x v="11"/>
    <x v="1"/>
    <x v="76"/>
    <x v="2"/>
  </r>
  <r>
    <s v="ORD000386"/>
    <s v="Elena Torres"/>
    <s v="elena.torres@mail.com"/>
    <x v="3"/>
    <s v="Milán"/>
    <x v="0"/>
    <x v="17"/>
    <n v="3"/>
    <n v="1196.2"/>
    <n v="3588.6000000000004"/>
    <x v="2"/>
    <x v="1"/>
    <x v="129"/>
    <x v="3"/>
  </r>
  <r>
    <s v="ORD000387"/>
    <s v="Carmen Fernández"/>
    <s v="carmen.fernández@mail.com"/>
    <x v="0"/>
    <s v="Bilbao"/>
    <x v="4"/>
    <x v="11"/>
    <n v="4"/>
    <n v="567.47"/>
    <n v="2269.88"/>
    <x v="7"/>
    <x v="0"/>
    <x v="299"/>
    <x v="3"/>
  </r>
  <r>
    <s v="ORD000388"/>
    <s v="María García"/>
    <s v="maría.garcía@mail.com"/>
    <x v="3"/>
    <s v="Nápoles"/>
    <x v="2"/>
    <x v="9"/>
    <n v="3"/>
    <n v="597.19000000000005"/>
    <n v="1791.5700000000002"/>
    <x v="9"/>
    <x v="0"/>
    <x v="300"/>
    <x v="0"/>
  </r>
  <r>
    <s v="ORD000389"/>
    <s v="María Ramos"/>
    <s v="maría.ramos@mail.com"/>
    <x v="4"/>
    <s v="Marsella"/>
    <x v="3"/>
    <x v="15"/>
    <n v="5"/>
    <n v="672.15"/>
    <n v="3360.75"/>
    <x v="3"/>
    <x v="1"/>
    <x v="301"/>
    <x v="2"/>
  </r>
  <r>
    <s v="ORD000390"/>
    <s v="Laura López"/>
    <s v="laura.lópez@mail.com"/>
    <x v="4"/>
    <s v="Lyon"/>
    <x v="1"/>
    <x v="6"/>
    <n v="1"/>
    <n v="1087.71"/>
    <n v="1087.71"/>
    <x v="5"/>
    <x v="0"/>
    <x v="293"/>
    <x v="1"/>
  </r>
  <r>
    <s v="ORD000391"/>
    <s v="Laura Navarro"/>
    <s v="laura.navarro@mail.com"/>
    <x v="0"/>
    <s v="Barcelona"/>
    <x v="3"/>
    <x v="4"/>
    <n v="5"/>
    <n v="800.67"/>
    <n v="4003.35"/>
    <x v="1"/>
    <x v="1"/>
    <x v="302"/>
    <x v="2"/>
  </r>
  <r>
    <s v="ORD000392"/>
    <s v="Diego Rodríguez"/>
    <s v="diego.rodríguez@mail.com"/>
    <x v="2"/>
    <s v="Oporto"/>
    <x v="4"/>
    <x v="11"/>
    <n v="2"/>
    <n v="529"/>
    <n v="1058"/>
    <x v="2"/>
    <x v="1"/>
    <x v="303"/>
    <x v="2"/>
  </r>
  <r>
    <s v="ORD000393"/>
    <s v="Irene Alonso"/>
    <s v="irene.alonso@mail.com"/>
    <x v="2"/>
    <s v="Lisboa"/>
    <x v="0"/>
    <x v="13"/>
    <n v="3"/>
    <n v="1178.83"/>
    <n v="3536.49"/>
    <x v="9"/>
    <x v="1"/>
    <x v="195"/>
    <x v="2"/>
  </r>
  <r>
    <s v="ORD000394"/>
    <s v="Raúl Fernández"/>
    <s v="raúl.fernández@mail.com"/>
    <x v="3"/>
    <s v="Nápoles"/>
    <x v="0"/>
    <x v="0"/>
    <n v="5"/>
    <n v="478.69"/>
    <n v="2393.4499999999998"/>
    <x v="0"/>
    <x v="1"/>
    <x v="304"/>
    <x v="0"/>
  </r>
  <r>
    <s v="ORD000395"/>
    <s v="Laura Pérez"/>
    <s v="laura.pérez@mail.com"/>
    <x v="4"/>
    <s v="Lyon"/>
    <x v="2"/>
    <x v="3"/>
    <n v="2"/>
    <n v="176.72"/>
    <n v="353.44"/>
    <x v="7"/>
    <x v="1"/>
    <x v="64"/>
    <x v="4"/>
  </r>
  <r>
    <s v="ORD000396"/>
    <s v="Pedro López"/>
    <s v="pedro.lópez@mail.com"/>
    <x v="3"/>
    <s v="Roma"/>
    <x v="0"/>
    <x v="17"/>
    <n v="4"/>
    <n v="1062.27"/>
    <n v="4249.08"/>
    <x v="5"/>
    <x v="1"/>
    <x v="305"/>
    <x v="2"/>
  </r>
  <r>
    <s v="ORD000397"/>
    <s v="Raúl Gómez"/>
    <s v="raúl.gómez@mail.com"/>
    <x v="4"/>
    <s v="Marsella"/>
    <x v="1"/>
    <x v="2"/>
    <n v="1"/>
    <n v="56.98"/>
    <n v="56.98"/>
    <x v="3"/>
    <x v="0"/>
    <x v="306"/>
    <x v="1"/>
  </r>
  <r>
    <s v="ORD000398"/>
    <s v="Pablo Ramos"/>
    <s v="pablo.ramos@mail.com"/>
    <x v="0"/>
    <s v="Sevilla"/>
    <x v="1"/>
    <x v="2"/>
    <n v="3"/>
    <n v="20.53"/>
    <n v="61.59"/>
    <x v="5"/>
    <x v="1"/>
    <x v="307"/>
    <x v="0"/>
  </r>
  <r>
    <s v="ORD000399"/>
    <s v="Pedro Ramos"/>
    <s v="pedro.ramos@mail.com"/>
    <x v="3"/>
    <s v="Nápoles"/>
    <x v="0"/>
    <x v="17"/>
    <n v="3"/>
    <n v="165.62"/>
    <n v="496.86"/>
    <x v="7"/>
    <x v="1"/>
    <x v="223"/>
    <x v="3"/>
  </r>
  <r>
    <s v="ORD000400"/>
    <s v="Sofía Alonso"/>
    <s v="sofía.alonso@mail.com"/>
    <x v="4"/>
    <s v="Lyon"/>
    <x v="2"/>
    <x v="15"/>
    <n v="3"/>
    <n v="1015.21"/>
    <n v="3045.63"/>
    <x v="5"/>
    <x v="1"/>
    <x v="130"/>
    <x v="0"/>
  </r>
  <r>
    <s v="ORD000401"/>
    <s v="María Fernández"/>
    <s v="maría.fernández@mail.com"/>
    <x v="0"/>
    <s v="Valencia"/>
    <x v="3"/>
    <x v="15"/>
    <n v="3"/>
    <n v="211.56"/>
    <n v="634.68000000000006"/>
    <x v="1"/>
    <x v="0"/>
    <x v="308"/>
    <x v="0"/>
  </r>
  <r>
    <s v="ORD000402"/>
    <s v="Javier García"/>
    <s v="javier.garcía@mail.com"/>
    <x v="1"/>
    <s v="Hamburgo"/>
    <x v="1"/>
    <x v="12"/>
    <n v="5"/>
    <n v="1188.76"/>
    <n v="5943.8"/>
    <x v="0"/>
    <x v="0"/>
    <x v="29"/>
    <x v="2"/>
  </r>
  <r>
    <s v="ORD000403"/>
    <s v="Miguel Ramos"/>
    <s v="miguel.ramos@mail.com"/>
    <x v="2"/>
    <s v="Oporto"/>
    <x v="3"/>
    <x v="7"/>
    <n v="1"/>
    <n v="1497.44"/>
    <n v="1497.44"/>
    <x v="2"/>
    <x v="0"/>
    <x v="309"/>
    <x v="3"/>
  </r>
  <r>
    <s v="ORD000404"/>
    <s v="Elena Ruiz"/>
    <s v="elena.ruiz@mail.com"/>
    <x v="1"/>
    <s v="Berlín"/>
    <x v="3"/>
    <x v="4"/>
    <n v="1"/>
    <n v="1160.3900000000001"/>
    <n v="1160.3900000000001"/>
    <x v="7"/>
    <x v="1"/>
    <x v="257"/>
    <x v="0"/>
  </r>
  <r>
    <s v="ORD000405"/>
    <s v="Elena Vázquez"/>
    <s v="elena.vázquez@mail.com"/>
    <x v="4"/>
    <s v="Lyon"/>
    <x v="2"/>
    <x v="9"/>
    <n v="5"/>
    <n v="514.25"/>
    <n v="2571.25"/>
    <x v="10"/>
    <x v="2"/>
    <x v="113"/>
    <x v="4"/>
  </r>
  <r>
    <s v="ORD000406"/>
    <s v="Pablo Sánchez"/>
    <s v="pablo.sánchez@mail.com"/>
    <x v="2"/>
    <s v="Oporto"/>
    <x v="1"/>
    <x v="1"/>
    <n v="2"/>
    <n v="400.84"/>
    <n v="801.68"/>
    <x v="5"/>
    <x v="2"/>
    <x v="310"/>
    <x v="2"/>
  </r>
  <r>
    <s v="ORD000407"/>
    <s v="María Ruiz"/>
    <s v="maría.ruiz@mail.com"/>
    <x v="0"/>
    <s v="Barcelona"/>
    <x v="4"/>
    <x v="23"/>
    <n v="3"/>
    <n v="634.26"/>
    <n v="1902.78"/>
    <x v="3"/>
    <x v="0"/>
    <x v="311"/>
    <x v="0"/>
  </r>
  <r>
    <s v="ORD000408"/>
    <s v="Laura Navarro"/>
    <s v="laura.navarro@mail.com"/>
    <x v="2"/>
    <s v="Oporto"/>
    <x v="2"/>
    <x v="3"/>
    <n v="2"/>
    <n v="997.9"/>
    <n v="1995.8"/>
    <x v="10"/>
    <x v="2"/>
    <x v="312"/>
    <x v="0"/>
  </r>
  <r>
    <s v="ORD000409"/>
    <s v="Lucía Pérez"/>
    <s v="lucía.pérez@mail.com"/>
    <x v="0"/>
    <s v="Madrid"/>
    <x v="3"/>
    <x v="4"/>
    <n v="3"/>
    <n v="551.16999999999996"/>
    <n v="1653.5099999999998"/>
    <x v="9"/>
    <x v="1"/>
    <x v="185"/>
    <x v="0"/>
  </r>
  <r>
    <s v="ORD000410"/>
    <s v="Javier Alonso"/>
    <s v="javier.alonso@mail.com"/>
    <x v="0"/>
    <s v="Sevilla"/>
    <x v="0"/>
    <x v="16"/>
    <n v="5"/>
    <n v="946.1"/>
    <n v="4730.5"/>
    <x v="0"/>
    <x v="0"/>
    <x v="313"/>
    <x v="0"/>
  </r>
  <r>
    <s v="ORD000411"/>
    <s v="Carlos Rodríguez"/>
    <s v="carlos.rodríguez@mail.com"/>
    <x v="3"/>
    <s v="Roma"/>
    <x v="0"/>
    <x v="20"/>
    <n v="5"/>
    <n v="491.72"/>
    <n v="2458.6000000000004"/>
    <x v="6"/>
    <x v="0"/>
    <x v="279"/>
    <x v="4"/>
  </r>
  <r>
    <s v="ORD000412"/>
    <s v="Miguel Alonso"/>
    <s v="miguel.alonso@mail.com"/>
    <x v="2"/>
    <s v="Lisboa"/>
    <x v="4"/>
    <x v="22"/>
    <n v="1"/>
    <n v="1399.79"/>
    <n v="1399.79"/>
    <x v="11"/>
    <x v="0"/>
    <x v="314"/>
    <x v="2"/>
  </r>
  <r>
    <s v="ORD000413"/>
    <s v="Miguel López"/>
    <s v="miguel.lópez@mail.com"/>
    <x v="1"/>
    <s v="Hamburgo"/>
    <x v="4"/>
    <x v="23"/>
    <n v="3"/>
    <n v="1176.55"/>
    <n v="3529.6499999999996"/>
    <x v="11"/>
    <x v="1"/>
    <x v="315"/>
    <x v="0"/>
  </r>
  <r>
    <s v="ORD000414"/>
    <s v="Carmen Sánchez"/>
    <s v="carmen.sánchez@mail.com"/>
    <x v="4"/>
    <s v="París"/>
    <x v="1"/>
    <x v="2"/>
    <n v="2"/>
    <n v="1096.8900000000001"/>
    <n v="2193.7800000000002"/>
    <x v="5"/>
    <x v="2"/>
    <x v="96"/>
    <x v="2"/>
  </r>
  <r>
    <s v="ORD000415"/>
    <s v="Elena Torres"/>
    <s v="elena.torres@mail.com"/>
    <x v="4"/>
    <s v="Marsella"/>
    <x v="3"/>
    <x v="18"/>
    <n v="5"/>
    <n v="454.27"/>
    <n v="2271.35"/>
    <x v="2"/>
    <x v="0"/>
    <x v="74"/>
    <x v="4"/>
  </r>
  <r>
    <s v="ORD000416"/>
    <s v="Ana Díaz"/>
    <s v="ana.díaz@mail.com"/>
    <x v="3"/>
    <s v="Nápoles"/>
    <x v="2"/>
    <x v="3"/>
    <n v="1"/>
    <n v="892.74"/>
    <n v="892.74"/>
    <x v="8"/>
    <x v="1"/>
    <x v="140"/>
    <x v="3"/>
  </r>
  <r>
    <s v="ORD000417"/>
    <s v="Irene Alonso"/>
    <s v="irene.alonso@mail.com"/>
    <x v="4"/>
    <s v="Marsella"/>
    <x v="2"/>
    <x v="19"/>
    <n v="3"/>
    <n v="872.42"/>
    <n v="2617.2599999999998"/>
    <x v="2"/>
    <x v="0"/>
    <x v="316"/>
    <x v="3"/>
  </r>
  <r>
    <s v="ORD000418"/>
    <s v="Irene Vázquez"/>
    <s v="irene.vázquez@mail.com"/>
    <x v="1"/>
    <s v="Berlín"/>
    <x v="0"/>
    <x v="20"/>
    <n v="2"/>
    <n v="73.39"/>
    <n v="146.78"/>
    <x v="1"/>
    <x v="0"/>
    <x v="317"/>
    <x v="4"/>
  </r>
  <r>
    <s v="ORD000419"/>
    <s v="Carmen Vázquez"/>
    <s v="carmen.vázquez@mail.com"/>
    <x v="3"/>
    <s v="Milán"/>
    <x v="0"/>
    <x v="16"/>
    <n v="3"/>
    <n v="538.55999999999995"/>
    <n v="1615.6799999999998"/>
    <x v="8"/>
    <x v="1"/>
    <x v="318"/>
    <x v="0"/>
  </r>
  <r>
    <s v="ORD000420"/>
    <s v="Lucía Martínez"/>
    <s v="lucía.martínez@mail.com"/>
    <x v="3"/>
    <s v="Nápoles"/>
    <x v="3"/>
    <x v="4"/>
    <n v="4"/>
    <n v="960.28"/>
    <n v="3841.12"/>
    <x v="2"/>
    <x v="1"/>
    <x v="32"/>
    <x v="3"/>
  </r>
  <r>
    <s v="ORD000421"/>
    <s v="Carlos Gil"/>
    <s v="carlos.gil@mail.com"/>
    <x v="3"/>
    <s v="Nápoles"/>
    <x v="0"/>
    <x v="20"/>
    <n v="2"/>
    <n v="358.92"/>
    <n v="717.84"/>
    <x v="2"/>
    <x v="0"/>
    <x v="217"/>
    <x v="0"/>
  </r>
  <r>
    <s v="ORD000422"/>
    <s v="Carlos Alonso"/>
    <s v="carlos.alonso@mail.com"/>
    <x v="3"/>
    <s v="Milán"/>
    <x v="0"/>
    <x v="20"/>
    <n v="2"/>
    <n v="457.02"/>
    <n v="914.04"/>
    <x v="0"/>
    <x v="0"/>
    <x v="174"/>
    <x v="4"/>
  </r>
  <r>
    <s v="ORD000423"/>
    <s v="Luis García"/>
    <s v="luis.garcía@mail.com"/>
    <x v="4"/>
    <s v="París"/>
    <x v="4"/>
    <x v="14"/>
    <n v="1"/>
    <n v="1251.6600000000001"/>
    <n v="1251.6600000000001"/>
    <x v="5"/>
    <x v="2"/>
    <x v="319"/>
    <x v="4"/>
  </r>
  <r>
    <s v="ORD000424"/>
    <s v="Ana Díaz"/>
    <s v="ana.díaz@mail.com"/>
    <x v="4"/>
    <s v="Lyon"/>
    <x v="3"/>
    <x v="4"/>
    <n v="1"/>
    <n v="1170.75"/>
    <n v="1170.75"/>
    <x v="2"/>
    <x v="2"/>
    <x v="320"/>
    <x v="4"/>
  </r>
  <r>
    <s v="ORD000425"/>
    <s v="Pablo Rodríguez"/>
    <s v="pablo.rodríguez@mail.com"/>
    <x v="3"/>
    <s v="Roma"/>
    <x v="1"/>
    <x v="8"/>
    <n v="1"/>
    <n v="1362.68"/>
    <n v="1362.68"/>
    <x v="3"/>
    <x v="0"/>
    <x v="321"/>
    <x v="1"/>
  </r>
  <r>
    <s v="ORD000426"/>
    <s v="Irene López"/>
    <s v="irene.lópez@mail.com"/>
    <x v="1"/>
    <s v="Berlín"/>
    <x v="3"/>
    <x v="7"/>
    <n v="3"/>
    <n v="322.94"/>
    <n v="968.81999999999994"/>
    <x v="7"/>
    <x v="0"/>
    <x v="322"/>
    <x v="3"/>
  </r>
  <r>
    <s v="ORD000427"/>
    <s v="Laura Fernández"/>
    <s v="laura.fernández@mail.com"/>
    <x v="3"/>
    <s v="Roma"/>
    <x v="1"/>
    <x v="1"/>
    <n v="4"/>
    <n v="1154.6400000000001"/>
    <n v="4618.5600000000004"/>
    <x v="10"/>
    <x v="2"/>
    <x v="83"/>
    <x v="2"/>
  </r>
  <r>
    <s v="ORD000428"/>
    <s v="Javier García"/>
    <s v="javier.garcía@mail.com"/>
    <x v="2"/>
    <s v="Lisboa"/>
    <x v="2"/>
    <x v="19"/>
    <n v="4"/>
    <n v="527.41999999999996"/>
    <n v="2109.6799999999998"/>
    <x v="2"/>
    <x v="0"/>
    <x v="323"/>
    <x v="1"/>
  </r>
  <r>
    <s v="ORD000429"/>
    <s v="Pablo Vázquez"/>
    <s v="pablo.vázquez@mail.com"/>
    <x v="2"/>
    <s v="Braga"/>
    <x v="2"/>
    <x v="10"/>
    <n v="2"/>
    <n v="818.96"/>
    <n v="1637.92"/>
    <x v="5"/>
    <x v="0"/>
    <x v="324"/>
    <x v="4"/>
  </r>
  <r>
    <s v="ORD000430"/>
    <s v="Elena López"/>
    <s v="elena.lópez@mail.com"/>
    <x v="4"/>
    <s v="Marsella"/>
    <x v="3"/>
    <x v="5"/>
    <n v="5"/>
    <n v="1368.37"/>
    <n v="6841.8499999999995"/>
    <x v="1"/>
    <x v="1"/>
    <x v="85"/>
    <x v="1"/>
  </r>
  <r>
    <s v="ORD000431"/>
    <s v="Raúl Ramos"/>
    <s v="raúl.ramos@mail.com"/>
    <x v="0"/>
    <s v="Madrid"/>
    <x v="0"/>
    <x v="16"/>
    <n v="4"/>
    <n v="902.58"/>
    <n v="3610.32"/>
    <x v="3"/>
    <x v="1"/>
    <x v="325"/>
    <x v="4"/>
  </r>
  <r>
    <s v="ORD000432"/>
    <s v="Raúl García"/>
    <s v="raúl.garcía@mail.com"/>
    <x v="2"/>
    <s v="Oporto"/>
    <x v="1"/>
    <x v="2"/>
    <n v="3"/>
    <n v="1330.32"/>
    <n v="3990.96"/>
    <x v="6"/>
    <x v="0"/>
    <x v="111"/>
    <x v="0"/>
  </r>
  <r>
    <s v="ORD000433"/>
    <s v="Laura Díaz"/>
    <s v="laura.díaz@mail.com"/>
    <x v="1"/>
    <s v="Hamburgo"/>
    <x v="0"/>
    <x v="0"/>
    <n v="1"/>
    <n v="689.87"/>
    <n v="689.87"/>
    <x v="7"/>
    <x v="0"/>
    <x v="326"/>
    <x v="3"/>
  </r>
  <r>
    <s v="ORD000434"/>
    <s v="Lucía Martínez"/>
    <s v="lucía.martínez@mail.com"/>
    <x v="0"/>
    <s v="Bilbao"/>
    <x v="0"/>
    <x v="20"/>
    <n v="1"/>
    <n v="1172.26"/>
    <n v="1172.26"/>
    <x v="6"/>
    <x v="1"/>
    <x v="327"/>
    <x v="4"/>
  </r>
  <r>
    <s v="ORD000435"/>
    <s v="Carlos Navarro"/>
    <s v="carlos.navarro@mail.com"/>
    <x v="4"/>
    <s v="París"/>
    <x v="4"/>
    <x v="21"/>
    <n v="2"/>
    <n v="1252.74"/>
    <n v="2505.48"/>
    <x v="7"/>
    <x v="1"/>
    <x v="328"/>
    <x v="2"/>
  </r>
  <r>
    <s v="ORD000436"/>
    <s v="Diego Gómez"/>
    <s v="diego.gómez@mail.com"/>
    <x v="1"/>
    <s v="Múnich"/>
    <x v="1"/>
    <x v="12"/>
    <n v="4"/>
    <n v="1023.49"/>
    <n v="4093.96"/>
    <x v="2"/>
    <x v="2"/>
    <x v="329"/>
    <x v="0"/>
  </r>
  <r>
    <s v="ORD000437"/>
    <s v="Pablo Vázquez"/>
    <s v="pablo.vázquez@mail.com"/>
    <x v="2"/>
    <s v="Lisboa"/>
    <x v="4"/>
    <x v="23"/>
    <n v="3"/>
    <n v="831.47"/>
    <n v="2494.41"/>
    <x v="6"/>
    <x v="1"/>
    <x v="330"/>
    <x v="3"/>
  </r>
  <r>
    <s v="ORD000438"/>
    <s v="Pablo Torres"/>
    <s v="pablo.torres@mail.com"/>
    <x v="1"/>
    <s v="Berlín"/>
    <x v="2"/>
    <x v="3"/>
    <n v="4"/>
    <n v="703.49"/>
    <n v="2813.96"/>
    <x v="6"/>
    <x v="0"/>
    <x v="331"/>
    <x v="3"/>
  </r>
  <r>
    <s v="ORD000439"/>
    <s v="Carlos Díaz"/>
    <s v="carlos.díaz@mail.com"/>
    <x v="4"/>
    <s v="París"/>
    <x v="2"/>
    <x v="19"/>
    <n v="5"/>
    <n v="629.58000000000004"/>
    <n v="3147.9"/>
    <x v="5"/>
    <x v="0"/>
    <x v="332"/>
    <x v="2"/>
  </r>
  <r>
    <s v="ORD000440"/>
    <s v="Javier Ramos"/>
    <s v="javier.ramos@mail.com"/>
    <x v="0"/>
    <s v="Bilbao"/>
    <x v="4"/>
    <x v="11"/>
    <n v="4"/>
    <n v="613.36"/>
    <n v="2453.44"/>
    <x v="3"/>
    <x v="0"/>
    <x v="333"/>
    <x v="2"/>
  </r>
  <r>
    <s v="ORD000441"/>
    <s v="Luis Gil"/>
    <s v="luis.gil@mail.com"/>
    <x v="0"/>
    <s v="Valencia"/>
    <x v="2"/>
    <x v="19"/>
    <n v="1"/>
    <n v="493.22"/>
    <n v="493.22"/>
    <x v="10"/>
    <x v="0"/>
    <x v="136"/>
    <x v="0"/>
  </r>
  <r>
    <s v="ORD000442"/>
    <s v="Laura Gil"/>
    <s v="laura.gil@mail.com"/>
    <x v="1"/>
    <s v="Hamburgo"/>
    <x v="0"/>
    <x v="16"/>
    <n v="5"/>
    <n v="211.98"/>
    <n v="1059.8999999999999"/>
    <x v="9"/>
    <x v="1"/>
    <x v="235"/>
    <x v="0"/>
  </r>
  <r>
    <s v="ORD000443"/>
    <s v="Raúl Ramos"/>
    <s v="raúl.ramos@mail.com"/>
    <x v="4"/>
    <s v="Marsella"/>
    <x v="3"/>
    <x v="4"/>
    <n v="1"/>
    <n v="852.86"/>
    <n v="852.86"/>
    <x v="6"/>
    <x v="1"/>
    <x v="10"/>
    <x v="4"/>
  </r>
  <r>
    <s v="ORD000444"/>
    <s v="Raúl Ramos"/>
    <s v="raúl.ramos@mail.com"/>
    <x v="4"/>
    <s v="Marsella"/>
    <x v="0"/>
    <x v="13"/>
    <n v="4"/>
    <n v="589.12"/>
    <n v="2356.48"/>
    <x v="7"/>
    <x v="0"/>
    <x v="62"/>
    <x v="0"/>
  </r>
  <r>
    <s v="ORD000445"/>
    <s v="Javier Navarro"/>
    <s v="javier.navarro@mail.com"/>
    <x v="0"/>
    <s v="Sevilla"/>
    <x v="3"/>
    <x v="18"/>
    <n v="4"/>
    <n v="230.21"/>
    <n v="920.84"/>
    <x v="11"/>
    <x v="0"/>
    <x v="334"/>
    <x v="0"/>
  </r>
  <r>
    <s v="ORD000446"/>
    <s v="Laura Martínez"/>
    <s v="laura.martínez@mail.com"/>
    <x v="0"/>
    <s v="Valencia"/>
    <x v="0"/>
    <x v="17"/>
    <n v="2"/>
    <n v="1101.01"/>
    <n v="2202.02"/>
    <x v="10"/>
    <x v="0"/>
    <x v="55"/>
    <x v="4"/>
  </r>
  <r>
    <s v="ORD000447"/>
    <s v="Carlos Vázquez"/>
    <s v="carlos.vázquez@mail.com"/>
    <x v="2"/>
    <s v="Lisboa"/>
    <x v="3"/>
    <x v="18"/>
    <n v="3"/>
    <n v="1062.81"/>
    <n v="3188.43"/>
    <x v="10"/>
    <x v="1"/>
    <x v="200"/>
    <x v="4"/>
  </r>
  <r>
    <s v="ORD000448"/>
    <s v="Pablo Navarro"/>
    <s v="pablo.navarro@mail.com"/>
    <x v="1"/>
    <s v="Berlín"/>
    <x v="2"/>
    <x v="3"/>
    <n v="3"/>
    <n v="927.77"/>
    <n v="2783.31"/>
    <x v="6"/>
    <x v="0"/>
    <x v="51"/>
    <x v="1"/>
  </r>
  <r>
    <s v="ORD000449"/>
    <s v="Irene Martínez"/>
    <s v="irene.martínez@mail.com"/>
    <x v="2"/>
    <s v="Braga"/>
    <x v="1"/>
    <x v="8"/>
    <n v="1"/>
    <n v="806.22"/>
    <n v="806.22"/>
    <x v="0"/>
    <x v="1"/>
    <x v="335"/>
    <x v="1"/>
  </r>
  <r>
    <s v="ORD000450"/>
    <s v="Luis Ruiz"/>
    <s v="luis.ruiz@mail.com"/>
    <x v="0"/>
    <s v="Valencia"/>
    <x v="1"/>
    <x v="12"/>
    <n v="3"/>
    <n v="340.08"/>
    <n v="1020.24"/>
    <x v="2"/>
    <x v="2"/>
    <x v="336"/>
    <x v="1"/>
  </r>
  <r>
    <s v="ORD000451"/>
    <s v="Luis García"/>
    <s v="luis.garcía@mail.com"/>
    <x v="4"/>
    <s v="Lyon"/>
    <x v="4"/>
    <x v="21"/>
    <n v="3"/>
    <n v="1104.6300000000001"/>
    <n v="3313.8900000000003"/>
    <x v="0"/>
    <x v="1"/>
    <x v="337"/>
    <x v="2"/>
  </r>
  <r>
    <s v="ORD000452"/>
    <s v="Ana Martínez"/>
    <s v="ana.martínez@mail.com"/>
    <x v="0"/>
    <s v="Barcelona"/>
    <x v="4"/>
    <x v="22"/>
    <n v="1"/>
    <n v="230.59"/>
    <n v="230.59"/>
    <x v="4"/>
    <x v="1"/>
    <x v="338"/>
    <x v="2"/>
  </r>
  <r>
    <s v="ORD000453"/>
    <s v="Elena Navarro"/>
    <s v="elena.navarro@mail.com"/>
    <x v="3"/>
    <s v="Nápoles"/>
    <x v="0"/>
    <x v="20"/>
    <n v="5"/>
    <n v="842.88"/>
    <n v="4214.3999999999996"/>
    <x v="7"/>
    <x v="0"/>
    <x v="322"/>
    <x v="4"/>
  </r>
  <r>
    <s v="ORD000454"/>
    <s v="Irene Sánchez"/>
    <s v="irene.sánchez@mail.com"/>
    <x v="1"/>
    <s v="Hamburgo"/>
    <x v="3"/>
    <x v="7"/>
    <n v="3"/>
    <n v="684.96"/>
    <n v="2054.88"/>
    <x v="4"/>
    <x v="0"/>
    <x v="24"/>
    <x v="4"/>
  </r>
  <r>
    <s v="ORD000455"/>
    <s v="Raúl Fernández"/>
    <s v="raúl.fernández@mail.com"/>
    <x v="0"/>
    <s v="Valencia"/>
    <x v="1"/>
    <x v="1"/>
    <n v="2"/>
    <n v="360.66"/>
    <n v="721.32"/>
    <x v="5"/>
    <x v="1"/>
    <x v="339"/>
    <x v="2"/>
  </r>
  <r>
    <s v="ORD000456"/>
    <s v="Laura Rodríguez"/>
    <s v="laura.rodríguez@mail.com"/>
    <x v="4"/>
    <s v="Marsella"/>
    <x v="3"/>
    <x v="18"/>
    <n v="4"/>
    <n v="59.44"/>
    <n v="237.76"/>
    <x v="4"/>
    <x v="0"/>
    <x v="340"/>
    <x v="1"/>
  </r>
  <r>
    <s v="ORD000457"/>
    <s v="Pablo Pérez"/>
    <s v="pablo.pérez@mail.com"/>
    <x v="3"/>
    <s v="Roma"/>
    <x v="3"/>
    <x v="4"/>
    <n v="5"/>
    <n v="1448.05"/>
    <n v="7240.25"/>
    <x v="5"/>
    <x v="1"/>
    <x v="52"/>
    <x v="0"/>
  </r>
  <r>
    <s v="ORD000458"/>
    <s v="Carlos Pérez"/>
    <s v="carlos.pérez@mail.com"/>
    <x v="1"/>
    <s v="Múnich"/>
    <x v="2"/>
    <x v="10"/>
    <n v="4"/>
    <n v="1398.41"/>
    <n v="5593.64"/>
    <x v="1"/>
    <x v="0"/>
    <x v="33"/>
    <x v="2"/>
  </r>
  <r>
    <s v="ORD000459"/>
    <s v="Javier Torres"/>
    <s v="javier.torres@mail.com"/>
    <x v="0"/>
    <s v="Barcelona"/>
    <x v="1"/>
    <x v="1"/>
    <n v="5"/>
    <n v="1051.1600000000001"/>
    <n v="5255.8"/>
    <x v="5"/>
    <x v="0"/>
    <x v="341"/>
    <x v="0"/>
  </r>
  <r>
    <s v="ORD000460"/>
    <s v="Miguel García"/>
    <s v="miguel.garcía@mail.com"/>
    <x v="1"/>
    <s v="Berlín"/>
    <x v="4"/>
    <x v="22"/>
    <n v="5"/>
    <n v="874.1"/>
    <n v="4370.5"/>
    <x v="7"/>
    <x v="1"/>
    <x v="342"/>
    <x v="1"/>
  </r>
  <r>
    <s v="ORD000461"/>
    <s v="Pedro Fernández"/>
    <s v="pedro.fernández@mail.com"/>
    <x v="3"/>
    <s v="Nápoles"/>
    <x v="0"/>
    <x v="13"/>
    <n v="1"/>
    <n v="1370.41"/>
    <n v="1370.41"/>
    <x v="8"/>
    <x v="1"/>
    <x v="318"/>
    <x v="3"/>
  </r>
  <r>
    <s v="ORD000462"/>
    <s v="Pablo Gómez"/>
    <s v="pablo.gómez@mail.com"/>
    <x v="2"/>
    <s v="Oporto"/>
    <x v="3"/>
    <x v="15"/>
    <n v="5"/>
    <n v="594.96"/>
    <n v="2974.8"/>
    <x v="5"/>
    <x v="0"/>
    <x v="343"/>
    <x v="0"/>
  </r>
  <r>
    <s v="ORD000463"/>
    <s v="Raúl Alonso"/>
    <s v="raúl.alonso@mail.com"/>
    <x v="2"/>
    <s v="Lisboa"/>
    <x v="1"/>
    <x v="1"/>
    <n v="4"/>
    <n v="642.53"/>
    <n v="2570.12"/>
    <x v="9"/>
    <x v="0"/>
    <x v="344"/>
    <x v="3"/>
  </r>
  <r>
    <s v="ORD000464"/>
    <s v="Lucía Alonso"/>
    <s v="lucía.alonso@mail.com"/>
    <x v="2"/>
    <s v="Oporto"/>
    <x v="4"/>
    <x v="22"/>
    <n v="4"/>
    <n v="1454.59"/>
    <n v="5818.36"/>
    <x v="3"/>
    <x v="0"/>
    <x v="31"/>
    <x v="4"/>
  </r>
  <r>
    <s v="ORD000465"/>
    <s v="Pedro Gómez"/>
    <s v="pedro.gómez@mail.com"/>
    <x v="2"/>
    <s v="Braga"/>
    <x v="0"/>
    <x v="17"/>
    <n v="2"/>
    <n v="479.98"/>
    <n v="959.96"/>
    <x v="10"/>
    <x v="2"/>
    <x v="345"/>
    <x v="1"/>
  </r>
  <r>
    <s v="ORD000466"/>
    <s v="Laura Sánchez"/>
    <s v="laura.sánchez@mail.com"/>
    <x v="4"/>
    <s v="Lyon"/>
    <x v="4"/>
    <x v="11"/>
    <n v="3"/>
    <n v="712.54"/>
    <n v="2137.62"/>
    <x v="1"/>
    <x v="1"/>
    <x v="346"/>
    <x v="0"/>
  </r>
  <r>
    <s v="ORD000467"/>
    <s v="Pedro Sánchez"/>
    <s v="pedro.sánchez@mail.com"/>
    <x v="2"/>
    <s v="Oporto"/>
    <x v="0"/>
    <x v="13"/>
    <n v="1"/>
    <n v="1064.79"/>
    <n v="1064.79"/>
    <x v="3"/>
    <x v="0"/>
    <x v="224"/>
    <x v="4"/>
  </r>
  <r>
    <s v="ORD000468"/>
    <s v="Lucía Díaz"/>
    <s v="lucía.díaz@mail.com"/>
    <x v="3"/>
    <s v="Milán"/>
    <x v="1"/>
    <x v="6"/>
    <n v="3"/>
    <n v="1084.8599999999999"/>
    <n v="3254.58"/>
    <x v="0"/>
    <x v="1"/>
    <x v="347"/>
    <x v="0"/>
  </r>
  <r>
    <s v="ORD000469"/>
    <s v="Pablo Torres"/>
    <s v="pablo.torres@mail.com"/>
    <x v="3"/>
    <s v="Roma"/>
    <x v="1"/>
    <x v="8"/>
    <n v="5"/>
    <n v="1318.82"/>
    <n v="6594.0999999999995"/>
    <x v="11"/>
    <x v="0"/>
    <x v="314"/>
    <x v="3"/>
  </r>
  <r>
    <s v="ORD000470"/>
    <s v="Sofía Ramos"/>
    <s v="sofía.ramos@mail.com"/>
    <x v="2"/>
    <s v="Lisboa"/>
    <x v="2"/>
    <x v="19"/>
    <n v="1"/>
    <n v="1162.02"/>
    <n v="1162.02"/>
    <x v="4"/>
    <x v="1"/>
    <x v="348"/>
    <x v="0"/>
  </r>
  <r>
    <s v="ORD000471"/>
    <s v="Irene Vázquez"/>
    <s v="irene.vázquez@mail.com"/>
    <x v="4"/>
    <s v="Marsella"/>
    <x v="0"/>
    <x v="20"/>
    <n v="5"/>
    <n v="718.59"/>
    <n v="3592.9500000000003"/>
    <x v="2"/>
    <x v="0"/>
    <x v="15"/>
    <x v="3"/>
  </r>
  <r>
    <s v="ORD000472"/>
    <s v="Carmen Navarro"/>
    <s v="carmen.navarro@mail.com"/>
    <x v="4"/>
    <s v="París"/>
    <x v="4"/>
    <x v="14"/>
    <n v="2"/>
    <n v="1497.26"/>
    <n v="2994.52"/>
    <x v="0"/>
    <x v="0"/>
    <x v="313"/>
    <x v="2"/>
  </r>
  <r>
    <s v="ORD000473"/>
    <s v="Pablo Ruiz"/>
    <s v="pablo.ruiz@mail.com"/>
    <x v="2"/>
    <s v="Braga"/>
    <x v="0"/>
    <x v="20"/>
    <n v="4"/>
    <n v="765.93"/>
    <n v="3063.72"/>
    <x v="8"/>
    <x v="1"/>
    <x v="318"/>
    <x v="4"/>
  </r>
  <r>
    <s v="ORD000474"/>
    <s v="Miguel Fernández"/>
    <s v="miguel.fernández@mail.com"/>
    <x v="4"/>
    <s v="París"/>
    <x v="3"/>
    <x v="15"/>
    <n v="5"/>
    <n v="153"/>
    <n v="765"/>
    <x v="2"/>
    <x v="1"/>
    <x v="349"/>
    <x v="4"/>
  </r>
  <r>
    <s v="ORD000475"/>
    <s v="Diego Gómez"/>
    <s v="diego.gómez@mail.com"/>
    <x v="2"/>
    <s v="Lisboa"/>
    <x v="0"/>
    <x v="20"/>
    <n v="3"/>
    <n v="149.56"/>
    <n v="448.68"/>
    <x v="7"/>
    <x v="0"/>
    <x v="350"/>
    <x v="1"/>
  </r>
  <r>
    <s v="ORD000476"/>
    <s v="Laura Pérez"/>
    <s v="laura.pérez@mail.com"/>
    <x v="1"/>
    <s v="Múnich"/>
    <x v="1"/>
    <x v="8"/>
    <n v="1"/>
    <n v="1090.1400000000001"/>
    <n v="1090.1400000000001"/>
    <x v="4"/>
    <x v="1"/>
    <x v="351"/>
    <x v="1"/>
  </r>
  <r>
    <s v="ORD000477"/>
    <s v="Pedro Alonso"/>
    <s v="pedro.alonso@mail.com"/>
    <x v="0"/>
    <s v="Sevilla"/>
    <x v="1"/>
    <x v="1"/>
    <n v="4"/>
    <n v="363.65"/>
    <n v="1454.6"/>
    <x v="10"/>
    <x v="0"/>
    <x v="352"/>
    <x v="0"/>
  </r>
  <r>
    <s v="ORD000478"/>
    <s v="Carmen Rodríguez"/>
    <s v="carmen.rodríguez@mail.com"/>
    <x v="2"/>
    <s v="Braga"/>
    <x v="3"/>
    <x v="15"/>
    <n v="2"/>
    <n v="100.76"/>
    <n v="201.52"/>
    <x v="11"/>
    <x v="1"/>
    <x v="68"/>
    <x v="0"/>
  </r>
  <r>
    <s v="ORD000479"/>
    <s v="Carmen Sánchez"/>
    <s v="carmen.sánchez@mail.com"/>
    <x v="2"/>
    <s v="Oporto"/>
    <x v="4"/>
    <x v="14"/>
    <n v="1"/>
    <n v="768.04"/>
    <n v="768.04"/>
    <x v="10"/>
    <x v="0"/>
    <x v="72"/>
    <x v="4"/>
  </r>
  <r>
    <s v="ORD000480"/>
    <s v="Ana Gómez"/>
    <s v="ana.gómez@mail.com"/>
    <x v="4"/>
    <s v="París"/>
    <x v="4"/>
    <x v="14"/>
    <n v="1"/>
    <n v="1491.87"/>
    <n v="1491.87"/>
    <x v="9"/>
    <x v="0"/>
    <x v="353"/>
    <x v="2"/>
  </r>
  <r>
    <s v="ORD000481"/>
    <s v="Irene Gómez"/>
    <s v="irene.gómez@mail.com"/>
    <x v="0"/>
    <s v="Barcelona"/>
    <x v="2"/>
    <x v="15"/>
    <n v="2"/>
    <n v="137.02000000000001"/>
    <n v="274.04000000000002"/>
    <x v="7"/>
    <x v="1"/>
    <x v="354"/>
    <x v="0"/>
  </r>
  <r>
    <s v="ORD000482"/>
    <s v="Elena López"/>
    <s v="elena.lópez@mail.com"/>
    <x v="0"/>
    <s v="Valencia"/>
    <x v="1"/>
    <x v="12"/>
    <n v="4"/>
    <n v="320.81"/>
    <n v="1283.24"/>
    <x v="9"/>
    <x v="0"/>
    <x v="355"/>
    <x v="4"/>
  </r>
  <r>
    <s v="ORD000483"/>
    <s v="Pedro Vázquez"/>
    <s v="pedro.vázquez@mail.com"/>
    <x v="0"/>
    <s v="Valencia"/>
    <x v="3"/>
    <x v="4"/>
    <n v="1"/>
    <n v="393.38"/>
    <n v="393.38"/>
    <x v="7"/>
    <x v="0"/>
    <x v="356"/>
    <x v="1"/>
  </r>
  <r>
    <s v="ORD000484"/>
    <s v="Raúl Sánchez"/>
    <s v="raúl.sánchez@mail.com"/>
    <x v="4"/>
    <s v="París"/>
    <x v="4"/>
    <x v="11"/>
    <n v="1"/>
    <n v="221.07"/>
    <n v="221.07"/>
    <x v="5"/>
    <x v="1"/>
    <x v="295"/>
    <x v="1"/>
  </r>
  <r>
    <s v="ORD000485"/>
    <s v="Irene Pérez"/>
    <s v="irene.pérez@mail.com"/>
    <x v="3"/>
    <s v="Roma"/>
    <x v="3"/>
    <x v="4"/>
    <n v="4"/>
    <n v="1350.55"/>
    <n v="5402.2"/>
    <x v="5"/>
    <x v="0"/>
    <x v="341"/>
    <x v="0"/>
  </r>
  <r>
    <s v="ORD000486"/>
    <s v="Carmen Rodríguez"/>
    <s v="carmen.rodríguez@mail.com"/>
    <x v="4"/>
    <s v="París"/>
    <x v="0"/>
    <x v="17"/>
    <n v="3"/>
    <n v="19.87"/>
    <n v="59.61"/>
    <x v="9"/>
    <x v="0"/>
    <x v="344"/>
    <x v="2"/>
  </r>
  <r>
    <s v="ORD000487"/>
    <s v="Carmen Sánchez"/>
    <s v="carmen.sánchez@mail.com"/>
    <x v="0"/>
    <s v="Sevilla"/>
    <x v="2"/>
    <x v="10"/>
    <n v="3"/>
    <n v="749.78"/>
    <n v="2249.34"/>
    <x v="7"/>
    <x v="1"/>
    <x v="354"/>
    <x v="2"/>
  </r>
  <r>
    <s v="ORD000488"/>
    <s v="Carlos Ruiz"/>
    <s v="carlos.ruiz@mail.com"/>
    <x v="4"/>
    <s v="Marsella"/>
    <x v="0"/>
    <x v="17"/>
    <n v="5"/>
    <n v="1159.95"/>
    <n v="5799.75"/>
    <x v="10"/>
    <x v="0"/>
    <x v="157"/>
    <x v="4"/>
  </r>
  <r>
    <s v="ORD000489"/>
    <s v="Laura Pérez"/>
    <s v="laura.pérez@mail.com"/>
    <x v="1"/>
    <s v="Hamburgo"/>
    <x v="1"/>
    <x v="8"/>
    <n v="3"/>
    <n v="1304.96"/>
    <n v="3914.88"/>
    <x v="8"/>
    <x v="0"/>
    <x v="172"/>
    <x v="4"/>
  </r>
  <r>
    <s v="ORD000490"/>
    <s v="Javier Alonso"/>
    <s v="javier.alonso@mail.com"/>
    <x v="0"/>
    <s v="Valencia"/>
    <x v="4"/>
    <x v="11"/>
    <n v="5"/>
    <n v="1073.49"/>
    <n v="5367.45"/>
    <x v="5"/>
    <x v="1"/>
    <x v="339"/>
    <x v="1"/>
  </r>
  <r>
    <s v="ORD000491"/>
    <s v="Pablo Sánchez"/>
    <s v="pablo.sánchez@mail.com"/>
    <x v="2"/>
    <s v="Lisboa"/>
    <x v="1"/>
    <x v="2"/>
    <n v="1"/>
    <n v="249.09"/>
    <n v="249.09"/>
    <x v="4"/>
    <x v="1"/>
    <x v="357"/>
    <x v="0"/>
  </r>
  <r>
    <s v="ORD000492"/>
    <s v="Sofía Díaz"/>
    <s v="sofía.díaz@mail.com"/>
    <x v="2"/>
    <s v="Oporto"/>
    <x v="0"/>
    <x v="17"/>
    <n v="3"/>
    <n v="629.9"/>
    <n v="1889.6999999999998"/>
    <x v="1"/>
    <x v="0"/>
    <x v="358"/>
    <x v="1"/>
  </r>
  <r>
    <s v="ORD000493"/>
    <s v="Raúl Pérez"/>
    <s v="raúl.pérez@mail.com"/>
    <x v="1"/>
    <s v="Múnich"/>
    <x v="4"/>
    <x v="23"/>
    <n v="3"/>
    <n v="1276.78"/>
    <n v="3830.34"/>
    <x v="2"/>
    <x v="2"/>
    <x v="359"/>
    <x v="1"/>
  </r>
  <r>
    <s v="ORD000494"/>
    <s v="Laura Ruiz"/>
    <s v="laura.ruiz@mail.com"/>
    <x v="4"/>
    <s v="Lyon"/>
    <x v="4"/>
    <x v="21"/>
    <n v="1"/>
    <n v="1164.33"/>
    <n v="1164.33"/>
    <x v="3"/>
    <x v="0"/>
    <x v="360"/>
    <x v="2"/>
  </r>
  <r>
    <s v="ORD000495"/>
    <s v="Pablo Ruiz"/>
    <s v="pablo.ruiz@mail.com"/>
    <x v="3"/>
    <s v="Nápoles"/>
    <x v="0"/>
    <x v="16"/>
    <n v="2"/>
    <n v="328.41"/>
    <n v="656.82"/>
    <x v="5"/>
    <x v="2"/>
    <x v="361"/>
    <x v="4"/>
  </r>
  <r>
    <s v="ORD000496"/>
    <s v="Sofía López"/>
    <s v="sofía.lópez@mail.com"/>
    <x v="3"/>
    <s v="Nápoles"/>
    <x v="0"/>
    <x v="20"/>
    <n v="1"/>
    <n v="982.46"/>
    <n v="982.46"/>
    <x v="2"/>
    <x v="1"/>
    <x v="212"/>
    <x v="2"/>
  </r>
  <r>
    <s v="ORD000497"/>
    <s v="María Rodríguez"/>
    <s v="maría.rodríguez@mail.com"/>
    <x v="3"/>
    <s v="Roma"/>
    <x v="4"/>
    <x v="11"/>
    <n v="3"/>
    <n v="1143.97"/>
    <n v="3431.91"/>
    <x v="2"/>
    <x v="2"/>
    <x v="154"/>
    <x v="2"/>
  </r>
  <r>
    <s v="ORD000498"/>
    <s v="Laura Gil"/>
    <s v="laura.gil@mail.com"/>
    <x v="0"/>
    <s v="Sevilla"/>
    <x v="3"/>
    <x v="7"/>
    <n v="5"/>
    <n v="595.12"/>
    <n v="2975.6"/>
    <x v="2"/>
    <x v="1"/>
    <x v="303"/>
    <x v="2"/>
  </r>
  <r>
    <s v="ORD000499"/>
    <s v="Carlos Díaz"/>
    <s v="carlos.díaz@mail.com"/>
    <x v="3"/>
    <s v="Nápoles"/>
    <x v="0"/>
    <x v="20"/>
    <n v="4"/>
    <n v="1143.97"/>
    <n v="4575.88"/>
    <x v="7"/>
    <x v="0"/>
    <x v="362"/>
    <x v="2"/>
  </r>
  <r>
    <s v="ORD000500"/>
    <s v="Diego Gómez"/>
    <s v="diego.gómez@mail.com"/>
    <x v="0"/>
    <s v="Bilbao"/>
    <x v="0"/>
    <x v="13"/>
    <n v="5"/>
    <n v="1030.06"/>
    <n v="5150.2999999999993"/>
    <x v="4"/>
    <x v="0"/>
    <x v="363"/>
    <x v="4"/>
  </r>
  <r>
    <s v="ORD000501"/>
    <s v="Diego Martínez"/>
    <s v="diego.martínez@mail.com"/>
    <x v="2"/>
    <s v="Lisboa"/>
    <x v="2"/>
    <x v="3"/>
    <n v="2"/>
    <n v="618.59"/>
    <n v="1237.18"/>
    <x v="3"/>
    <x v="0"/>
    <x v="364"/>
    <x v="0"/>
  </r>
  <r>
    <s v="ORD000502"/>
    <s v="Carlos Fernández"/>
    <s v="carlos.fernández@mail.com"/>
    <x v="2"/>
    <s v="Braga"/>
    <x v="1"/>
    <x v="1"/>
    <n v="2"/>
    <n v="501.07"/>
    <n v="1002.14"/>
    <x v="6"/>
    <x v="1"/>
    <x v="10"/>
    <x v="3"/>
  </r>
  <r>
    <s v="ORD000503"/>
    <s v="Sofía Torres"/>
    <s v="sofía.torres@mail.com"/>
    <x v="2"/>
    <s v="Braga"/>
    <x v="4"/>
    <x v="23"/>
    <n v="1"/>
    <n v="724.57"/>
    <n v="724.57"/>
    <x v="5"/>
    <x v="0"/>
    <x v="365"/>
    <x v="4"/>
  </r>
  <r>
    <s v="ORD000504"/>
    <s v="Luis Ramos"/>
    <s v="luis.ramos@mail.com"/>
    <x v="1"/>
    <s v="Berlín"/>
    <x v="1"/>
    <x v="1"/>
    <n v="3"/>
    <n v="1426.76"/>
    <n v="4280.28"/>
    <x v="5"/>
    <x v="2"/>
    <x v="361"/>
    <x v="3"/>
  </r>
  <r>
    <s v="ORD000505"/>
    <s v="Luis Fernández"/>
    <s v="luis.fernández@mail.com"/>
    <x v="4"/>
    <s v="Marsella"/>
    <x v="4"/>
    <x v="21"/>
    <n v="2"/>
    <n v="899.79"/>
    <n v="1799.58"/>
    <x v="0"/>
    <x v="1"/>
    <x v="176"/>
    <x v="0"/>
  </r>
  <r>
    <s v="ORD000506"/>
    <s v="Diego Gómez"/>
    <s v="diego.gómez@mail.com"/>
    <x v="3"/>
    <s v="Milán"/>
    <x v="2"/>
    <x v="10"/>
    <n v="4"/>
    <n v="95.19"/>
    <n v="380.76"/>
    <x v="2"/>
    <x v="2"/>
    <x v="122"/>
    <x v="3"/>
  </r>
  <r>
    <s v="ORD000507"/>
    <s v="Carlos García"/>
    <s v="carlos.garcía@mail.com"/>
    <x v="2"/>
    <s v="Lisboa"/>
    <x v="0"/>
    <x v="0"/>
    <n v="5"/>
    <n v="504.56"/>
    <n v="2522.8000000000002"/>
    <x v="5"/>
    <x v="0"/>
    <x v="219"/>
    <x v="3"/>
  </r>
  <r>
    <s v="ORD000508"/>
    <s v="Luis Díaz"/>
    <s v="luis.díaz@mail.com"/>
    <x v="1"/>
    <s v="Berlín"/>
    <x v="0"/>
    <x v="17"/>
    <n v="5"/>
    <n v="234.67"/>
    <n v="1173.3499999999999"/>
    <x v="5"/>
    <x v="1"/>
    <x v="366"/>
    <x v="0"/>
  </r>
  <r>
    <s v="ORD000509"/>
    <s v="Laura Fernández"/>
    <s v="laura.fernández@mail.com"/>
    <x v="1"/>
    <s v="Múnich"/>
    <x v="4"/>
    <x v="21"/>
    <n v="2"/>
    <n v="1336.42"/>
    <n v="2672.84"/>
    <x v="10"/>
    <x v="0"/>
    <x v="367"/>
    <x v="4"/>
  </r>
  <r>
    <s v="ORD000510"/>
    <s v="Miguel Pérez"/>
    <s v="miguel.pérez@mail.com"/>
    <x v="2"/>
    <s v="Oporto"/>
    <x v="4"/>
    <x v="23"/>
    <n v="5"/>
    <n v="81.12"/>
    <n v="405.6"/>
    <x v="0"/>
    <x v="1"/>
    <x v="368"/>
    <x v="2"/>
  </r>
  <r>
    <s v="ORD000511"/>
    <s v="Pablo Gil"/>
    <s v="pablo.gil@mail.com"/>
    <x v="3"/>
    <s v="Nápoles"/>
    <x v="4"/>
    <x v="23"/>
    <n v="2"/>
    <n v="627.35"/>
    <n v="1254.7"/>
    <x v="11"/>
    <x v="0"/>
    <x v="369"/>
    <x v="1"/>
  </r>
  <r>
    <s v="ORD000512"/>
    <s v="Carlos García"/>
    <s v="carlos.garcía@mail.com"/>
    <x v="3"/>
    <s v="Nápoles"/>
    <x v="2"/>
    <x v="19"/>
    <n v="4"/>
    <n v="1476.09"/>
    <n v="5904.36"/>
    <x v="11"/>
    <x v="0"/>
    <x v="369"/>
    <x v="1"/>
  </r>
  <r>
    <s v="ORD000513"/>
    <s v="Diego Ruiz"/>
    <s v="diego.ruiz@mail.com"/>
    <x v="0"/>
    <s v="Sevilla"/>
    <x v="4"/>
    <x v="11"/>
    <n v="4"/>
    <n v="918.14"/>
    <n v="3672.56"/>
    <x v="11"/>
    <x v="0"/>
    <x v="112"/>
    <x v="4"/>
  </r>
  <r>
    <s v="ORD000514"/>
    <s v="Carlos Ruiz"/>
    <s v="carlos.ruiz@mail.com"/>
    <x v="2"/>
    <s v="Braga"/>
    <x v="3"/>
    <x v="18"/>
    <n v="3"/>
    <n v="185.99"/>
    <n v="557.97"/>
    <x v="3"/>
    <x v="0"/>
    <x v="370"/>
    <x v="4"/>
  </r>
  <r>
    <s v="ORD000515"/>
    <s v="Javier Ramos"/>
    <s v="javier.ramos@mail.com"/>
    <x v="3"/>
    <s v="Nápoles"/>
    <x v="2"/>
    <x v="10"/>
    <n v="5"/>
    <n v="1395.67"/>
    <n v="6978.35"/>
    <x v="3"/>
    <x v="1"/>
    <x v="221"/>
    <x v="2"/>
  </r>
  <r>
    <s v="ORD000516"/>
    <s v="Sofía Pérez"/>
    <s v="sofía.pérez@mail.com"/>
    <x v="0"/>
    <s v="Madrid"/>
    <x v="0"/>
    <x v="0"/>
    <n v="1"/>
    <n v="210.73"/>
    <n v="210.73"/>
    <x v="5"/>
    <x v="0"/>
    <x v="371"/>
    <x v="2"/>
  </r>
  <r>
    <s v="ORD000517"/>
    <s v="María García"/>
    <s v="maría.garcía@mail.com"/>
    <x v="0"/>
    <s v="Valencia"/>
    <x v="2"/>
    <x v="19"/>
    <n v="4"/>
    <n v="425.18"/>
    <n v="1700.72"/>
    <x v="5"/>
    <x v="2"/>
    <x v="372"/>
    <x v="3"/>
  </r>
  <r>
    <s v="ORD000518"/>
    <s v="Pedro Vázquez"/>
    <s v="pedro.vázquez@mail.com"/>
    <x v="1"/>
    <s v="Hamburgo"/>
    <x v="0"/>
    <x v="13"/>
    <n v="5"/>
    <n v="1392.61"/>
    <n v="6963.0499999999993"/>
    <x v="4"/>
    <x v="1"/>
    <x v="373"/>
    <x v="0"/>
  </r>
  <r>
    <s v="ORD000519"/>
    <s v="Carlos Gómez"/>
    <s v="carlos.gómez@mail.com"/>
    <x v="3"/>
    <s v="Nápoles"/>
    <x v="0"/>
    <x v="13"/>
    <n v="4"/>
    <n v="1292.22"/>
    <n v="5168.88"/>
    <x v="5"/>
    <x v="0"/>
    <x v="332"/>
    <x v="1"/>
  </r>
  <r>
    <s v="ORD000520"/>
    <s v="Javier Pérez"/>
    <s v="javier.pérez@mail.com"/>
    <x v="0"/>
    <s v="Valencia"/>
    <x v="1"/>
    <x v="6"/>
    <n v="3"/>
    <n v="20.239999999999998"/>
    <n v="60.72"/>
    <x v="10"/>
    <x v="2"/>
    <x v="374"/>
    <x v="1"/>
  </r>
  <r>
    <s v="ORD000521"/>
    <s v="Elena Torres"/>
    <s v="elena.torres@mail.com"/>
    <x v="1"/>
    <s v="Múnich"/>
    <x v="1"/>
    <x v="1"/>
    <n v="4"/>
    <n v="332.68"/>
    <n v="1330.72"/>
    <x v="4"/>
    <x v="1"/>
    <x v="375"/>
    <x v="3"/>
  </r>
  <r>
    <s v="ORD000522"/>
    <s v="Pablo Alonso"/>
    <s v="pablo.alonso@mail.com"/>
    <x v="4"/>
    <s v="París"/>
    <x v="1"/>
    <x v="6"/>
    <n v="5"/>
    <n v="628.66"/>
    <n v="3143.2999999999997"/>
    <x v="11"/>
    <x v="1"/>
    <x v="376"/>
    <x v="2"/>
  </r>
  <r>
    <s v="ORD000523"/>
    <s v="Carmen Martínez"/>
    <s v="carmen.martínez@mail.com"/>
    <x v="0"/>
    <s v="Valencia"/>
    <x v="3"/>
    <x v="15"/>
    <n v="5"/>
    <n v="805.92"/>
    <n v="4029.6"/>
    <x v="11"/>
    <x v="1"/>
    <x v="377"/>
    <x v="3"/>
  </r>
  <r>
    <s v="ORD000524"/>
    <s v="Javier Sánchez"/>
    <s v="javier.sánchez@mail.com"/>
    <x v="4"/>
    <s v="Lyon"/>
    <x v="0"/>
    <x v="17"/>
    <n v="4"/>
    <n v="1391.21"/>
    <n v="5564.84"/>
    <x v="11"/>
    <x v="1"/>
    <x v="378"/>
    <x v="2"/>
  </r>
  <r>
    <s v="ORD000525"/>
    <s v="Luis Sánchez"/>
    <s v="luis.sánchez@mail.com"/>
    <x v="1"/>
    <s v="Múnich"/>
    <x v="4"/>
    <x v="21"/>
    <n v="2"/>
    <n v="809.88"/>
    <n v="1619.76"/>
    <x v="1"/>
    <x v="0"/>
    <x v="379"/>
    <x v="0"/>
  </r>
  <r>
    <s v="ORD000526"/>
    <s v="Raúl Rodríguez"/>
    <s v="raúl.rodríguez@mail.com"/>
    <x v="4"/>
    <s v="Lyon"/>
    <x v="1"/>
    <x v="1"/>
    <n v="3"/>
    <n v="290.62"/>
    <n v="871.86"/>
    <x v="9"/>
    <x v="0"/>
    <x v="142"/>
    <x v="2"/>
  </r>
  <r>
    <s v="ORD000527"/>
    <s v="Ana Ruiz"/>
    <s v="ana.ruiz@mail.com"/>
    <x v="3"/>
    <s v="Milán"/>
    <x v="0"/>
    <x v="13"/>
    <n v="1"/>
    <n v="1478.95"/>
    <n v="1478.95"/>
    <x v="4"/>
    <x v="1"/>
    <x v="133"/>
    <x v="4"/>
  </r>
  <r>
    <s v="ORD000528"/>
    <s v="Irene Ruiz"/>
    <s v="irene.ruiz@mail.com"/>
    <x v="4"/>
    <s v="Lyon"/>
    <x v="0"/>
    <x v="20"/>
    <n v="4"/>
    <n v="1428.67"/>
    <n v="5714.68"/>
    <x v="4"/>
    <x v="0"/>
    <x v="265"/>
    <x v="2"/>
  </r>
  <r>
    <s v="ORD000529"/>
    <s v="Sofía Gil"/>
    <s v="sofía.gil@mail.com"/>
    <x v="1"/>
    <s v="Berlín"/>
    <x v="2"/>
    <x v="9"/>
    <n v="2"/>
    <n v="595.11"/>
    <n v="1190.22"/>
    <x v="1"/>
    <x v="1"/>
    <x v="380"/>
    <x v="0"/>
  </r>
  <r>
    <s v="ORD000530"/>
    <s v="Irene López"/>
    <s v="irene.lópez@mail.com"/>
    <x v="2"/>
    <s v="Braga"/>
    <x v="2"/>
    <x v="9"/>
    <n v="2"/>
    <n v="49.78"/>
    <n v="99.56"/>
    <x v="11"/>
    <x v="1"/>
    <x v="315"/>
    <x v="2"/>
  </r>
  <r>
    <s v="ORD000531"/>
    <s v="Carmen Ruiz"/>
    <s v="carmen.ruiz@mail.com"/>
    <x v="1"/>
    <s v="Berlín"/>
    <x v="1"/>
    <x v="6"/>
    <n v="3"/>
    <n v="1162.32"/>
    <n v="3486.96"/>
    <x v="2"/>
    <x v="0"/>
    <x v="63"/>
    <x v="3"/>
  </r>
  <r>
    <s v="ORD000532"/>
    <s v="Sofía Martínez"/>
    <s v="sofía.martínez@mail.com"/>
    <x v="1"/>
    <s v="Múnich"/>
    <x v="2"/>
    <x v="10"/>
    <n v="1"/>
    <n v="1222.07"/>
    <n v="1222.07"/>
    <x v="10"/>
    <x v="1"/>
    <x v="381"/>
    <x v="4"/>
  </r>
  <r>
    <s v="ORD000533"/>
    <s v="Ana Fernández"/>
    <s v="ana.fernández@mail.com"/>
    <x v="1"/>
    <s v="Múnich"/>
    <x v="0"/>
    <x v="20"/>
    <n v="5"/>
    <n v="254.1"/>
    <n v="1270.5"/>
    <x v="11"/>
    <x v="1"/>
    <x v="382"/>
    <x v="0"/>
  </r>
  <r>
    <s v="ORD000534"/>
    <s v="Elena Gómez"/>
    <s v="elena.gómez@mail.com"/>
    <x v="4"/>
    <s v="París"/>
    <x v="0"/>
    <x v="17"/>
    <n v="2"/>
    <n v="828.64"/>
    <n v="1657.28"/>
    <x v="10"/>
    <x v="0"/>
    <x v="289"/>
    <x v="0"/>
  </r>
  <r>
    <s v="ORD000535"/>
    <s v="Pedro Ruiz"/>
    <s v="pedro.ruiz@mail.com"/>
    <x v="0"/>
    <s v="Sevilla"/>
    <x v="2"/>
    <x v="10"/>
    <n v="3"/>
    <n v="427.36"/>
    <n v="1282.08"/>
    <x v="5"/>
    <x v="1"/>
    <x v="8"/>
    <x v="1"/>
  </r>
  <r>
    <s v="ORD000536"/>
    <s v="Irene Fernández"/>
    <s v="irene.fernández@mail.com"/>
    <x v="1"/>
    <s v="Múnich"/>
    <x v="4"/>
    <x v="22"/>
    <n v="5"/>
    <n v="741.38"/>
    <n v="3706.9"/>
    <x v="5"/>
    <x v="2"/>
    <x v="383"/>
    <x v="4"/>
  </r>
  <r>
    <s v="ORD000537"/>
    <s v="Lucía Ramos"/>
    <s v="lucía.ramos@mail.com"/>
    <x v="4"/>
    <s v="Lyon"/>
    <x v="2"/>
    <x v="10"/>
    <n v="3"/>
    <n v="417.82"/>
    <n v="1253.46"/>
    <x v="1"/>
    <x v="1"/>
    <x v="384"/>
    <x v="0"/>
  </r>
  <r>
    <s v="ORD000538"/>
    <s v="Diego Torres"/>
    <s v="diego.torres@mail.com"/>
    <x v="4"/>
    <s v="Marsella"/>
    <x v="1"/>
    <x v="12"/>
    <n v="5"/>
    <n v="1104.94"/>
    <n v="5524.7000000000007"/>
    <x v="7"/>
    <x v="0"/>
    <x v="385"/>
    <x v="4"/>
  </r>
  <r>
    <s v="ORD000539"/>
    <s v="Carlos Navarro"/>
    <s v="carlos.navarro@mail.com"/>
    <x v="1"/>
    <s v="Berlín"/>
    <x v="2"/>
    <x v="10"/>
    <n v="2"/>
    <n v="1073.8800000000001"/>
    <n v="2147.7600000000002"/>
    <x v="3"/>
    <x v="1"/>
    <x v="386"/>
    <x v="3"/>
  </r>
  <r>
    <s v="ORD000540"/>
    <s v="Javier Rodríguez"/>
    <s v="javier.rodríguez@mail.com"/>
    <x v="0"/>
    <s v="Valencia"/>
    <x v="0"/>
    <x v="13"/>
    <n v="2"/>
    <n v="948.82"/>
    <n v="1897.64"/>
    <x v="2"/>
    <x v="2"/>
    <x v="162"/>
    <x v="0"/>
  </r>
  <r>
    <s v="ORD000541"/>
    <s v="Carmen Pérez"/>
    <s v="carmen.pérez@mail.com"/>
    <x v="3"/>
    <s v="Roma"/>
    <x v="2"/>
    <x v="3"/>
    <n v="3"/>
    <n v="201.56"/>
    <n v="604.68000000000006"/>
    <x v="8"/>
    <x v="1"/>
    <x v="387"/>
    <x v="4"/>
  </r>
  <r>
    <s v="ORD000542"/>
    <s v="Raúl Sánchez"/>
    <s v="raúl.sánchez@mail.com"/>
    <x v="0"/>
    <s v="Madrid"/>
    <x v="1"/>
    <x v="8"/>
    <n v="4"/>
    <n v="423.65"/>
    <n v="1694.6"/>
    <x v="2"/>
    <x v="2"/>
    <x v="154"/>
    <x v="3"/>
  </r>
  <r>
    <s v="ORD000543"/>
    <s v="Lucía Sánchez"/>
    <s v="lucía.sánchez@mail.com"/>
    <x v="0"/>
    <s v="Valencia"/>
    <x v="1"/>
    <x v="1"/>
    <n v="4"/>
    <n v="1309.9000000000001"/>
    <n v="5239.6000000000004"/>
    <x v="8"/>
    <x v="0"/>
    <x v="388"/>
    <x v="3"/>
  </r>
  <r>
    <s v="ORD000544"/>
    <s v="Ana Ruiz"/>
    <s v="ana.ruiz@mail.com"/>
    <x v="0"/>
    <s v="Valencia"/>
    <x v="4"/>
    <x v="22"/>
    <n v="5"/>
    <n v="588.08000000000004"/>
    <n v="2940.4"/>
    <x v="1"/>
    <x v="0"/>
    <x v="389"/>
    <x v="1"/>
  </r>
  <r>
    <s v="ORD000545"/>
    <s v="Javier Díaz"/>
    <s v="javier.díaz@mail.com"/>
    <x v="2"/>
    <s v="Oporto"/>
    <x v="0"/>
    <x v="13"/>
    <n v="4"/>
    <n v="309"/>
    <n v="1236"/>
    <x v="7"/>
    <x v="0"/>
    <x v="299"/>
    <x v="3"/>
  </r>
  <r>
    <s v="ORD000546"/>
    <s v="Pedro López"/>
    <s v="pedro.lópez@mail.com"/>
    <x v="3"/>
    <s v="Milán"/>
    <x v="4"/>
    <x v="11"/>
    <n v="1"/>
    <n v="429.26"/>
    <n v="429.26"/>
    <x v="1"/>
    <x v="1"/>
    <x v="54"/>
    <x v="4"/>
  </r>
  <r>
    <s v="ORD000547"/>
    <s v="Irene Navarro"/>
    <s v="irene.navarro@mail.com"/>
    <x v="2"/>
    <s v="Oporto"/>
    <x v="1"/>
    <x v="2"/>
    <n v="5"/>
    <n v="428.54"/>
    <n v="2142.7000000000003"/>
    <x v="11"/>
    <x v="0"/>
    <x v="390"/>
    <x v="3"/>
  </r>
  <r>
    <s v="ORD000548"/>
    <s v="Pedro García"/>
    <s v="pedro.garcía@mail.com"/>
    <x v="0"/>
    <s v="Madrid"/>
    <x v="3"/>
    <x v="5"/>
    <n v="1"/>
    <n v="199.9"/>
    <n v="199.9"/>
    <x v="10"/>
    <x v="0"/>
    <x v="391"/>
    <x v="2"/>
  </r>
  <r>
    <s v="ORD000549"/>
    <s v="Lucía Navarro"/>
    <s v="lucía.navarro@mail.com"/>
    <x v="3"/>
    <s v="Milán"/>
    <x v="1"/>
    <x v="6"/>
    <n v="4"/>
    <n v="1373.03"/>
    <n v="5492.12"/>
    <x v="1"/>
    <x v="1"/>
    <x v="392"/>
    <x v="3"/>
  </r>
  <r>
    <s v="ORD000550"/>
    <s v="Carlos López"/>
    <s v="carlos.lópez@mail.com"/>
    <x v="4"/>
    <s v="París"/>
    <x v="3"/>
    <x v="4"/>
    <n v="1"/>
    <n v="566.27"/>
    <n v="566.27"/>
    <x v="2"/>
    <x v="1"/>
    <x v="129"/>
    <x v="2"/>
  </r>
  <r>
    <s v="ORD000551"/>
    <s v="Irene López"/>
    <s v="irene.lópez@mail.com"/>
    <x v="4"/>
    <s v="París"/>
    <x v="2"/>
    <x v="10"/>
    <n v="1"/>
    <n v="1359.58"/>
    <n v="1359.58"/>
    <x v="11"/>
    <x v="0"/>
    <x v="277"/>
    <x v="3"/>
  </r>
  <r>
    <s v="ORD000552"/>
    <s v="Lucía Gil"/>
    <s v="lucía.gil@mail.com"/>
    <x v="1"/>
    <s v="Berlín"/>
    <x v="0"/>
    <x v="17"/>
    <n v="5"/>
    <n v="181.94"/>
    <n v="909.7"/>
    <x v="10"/>
    <x v="0"/>
    <x v="393"/>
    <x v="4"/>
  </r>
  <r>
    <s v="ORD000553"/>
    <s v="Diego López"/>
    <s v="diego.lópez@mail.com"/>
    <x v="4"/>
    <s v="París"/>
    <x v="4"/>
    <x v="21"/>
    <n v="5"/>
    <n v="163.15"/>
    <n v="815.75"/>
    <x v="0"/>
    <x v="1"/>
    <x v="229"/>
    <x v="2"/>
  </r>
  <r>
    <s v="ORD000554"/>
    <s v="Diego Ramos"/>
    <s v="diego.ramos@mail.com"/>
    <x v="3"/>
    <s v="Milán"/>
    <x v="3"/>
    <x v="4"/>
    <n v="2"/>
    <n v="229.11"/>
    <n v="458.22"/>
    <x v="3"/>
    <x v="0"/>
    <x v="271"/>
    <x v="1"/>
  </r>
  <r>
    <s v="ORD000555"/>
    <s v="María Navarro"/>
    <s v="maría.navarro@mail.com"/>
    <x v="3"/>
    <s v="Nápoles"/>
    <x v="3"/>
    <x v="5"/>
    <n v="2"/>
    <n v="890.12"/>
    <n v="1780.24"/>
    <x v="2"/>
    <x v="2"/>
    <x v="196"/>
    <x v="0"/>
  </r>
  <r>
    <s v="ORD000556"/>
    <s v="Carmen García"/>
    <s v="carmen.garcía@mail.com"/>
    <x v="3"/>
    <s v="Roma"/>
    <x v="1"/>
    <x v="12"/>
    <n v="4"/>
    <n v="143.49"/>
    <n v="573.96"/>
    <x v="1"/>
    <x v="1"/>
    <x v="394"/>
    <x v="4"/>
  </r>
  <r>
    <s v="ORD000557"/>
    <s v="Diego López"/>
    <s v="diego.lópez@mail.com"/>
    <x v="0"/>
    <s v="Sevilla"/>
    <x v="2"/>
    <x v="9"/>
    <n v="1"/>
    <n v="349.2"/>
    <n v="349.2"/>
    <x v="7"/>
    <x v="1"/>
    <x v="395"/>
    <x v="2"/>
  </r>
  <r>
    <s v="ORD000558"/>
    <s v="Pablo Gómez"/>
    <s v="pablo.gómez@mail.com"/>
    <x v="1"/>
    <s v="Hamburgo"/>
    <x v="1"/>
    <x v="8"/>
    <n v="3"/>
    <n v="504.62"/>
    <n v="1513.8600000000001"/>
    <x v="10"/>
    <x v="2"/>
    <x v="396"/>
    <x v="1"/>
  </r>
  <r>
    <s v="ORD000559"/>
    <s v="Carmen Sánchez"/>
    <s v="carmen.sánchez@mail.com"/>
    <x v="4"/>
    <s v="París"/>
    <x v="3"/>
    <x v="15"/>
    <n v="4"/>
    <n v="852.25"/>
    <n v="3409"/>
    <x v="6"/>
    <x v="0"/>
    <x v="397"/>
    <x v="2"/>
  </r>
  <r>
    <s v="ORD000560"/>
    <s v="Diego Rodríguez"/>
    <s v="diego.rodríguez@mail.com"/>
    <x v="2"/>
    <s v="Braga"/>
    <x v="2"/>
    <x v="9"/>
    <n v="5"/>
    <n v="682.54"/>
    <n v="3412.7"/>
    <x v="10"/>
    <x v="0"/>
    <x v="398"/>
    <x v="1"/>
  </r>
  <r>
    <s v="ORD000561"/>
    <s v="Raúl Ramos"/>
    <s v="raúl.ramos@mail.com"/>
    <x v="4"/>
    <s v="Marsella"/>
    <x v="3"/>
    <x v="18"/>
    <n v="4"/>
    <n v="752.43"/>
    <n v="3009.72"/>
    <x v="2"/>
    <x v="2"/>
    <x v="399"/>
    <x v="3"/>
  </r>
  <r>
    <s v="ORD000562"/>
    <s v="Raúl Fernández"/>
    <s v="raúl.fernández@mail.com"/>
    <x v="4"/>
    <s v="Lyon"/>
    <x v="3"/>
    <x v="18"/>
    <n v="4"/>
    <n v="525.16"/>
    <n v="2100.64"/>
    <x v="1"/>
    <x v="0"/>
    <x v="400"/>
    <x v="0"/>
  </r>
  <r>
    <s v="ORD000563"/>
    <s v="Javier Díaz"/>
    <s v="javier.díaz@mail.com"/>
    <x v="4"/>
    <s v="Marsella"/>
    <x v="1"/>
    <x v="2"/>
    <n v="4"/>
    <n v="495.86"/>
    <n v="1983.44"/>
    <x v="0"/>
    <x v="1"/>
    <x v="229"/>
    <x v="4"/>
  </r>
  <r>
    <s v="ORD000564"/>
    <s v="Carlos Ruiz"/>
    <s v="carlos.ruiz@mail.com"/>
    <x v="2"/>
    <s v="Lisboa"/>
    <x v="3"/>
    <x v="5"/>
    <n v="5"/>
    <n v="177.93"/>
    <n v="889.65000000000009"/>
    <x v="0"/>
    <x v="1"/>
    <x v="401"/>
    <x v="0"/>
  </r>
  <r>
    <s v="ORD000565"/>
    <s v="Luis Rodríguez"/>
    <s v="luis.rodríguez@mail.com"/>
    <x v="4"/>
    <s v="París"/>
    <x v="1"/>
    <x v="12"/>
    <n v="5"/>
    <n v="125.97"/>
    <n v="629.85"/>
    <x v="3"/>
    <x v="1"/>
    <x v="402"/>
    <x v="1"/>
  </r>
  <r>
    <s v="ORD000566"/>
    <s v="Ana Gómez"/>
    <s v="ana.gómez@mail.com"/>
    <x v="1"/>
    <s v="Hamburgo"/>
    <x v="0"/>
    <x v="0"/>
    <n v="5"/>
    <n v="887.4"/>
    <n v="4437"/>
    <x v="4"/>
    <x v="1"/>
    <x v="351"/>
    <x v="3"/>
  </r>
  <r>
    <s v="ORD000567"/>
    <s v="Sofía Alonso"/>
    <s v="sofía.alonso@mail.com"/>
    <x v="0"/>
    <s v="Sevilla"/>
    <x v="1"/>
    <x v="2"/>
    <n v="2"/>
    <n v="588.36"/>
    <n v="1176.72"/>
    <x v="3"/>
    <x v="0"/>
    <x v="403"/>
    <x v="0"/>
  </r>
  <r>
    <s v="ORD000568"/>
    <s v="Laura Pérez"/>
    <s v="laura.pérez@mail.com"/>
    <x v="2"/>
    <s v="Braga"/>
    <x v="0"/>
    <x v="20"/>
    <n v="5"/>
    <n v="324.95999999999998"/>
    <n v="1624.8"/>
    <x v="7"/>
    <x v="1"/>
    <x v="404"/>
    <x v="0"/>
  </r>
  <r>
    <s v="ORD000569"/>
    <s v="María Pérez"/>
    <s v="maría.pérez@mail.com"/>
    <x v="2"/>
    <s v="Braga"/>
    <x v="3"/>
    <x v="18"/>
    <n v="5"/>
    <n v="599.14"/>
    <n v="2995.7"/>
    <x v="0"/>
    <x v="0"/>
    <x v="405"/>
    <x v="2"/>
  </r>
  <r>
    <s v="ORD000570"/>
    <s v="Ana Pérez"/>
    <s v="ana.pérez@mail.com"/>
    <x v="3"/>
    <s v="Milán"/>
    <x v="4"/>
    <x v="21"/>
    <n v="1"/>
    <n v="1493.16"/>
    <n v="1493.16"/>
    <x v="2"/>
    <x v="2"/>
    <x v="406"/>
    <x v="0"/>
  </r>
  <r>
    <s v="ORD000571"/>
    <s v="Pedro Rodríguez"/>
    <s v="pedro.rodríguez@mail.com"/>
    <x v="0"/>
    <s v="Barcelona"/>
    <x v="1"/>
    <x v="1"/>
    <n v="1"/>
    <n v="1376.21"/>
    <n v="1376.21"/>
    <x v="2"/>
    <x v="1"/>
    <x v="14"/>
    <x v="2"/>
  </r>
  <r>
    <s v="ORD000572"/>
    <s v="Javier Martínez"/>
    <s v="javier.martínez@mail.com"/>
    <x v="4"/>
    <s v="París"/>
    <x v="2"/>
    <x v="15"/>
    <n v="2"/>
    <n v="493.84"/>
    <n v="987.68"/>
    <x v="0"/>
    <x v="1"/>
    <x v="407"/>
    <x v="0"/>
  </r>
  <r>
    <s v="ORD000573"/>
    <s v="Ana Díaz"/>
    <s v="ana.díaz@mail.com"/>
    <x v="4"/>
    <s v="Marsella"/>
    <x v="0"/>
    <x v="20"/>
    <n v="1"/>
    <n v="1222.45"/>
    <n v="1222.45"/>
    <x v="10"/>
    <x v="0"/>
    <x v="242"/>
    <x v="1"/>
  </r>
  <r>
    <s v="ORD000574"/>
    <s v="Luis Rodríguez"/>
    <s v="luis.rodríguez@mail.com"/>
    <x v="0"/>
    <s v="Valencia"/>
    <x v="3"/>
    <x v="4"/>
    <n v="3"/>
    <n v="1251"/>
    <n v="3753"/>
    <x v="5"/>
    <x v="2"/>
    <x v="269"/>
    <x v="3"/>
  </r>
  <r>
    <s v="ORD000575"/>
    <s v="Ana Torres"/>
    <s v="ana.torres@mail.com"/>
    <x v="0"/>
    <s v="Bilbao"/>
    <x v="0"/>
    <x v="20"/>
    <n v="4"/>
    <n v="1028.29"/>
    <n v="4113.16"/>
    <x v="9"/>
    <x v="1"/>
    <x v="408"/>
    <x v="1"/>
  </r>
  <r>
    <s v="ORD000576"/>
    <s v="Lucía García"/>
    <s v="lucía.garcía@mail.com"/>
    <x v="4"/>
    <s v="Lyon"/>
    <x v="2"/>
    <x v="15"/>
    <n v="5"/>
    <n v="1387.23"/>
    <n v="6936.15"/>
    <x v="9"/>
    <x v="1"/>
    <x v="409"/>
    <x v="2"/>
  </r>
  <r>
    <s v="ORD000577"/>
    <s v="Pedro Gil"/>
    <s v="pedro.gil@mail.com"/>
    <x v="1"/>
    <s v="Múnich"/>
    <x v="4"/>
    <x v="21"/>
    <n v="2"/>
    <n v="613.28"/>
    <n v="1226.56"/>
    <x v="3"/>
    <x v="0"/>
    <x v="78"/>
    <x v="3"/>
  </r>
  <r>
    <s v="ORD000578"/>
    <s v="Irene Torres"/>
    <s v="irene.torres@mail.com"/>
    <x v="2"/>
    <s v="Lisboa"/>
    <x v="0"/>
    <x v="16"/>
    <n v="3"/>
    <n v="450.84"/>
    <n v="1352.52"/>
    <x v="8"/>
    <x v="0"/>
    <x v="286"/>
    <x v="2"/>
  </r>
  <r>
    <s v="ORD000579"/>
    <s v="Miguel Alonso"/>
    <s v="miguel.alonso@mail.com"/>
    <x v="2"/>
    <s v="Lisboa"/>
    <x v="0"/>
    <x v="20"/>
    <n v="1"/>
    <n v="77.56"/>
    <n v="77.56"/>
    <x v="4"/>
    <x v="0"/>
    <x v="265"/>
    <x v="4"/>
  </r>
  <r>
    <s v="ORD000580"/>
    <s v="Carmen Rodríguez"/>
    <s v="carmen.rodríguez@mail.com"/>
    <x v="1"/>
    <s v="Múnich"/>
    <x v="0"/>
    <x v="20"/>
    <n v="2"/>
    <n v="1286.54"/>
    <n v="2573.08"/>
    <x v="1"/>
    <x v="1"/>
    <x v="170"/>
    <x v="4"/>
  </r>
  <r>
    <s v="ORD000581"/>
    <s v="Raúl Torres"/>
    <s v="raúl.torres@mail.com"/>
    <x v="0"/>
    <s v="Sevilla"/>
    <x v="4"/>
    <x v="22"/>
    <n v="1"/>
    <n v="1422.83"/>
    <n v="1422.83"/>
    <x v="1"/>
    <x v="1"/>
    <x v="410"/>
    <x v="2"/>
  </r>
  <r>
    <s v="ORD000582"/>
    <s v="Laura Vázquez"/>
    <s v="laura.vázquez@mail.com"/>
    <x v="0"/>
    <s v="Valencia"/>
    <x v="1"/>
    <x v="8"/>
    <n v="3"/>
    <n v="133.82"/>
    <n v="401.46"/>
    <x v="6"/>
    <x v="1"/>
    <x v="411"/>
    <x v="3"/>
  </r>
  <r>
    <s v="ORD000583"/>
    <s v="Sofía Navarro"/>
    <s v="sofía.navarro@mail.com"/>
    <x v="0"/>
    <s v="Valencia"/>
    <x v="2"/>
    <x v="9"/>
    <n v="4"/>
    <n v="264.35000000000002"/>
    <n v="1057.4000000000001"/>
    <x v="7"/>
    <x v="1"/>
    <x v="412"/>
    <x v="4"/>
  </r>
  <r>
    <s v="ORD000584"/>
    <s v="Sofía Vázquez"/>
    <s v="sofía.vázquez@mail.com"/>
    <x v="4"/>
    <s v="Lyon"/>
    <x v="3"/>
    <x v="4"/>
    <n v="1"/>
    <n v="1346.64"/>
    <n v="1346.64"/>
    <x v="9"/>
    <x v="1"/>
    <x v="413"/>
    <x v="4"/>
  </r>
  <r>
    <s v="ORD000585"/>
    <s v="María García"/>
    <s v="maría.garcía@mail.com"/>
    <x v="1"/>
    <s v="Múnich"/>
    <x v="2"/>
    <x v="19"/>
    <n v="2"/>
    <n v="1449.05"/>
    <n v="2898.1"/>
    <x v="7"/>
    <x v="0"/>
    <x v="165"/>
    <x v="3"/>
  </r>
  <r>
    <s v="ORD000586"/>
    <s v="Miguel Ruiz"/>
    <s v="miguel.ruiz@mail.com"/>
    <x v="1"/>
    <s v="Hamburgo"/>
    <x v="0"/>
    <x v="17"/>
    <n v="4"/>
    <n v="914.54"/>
    <n v="3658.16"/>
    <x v="8"/>
    <x v="0"/>
    <x v="158"/>
    <x v="2"/>
  </r>
  <r>
    <s v="ORD000587"/>
    <s v="Pedro Navarro"/>
    <s v="pedro.navarro@mail.com"/>
    <x v="0"/>
    <s v="Madrid"/>
    <x v="3"/>
    <x v="7"/>
    <n v="4"/>
    <n v="1476.69"/>
    <n v="5906.76"/>
    <x v="6"/>
    <x v="0"/>
    <x v="414"/>
    <x v="2"/>
  </r>
  <r>
    <s v="ORD000588"/>
    <s v="Miguel Fernández"/>
    <s v="miguel.fernández@mail.com"/>
    <x v="2"/>
    <s v="Braga"/>
    <x v="4"/>
    <x v="21"/>
    <n v="3"/>
    <n v="782.71"/>
    <n v="2348.13"/>
    <x v="8"/>
    <x v="1"/>
    <x v="415"/>
    <x v="3"/>
  </r>
  <r>
    <s v="ORD000589"/>
    <s v="Irene Navarro"/>
    <s v="irene.navarro@mail.com"/>
    <x v="1"/>
    <s v="Múnich"/>
    <x v="1"/>
    <x v="8"/>
    <n v="4"/>
    <n v="1358.09"/>
    <n v="5432.36"/>
    <x v="4"/>
    <x v="0"/>
    <x v="416"/>
    <x v="2"/>
  </r>
  <r>
    <s v="ORD000590"/>
    <s v="Ana Ruiz"/>
    <s v="ana.ruiz@mail.com"/>
    <x v="1"/>
    <s v="Hamburgo"/>
    <x v="2"/>
    <x v="3"/>
    <n v="5"/>
    <n v="383.1"/>
    <n v="1915.5"/>
    <x v="1"/>
    <x v="1"/>
    <x v="1"/>
    <x v="1"/>
  </r>
  <r>
    <s v="ORD000591"/>
    <s v="Sofía Alonso"/>
    <s v="sofía.alonso@mail.com"/>
    <x v="3"/>
    <s v="Roma"/>
    <x v="0"/>
    <x v="0"/>
    <n v="5"/>
    <n v="1399.21"/>
    <n v="6996.05"/>
    <x v="5"/>
    <x v="0"/>
    <x v="417"/>
    <x v="3"/>
  </r>
  <r>
    <s v="ORD000592"/>
    <s v="Luis Díaz"/>
    <s v="luis.díaz@mail.com"/>
    <x v="2"/>
    <s v="Braga"/>
    <x v="3"/>
    <x v="7"/>
    <n v="1"/>
    <n v="563.28"/>
    <n v="563.28"/>
    <x v="9"/>
    <x v="1"/>
    <x v="418"/>
    <x v="3"/>
  </r>
  <r>
    <s v="ORD000593"/>
    <s v="Irene Díaz"/>
    <s v="irene.díaz@mail.com"/>
    <x v="1"/>
    <s v="Hamburgo"/>
    <x v="3"/>
    <x v="5"/>
    <n v="1"/>
    <n v="979.64"/>
    <n v="979.64"/>
    <x v="2"/>
    <x v="2"/>
    <x v="419"/>
    <x v="4"/>
  </r>
  <r>
    <s v="ORD000594"/>
    <s v="Pedro García"/>
    <s v="pedro.garcía@mail.com"/>
    <x v="4"/>
    <s v="Marsella"/>
    <x v="4"/>
    <x v="14"/>
    <n v="1"/>
    <n v="301.27999999999997"/>
    <n v="301.27999999999997"/>
    <x v="9"/>
    <x v="0"/>
    <x v="420"/>
    <x v="3"/>
  </r>
  <r>
    <s v="ORD000595"/>
    <s v="Irene Rodríguez"/>
    <s v="irene.rodríguez@mail.com"/>
    <x v="3"/>
    <s v="Milán"/>
    <x v="0"/>
    <x v="16"/>
    <n v="1"/>
    <n v="437.48"/>
    <n v="437.48"/>
    <x v="11"/>
    <x v="1"/>
    <x v="214"/>
    <x v="0"/>
  </r>
  <r>
    <s v="ORD000596"/>
    <s v="Irene Fernández"/>
    <s v="irene.fernández@mail.com"/>
    <x v="2"/>
    <s v="Braga"/>
    <x v="2"/>
    <x v="19"/>
    <n v="3"/>
    <n v="717.95"/>
    <n v="2153.8500000000004"/>
    <x v="1"/>
    <x v="1"/>
    <x v="54"/>
    <x v="0"/>
  </r>
  <r>
    <s v="ORD000597"/>
    <s v="Diego Sánchez"/>
    <s v="diego.sánchez@mail.com"/>
    <x v="2"/>
    <s v="Oporto"/>
    <x v="2"/>
    <x v="10"/>
    <n v="5"/>
    <n v="1293.53"/>
    <n v="6467.65"/>
    <x v="2"/>
    <x v="1"/>
    <x v="129"/>
    <x v="4"/>
  </r>
  <r>
    <s v="ORD000598"/>
    <s v="Sofía Martínez"/>
    <s v="sofía.martínez@mail.com"/>
    <x v="1"/>
    <s v="Múnich"/>
    <x v="1"/>
    <x v="6"/>
    <n v="3"/>
    <n v="148.72"/>
    <n v="446.15999999999997"/>
    <x v="3"/>
    <x v="1"/>
    <x v="421"/>
    <x v="1"/>
  </r>
  <r>
    <s v="ORD000599"/>
    <s v="Javier Torres"/>
    <s v="javier.torres@mail.com"/>
    <x v="4"/>
    <s v="París"/>
    <x v="2"/>
    <x v="3"/>
    <n v="3"/>
    <n v="811.33"/>
    <n v="2433.9900000000002"/>
    <x v="6"/>
    <x v="1"/>
    <x v="422"/>
    <x v="4"/>
  </r>
  <r>
    <s v="ORD000600"/>
    <s v="Diego Sánchez"/>
    <s v="diego.sánchez@mail.com"/>
    <x v="4"/>
    <s v="Marsella"/>
    <x v="1"/>
    <x v="8"/>
    <n v="3"/>
    <n v="1029.08"/>
    <n v="3087.24"/>
    <x v="7"/>
    <x v="0"/>
    <x v="423"/>
    <x v="1"/>
  </r>
  <r>
    <s v="ORD000601"/>
    <s v="Carlos Navarro"/>
    <s v="carlos.navarro@mail.com"/>
    <x v="4"/>
    <s v="Lyon"/>
    <x v="3"/>
    <x v="5"/>
    <n v="4"/>
    <n v="731.28"/>
    <n v="2925.12"/>
    <x v="9"/>
    <x v="1"/>
    <x v="424"/>
    <x v="3"/>
  </r>
  <r>
    <s v="ORD000602"/>
    <s v="Raúl Gómez"/>
    <s v="raúl.gómez@mail.com"/>
    <x v="4"/>
    <s v="París"/>
    <x v="2"/>
    <x v="15"/>
    <n v="5"/>
    <n v="987.87"/>
    <n v="4939.3500000000004"/>
    <x v="2"/>
    <x v="0"/>
    <x v="190"/>
    <x v="1"/>
  </r>
  <r>
    <s v="ORD000603"/>
    <s v="Luis Ramos"/>
    <s v="luis.ramos@mail.com"/>
    <x v="3"/>
    <s v="Nápoles"/>
    <x v="2"/>
    <x v="3"/>
    <n v="5"/>
    <n v="1375.61"/>
    <n v="6878.0499999999993"/>
    <x v="10"/>
    <x v="0"/>
    <x v="425"/>
    <x v="2"/>
  </r>
  <r>
    <s v="ORD000604"/>
    <s v="Laura Díaz"/>
    <s v="laura.díaz@mail.com"/>
    <x v="1"/>
    <s v="Hamburgo"/>
    <x v="1"/>
    <x v="1"/>
    <n v="5"/>
    <n v="1375.24"/>
    <n v="6876.2"/>
    <x v="10"/>
    <x v="2"/>
    <x v="426"/>
    <x v="0"/>
  </r>
  <r>
    <s v="ORD000605"/>
    <s v="María Fernández"/>
    <s v="maría.fernández@mail.com"/>
    <x v="1"/>
    <s v="Berlín"/>
    <x v="2"/>
    <x v="15"/>
    <n v="2"/>
    <n v="820.77"/>
    <n v="1641.54"/>
    <x v="1"/>
    <x v="1"/>
    <x v="54"/>
    <x v="3"/>
  </r>
  <r>
    <s v="ORD000606"/>
    <s v="Diego Gil"/>
    <s v="diego.gil@mail.com"/>
    <x v="2"/>
    <s v="Oporto"/>
    <x v="2"/>
    <x v="19"/>
    <n v="4"/>
    <n v="184.37"/>
    <n v="737.48"/>
    <x v="10"/>
    <x v="0"/>
    <x v="164"/>
    <x v="3"/>
  </r>
  <r>
    <s v="ORD000607"/>
    <s v="Irene Torres"/>
    <s v="irene.torres@mail.com"/>
    <x v="0"/>
    <s v="Barcelona"/>
    <x v="4"/>
    <x v="14"/>
    <n v="1"/>
    <n v="420.93"/>
    <n v="420.93"/>
    <x v="4"/>
    <x v="0"/>
    <x v="25"/>
    <x v="2"/>
  </r>
  <r>
    <s v="ORD000608"/>
    <s v="Irene Pérez"/>
    <s v="irene.pérez@mail.com"/>
    <x v="2"/>
    <s v="Braga"/>
    <x v="1"/>
    <x v="12"/>
    <n v="5"/>
    <n v="1132.54"/>
    <n v="5662.7"/>
    <x v="11"/>
    <x v="1"/>
    <x v="268"/>
    <x v="2"/>
  </r>
  <r>
    <s v="ORD000609"/>
    <s v="Pedro Rodríguez"/>
    <s v="pedro.rodríguez@mail.com"/>
    <x v="1"/>
    <s v="Múnich"/>
    <x v="4"/>
    <x v="14"/>
    <n v="5"/>
    <n v="1219.0899999999999"/>
    <n v="6095.45"/>
    <x v="4"/>
    <x v="1"/>
    <x v="427"/>
    <x v="3"/>
  </r>
  <r>
    <s v="ORD000610"/>
    <s v="Carlos López"/>
    <s v="carlos.lópez@mail.com"/>
    <x v="1"/>
    <s v="Berlín"/>
    <x v="1"/>
    <x v="2"/>
    <n v="5"/>
    <n v="926.54"/>
    <n v="4632.7"/>
    <x v="5"/>
    <x v="1"/>
    <x v="428"/>
    <x v="1"/>
  </r>
  <r>
    <s v="ORD000611"/>
    <s v="Raúl Fernández"/>
    <s v="raúl.fernández@mail.com"/>
    <x v="3"/>
    <s v="Roma"/>
    <x v="2"/>
    <x v="9"/>
    <n v="2"/>
    <n v="583.23"/>
    <n v="1166.46"/>
    <x v="10"/>
    <x v="1"/>
    <x v="429"/>
    <x v="0"/>
  </r>
  <r>
    <s v="ORD000612"/>
    <s v="Raúl Ruiz"/>
    <s v="raúl.ruiz@mail.com"/>
    <x v="4"/>
    <s v="Marsella"/>
    <x v="1"/>
    <x v="12"/>
    <n v="3"/>
    <n v="81.319999999999993"/>
    <n v="243.95999999999998"/>
    <x v="0"/>
    <x v="1"/>
    <x v="430"/>
    <x v="4"/>
  </r>
  <r>
    <s v="ORD000613"/>
    <s v="Laura Gil"/>
    <s v="laura.gil@mail.com"/>
    <x v="4"/>
    <s v="Marsella"/>
    <x v="1"/>
    <x v="6"/>
    <n v="1"/>
    <n v="189.57"/>
    <n v="189.57"/>
    <x v="5"/>
    <x v="2"/>
    <x v="431"/>
    <x v="0"/>
  </r>
  <r>
    <s v="ORD000614"/>
    <s v="Irene Torres"/>
    <s v="irene.torres@mail.com"/>
    <x v="2"/>
    <s v="Braga"/>
    <x v="4"/>
    <x v="21"/>
    <n v="5"/>
    <n v="59.54"/>
    <n v="297.7"/>
    <x v="11"/>
    <x v="1"/>
    <x v="432"/>
    <x v="2"/>
  </r>
  <r>
    <s v="ORD000615"/>
    <s v="Lucía Alonso"/>
    <s v="lucía.alonso@mail.com"/>
    <x v="2"/>
    <s v="Oporto"/>
    <x v="3"/>
    <x v="15"/>
    <n v="4"/>
    <n v="1402.58"/>
    <n v="5610.32"/>
    <x v="3"/>
    <x v="1"/>
    <x v="386"/>
    <x v="2"/>
  </r>
  <r>
    <s v="ORD000616"/>
    <s v="Carmen Martínez"/>
    <s v="carmen.martínez@mail.com"/>
    <x v="4"/>
    <s v="Lyon"/>
    <x v="1"/>
    <x v="12"/>
    <n v="5"/>
    <n v="895.47"/>
    <n v="4477.3500000000004"/>
    <x v="2"/>
    <x v="1"/>
    <x v="433"/>
    <x v="0"/>
  </r>
  <r>
    <s v="ORD000617"/>
    <s v="Ana Gil"/>
    <s v="ana.gil@mail.com"/>
    <x v="2"/>
    <s v="Lisboa"/>
    <x v="4"/>
    <x v="11"/>
    <n v="1"/>
    <n v="1226.8699999999999"/>
    <n v="1226.8699999999999"/>
    <x v="1"/>
    <x v="0"/>
    <x v="19"/>
    <x v="4"/>
  </r>
  <r>
    <s v="ORD000618"/>
    <s v="Laura Ramos"/>
    <s v="laura.ramos@mail.com"/>
    <x v="4"/>
    <s v="Marsella"/>
    <x v="2"/>
    <x v="10"/>
    <n v="5"/>
    <n v="1390.5"/>
    <n v="6952.5"/>
    <x v="10"/>
    <x v="0"/>
    <x v="242"/>
    <x v="0"/>
  </r>
  <r>
    <s v="ORD000619"/>
    <s v="Irene Alonso"/>
    <s v="irene.alonso@mail.com"/>
    <x v="0"/>
    <s v="Bilbao"/>
    <x v="0"/>
    <x v="17"/>
    <n v="5"/>
    <n v="1272.1300000000001"/>
    <n v="6360.6500000000005"/>
    <x v="8"/>
    <x v="0"/>
    <x v="158"/>
    <x v="4"/>
  </r>
  <r>
    <s v="ORD000620"/>
    <s v="Raúl Alonso"/>
    <s v="raúl.alonso@mail.com"/>
    <x v="3"/>
    <s v="Nápoles"/>
    <x v="0"/>
    <x v="13"/>
    <n v="2"/>
    <n v="208.25"/>
    <n v="416.5"/>
    <x v="10"/>
    <x v="2"/>
    <x v="119"/>
    <x v="2"/>
  </r>
  <r>
    <s v="ORD000621"/>
    <s v="Miguel Vázquez"/>
    <s v="miguel.vázquez@mail.com"/>
    <x v="3"/>
    <s v="Nápoles"/>
    <x v="0"/>
    <x v="0"/>
    <n v="1"/>
    <n v="307.17"/>
    <n v="307.17"/>
    <x v="3"/>
    <x v="1"/>
    <x v="434"/>
    <x v="4"/>
  </r>
  <r>
    <s v="ORD000622"/>
    <s v="María Fernández"/>
    <s v="maría.fernández@mail.com"/>
    <x v="0"/>
    <s v="Bilbao"/>
    <x v="2"/>
    <x v="19"/>
    <n v="2"/>
    <n v="445.45"/>
    <n v="890.9"/>
    <x v="4"/>
    <x v="0"/>
    <x v="435"/>
    <x v="4"/>
  </r>
  <r>
    <s v="ORD000623"/>
    <s v="Sofía Rodríguez"/>
    <s v="sofía.rodríguez@mail.com"/>
    <x v="1"/>
    <s v="Berlín"/>
    <x v="1"/>
    <x v="2"/>
    <n v="5"/>
    <n v="281.68"/>
    <n v="1408.4"/>
    <x v="2"/>
    <x v="2"/>
    <x v="436"/>
    <x v="4"/>
  </r>
  <r>
    <s v="ORD000624"/>
    <s v="Sofía Pérez"/>
    <s v="sofía.pérez@mail.com"/>
    <x v="0"/>
    <s v="Madrid"/>
    <x v="0"/>
    <x v="13"/>
    <n v="4"/>
    <n v="438.62"/>
    <n v="1754.48"/>
    <x v="2"/>
    <x v="2"/>
    <x v="359"/>
    <x v="4"/>
  </r>
  <r>
    <s v="ORD000625"/>
    <s v="Lucía Vázquez"/>
    <s v="lucía.vázquez@mail.com"/>
    <x v="3"/>
    <s v="Milán"/>
    <x v="3"/>
    <x v="15"/>
    <n v="1"/>
    <n v="17.63"/>
    <n v="17.63"/>
    <x v="5"/>
    <x v="0"/>
    <x v="437"/>
    <x v="2"/>
  </r>
  <r>
    <s v="ORD000626"/>
    <s v="Carlos Sánchez"/>
    <s v="carlos.sánchez@mail.com"/>
    <x v="2"/>
    <s v="Braga"/>
    <x v="4"/>
    <x v="14"/>
    <n v="5"/>
    <n v="1486.35"/>
    <n v="7431.75"/>
    <x v="7"/>
    <x v="0"/>
    <x v="438"/>
    <x v="2"/>
  </r>
  <r>
    <s v="ORD000627"/>
    <s v="Elena Rodríguez"/>
    <s v="elena.rodríguez@mail.com"/>
    <x v="1"/>
    <s v="Berlín"/>
    <x v="3"/>
    <x v="18"/>
    <n v="4"/>
    <n v="1170.96"/>
    <n v="4683.84"/>
    <x v="6"/>
    <x v="0"/>
    <x v="414"/>
    <x v="4"/>
  </r>
  <r>
    <s v="ORD000628"/>
    <s v="Sofía Rodríguez"/>
    <s v="sofía.rodríguez@mail.com"/>
    <x v="3"/>
    <s v="Milán"/>
    <x v="0"/>
    <x v="16"/>
    <n v="3"/>
    <n v="1381.36"/>
    <n v="4144.08"/>
    <x v="3"/>
    <x v="0"/>
    <x v="439"/>
    <x v="0"/>
  </r>
  <r>
    <s v="ORD000629"/>
    <s v="Sofía Rodríguez"/>
    <s v="sofía.rodríguez@mail.com"/>
    <x v="4"/>
    <s v="Marsella"/>
    <x v="2"/>
    <x v="10"/>
    <n v="1"/>
    <n v="1192.6500000000001"/>
    <n v="1192.6500000000001"/>
    <x v="5"/>
    <x v="1"/>
    <x v="440"/>
    <x v="3"/>
  </r>
  <r>
    <s v="ORD000630"/>
    <s v="Irene Pérez"/>
    <s v="irene.pérez@mail.com"/>
    <x v="1"/>
    <s v="Hamburgo"/>
    <x v="0"/>
    <x v="16"/>
    <n v="5"/>
    <n v="1476.68"/>
    <n v="7383.4000000000005"/>
    <x v="11"/>
    <x v="0"/>
    <x v="441"/>
    <x v="2"/>
  </r>
  <r>
    <s v="ORD000631"/>
    <s v="Sofía Díaz"/>
    <s v="sofía.díaz@mail.com"/>
    <x v="0"/>
    <s v="Barcelona"/>
    <x v="1"/>
    <x v="8"/>
    <n v="1"/>
    <n v="892.43"/>
    <n v="892.43"/>
    <x v="11"/>
    <x v="0"/>
    <x v="442"/>
    <x v="1"/>
  </r>
  <r>
    <s v="ORD000632"/>
    <s v="Pedro Sánchez"/>
    <s v="pedro.sánchez@mail.com"/>
    <x v="3"/>
    <s v="Nápoles"/>
    <x v="3"/>
    <x v="18"/>
    <n v="3"/>
    <n v="9.49"/>
    <n v="28.47"/>
    <x v="7"/>
    <x v="0"/>
    <x v="79"/>
    <x v="4"/>
  </r>
  <r>
    <s v="ORD000633"/>
    <s v="Ana Martínez"/>
    <s v="ana.martínez@mail.com"/>
    <x v="1"/>
    <s v="Múnich"/>
    <x v="2"/>
    <x v="10"/>
    <n v="5"/>
    <n v="146.93"/>
    <n v="734.65000000000009"/>
    <x v="7"/>
    <x v="1"/>
    <x v="211"/>
    <x v="1"/>
  </r>
  <r>
    <s v="ORD000634"/>
    <s v="Miguel Sánchez"/>
    <s v="miguel.sánchez@mail.com"/>
    <x v="3"/>
    <s v="Nápoles"/>
    <x v="4"/>
    <x v="14"/>
    <n v="4"/>
    <n v="1499.6"/>
    <n v="5998.4"/>
    <x v="10"/>
    <x v="1"/>
    <x v="48"/>
    <x v="0"/>
  </r>
  <r>
    <s v="ORD000635"/>
    <s v="Pablo Torres"/>
    <s v="pablo.torres@mail.com"/>
    <x v="1"/>
    <s v="Berlín"/>
    <x v="0"/>
    <x v="16"/>
    <n v="3"/>
    <n v="491.36"/>
    <n v="1474.08"/>
    <x v="1"/>
    <x v="0"/>
    <x v="173"/>
    <x v="1"/>
  </r>
  <r>
    <s v="ORD000636"/>
    <s v="Pedro Rodríguez"/>
    <s v="pedro.rodríguez@mail.com"/>
    <x v="4"/>
    <s v="Lyon"/>
    <x v="1"/>
    <x v="6"/>
    <n v="2"/>
    <n v="226.71"/>
    <n v="453.42"/>
    <x v="5"/>
    <x v="2"/>
    <x v="319"/>
    <x v="3"/>
  </r>
  <r>
    <s v="ORD000637"/>
    <s v="Luis Ramos"/>
    <s v="luis.ramos@mail.com"/>
    <x v="0"/>
    <s v="Sevilla"/>
    <x v="2"/>
    <x v="15"/>
    <n v="1"/>
    <n v="573.35"/>
    <n v="573.35"/>
    <x v="0"/>
    <x v="0"/>
    <x v="264"/>
    <x v="4"/>
  </r>
  <r>
    <s v="ORD000638"/>
    <s v="Irene Ramos"/>
    <s v="irene.ramos@mail.com"/>
    <x v="3"/>
    <s v="Nápoles"/>
    <x v="2"/>
    <x v="19"/>
    <n v="4"/>
    <n v="1132.1600000000001"/>
    <n v="4528.6400000000003"/>
    <x v="5"/>
    <x v="2"/>
    <x v="443"/>
    <x v="3"/>
  </r>
  <r>
    <s v="ORD000639"/>
    <s v="Laura Ramos"/>
    <s v="laura.ramos@mail.com"/>
    <x v="0"/>
    <s v="Sevilla"/>
    <x v="4"/>
    <x v="23"/>
    <n v="5"/>
    <n v="968.27"/>
    <n v="4841.3500000000004"/>
    <x v="1"/>
    <x v="0"/>
    <x v="444"/>
    <x v="1"/>
  </r>
  <r>
    <s v="ORD000640"/>
    <s v="Luis Sánchez"/>
    <s v="luis.sánchez@mail.com"/>
    <x v="3"/>
    <s v="Milán"/>
    <x v="4"/>
    <x v="14"/>
    <n v="3"/>
    <n v="618.26"/>
    <n v="1854.78"/>
    <x v="3"/>
    <x v="1"/>
    <x v="92"/>
    <x v="3"/>
  </r>
  <r>
    <s v="ORD000641"/>
    <s v="Ana Rodríguez"/>
    <s v="ana.rodríguez@mail.com"/>
    <x v="0"/>
    <s v="Madrid"/>
    <x v="0"/>
    <x v="0"/>
    <n v="3"/>
    <n v="998.88"/>
    <n v="2996.64"/>
    <x v="7"/>
    <x v="1"/>
    <x v="328"/>
    <x v="3"/>
  </r>
  <r>
    <s v="ORD000642"/>
    <s v="Lucía Alonso"/>
    <s v="lucía.alonso@mail.com"/>
    <x v="1"/>
    <s v="Berlín"/>
    <x v="3"/>
    <x v="18"/>
    <n v="1"/>
    <n v="320.63"/>
    <n v="320.63"/>
    <x v="7"/>
    <x v="1"/>
    <x v="56"/>
    <x v="2"/>
  </r>
  <r>
    <s v="ORD000643"/>
    <s v="Lucía Pérez"/>
    <s v="lucía.pérez@mail.com"/>
    <x v="1"/>
    <s v="Hamburgo"/>
    <x v="1"/>
    <x v="8"/>
    <n v="4"/>
    <n v="975.06"/>
    <n v="3900.24"/>
    <x v="2"/>
    <x v="2"/>
    <x v="445"/>
    <x v="3"/>
  </r>
  <r>
    <s v="ORD000644"/>
    <s v="Diego Martínez"/>
    <s v="diego.martínez@mail.com"/>
    <x v="3"/>
    <s v="Milán"/>
    <x v="3"/>
    <x v="5"/>
    <n v="3"/>
    <n v="1278.8499999999999"/>
    <n v="3836.5499999999997"/>
    <x v="8"/>
    <x v="0"/>
    <x v="446"/>
    <x v="0"/>
  </r>
  <r>
    <s v="ORD000645"/>
    <s v="María Navarro"/>
    <s v="maría.navarro@mail.com"/>
    <x v="2"/>
    <s v="Oporto"/>
    <x v="3"/>
    <x v="4"/>
    <n v="1"/>
    <n v="967.2"/>
    <n v="967.2"/>
    <x v="10"/>
    <x v="0"/>
    <x v="136"/>
    <x v="3"/>
  </r>
  <r>
    <s v="ORD000646"/>
    <s v="Carlos Rodríguez"/>
    <s v="carlos.rodríguez@mail.com"/>
    <x v="0"/>
    <s v="Bilbao"/>
    <x v="0"/>
    <x v="13"/>
    <n v="4"/>
    <n v="553.14"/>
    <n v="2212.56"/>
    <x v="9"/>
    <x v="1"/>
    <x v="215"/>
    <x v="1"/>
  </r>
  <r>
    <s v="ORD000647"/>
    <s v="Ana Díaz"/>
    <s v="ana.díaz@mail.com"/>
    <x v="0"/>
    <s v="Sevilla"/>
    <x v="0"/>
    <x v="13"/>
    <n v="2"/>
    <n v="984.54"/>
    <n v="1969.08"/>
    <x v="11"/>
    <x v="0"/>
    <x v="447"/>
    <x v="4"/>
  </r>
  <r>
    <s v="ORD000648"/>
    <s v="Irene Sánchez"/>
    <s v="irene.sánchez@mail.com"/>
    <x v="0"/>
    <s v="Sevilla"/>
    <x v="4"/>
    <x v="22"/>
    <n v="3"/>
    <n v="432.15"/>
    <n v="1296.4499999999998"/>
    <x v="8"/>
    <x v="1"/>
    <x v="318"/>
    <x v="4"/>
  </r>
  <r>
    <s v="ORD000649"/>
    <s v="Pablo Gil"/>
    <s v="pablo.gil@mail.com"/>
    <x v="1"/>
    <s v="Múnich"/>
    <x v="3"/>
    <x v="18"/>
    <n v="3"/>
    <n v="60.5"/>
    <n v="181.5"/>
    <x v="5"/>
    <x v="0"/>
    <x v="155"/>
    <x v="0"/>
  </r>
  <r>
    <s v="ORD000650"/>
    <s v="Lucía Pérez"/>
    <s v="lucía.pérez@mail.com"/>
    <x v="0"/>
    <s v="Sevilla"/>
    <x v="4"/>
    <x v="14"/>
    <n v="4"/>
    <n v="845.66"/>
    <n v="3382.64"/>
    <x v="2"/>
    <x v="1"/>
    <x v="448"/>
    <x v="0"/>
  </r>
  <r>
    <s v="ORD000651"/>
    <s v="Ana Ruiz"/>
    <s v="ana.ruiz@mail.com"/>
    <x v="4"/>
    <s v="Marsella"/>
    <x v="4"/>
    <x v="22"/>
    <n v="3"/>
    <n v="1122.6600000000001"/>
    <n v="3367.9800000000005"/>
    <x v="7"/>
    <x v="0"/>
    <x v="118"/>
    <x v="4"/>
  </r>
  <r>
    <s v="ORD000652"/>
    <s v="Carmen Navarro"/>
    <s v="carmen.navarro@mail.com"/>
    <x v="0"/>
    <s v="Madrid"/>
    <x v="3"/>
    <x v="5"/>
    <n v="2"/>
    <n v="99.57"/>
    <n v="199.14"/>
    <x v="2"/>
    <x v="0"/>
    <x v="234"/>
    <x v="2"/>
  </r>
  <r>
    <s v="ORD000653"/>
    <s v="Ana Martínez"/>
    <s v="ana.martínez@mail.com"/>
    <x v="0"/>
    <s v="Barcelona"/>
    <x v="4"/>
    <x v="22"/>
    <n v="3"/>
    <n v="1043.25"/>
    <n v="3129.75"/>
    <x v="11"/>
    <x v="1"/>
    <x v="68"/>
    <x v="1"/>
  </r>
  <r>
    <s v="ORD000654"/>
    <s v="Laura Díaz"/>
    <s v="laura.díaz@mail.com"/>
    <x v="3"/>
    <s v="Nápoles"/>
    <x v="4"/>
    <x v="11"/>
    <n v="5"/>
    <n v="488.08"/>
    <n v="2440.4"/>
    <x v="9"/>
    <x v="1"/>
    <x v="226"/>
    <x v="0"/>
  </r>
  <r>
    <s v="ORD000655"/>
    <s v="Laura Gil"/>
    <s v="laura.gil@mail.com"/>
    <x v="4"/>
    <s v="Lyon"/>
    <x v="0"/>
    <x v="0"/>
    <n v="4"/>
    <n v="326.93"/>
    <n v="1307.72"/>
    <x v="2"/>
    <x v="0"/>
    <x v="74"/>
    <x v="1"/>
  </r>
  <r>
    <s v="ORD000656"/>
    <s v="Ana Torres"/>
    <s v="ana.torres@mail.com"/>
    <x v="4"/>
    <s v="París"/>
    <x v="1"/>
    <x v="6"/>
    <n v="4"/>
    <n v="856.58"/>
    <n v="3426.32"/>
    <x v="0"/>
    <x v="1"/>
    <x v="401"/>
    <x v="3"/>
  </r>
  <r>
    <s v="ORD000657"/>
    <s v="Raúl Gómez"/>
    <s v="raúl.gómez@mail.com"/>
    <x v="2"/>
    <s v="Lisboa"/>
    <x v="2"/>
    <x v="10"/>
    <n v="2"/>
    <n v="1237.53"/>
    <n v="2475.06"/>
    <x v="9"/>
    <x v="0"/>
    <x v="70"/>
    <x v="3"/>
  </r>
  <r>
    <s v="ORD000658"/>
    <s v="Miguel Pérez"/>
    <s v="miguel.pérez@mail.com"/>
    <x v="3"/>
    <s v="Milán"/>
    <x v="3"/>
    <x v="7"/>
    <n v="1"/>
    <n v="872.34"/>
    <n v="872.34"/>
    <x v="7"/>
    <x v="0"/>
    <x v="168"/>
    <x v="2"/>
  </r>
  <r>
    <s v="ORD000659"/>
    <s v="Javier Pérez"/>
    <s v="javier.pérez@mail.com"/>
    <x v="0"/>
    <s v="Valencia"/>
    <x v="4"/>
    <x v="23"/>
    <n v="2"/>
    <n v="1467.5"/>
    <n v="2935"/>
    <x v="5"/>
    <x v="0"/>
    <x v="449"/>
    <x v="0"/>
  </r>
  <r>
    <s v="ORD000660"/>
    <s v="Luis Vázquez"/>
    <s v="luis.vázquez@mail.com"/>
    <x v="1"/>
    <s v="Múnich"/>
    <x v="0"/>
    <x v="16"/>
    <n v="5"/>
    <n v="1246"/>
    <n v="6230"/>
    <x v="10"/>
    <x v="2"/>
    <x v="183"/>
    <x v="2"/>
  </r>
  <r>
    <s v="ORD000661"/>
    <s v="Miguel García"/>
    <s v="miguel.garcía@mail.com"/>
    <x v="4"/>
    <s v="Marsella"/>
    <x v="4"/>
    <x v="21"/>
    <n v="1"/>
    <n v="487.58"/>
    <n v="487.58"/>
    <x v="0"/>
    <x v="0"/>
    <x v="244"/>
    <x v="1"/>
  </r>
  <r>
    <s v="ORD000662"/>
    <s v="Pablo Torres"/>
    <s v="pablo.torres@mail.com"/>
    <x v="3"/>
    <s v="Nápoles"/>
    <x v="1"/>
    <x v="12"/>
    <n v="1"/>
    <n v="1258.8"/>
    <n v="1258.8"/>
    <x v="8"/>
    <x v="1"/>
    <x v="65"/>
    <x v="2"/>
  </r>
  <r>
    <s v="ORD000663"/>
    <s v="María Gómez"/>
    <s v="maría.gómez@mail.com"/>
    <x v="4"/>
    <s v="Marsella"/>
    <x v="3"/>
    <x v="18"/>
    <n v="3"/>
    <n v="245.28"/>
    <n v="735.84"/>
    <x v="8"/>
    <x v="1"/>
    <x v="450"/>
    <x v="3"/>
  </r>
  <r>
    <s v="ORD000664"/>
    <s v="Javier Gil"/>
    <s v="javier.gil@mail.com"/>
    <x v="3"/>
    <s v="Nápoles"/>
    <x v="2"/>
    <x v="10"/>
    <n v="3"/>
    <n v="562.92999999999995"/>
    <n v="1688.79"/>
    <x v="9"/>
    <x v="0"/>
    <x v="451"/>
    <x v="2"/>
  </r>
  <r>
    <s v="ORD000665"/>
    <s v="Ana García"/>
    <s v="ana.garcía@mail.com"/>
    <x v="2"/>
    <s v="Oporto"/>
    <x v="4"/>
    <x v="11"/>
    <n v="5"/>
    <n v="514.92999999999995"/>
    <n v="2574.6499999999996"/>
    <x v="5"/>
    <x v="2"/>
    <x v="372"/>
    <x v="4"/>
  </r>
  <r>
    <s v="ORD000666"/>
    <s v="Pablo Sánchez"/>
    <s v="pablo.sánchez@mail.com"/>
    <x v="1"/>
    <s v="Múnich"/>
    <x v="4"/>
    <x v="14"/>
    <n v="2"/>
    <n v="328.17"/>
    <n v="656.34"/>
    <x v="3"/>
    <x v="0"/>
    <x v="50"/>
    <x v="1"/>
  </r>
  <r>
    <s v="ORD000667"/>
    <s v="Diego Rodríguez"/>
    <s v="diego.rodríguez@mail.com"/>
    <x v="4"/>
    <s v="Marsella"/>
    <x v="1"/>
    <x v="12"/>
    <n v="4"/>
    <n v="1106.67"/>
    <n v="4426.68"/>
    <x v="5"/>
    <x v="2"/>
    <x v="452"/>
    <x v="1"/>
  </r>
  <r>
    <s v="ORD000668"/>
    <s v="Carlos Torres"/>
    <s v="carlos.torres@mail.com"/>
    <x v="4"/>
    <s v="Lyon"/>
    <x v="1"/>
    <x v="6"/>
    <n v="1"/>
    <n v="497.82"/>
    <n v="497.82"/>
    <x v="2"/>
    <x v="0"/>
    <x v="13"/>
    <x v="1"/>
  </r>
  <r>
    <s v="ORD000669"/>
    <s v="Luis Pérez"/>
    <s v="luis.pérez@mail.com"/>
    <x v="4"/>
    <s v="Lyon"/>
    <x v="0"/>
    <x v="16"/>
    <n v="1"/>
    <n v="415.94"/>
    <n v="415.94"/>
    <x v="6"/>
    <x v="1"/>
    <x v="453"/>
    <x v="2"/>
  </r>
  <r>
    <s v="ORD000670"/>
    <s v="Laura Ruiz"/>
    <s v="laura.ruiz@mail.com"/>
    <x v="2"/>
    <s v="Lisboa"/>
    <x v="3"/>
    <x v="15"/>
    <n v="3"/>
    <n v="968.56"/>
    <n v="2905.68"/>
    <x v="0"/>
    <x v="0"/>
    <x v="29"/>
    <x v="0"/>
  </r>
  <r>
    <s v="ORD000671"/>
    <s v="María Torres"/>
    <s v="maría.torres@mail.com"/>
    <x v="1"/>
    <s v="Hamburgo"/>
    <x v="3"/>
    <x v="5"/>
    <n v="3"/>
    <n v="1079.72"/>
    <n v="3239.16"/>
    <x v="8"/>
    <x v="1"/>
    <x v="124"/>
    <x v="4"/>
  </r>
  <r>
    <s v="ORD000672"/>
    <s v="Lucía López"/>
    <s v="lucía.lópez@mail.com"/>
    <x v="4"/>
    <s v="París"/>
    <x v="3"/>
    <x v="7"/>
    <n v="3"/>
    <n v="458.19"/>
    <n v="1374.57"/>
    <x v="2"/>
    <x v="1"/>
    <x v="454"/>
    <x v="4"/>
  </r>
  <r>
    <s v="ORD000673"/>
    <s v="Miguel Fernández"/>
    <s v="miguel.fernández@mail.com"/>
    <x v="4"/>
    <s v="Marsella"/>
    <x v="1"/>
    <x v="12"/>
    <n v="2"/>
    <n v="1178.8800000000001"/>
    <n v="2357.7600000000002"/>
    <x v="5"/>
    <x v="1"/>
    <x v="8"/>
    <x v="4"/>
  </r>
  <r>
    <s v="ORD000674"/>
    <s v="Pedro Gómez"/>
    <s v="pedro.gómez@mail.com"/>
    <x v="3"/>
    <s v="Milán"/>
    <x v="2"/>
    <x v="15"/>
    <n v="2"/>
    <n v="642.19000000000005"/>
    <n v="1284.3800000000001"/>
    <x v="10"/>
    <x v="0"/>
    <x v="455"/>
    <x v="2"/>
  </r>
  <r>
    <s v="ORD000675"/>
    <s v="Carlos Vázquez"/>
    <s v="carlos.vázquez@mail.com"/>
    <x v="0"/>
    <s v="Madrid"/>
    <x v="2"/>
    <x v="9"/>
    <n v="2"/>
    <n v="909.59"/>
    <n v="1819.18"/>
    <x v="3"/>
    <x v="0"/>
    <x v="333"/>
    <x v="2"/>
  </r>
  <r>
    <s v="ORD000676"/>
    <s v="Ana López"/>
    <s v="ana.lópez@mail.com"/>
    <x v="4"/>
    <s v="Marsella"/>
    <x v="4"/>
    <x v="14"/>
    <n v="3"/>
    <n v="449.42"/>
    <n v="1348.26"/>
    <x v="8"/>
    <x v="0"/>
    <x v="456"/>
    <x v="3"/>
  </r>
  <r>
    <s v="ORD000677"/>
    <s v="Sofía Sánchez"/>
    <s v="sofía.sánchez@mail.com"/>
    <x v="4"/>
    <s v="Marsella"/>
    <x v="2"/>
    <x v="3"/>
    <n v="2"/>
    <n v="916.31"/>
    <n v="1832.62"/>
    <x v="3"/>
    <x v="0"/>
    <x v="135"/>
    <x v="2"/>
  </r>
  <r>
    <s v="ORD000678"/>
    <s v="Laura Gil"/>
    <s v="laura.gil@mail.com"/>
    <x v="4"/>
    <s v="París"/>
    <x v="3"/>
    <x v="4"/>
    <n v="4"/>
    <n v="359.55"/>
    <n v="1438.2"/>
    <x v="5"/>
    <x v="1"/>
    <x v="440"/>
    <x v="0"/>
  </r>
  <r>
    <s v="ORD000679"/>
    <s v="Luis Gómez"/>
    <s v="luis.gómez@mail.com"/>
    <x v="4"/>
    <s v="Marsella"/>
    <x v="3"/>
    <x v="7"/>
    <n v="4"/>
    <n v="1327.92"/>
    <n v="5311.68"/>
    <x v="9"/>
    <x v="1"/>
    <x v="457"/>
    <x v="3"/>
  </r>
  <r>
    <s v="ORD000680"/>
    <s v="Pablo Gómez"/>
    <s v="pablo.gómez@mail.com"/>
    <x v="1"/>
    <s v="Berlín"/>
    <x v="0"/>
    <x v="17"/>
    <n v="5"/>
    <n v="291.36"/>
    <n v="1456.8000000000002"/>
    <x v="10"/>
    <x v="1"/>
    <x v="429"/>
    <x v="4"/>
  </r>
  <r>
    <s v="ORD000681"/>
    <s v="Carlos Fernández"/>
    <s v="carlos.fernández@mail.com"/>
    <x v="4"/>
    <s v="Lyon"/>
    <x v="2"/>
    <x v="3"/>
    <n v="5"/>
    <n v="807.17"/>
    <n v="4035.85"/>
    <x v="10"/>
    <x v="0"/>
    <x v="398"/>
    <x v="2"/>
  </r>
  <r>
    <s v="ORD000682"/>
    <s v="Pablo Vázquez"/>
    <s v="pablo.vázquez@mail.com"/>
    <x v="1"/>
    <s v="Berlín"/>
    <x v="2"/>
    <x v="15"/>
    <n v="3"/>
    <n v="295.20999999999998"/>
    <n v="885.62999999999988"/>
    <x v="3"/>
    <x v="1"/>
    <x v="99"/>
    <x v="2"/>
  </r>
  <r>
    <s v="ORD000683"/>
    <s v="Irene Ramos"/>
    <s v="irene.ramos@mail.com"/>
    <x v="3"/>
    <s v="Milán"/>
    <x v="0"/>
    <x v="16"/>
    <n v="1"/>
    <n v="786.56"/>
    <n v="786.56"/>
    <x v="8"/>
    <x v="0"/>
    <x v="158"/>
    <x v="3"/>
  </r>
  <r>
    <s v="ORD000684"/>
    <s v="Carlos García"/>
    <s v="carlos.garcía@mail.com"/>
    <x v="2"/>
    <s v="Oporto"/>
    <x v="2"/>
    <x v="10"/>
    <n v="2"/>
    <n v="1239.6099999999999"/>
    <n v="2479.2199999999998"/>
    <x v="4"/>
    <x v="1"/>
    <x v="197"/>
    <x v="0"/>
  </r>
  <r>
    <s v="ORD000685"/>
    <s v="Lucía López"/>
    <s v="lucía.lópez@mail.com"/>
    <x v="0"/>
    <s v="Sevilla"/>
    <x v="4"/>
    <x v="23"/>
    <n v="4"/>
    <n v="201.6"/>
    <n v="806.4"/>
    <x v="6"/>
    <x v="1"/>
    <x v="201"/>
    <x v="1"/>
  </r>
  <r>
    <s v="ORD000686"/>
    <s v="Ana López"/>
    <s v="ana.lópez@mail.com"/>
    <x v="0"/>
    <s v="Barcelona"/>
    <x v="0"/>
    <x v="13"/>
    <n v="3"/>
    <n v="815.02"/>
    <n v="2445.06"/>
    <x v="11"/>
    <x v="0"/>
    <x v="458"/>
    <x v="4"/>
  </r>
  <r>
    <s v="ORD000687"/>
    <s v="Miguel Díaz"/>
    <s v="miguel.díaz@mail.com"/>
    <x v="0"/>
    <s v="Bilbao"/>
    <x v="4"/>
    <x v="23"/>
    <n v="4"/>
    <n v="1147.6099999999999"/>
    <n v="4590.4399999999996"/>
    <x v="10"/>
    <x v="1"/>
    <x v="459"/>
    <x v="2"/>
  </r>
  <r>
    <s v="ORD000688"/>
    <s v="Ana Gil"/>
    <s v="ana.gil@mail.com"/>
    <x v="4"/>
    <s v="París"/>
    <x v="3"/>
    <x v="5"/>
    <n v="2"/>
    <n v="1196.05"/>
    <n v="2392.1"/>
    <x v="11"/>
    <x v="1"/>
    <x v="315"/>
    <x v="3"/>
  </r>
  <r>
    <s v="ORD000689"/>
    <s v="Luis Alonso"/>
    <s v="luis.alonso@mail.com"/>
    <x v="2"/>
    <s v="Lisboa"/>
    <x v="3"/>
    <x v="15"/>
    <n v="5"/>
    <n v="445.07"/>
    <n v="2225.35"/>
    <x v="4"/>
    <x v="1"/>
    <x v="338"/>
    <x v="0"/>
  </r>
  <r>
    <s v="ORD000690"/>
    <s v="Lucía Rodríguez"/>
    <s v="lucía.rodríguez@mail.com"/>
    <x v="2"/>
    <s v="Oporto"/>
    <x v="0"/>
    <x v="17"/>
    <n v="1"/>
    <n v="409.39"/>
    <n v="409.39"/>
    <x v="9"/>
    <x v="1"/>
    <x v="185"/>
    <x v="2"/>
  </r>
  <r>
    <s v="ORD000691"/>
    <s v="Pablo Vázquez"/>
    <s v="pablo.vázquez@mail.com"/>
    <x v="1"/>
    <s v="Berlín"/>
    <x v="4"/>
    <x v="14"/>
    <n v="1"/>
    <n v="513.25"/>
    <n v="513.25"/>
    <x v="1"/>
    <x v="1"/>
    <x v="302"/>
    <x v="1"/>
  </r>
  <r>
    <s v="ORD000692"/>
    <s v="Laura López"/>
    <s v="laura.lópez@mail.com"/>
    <x v="3"/>
    <s v="Roma"/>
    <x v="4"/>
    <x v="23"/>
    <n v="2"/>
    <n v="910.38"/>
    <n v="1820.76"/>
    <x v="2"/>
    <x v="0"/>
    <x v="248"/>
    <x v="2"/>
  </r>
  <r>
    <s v="ORD000693"/>
    <s v="Irene Díaz"/>
    <s v="irene.díaz@mail.com"/>
    <x v="3"/>
    <s v="Milán"/>
    <x v="2"/>
    <x v="3"/>
    <n v="2"/>
    <n v="630.57000000000005"/>
    <n v="1261.1400000000001"/>
    <x v="4"/>
    <x v="0"/>
    <x v="24"/>
    <x v="3"/>
  </r>
  <r>
    <s v="ORD000694"/>
    <s v="Raúl Pérez"/>
    <s v="raúl.pérez@mail.com"/>
    <x v="0"/>
    <s v="Barcelona"/>
    <x v="2"/>
    <x v="10"/>
    <n v="2"/>
    <n v="70.7"/>
    <n v="141.4"/>
    <x v="4"/>
    <x v="0"/>
    <x v="460"/>
    <x v="4"/>
  </r>
  <r>
    <s v="ORD000695"/>
    <s v="Pablo García"/>
    <s v="pablo.garcía@mail.com"/>
    <x v="1"/>
    <s v="Múnich"/>
    <x v="4"/>
    <x v="14"/>
    <n v="2"/>
    <n v="1100.47"/>
    <n v="2200.94"/>
    <x v="6"/>
    <x v="1"/>
    <x v="461"/>
    <x v="1"/>
  </r>
  <r>
    <s v="ORD000696"/>
    <s v="Javier Navarro"/>
    <s v="javier.navarro@mail.com"/>
    <x v="1"/>
    <s v="Múnich"/>
    <x v="2"/>
    <x v="10"/>
    <n v="5"/>
    <n v="556.80999999999995"/>
    <n v="2784.0499999999997"/>
    <x v="6"/>
    <x v="1"/>
    <x v="330"/>
    <x v="2"/>
  </r>
  <r>
    <s v="ORD000697"/>
    <s v="Pablo Sánchez"/>
    <s v="pablo.sánchez@mail.com"/>
    <x v="3"/>
    <s v="Milán"/>
    <x v="3"/>
    <x v="18"/>
    <n v="4"/>
    <n v="497.99"/>
    <n v="1991.96"/>
    <x v="11"/>
    <x v="0"/>
    <x v="266"/>
    <x v="3"/>
  </r>
  <r>
    <s v="ORD000698"/>
    <s v="Carmen López"/>
    <s v="carmen.lópez@mail.com"/>
    <x v="0"/>
    <s v="Valencia"/>
    <x v="1"/>
    <x v="6"/>
    <n v="5"/>
    <n v="1013.89"/>
    <n v="5069.45"/>
    <x v="1"/>
    <x v="1"/>
    <x v="394"/>
    <x v="0"/>
  </r>
  <r>
    <s v="ORD000699"/>
    <s v="Luis Vázquez"/>
    <s v="luis.vázquez@mail.com"/>
    <x v="4"/>
    <s v="Marsella"/>
    <x v="0"/>
    <x v="13"/>
    <n v="2"/>
    <n v="968.61"/>
    <n v="1937.22"/>
    <x v="7"/>
    <x v="0"/>
    <x v="168"/>
    <x v="3"/>
  </r>
  <r>
    <s v="ORD000700"/>
    <s v="Carmen Ramos"/>
    <s v="carmen.ramos@mail.com"/>
    <x v="3"/>
    <s v="Nápoles"/>
    <x v="0"/>
    <x v="17"/>
    <n v="2"/>
    <n v="1201.21"/>
    <n v="2402.42"/>
    <x v="9"/>
    <x v="1"/>
    <x v="413"/>
    <x v="1"/>
  </r>
  <r>
    <s v="ORD000701"/>
    <s v="Diego Pérez"/>
    <s v="diego.pérez@mail.com"/>
    <x v="2"/>
    <s v="Braga"/>
    <x v="2"/>
    <x v="15"/>
    <n v="1"/>
    <n v="96.9"/>
    <n v="96.9"/>
    <x v="5"/>
    <x v="1"/>
    <x v="130"/>
    <x v="3"/>
  </r>
  <r>
    <s v="ORD000702"/>
    <s v="Ana Martínez"/>
    <s v="ana.martínez@mail.com"/>
    <x v="1"/>
    <s v="Múnich"/>
    <x v="4"/>
    <x v="11"/>
    <n v="3"/>
    <n v="608.33000000000004"/>
    <n v="1824.9900000000002"/>
    <x v="2"/>
    <x v="2"/>
    <x v="2"/>
    <x v="2"/>
  </r>
  <r>
    <s v="ORD000703"/>
    <s v="Javier Gómez"/>
    <s v="javier.gómez@mail.com"/>
    <x v="0"/>
    <s v="Valencia"/>
    <x v="1"/>
    <x v="6"/>
    <n v="5"/>
    <n v="363.01"/>
    <n v="1815.05"/>
    <x v="2"/>
    <x v="0"/>
    <x v="462"/>
    <x v="4"/>
  </r>
  <r>
    <s v="ORD000704"/>
    <s v="Lucía García"/>
    <s v="lucía.garcía@mail.com"/>
    <x v="0"/>
    <s v="Valencia"/>
    <x v="3"/>
    <x v="4"/>
    <n v="4"/>
    <n v="434.1"/>
    <n v="1736.4"/>
    <x v="4"/>
    <x v="0"/>
    <x v="463"/>
    <x v="4"/>
  </r>
  <r>
    <s v="ORD000705"/>
    <s v="Raúl Navarro"/>
    <s v="raúl.navarro@mail.com"/>
    <x v="1"/>
    <s v="Berlín"/>
    <x v="4"/>
    <x v="11"/>
    <n v="4"/>
    <n v="1039.49"/>
    <n v="4157.96"/>
    <x v="1"/>
    <x v="0"/>
    <x v="317"/>
    <x v="4"/>
  </r>
  <r>
    <s v="ORD000706"/>
    <s v="Elena Alonso"/>
    <s v="elena.alonso@mail.com"/>
    <x v="1"/>
    <s v="Hamburgo"/>
    <x v="0"/>
    <x v="13"/>
    <n v="2"/>
    <n v="511.05"/>
    <n v="1022.1"/>
    <x v="5"/>
    <x v="1"/>
    <x v="105"/>
    <x v="3"/>
  </r>
  <r>
    <s v="ORD000707"/>
    <s v="Lucía Navarro"/>
    <s v="lucía.navarro@mail.com"/>
    <x v="2"/>
    <s v="Braga"/>
    <x v="3"/>
    <x v="18"/>
    <n v="5"/>
    <n v="1058.1400000000001"/>
    <n v="5290.7000000000007"/>
    <x v="7"/>
    <x v="1"/>
    <x v="75"/>
    <x v="0"/>
  </r>
  <r>
    <s v="ORD000708"/>
    <s v="Ana Martínez"/>
    <s v="ana.martínez@mail.com"/>
    <x v="2"/>
    <s v="Braga"/>
    <x v="4"/>
    <x v="14"/>
    <n v="3"/>
    <n v="231.78"/>
    <n v="695.34"/>
    <x v="0"/>
    <x v="1"/>
    <x v="304"/>
    <x v="2"/>
  </r>
  <r>
    <s v="ORD000709"/>
    <s v="María García"/>
    <s v="maría.garcía@mail.com"/>
    <x v="0"/>
    <s v="Sevilla"/>
    <x v="3"/>
    <x v="5"/>
    <n v="2"/>
    <n v="1188.3900000000001"/>
    <n v="2376.7800000000002"/>
    <x v="10"/>
    <x v="1"/>
    <x v="464"/>
    <x v="2"/>
  </r>
  <r>
    <s v="ORD000710"/>
    <s v="Carlos Vázquez"/>
    <s v="carlos.vázquez@mail.com"/>
    <x v="3"/>
    <s v="Milán"/>
    <x v="1"/>
    <x v="8"/>
    <n v="3"/>
    <n v="146.03"/>
    <n v="438.09000000000003"/>
    <x v="2"/>
    <x v="1"/>
    <x v="212"/>
    <x v="0"/>
  </r>
  <r>
    <s v="ORD000711"/>
    <s v="Ana Gómez"/>
    <s v="ana.gómez@mail.com"/>
    <x v="2"/>
    <s v="Lisboa"/>
    <x v="0"/>
    <x v="0"/>
    <n v="5"/>
    <n v="78.31"/>
    <n v="391.55"/>
    <x v="4"/>
    <x v="0"/>
    <x v="463"/>
    <x v="1"/>
  </r>
  <r>
    <s v="ORD000712"/>
    <s v="Javier Ramos"/>
    <s v="javier.ramos@mail.com"/>
    <x v="0"/>
    <s v="Valencia"/>
    <x v="0"/>
    <x v="0"/>
    <n v="5"/>
    <n v="820.06"/>
    <n v="4100.2999999999993"/>
    <x v="5"/>
    <x v="2"/>
    <x v="231"/>
    <x v="1"/>
  </r>
  <r>
    <s v="ORD000713"/>
    <s v="Lucía Gil"/>
    <s v="lucía.gil@mail.com"/>
    <x v="1"/>
    <s v="Hamburgo"/>
    <x v="4"/>
    <x v="22"/>
    <n v="1"/>
    <n v="138.81"/>
    <n v="138.81"/>
    <x v="3"/>
    <x v="1"/>
    <x v="465"/>
    <x v="4"/>
  </r>
  <r>
    <s v="ORD000714"/>
    <s v="Sofía Martínez"/>
    <s v="sofía.martínez@mail.com"/>
    <x v="4"/>
    <s v="Marsella"/>
    <x v="4"/>
    <x v="14"/>
    <n v="3"/>
    <n v="1436.55"/>
    <n v="4309.6499999999996"/>
    <x v="5"/>
    <x v="1"/>
    <x v="105"/>
    <x v="1"/>
  </r>
  <r>
    <s v="ORD000715"/>
    <s v="Luis Ruiz"/>
    <s v="luis.ruiz@mail.com"/>
    <x v="3"/>
    <s v="Nápoles"/>
    <x v="1"/>
    <x v="12"/>
    <n v="5"/>
    <n v="930.35"/>
    <n v="4651.75"/>
    <x v="8"/>
    <x v="1"/>
    <x v="415"/>
    <x v="4"/>
  </r>
  <r>
    <s v="ORD000716"/>
    <s v="Carlos Ruiz"/>
    <s v="carlos.ruiz@mail.com"/>
    <x v="4"/>
    <s v="Lyon"/>
    <x v="1"/>
    <x v="6"/>
    <n v="2"/>
    <n v="1095.54"/>
    <n v="2191.08"/>
    <x v="10"/>
    <x v="1"/>
    <x v="466"/>
    <x v="4"/>
  </r>
  <r>
    <s v="ORD000717"/>
    <s v="Laura Torres"/>
    <s v="laura.torres@mail.com"/>
    <x v="3"/>
    <s v="Roma"/>
    <x v="0"/>
    <x v="20"/>
    <n v="4"/>
    <n v="168.6"/>
    <n v="674.4"/>
    <x v="7"/>
    <x v="1"/>
    <x v="467"/>
    <x v="4"/>
  </r>
  <r>
    <s v="ORD000718"/>
    <s v="Miguel Ruiz"/>
    <s v="miguel.ruiz@mail.com"/>
    <x v="2"/>
    <s v="Lisboa"/>
    <x v="2"/>
    <x v="9"/>
    <n v="1"/>
    <n v="1024.06"/>
    <n v="1024.06"/>
    <x v="0"/>
    <x v="1"/>
    <x v="468"/>
    <x v="0"/>
  </r>
  <r>
    <s v="ORD000719"/>
    <s v="Diego Ramos"/>
    <s v="diego.ramos@mail.com"/>
    <x v="4"/>
    <s v="París"/>
    <x v="3"/>
    <x v="15"/>
    <n v="2"/>
    <n v="567.33000000000004"/>
    <n v="1134.6600000000001"/>
    <x v="9"/>
    <x v="0"/>
    <x v="469"/>
    <x v="3"/>
  </r>
  <r>
    <s v="ORD000720"/>
    <s v="Carmen Pérez"/>
    <s v="carmen.pérez@mail.com"/>
    <x v="3"/>
    <s v="Roma"/>
    <x v="0"/>
    <x v="16"/>
    <n v="4"/>
    <n v="1041.58"/>
    <n v="4166.32"/>
    <x v="4"/>
    <x v="1"/>
    <x v="7"/>
    <x v="1"/>
  </r>
  <r>
    <s v="ORD000721"/>
    <s v="Carlos Rodríguez"/>
    <s v="carlos.rodríguez@mail.com"/>
    <x v="4"/>
    <s v="Marsella"/>
    <x v="4"/>
    <x v="14"/>
    <n v="5"/>
    <n v="602.66"/>
    <n v="3013.2999999999997"/>
    <x v="9"/>
    <x v="1"/>
    <x v="185"/>
    <x v="1"/>
  </r>
  <r>
    <s v="ORD000722"/>
    <s v="Diego Gómez"/>
    <s v="diego.gómez@mail.com"/>
    <x v="0"/>
    <s v="Bilbao"/>
    <x v="0"/>
    <x v="16"/>
    <n v="2"/>
    <n v="1452.01"/>
    <n v="2904.02"/>
    <x v="10"/>
    <x v="1"/>
    <x v="470"/>
    <x v="0"/>
  </r>
  <r>
    <s v="ORD000723"/>
    <s v="María Alonso"/>
    <s v="maría.alonso@mail.com"/>
    <x v="1"/>
    <s v="Múnich"/>
    <x v="2"/>
    <x v="10"/>
    <n v="4"/>
    <n v="586.48"/>
    <n v="2345.92"/>
    <x v="2"/>
    <x v="0"/>
    <x v="63"/>
    <x v="4"/>
  </r>
  <r>
    <s v="ORD000724"/>
    <s v="Carlos Pérez"/>
    <s v="carlos.pérez@mail.com"/>
    <x v="3"/>
    <s v="Milán"/>
    <x v="1"/>
    <x v="8"/>
    <n v="1"/>
    <n v="731.53"/>
    <n v="731.53"/>
    <x v="9"/>
    <x v="1"/>
    <x v="146"/>
    <x v="2"/>
  </r>
  <r>
    <s v="ORD000725"/>
    <s v="María Ruiz"/>
    <s v="maría.ruiz@mail.com"/>
    <x v="3"/>
    <s v="Roma"/>
    <x v="1"/>
    <x v="8"/>
    <n v="3"/>
    <n v="851.78"/>
    <n v="2555.34"/>
    <x v="7"/>
    <x v="0"/>
    <x v="471"/>
    <x v="3"/>
  </r>
  <r>
    <s v="ORD000726"/>
    <s v="Elena Díaz"/>
    <s v="elena.díaz@mail.com"/>
    <x v="0"/>
    <s v="Bilbao"/>
    <x v="3"/>
    <x v="4"/>
    <n v="5"/>
    <n v="652.11"/>
    <n v="3260.55"/>
    <x v="0"/>
    <x v="1"/>
    <x v="335"/>
    <x v="3"/>
  </r>
  <r>
    <s v="ORD000727"/>
    <s v="Ana Díaz"/>
    <s v="ana.díaz@mail.com"/>
    <x v="0"/>
    <s v="Barcelona"/>
    <x v="1"/>
    <x v="12"/>
    <n v="1"/>
    <n v="584.95000000000005"/>
    <n v="584.95000000000005"/>
    <x v="7"/>
    <x v="1"/>
    <x v="56"/>
    <x v="2"/>
  </r>
  <r>
    <s v="ORD000728"/>
    <s v="Elena Ramos"/>
    <s v="elena.ramos@mail.com"/>
    <x v="4"/>
    <s v="Marsella"/>
    <x v="1"/>
    <x v="6"/>
    <n v="1"/>
    <n v="1291.7"/>
    <n v="1291.7"/>
    <x v="3"/>
    <x v="1"/>
    <x v="402"/>
    <x v="1"/>
  </r>
  <r>
    <s v="ORD000729"/>
    <s v="Elena Ramos"/>
    <s v="elena.ramos@mail.com"/>
    <x v="2"/>
    <s v="Braga"/>
    <x v="3"/>
    <x v="15"/>
    <n v="4"/>
    <n v="523.36"/>
    <n v="2093.44"/>
    <x v="4"/>
    <x v="1"/>
    <x v="472"/>
    <x v="4"/>
  </r>
  <r>
    <s v="ORD000730"/>
    <s v="Sofía Torres"/>
    <s v="sofía.torres@mail.com"/>
    <x v="4"/>
    <s v="Lyon"/>
    <x v="1"/>
    <x v="2"/>
    <n v="3"/>
    <n v="1244.1500000000001"/>
    <n v="3732.4500000000003"/>
    <x v="5"/>
    <x v="1"/>
    <x v="473"/>
    <x v="2"/>
  </r>
  <r>
    <s v="ORD000731"/>
    <s v="Miguel Torres"/>
    <s v="miguel.torres@mail.com"/>
    <x v="0"/>
    <s v="Madrid"/>
    <x v="1"/>
    <x v="6"/>
    <n v="2"/>
    <n v="247.93"/>
    <n v="495.86"/>
    <x v="8"/>
    <x v="1"/>
    <x v="474"/>
    <x v="4"/>
  </r>
  <r>
    <s v="ORD000732"/>
    <s v="Pablo Rodríguez"/>
    <s v="pablo.rodríguez@mail.com"/>
    <x v="1"/>
    <s v="Berlín"/>
    <x v="4"/>
    <x v="21"/>
    <n v="5"/>
    <n v="1489.71"/>
    <n v="7448.55"/>
    <x v="3"/>
    <x v="0"/>
    <x v="306"/>
    <x v="2"/>
  </r>
  <r>
    <s v="ORD000733"/>
    <s v="María Pérez"/>
    <s v="maría.pérez@mail.com"/>
    <x v="3"/>
    <s v="Nápoles"/>
    <x v="2"/>
    <x v="19"/>
    <n v="2"/>
    <n v="263.08"/>
    <n v="526.16"/>
    <x v="9"/>
    <x v="1"/>
    <x v="475"/>
    <x v="0"/>
  </r>
  <r>
    <s v="ORD000734"/>
    <s v="Lucía Gil"/>
    <s v="lucía.gil@mail.com"/>
    <x v="3"/>
    <s v="Milán"/>
    <x v="2"/>
    <x v="10"/>
    <n v="4"/>
    <n v="249.4"/>
    <n v="997.6"/>
    <x v="1"/>
    <x v="0"/>
    <x v="476"/>
    <x v="4"/>
  </r>
  <r>
    <s v="ORD000735"/>
    <s v="Luis López"/>
    <s v="luis.lópez@mail.com"/>
    <x v="3"/>
    <s v="Roma"/>
    <x v="1"/>
    <x v="1"/>
    <n v="2"/>
    <n v="1195.05"/>
    <n v="2390.1"/>
    <x v="7"/>
    <x v="1"/>
    <x v="97"/>
    <x v="1"/>
  </r>
  <r>
    <s v="ORD000736"/>
    <s v="Javier Alonso"/>
    <s v="javier.alonso@mail.com"/>
    <x v="0"/>
    <s v="Valencia"/>
    <x v="2"/>
    <x v="15"/>
    <n v="5"/>
    <n v="833.13"/>
    <n v="4165.6499999999996"/>
    <x v="11"/>
    <x v="0"/>
    <x v="112"/>
    <x v="0"/>
  </r>
  <r>
    <s v="ORD000737"/>
    <s v="Miguel García"/>
    <s v="miguel.garcía@mail.com"/>
    <x v="3"/>
    <s v="Nápoles"/>
    <x v="4"/>
    <x v="21"/>
    <n v="5"/>
    <n v="171.98"/>
    <n v="859.9"/>
    <x v="7"/>
    <x v="0"/>
    <x v="326"/>
    <x v="4"/>
  </r>
  <r>
    <s v="ORD000738"/>
    <s v="Carlos Gómez"/>
    <s v="carlos.gómez@mail.com"/>
    <x v="3"/>
    <s v="Roma"/>
    <x v="0"/>
    <x v="13"/>
    <n v="5"/>
    <n v="55.55"/>
    <n v="277.75"/>
    <x v="5"/>
    <x v="0"/>
    <x v="341"/>
    <x v="2"/>
  </r>
  <r>
    <s v="ORD000739"/>
    <s v="Elena Gil"/>
    <s v="elena.gil@mail.com"/>
    <x v="2"/>
    <s v="Lisboa"/>
    <x v="1"/>
    <x v="8"/>
    <n v="5"/>
    <n v="716.41"/>
    <n v="3582.0499999999997"/>
    <x v="11"/>
    <x v="0"/>
    <x v="112"/>
    <x v="1"/>
  </r>
  <r>
    <s v="ORD000740"/>
    <s v="Javier Díaz"/>
    <s v="javier.díaz@mail.com"/>
    <x v="2"/>
    <s v="Oporto"/>
    <x v="0"/>
    <x v="16"/>
    <n v="2"/>
    <n v="542.37"/>
    <n v="1084.74"/>
    <x v="1"/>
    <x v="0"/>
    <x v="477"/>
    <x v="2"/>
  </r>
  <r>
    <s v="ORD000741"/>
    <s v="Raúl Ramos"/>
    <s v="raúl.ramos@mail.com"/>
    <x v="1"/>
    <s v="Hamburgo"/>
    <x v="2"/>
    <x v="19"/>
    <n v="1"/>
    <n v="1229.22"/>
    <n v="1229.22"/>
    <x v="1"/>
    <x v="0"/>
    <x v="137"/>
    <x v="0"/>
  </r>
  <r>
    <s v="ORD000742"/>
    <s v="Laura Alonso"/>
    <s v="laura.alonso@mail.com"/>
    <x v="0"/>
    <s v="Barcelona"/>
    <x v="4"/>
    <x v="11"/>
    <n v="3"/>
    <n v="812.99"/>
    <n v="2438.9700000000003"/>
    <x v="7"/>
    <x v="0"/>
    <x v="35"/>
    <x v="4"/>
  </r>
  <r>
    <s v="ORD000743"/>
    <s v="Irene Rodríguez"/>
    <s v="irene.rodríguez@mail.com"/>
    <x v="0"/>
    <s v="Madrid"/>
    <x v="1"/>
    <x v="2"/>
    <n v="2"/>
    <n v="1199.28"/>
    <n v="2398.56"/>
    <x v="6"/>
    <x v="1"/>
    <x v="160"/>
    <x v="2"/>
  </r>
  <r>
    <s v="ORD000744"/>
    <s v="Pablo Gómez"/>
    <s v="pablo.gómez@mail.com"/>
    <x v="3"/>
    <s v="Nápoles"/>
    <x v="1"/>
    <x v="6"/>
    <n v="4"/>
    <n v="69.400000000000006"/>
    <n v="277.60000000000002"/>
    <x v="3"/>
    <x v="1"/>
    <x v="478"/>
    <x v="4"/>
  </r>
  <r>
    <s v="ORD000745"/>
    <s v="Irene García"/>
    <s v="irene.garcía@mail.com"/>
    <x v="4"/>
    <s v="París"/>
    <x v="3"/>
    <x v="4"/>
    <n v="1"/>
    <n v="1122.99"/>
    <n v="1122.99"/>
    <x v="4"/>
    <x v="0"/>
    <x v="435"/>
    <x v="1"/>
  </r>
  <r>
    <s v="ORD000746"/>
    <s v="Carmen Torres"/>
    <s v="carmen.torres@mail.com"/>
    <x v="3"/>
    <s v="Milán"/>
    <x v="1"/>
    <x v="6"/>
    <n v="2"/>
    <n v="1209.6300000000001"/>
    <n v="2419.2600000000002"/>
    <x v="2"/>
    <x v="2"/>
    <x v="329"/>
    <x v="3"/>
  </r>
  <r>
    <s v="ORD000747"/>
    <s v="Laura Ruiz"/>
    <s v="laura.ruiz@mail.com"/>
    <x v="0"/>
    <s v="Sevilla"/>
    <x v="2"/>
    <x v="10"/>
    <n v="2"/>
    <n v="1410.87"/>
    <n v="2821.74"/>
    <x v="11"/>
    <x v="2"/>
    <x v="479"/>
    <x v="3"/>
  </r>
  <r>
    <s v="ORD000748"/>
    <s v="Lucía García"/>
    <s v="lucía.garcía@mail.com"/>
    <x v="0"/>
    <s v="Valencia"/>
    <x v="0"/>
    <x v="20"/>
    <n v="4"/>
    <n v="1347.25"/>
    <n v="5389"/>
    <x v="0"/>
    <x v="0"/>
    <x v="480"/>
    <x v="0"/>
  </r>
  <r>
    <s v="ORD000749"/>
    <s v="Javier Díaz"/>
    <s v="javier.díaz@mail.com"/>
    <x v="0"/>
    <s v="Valencia"/>
    <x v="3"/>
    <x v="15"/>
    <n v="3"/>
    <n v="1007.82"/>
    <n v="3023.46"/>
    <x v="0"/>
    <x v="1"/>
    <x v="407"/>
    <x v="2"/>
  </r>
  <r>
    <s v="ORD000750"/>
    <s v="María Navarro"/>
    <s v="maría.navarro@mail.com"/>
    <x v="4"/>
    <s v="París"/>
    <x v="0"/>
    <x v="13"/>
    <n v="4"/>
    <n v="29.96"/>
    <n v="119.84"/>
    <x v="1"/>
    <x v="1"/>
    <x v="481"/>
    <x v="1"/>
  </r>
  <r>
    <s v="ORD000751"/>
    <s v="Carlos López"/>
    <s v="carlos.lópez@mail.com"/>
    <x v="4"/>
    <s v="Marsella"/>
    <x v="0"/>
    <x v="0"/>
    <n v="2"/>
    <n v="30.98"/>
    <n v="61.96"/>
    <x v="9"/>
    <x v="0"/>
    <x v="42"/>
    <x v="2"/>
  </r>
  <r>
    <s v="ORD000752"/>
    <s v="Elena Vázquez"/>
    <s v="elena.vázquez@mail.com"/>
    <x v="3"/>
    <s v="Milán"/>
    <x v="3"/>
    <x v="18"/>
    <n v="5"/>
    <n v="1043.81"/>
    <n v="5219.0499999999993"/>
    <x v="4"/>
    <x v="0"/>
    <x v="482"/>
    <x v="3"/>
  </r>
  <r>
    <s v="ORD000753"/>
    <s v="Laura Vázquez"/>
    <s v="laura.vázquez@mail.com"/>
    <x v="4"/>
    <s v="Marsella"/>
    <x v="4"/>
    <x v="22"/>
    <n v="4"/>
    <n v="45.27"/>
    <n v="181.08"/>
    <x v="6"/>
    <x v="0"/>
    <x v="397"/>
    <x v="0"/>
  </r>
  <r>
    <s v="ORD000754"/>
    <s v="Javier López"/>
    <s v="javier.lópez@mail.com"/>
    <x v="0"/>
    <s v="Sevilla"/>
    <x v="2"/>
    <x v="10"/>
    <n v="5"/>
    <n v="1232.2"/>
    <n v="6161"/>
    <x v="7"/>
    <x v="1"/>
    <x v="467"/>
    <x v="2"/>
  </r>
  <r>
    <s v="ORD000755"/>
    <s v="Ana García"/>
    <s v="ana.garcía@mail.com"/>
    <x v="1"/>
    <s v="Hamburgo"/>
    <x v="0"/>
    <x v="20"/>
    <n v="2"/>
    <n v="780.33"/>
    <n v="1560.66"/>
    <x v="5"/>
    <x v="1"/>
    <x v="483"/>
    <x v="3"/>
  </r>
  <r>
    <s v="ORD000756"/>
    <s v="Raúl Vázquez"/>
    <s v="raúl.vázquez@mail.com"/>
    <x v="1"/>
    <s v="Berlín"/>
    <x v="3"/>
    <x v="7"/>
    <n v="3"/>
    <n v="1392.88"/>
    <n v="4178.6400000000003"/>
    <x v="4"/>
    <x v="0"/>
    <x v="416"/>
    <x v="3"/>
  </r>
  <r>
    <s v="ORD000757"/>
    <s v="Miguel Torres"/>
    <s v="miguel.torres@mail.com"/>
    <x v="1"/>
    <s v="Berlín"/>
    <x v="0"/>
    <x v="17"/>
    <n v="5"/>
    <n v="1167.4000000000001"/>
    <n v="5837"/>
    <x v="11"/>
    <x v="0"/>
    <x v="484"/>
    <x v="1"/>
  </r>
  <r>
    <s v="ORD000758"/>
    <s v="Elena Rodríguez"/>
    <s v="elena.rodríguez@mail.com"/>
    <x v="3"/>
    <s v="Nápoles"/>
    <x v="4"/>
    <x v="22"/>
    <n v="1"/>
    <n v="1114.19"/>
    <n v="1114.19"/>
    <x v="8"/>
    <x v="1"/>
    <x v="12"/>
    <x v="0"/>
  </r>
  <r>
    <s v="ORD000759"/>
    <s v="Javier Navarro"/>
    <s v="javier.navarro@mail.com"/>
    <x v="2"/>
    <s v="Braga"/>
    <x v="4"/>
    <x v="21"/>
    <n v="1"/>
    <n v="625.4"/>
    <n v="625.4"/>
    <x v="3"/>
    <x v="0"/>
    <x v="50"/>
    <x v="3"/>
  </r>
  <r>
    <s v="ORD000760"/>
    <s v="Ana Martínez"/>
    <s v="ana.martínez@mail.com"/>
    <x v="2"/>
    <s v="Oporto"/>
    <x v="0"/>
    <x v="20"/>
    <n v="2"/>
    <n v="159.12"/>
    <n v="318.24"/>
    <x v="4"/>
    <x v="0"/>
    <x v="171"/>
    <x v="2"/>
  </r>
  <r>
    <s v="ORD000761"/>
    <s v="Pedro Vázquez"/>
    <s v="pedro.vázquez@mail.com"/>
    <x v="3"/>
    <s v="Milán"/>
    <x v="2"/>
    <x v="3"/>
    <n v="5"/>
    <n v="865.7"/>
    <n v="4328.5"/>
    <x v="5"/>
    <x v="2"/>
    <x v="261"/>
    <x v="4"/>
  </r>
  <r>
    <s v="ORD000762"/>
    <s v="Diego Sánchez"/>
    <s v="diego.sánchez@mail.com"/>
    <x v="2"/>
    <s v="Oporto"/>
    <x v="2"/>
    <x v="9"/>
    <n v="5"/>
    <n v="1263.26"/>
    <n v="6316.3"/>
    <x v="5"/>
    <x v="1"/>
    <x v="82"/>
    <x v="1"/>
  </r>
  <r>
    <s v="ORD000763"/>
    <s v="Javier Gil"/>
    <s v="javier.gil@mail.com"/>
    <x v="0"/>
    <s v="Valencia"/>
    <x v="2"/>
    <x v="9"/>
    <n v="3"/>
    <n v="271.74"/>
    <n v="815.22"/>
    <x v="8"/>
    <x v="1"/>
    <x v="485"/>
    <x v="1"/>
  </r>
  <r>
    <s v="ORD000764"/>
    <s v="Pedro Navarro"/>
    <s v="pedro.navarro@mail.com"/>
    <x v="0"/>
    <s v="Barcelona"/>
    <x v="2"/>
    <x v="19"/>
    <n v="1"/>
    <n v="273.98"/>
    <n v="273.98"/>
    <x v="0"/>
    <x v="1"/>
    <x v="486"/>
    <x v="3"/>
  </r>
  <r>
    <s v="ORD000765"/>
    <s v="María Rodríguez"/>
    <s v="maría.rodríguez@mail.com"/>
    <x v="4"/>
    <s v="Lyon"/>
    <x v="0"/>
    <x v="13"/>
    <n v="4"/>
    <n v="1248.31"/>
    <n v="4993.24"/>
    <x v="1"/>
    <x v="1"/>
    <x v="1"/>
    <x v="0"/>
  </r>
  <r>
    <s v="ORD000766"/>
    <s v="Pedro Vázquez"/>
    <s v="pedro.vázquez@mail.com"/>
    <x v="4"/>
    <s v="Marsella"/>
    <x v="3"/>
    <x v="15"/>
    <n v="3"/>
    <n v="1249.6099999999999"/>
    <n v="3748.83"/>
    <x v="1"/>
    <x v="1"/>
    <x v="170"/>
    <x v="0"/>
  </r>
  <r>
    <s v="ORD000767"/>
    <s v="Ana Martínez"/>
    <s v="ana.martínez@mail.com"/>
    <x v="0"/>
    <s v="Barcelona"/>
    <x v="4"/>
    <x v="11"/>
    <n v="3"/>
    <n v="1482.58"/>
    <n v="4447.74"/>
    <x v="5"/>
    <x v="0"/>
    <x v="487"/>
    <x v="0"/>
  </r>
  <r>
    <s v="ORD000768"/>
    <s v="Irene Sánchez"/>
    <s v="irene.sánchez@mail.com"/>
    <x v="2"/>
    <s v="Oporto"/>
    <x v="3"/>
    <x v="5"/>
    <n v="1"/>
    <n v="687.77"/>
    <n v="687.77"/>
    <x v="0"/>
    <x v="0"/>
    <x v="488"/>
    <x v="0"/>
  </r>
  <r>
    <s v="ORD000769"/>
    <s v="Irene Rodríguez"/>
    <s v="irene.rodríguez@mail.com"/>
    <x v="4"/>
    <s v="Lyon"/>
    <x v="2"/>
    <x v="10"/>
    <n v="5"/>
    <n v="917.71"/>
    <n v="4588.55"/>
    <x v="10"/>
    <x v="0"/>
    <x v="489"/>
    <x v="3"/>
  </r>
  <r>
    <s v="ORD000770"/>
    <s v="Carlos Pérez"/>
    <s v="carlos.pérez@mail.com"/>
    <x v="1"/>
    <s v="Berlín"/>
    <x v="2"/>
    <x v="3"/>
    <n v="5"/>
    <n v="946.78"/>
    <n v="4733.8999999999996"/>
    <x v="2"/>
    <x v="1"/>
    <x v="490"/>
    <x v="3"/>
  </r>
  <r>
    <s v="ORD000771"/>
    <s v="Laura Díaz"/>
    <s v="laura.díaz@mail.com"/>
    <x v="2"/>
    <s v="Lisboa"/>
    <x v="0"/>
    <x v="17"/>
    <n v="3"/>
    <n v="1017.65"/>
    <n v="3052.95"/>
    <x v="1"/>
    <x v="0"/>
    <x v="491"/>
    <x v="1"/>
  </r>
  <r>
    <s v="ORD000772"/>
    <s v="Javier Ramos"/>
    <s v="javier.ramos@mail.com"/>
    <x v="0"/>
    <s v="Madrid"/>
    <x v="1"/>
    <x v="12"/>
    <n v="4"/>
    <n v="509.63"/>
    <n v="2038.52"/>
    <x v="8"/>
    <x v="1"/>
    <x v="140"/>
    <x v="3"/>
  </r>
  <r>
    <s v="ORD000773"/>
    <s v="Pedro Gómez"/>
    <s v="pedro.gómez@mail.com"/>
    <x v="2"/>
    <s v="Lisboa"/>
    <x v="3"/>
    <x v="15"/>
    <n v="4"/>
    <n v="1358.16"/>
    <n v="5432.64"/>
    <x v="3"/>
    <x v="0"/>
    <x v="193"/>
    <x v="4"/>
  </r>
  <r>
    <s v="ORD000774"/>
    <s v="Miguel Gómez"/>
    <s v="miguel.gómez@mail.com"/>
    <x v="3"/>
    <s v="Milán"/>
    <x v="1"/>
    <x v="2"/>
    <n v="5"/>
    <n v="181.6"/>
    <n v="908"/>
    <x v="10"/>
    <x v="2"/>
    <x v="183"/>
    <x v="4"/>
  </r>
  <r>
    <s v="ORD000775"/>
    <s v="Irene Vázquez"/>
    <s v="irene.vázquez@mail.com"/>
    <x v="2"/>
    <s v="Lisboa"/>
    <x v="3"/>
    <x v="18"/>
    <n v="4"/>
    <n v="1158.97"/>
    <n v="4635.88"/>
    <x v="9"/>
    <x v="1"/>
    <x v="492"/>
    <x v="2"/>
  </r>
  <r>
    <s v="ORD000776"/>
    <s v="Sofía Navarro"/>
    <s v="sofía.navarro@mail.com"/>
    <x v="4"/>
    <s v="Lyon"/>
    <x v="1"/>
    <x v="12"/>
    <n v="2"/>
    <n v="1326.55"/>
    <n v="2653.1"/>
    <x v="1"/>
    <x v="1"/>
    <x v="493"/>
    <x v="4"/>
  </r>
  <r>
    <s v="ORD000777"/>
    <s v="Pablo Martínez"/>
    <s v="pablo.martínez@mail.com"/>
    <x v="0"/>
    <s v="Madrid"/>
    <x v="2"/>
    <x v="15"/>
    <n v="4"/>
    <n v="60.51"/>
    <n v="242.04"/>
    <x v="5"/>
    <x v="2"/>
    <x v="494"/>
    <x v="4"/>
  </r>
  <r>
    <s v="ORD000778"/>
    <s v="Carmen Gómez"/>
    <s v="carmen.gómez@mail.com"/>
    <x v="2"/>
    <s v="Oporto"/>
    <x v="3"/>
    <x v="7"/>
    <n v="3"/>
    <n v="133.19999999999999"/>
    <n v="399.59999999999997"/>
    <x v="10"/>
    <x v="1"/>
    <x v="245"/>
    <x v="0"/>
  </r>
  <r>
    <s v="ORD000779"/>
    <s v="Miguel Gómez"/>
    <s v="miguel.gómez@mail.com"/>
    <x v="4"/>
    <s v="Lyon"/>
    <x v="1"/>
    <x v="1"/>
    <n v="4"/>
    <n v="347.5"/>
    <n v="1390"/>
    <x v="6"/>
    <x v="0"/>
    <x v="111"/>
    <x v="3"/>
  </r>
  <r>
    <s v="ORD000780"/>
    <s v="Carlos García"/>
    <s v="carlos.garcía@mail.com"/>
    <x v="4"/>
    <s v="Lyon"/>
    <x v="3"/>
    <x v="15"/>
    <n v="2"/>
    <n v="1487.87"/>
    <n v="2975.74"/>
    <x v="8"/>
    <x v="0"/>
    <x v="88"/>
    <x v="4"/>
  </r>
  <r>
    <s v="ORD000781"/>
    <s v="Irene Ramos"/>
    <s v="irene.ramos@mail.com"/>
    <x v="2"/>
    <s v="Oporto"/>
    <x v="4"/>
    <x v="22"/>
    <n v="2"/>
    <n v="664.07"/>
    <n v="1328.14"/>
    <x v="3"/>
    <x v="1"/>
    <x v="495"/>
    <x v="1"/>
  </r>
  <r>
    <s v="ORD000782"/>
    <s v="María Navarro"/>
    <s v="maría.navarro@mail.com"/>
    <x v="2"/>
    <s v="Oporto"/>
    <x v="1"/>
    <x v="6"/>
    <n v="4"/>
    <n v="1255.71"/>
    <n v="5022.84"/>
    <x v="0"/>
    <x v="0"/>
    <x v="496"/>
    <x v="2"/>
  </r>
  <r>
    <s v="ORD000783"/>
    <s v="Raúl Martínez"/>
    <s v="raúl.martínez@mail.com"/>
    <x v="0"/>
    <s v="Barcelona"/>
    <x v="0"/>
    <x v="17"/>
    <n v="1"/>
    <n v="568.36"/>
    <n v="568.36"/>
    <x v="2"/>
    <x v="1"/>
    <x v="497"/>
    <x v="0"/>
  </r>
  <r>
    <s v="ORD000784"/>
    <s v="Carlos Martínez"/>
    <s v="carlos.martínez@mail.com"/>
    <x v="4"/>
    <s v="Lyon"/>
    <x v="3"/>
    <x v="18"/>
    <n v="2"/>
    <n v="809.36"/>
    <n v="1618.72"/>
    <x v="0"/>
    <x v="1"/>
    <x v="498"/>
    <x v="4"/>
  </r>
  <r>
    <s v="ORD000785"/>
    <s v="Diego Vázquez"/>
    <s v="diego.vázquez@mail.com"/>
    <x v="0"/>
    <s v="Valencia"/>
    <x v="3"/>
    <x v="18"/>
    <n v="3"/>
    <n v="1433.55"/>
    <n v="4300.6499999999996"/>
    <x v="5"/>
    <x v="1"/>
    <x v="499"/>
    <x v="2"/>
  </r>
  <r>
    <s v="ORD000786"/>
    <s v="María Rodríguez"/>
    <s v="maría.rodríguez@mail.com"/>
    <x v="2"/>
    <s v="Oporto"/>
    <x v="2"/>
    <x v="15"/>
    <n v="3"/>
    <n v="930.53"/>
    <n v="2791.59"/>
    <x v="9"/>
    <x v="1"/>
    <x v="500"/>
    <x v="4"/>
  </r>
  <r>
    <s v="ORD000787"/>
    <s v="Ana Fernández"/>
    <s v="ana.fernández@mail.com"/>
    <x v="3"/>
    <s v="Milán"/>
    <x v="3"/>
    <x v="15"/>
    <n v="1"/>
    <n v="48.9"/>
    <n v="48.9"/>
    <x v="4"/>
    <x v="1"/>
    <x v="501"/>
    <x v="4"/>
  </r>
  <r>
    <s v="ORD000788"/>
    <s v="Sofía Díaz"/>
    <s v="sofía.díaz@mail.com"/>
    <x v="1"/>
    <s v="Múnich"/>
    <x v="0"/>
    <x v="0"/>
    <n v="5"/>
    <n v="1172.47"/>
    <n v="5862.35"/>
    <x v="4"/>
    <x v="1"/>
    <x v="502"/>
    <x v="4"/>
  </r>
  <r>
    <s v="ORD000789"/>
    <s v="Carmen Vázquez"/>
    <s v="carmen.vázquez@mail.com"/>
    <x v="1"/>
    <s v="Hamburgo"/>
    <x v="4"/>
    <x v="23"/>
    <n v="4"/>
    <n v="802.69"/>
    <n v="3210.76"/>
    <x v="8"/>
    <x v="0"/>
    <x v="161"/>
    <x v="4"/>
  </r>
  <r>
    <s v="ORD000790"/>
    <s v="Pablo Navarro"/>
    <s v="pablo.navarro@mail.com"/>
    <x v="0"/>
    <s v="Bilbao"/>
    <x v="3"/>
    <x v="15"/>
    <n v="1"/>
    <n v="409.09"/>
    <n v="409.09"/>
    <x v="10"/>
    <x v="1"/>
    <x v="503"/>
    <x v="0"/>
  </r>
  <r>
    <s v="ORD000791"/>
    <s v="Pablo Sánchez"/>
    <s v="pablo.sánchez@mail.com"/>
    <x v="3"/>
    <s v="Milán"/>
    <x v="2"/>
    <x v="15"/>
    <n v="4"/>
    <n v="55.14"/>
    <n v="220.56"/>
    <x v="2"/>
    <x v="1"/>
    <x v="504"/>
    <x v="1"/>
  </r>
  <r>
    <s v="ORD000792"/>
    <s v="Sofía Vázquez"/>
    <s v="sofía.vázquez@mail.com"/>
    <x v="3"/>
    <s v="Roma"/>
    <x v="2"/>
    <x v="9"/>
    <n v="1"/>
    <n v="154.93"/>
    <n v="154.93"/>
    <x v="6"/>
    <x v="0"/>
    <x v="505"/>
    <x v="0"/>
  </r>
  <r>
    <s v="ORD000793"/>
    <s v="Raúl Gil"/>
    <s v="raúl.gil@mail.com"/>
    <x v="4"/>
    <s v="Lyon"/>
    <x v="2"/>
    <x v="9"/>
    <n v="2"/>
    <n v="1044.94"/>
    <n v="2089.88"/>
    <x v="11"/>
    <x v="0"/>
    <x v="506"/>
    <x v="0"/>
  </r>
  <r>
    <s v="ORD000794"/>
    <s v="Pedro Gómez"/>
    <s v="pedro.gómez@mail.com"/>
    <x v="3"/>
    <s v="Roma"/>
    <x v="1"/>
    <x v="8"/>
    <n v="1"/>
    <n v="1372.12"/>
    <n v="1372.12"/>
    <x v="9"/>
    <x v="1"/>
    <x v="507"/>
    <x v="1"/>
  </r>
  <r>
    <s v="ORD000795"/>
    <s v="Carmen Rodríguez"/>
    <s v="carmen.rodríguez@mail.com"/>
    <x v="4"/>
    <s v="París"/>
    <x v="1"/>
    <x v="6"/>
    <n v="4"/>
    <n v="224.6"/>
    <n v="898.4"/>
    <x v="9"/>
    <x v="0"/>
    <x v="508"/>
    <x v="1"/>
  </r>
  <r>
    <s v="ORD000796"/>
    <s v="Miguel Vázquez"/>
    <s v="miguel.vázquez@mail.com"/>
    <x v="2"/>
    <s v="Oporto"/>
    <x v="0"/>
    <x v="13"/>
    <n v="2"/>
    <n v="1157.74"/>
    <n v="2315.48"/>
    <x v="9"/>
    <x v="0"/>
    <x v="353"/>
    <x v="2"/>
  </r>
  <r>
    <s v="ORD000797"/>
    <s v="Irene García"/>
    <s v="irene.garcía@mail.com"/>
    <x v="2"/>
    <s v="Braga"/>
    <x v="4"/>
    <x v="22"/>
    <n v="5"/>
    <n v="902.61"/>
    <n v="4513.05"/>
    <x v="5"/>
    <x v="2"/>
    <x v="443"/>
    <x v="0"/>
  </r>
  <r>
    <s v="ORD000798"/>
    <s v="Pedro López"/>
    <s v="pedro.lópez@mail.com"/>
    <x v="2"/>
    <s v="Oporto"/>
    <x v="3"/>
    <x v="15"/>
    <n v="4"/>
    <n v="1226.01"/>
    <n v="4904.04"/>
    <x v="5"/>
    <x v="1"/>
    <x v="509"/>
    <x v="0"/>
  </r>
  <r>
    <s v="ORD000799"/>
    <s v="Javier Pérez"/>
    <s v="javier.pérez@mail.com"/>
    <x v="2"/>
    <s v="Lisboa"/>
    <x v="3"/>
    <x v="7"/>
    <n v="2"/>
    <n v="1225.98"/>
    <n v="2451.96"/>
    <x v="9"/>
    <x v="0"/>
    <x v="42"/>
    <x v="0"/>
  </r>
  <r>
    <s v="ORD000800"/>
    <s v="Pedro Martínez"/>
    <s v="pedro.martínez@mail.com"/>
    <x v="0"/>
    <s v="Barcelona"/>
    <x v="3"/>
    <x v="15"/>
    <n v="5"/>
    <n v="31.77"/>
    <n v="158.85"/>
    <x v="9"/>
    <x v="0"/>
    <x v="238"/>
    <x v="3"/>
  </r>
  <r>
    <s v="ORD000801"/>
    <s v="Carlos Ramos"/>
    <s v="carlos.ramos@mail.com"/>
    <x v="4"/>
    <s v="París"/>
    <x v="2"/>
    <x v="9"/>
    <n v="1"/>
    <n v="411.84"/>
    <n v="411.84"/>
    <x v="4"/>
    <x v="1"/>
    <x v="427"/>
    <x v="0"/>
  </r>
  <r>
    <s v="ORD000802"/>
    <s v="Pedro Fernández"/>
    <s v="pedro.fernández@mail.com"/>
    <x v="3"/>
    <s v="Roma"/>
    <x v="1"/>
    <x v="8"/>
    <n v="3"/>
    <n v="307.18"/>
    <n v="921.54"/>
    <x v="2"/>
    <x v="1"/>
    <x v="303"/>
    <x v="4"/>
  </r>
  <r>
    <s v="ORD000803"/>
    <s v="Irene Gómez"/>
    <s v="irene.gómez@mail.com"/>
    <x v="4"/>
    <s v="Marsella"/>
    <x v="1"/>
    <x v="6"/>
    <n v="2"/>
    <n v="414.7"/>
    <n v="829.4"/>
    <x v="1"/>
    <x v="1"/>
    <x v="392"/>
    <x v="2"/>
  </r>
  <r>
    <s v="ORD000804"/>
    <s v="Luis Ramos"/>
    <s v="luis.ramos@mail.com"/>
    <x v="3"/>
    <s v="Milán"/>
    <x v="0"/>
    <x v="0"/>
    <n v="4"/>
    <n v="971.7"/>
    <n v="3886.8"/>
    <x v="5"/>
    <x v="0"/>
    <x v="510"/>
    <x v="3"/>
  </r>
  <r>
    <s v="ORD000805"/>
    <s v="Miguel Martínez"/>
    <s v="miguel.martínez@mail.com"/>
    <x v="1"/>
    <s v="Múnich"/>
    <x v="3"/>
    <x v="4"/>
    <n v="5"/>
    <n v="1166.52"/>
    <n v="5832.6"/>
    <x v="7"/>
    <x v="0"/>
    <x v="438"/>
    <x v="3"/>
  </r>
  <r>
    <s v="ORD000806"/>
    <s v="Diego Rodríguez"/>
    <s v="diego.rodríguez@mail.com"/>
    <x v="4"/>
    <s v="Lyon"/>
    <x v="1"/>
    <x v="1"/>
    <n v="4"/>
    <n v="1394.1"/>
    <n v="5576.4"/>
    <x v="9"/>
    <x v="0"/>
    <x v="44"/>
    <x v="0"/>
  </r>
  <r>
    <s v="ORD000807"/>
    <s v="Sofía Torres"/>
    <s v="sofía.torres@mail.com"/>
    <x v="2"/>
    <s v="Lisboa"/>
    <x v="2"/>
    <x v="10"/>
    <n v="1"/>
    <n v="1218.76"/>
    <n v="1218.76"/>
    <x v="11"/>
    <x v="0"/>
    <x v="511"/>
    <x v="0"/>
  </r>
  <r>
    <s v="ORD000808"/>
    <s v="Laura Martínez"/>
    <s v="laura.martínez@mail.com"/>
    <x v="4"/>
    <s v="Marsella"/>
    <x v="3"/>
    <x v="5"/>
    <n v="4"/>
    <n v="1117.23"/>
    <n v="4468.92"/>
    <x v="9"/>
    <x v="0"/>
    <x v="355"/>
    <x v="1"/>
  </r>
  <r>
    <s v="ORD000809"/>
    <s v="Elena Vázquez"/>
    <s v="elena.vázquez@mail.com"/>
    <x v="4"/>
    <s v="Lyon"/>
    <x v="4"/>
    <x v="23"/>
    <n v="1"/>
    <n v="1435.27"/>
    <n v="1435.27"/>
    <x v="7"/>
    <x v="1"/>
    <x v="512"/>
    <x v="3"/>
  </r>
  <r>
    <s v="ORD000810"/>
    <s v="Laura Navarro"/>
    <s v="laura.navarro@mail.com"/>
    <x v="0"/>
    <s v="Valencia"/>
    <x v="1"/>
    <x v="2"/>
    <n v="2"/>
    <n v="392.72"/>
    <n v="785.44"/>
    <x v="4"/>
    <x v="0"/>
    <x v="463"/>
    <x v="4"/>
  </r>
  <r>
    <s v="ORD000811"/>
    <s v="Elena Gil"/>
    <s v="elena.gil@mail.com"/>
    <x v="2"/>
    <s v="Lisboa"/>
    <x v="4"/>
    <x v="21"/>
    <n v="1"/>
    <n v="1323.91"/>
    <n v="1323.91"/>
    <x v="7"/>
    <x v="0"/>
    <x v="362"/>
    <x v="3"/>
  </r>
  <r>
    <s v="ORD000812"/>
    <s v="Sofía Navarro"/>
    <s v="sofía.navarro@mail.com"/>
    <x v="1"/>
    <s v="Berlín"/>
    <x v="1"/>
    <x v="2"/>
    <n v="4"/>
    <n v="570.99"/>
    <n v="2283.96"/>
    <x v="5"/>
    <x v="1"/>
    <x v="513"/>
    <x v="4"/>
  </r>
  <r>
    <s v="ORD000813"/>
    <s v="Lucía Navarro"/>
    <s v="lucía.navarro@mail.com"/>
    <x v="1"/>
    <s v="Hamburgo"/>
    <x v="1"/>
    <x v="8"/>
    <n v="1"/>
    <n v="415.51"/>
    <n v="415.51"/>
    <x v="5"/>
    <x v="2"/>
    <x v="175"/>
    <x v="2"/>
  </r>
  <r>
    <s v="ORD000814"/>
    <s v="Javier López"/>
    <s v="javier.lópez@mail.com"/>
    <x v="3"/>
    <s v="Roma"/>
    <x v="0"/>
    <x v="16"/>
    <n v="1"/>
    <n v="100.38"/>
    <n v="100.38"/>
    <x v="1"/>
    <x v="1"/>
    <x v="514"/>
    <x v="1"/>
  </r>
  <r>
    <s v="ORD000815"/>
    <s v="Irene Ruiz"/>
    <s v="irene.ruiz@mail.com"/>
    <x v="4"/>
    <s v="Lyon"/>
    <x v="0"/>
    <x v="17"/>
    <n v="5"/>
    <n v="797.49"/>
    <n v="3987.45"/>
    <x v="5"/>
    <x v="1"/>
    <x v="103"/>
    <x v="3"/>
  </r>
  <r>
    <s v="ORD000816"/>
    <s v="Irene Vázquez"/>
    <s v="irene.vázquez@mail.com"/>
    <x v="2"/>
    <s v="Braga"/>
    <x v="3"/>
    <x v="7"/>
    <n v="5"/>
    <n v="389.14"/>
    <n v="1945.6999999999998"/>
    <x v="6"/>
    <x v="0"/>
    <x v="515"/>
    <x v="1"/>
  </r>
  <r>
    <s v="ORD000817"/>
    <s v="Luis García"/>
    <s v="luis.garcía@mail.com"/>
    <x v="1"/>
    <s v="Múnich"/>
    <x v="3"/>
    <x v="18"/>
    <n v="4"/>
    <n v="416.05"/>
    <n v="1664.2"/>
    <x v="5"/>
    <x v="1"/>
    <x v="516"/>
    <x v="4"/>
  </r>
  <r>
    <s v="ORD000818"/>
    <s v="Luis Ramos"/>
    <s v="luis.ramos@mail.com"/>
    <x v="2"/>
    <s v="Braga"/>
    <x v="0"/>
    <x v="13"/>
    <n v="3"/>
    <n v="408.11"/>
    <n v="1224.33"/>
    <x v="10"/>
    <x v="0"/>
    <x v="186"/>
    <x v="0"/>
  </r>
  <r>
    <s v="ORD000819"/>
    <s v="Carlos Vázquez"/>
    <s v="carlos.vázquez@mail.com"/>
    <x v="2"/>
    <s v="Oporto"/>
    <x v="4"/>
    <x v="23"/>
    <n v="5"/>
    <n v="1196.43"/>
    <n v="5982.1500000000005"/>
    <x v="4"/>
    <x v="1"/>
    <x v="357"/>
    <x v="3"/>
  </r>
  <r>
    <s v="ORD000820"/>
    <s v="Javier Martínez"/>
    <s v="javier.martínez@mail.com"/>
    <x v="4"/>
    <s v="París"/>
    <x v="4"/>
    <x v="21"/>
    <n v="5"/>
    <n v="598.46"/>
    <n v="2992.3"/>
    <x v="7"/>
    <x v="0"/>
    <x v="517"/>
    <x v="3"/>
  </r>
  <r>
    <s v="ORD000821"/>
    <s v="Luis Díaz"/>
    <s v="luis.díaz@mail.com"/>
    <x v="2"/>
    <s v="Lisboa"/>
    <x v="3"/>
    <x v="7"/>
    <n v="1"/>
    <n v="50.14"/>
    <n v="50.14"/>
    <x v="11"/>
    <x v="0"/>
    <x v="518"/>
    <x v="0"/>
  </r>
  <r>
    <s v="ORD000822"/>
    <s v="Luis Alonso"/>
    <s v="luis.alonso@mail.com"/>
    <x v="3"/>
    <s v="Milán"/>
    <x v="4"/>
    <x v="14"/>
    <n v="1"/>
    <n v="288.73"/>
    <n v="288.73"/>
    <x v="4"/>
    <x v="1"/>
    <x v="138"/>
    <x v="3"/>
  </r>
  <r>
    <s v="ORD000823"/>
    <s v="Irene Díaz"/>
    <s v="irene.díaz@mail.com"/>
    <x v="3"/>
    <s v="Nápoles"/>
    <x v="1"/>
    <x v="6"/>
    <n v="5"/>
    <n v="779.87"/>
    <n v="3899.35"/>
    <x v="1"/>
    <x v="0"/>
    <x v="379"/>
    <x v="0"/>
  </r>
  <r>
    <s v="ORD000824"/>
    <s v="Diego Gil"/>
    <s v="diego.gil@mail.com"/>
    <x v="0"/>
    <s v="Bilbao"/>
    <x v="0"/>
    <x v="16"/>
    <n v="3"/>
    <n v="896.61"/>
    <n v="2689.83"/>
    <x v="3"/>
    <x v="0"/>
    <x v="439"/>
    <x v="4"/>
  </r>
  <r>
    <s v="ORD000825"/>
    <s v="Pedro Pérez"/>
    <s v="pedro.pérez@mail.com"/>
    <x v="0"/>
    <s v="Sevilla"/>
    <x v="4"/>
    <x v="22"/>
    <n v="1"/>
    <n v="534.14"/>
    <n v="534.14"/>
    <x v="11"/>
    <x v="0"/>
    <x v="519"/>
    <x v="0"/>
  </r>
  <r>
    <s v="ORD000826"/>
    <s v="Lucía Fernández"/>
    <s v="lucía.fernández@mail.com"/>
    <x v="2"/>
    <s v="Lisboa"/>
    <x v="3"/>
    <x v="18"/>
    <n v="4"/>
    <n v="895.46"/>
    <n v="3581.84"/>
    <x v="6"/>
    <x v="0"/>
    <x v="26"/>
    <x v="0"/>
  </r>
  <r>
    <s v="ORD000827"/>
    <s v="Miguel Navarro"/>
    <s v="miguel.navarro@mail.com"/>
    <x v="4"/>
    <s v="Marsella"/>
    <x v="3"/>
    <x v="5"/>
    <n v="4"/>
    <n v="569.97"/>
    <n v="2279.88"/>
    <x v="0"/>
    <x v="0"/>
    <x v="6"/>
    <x v="3"/>
  </r>
  <r>
    <s v="ORD000828"/>
    <s v="Irene García"/>
    <s v="irene.garcía@mail.com"/>
    <x v="4"/>
    <s v="París"/>
    <x v="3"/>
    <x v="15"/>
    <n v="4"/>
    <n v="1322.51"/>
    <n v="5290.04"/>
    <x v="8"/>
    <x v="0"/>
    <x v="109"/>
    <x v="3"/>
  </r>
  <r>
    <s v="ORD000829"/>
    <s v="Lucía Rodríguez"/>
    <s v="lucía.rodríguez@mail.com"/>
    <x v="2"/>
    <s v="Braga"/>
    <x v="0"/>
    <x v="17"/>
    <n v="5"/>
    <n v="1177.72"/>
    <n v="5888.6"/>
    <x v="3"/>
    <x v="1"/>
    <x v="520"/>
    <x v="1"/>
  </r>
  <r>
    <s v="ORD000830"/>
    <s v="Elena Rodríguez"/>
    <s v="elena.rodríguez@mail.com"/>
    <x v="2"/>
    <s v="Oporto"/>
    <x v="3"/>
    <x v="7"/>
    <n v="2"/>
    <n v="1033.01"/>
    <n v="2066.02"/>
    <x v="0"/>
    <x v="0"/>
    <x v="521"/>
    <x v="4"/>
  </r>
  <r>
    <s v="ORD000831"/>
    <s v="Ana García"/>
    <s v="ana.garcía@mail.com"/>
    <x v="1"/>
    <s v="Berlín"/>
    <x v="4"/>
    <x v="21"/>
    <n v="1"/>
    <n v="1060.3800000000001"/>
    <n v="1060.3800000000001"/>
    <x v="7"/>
    <x v="0"/>
    <x v="362"/>
    <x v="3"/>
  </r>
  <r>
    <s v="ORD000832"/>
    <s v="María Navarro"/>
    <s v="maría.navarro@mail.com"/>
    <x v="4"/>
    <s v="París"/>
    <x v="4"/>
    <x v="14"/>
    <n v="5"/>
    <n v="1038"/>
    <n v="5190"/>
    <x v="5"/>
    <x v="2"/>
    <x v="361"/>
    <x v="3"/>
  </r>
  <r>
    <s v="ORD000833"/>
    <s v="Luis García"/>
    <s v="luis.garcía@mail.com"/>
    <x v="3"/>
    <s v="Roma"/>
    <x v="4"/>
    <x v="23"/>
    <n v="1"/>
    <n v="761.8"/>
    <n v="761.8"/>
    <x v="2"/>
    <x v="0"/>
    <x v="69"/>
    <x v="4"/>
  </r>
  <r>
    <s v="ORD000834"/>
    <s v="María López"/>
    <s v="maría.lópez@mail.com"/>
    <x v="1"/>
    <s v="Hamburgo"/>
    <x v="2"/>
    <x v="3"/>
    <n v="1"/>
    <n v="98.51"/>
    <n v="98.51"/>
    <x v="1"/>
    <x v="1"/>
    <x v="522"/>
    <x v="0"/>
  </r>
  <r>
    <s v="ORD000835"/>
    <s v="Pedro Gómez"/>
    <s v="pedro.gómez@mail.com"/>
    <x v="1"/>
    <s v="Hamburgo"/>
    <x v="3"/>
    <x v="7"/>
    <n v="4"/>
    <n v="873.33"/>
    <n v="3493.32"/>
    <x v="2"/>
    <x v="2"/>
    <x v="2"/>
    <x v="0"/>
  </r>
  <r>
    <s v="ORD000836"/>
    <s v="Irene Torres"/>
    <s v="irene.torres@mail.com"/>
    <x v="3"/>
    <s v="Roma"/>
    <x v="0"/>
    <x v="0"/>
    <n v="2"/>
    <n v="1287.32"/>
    <n v="2574.64"/>
    <x v="2"/>
    <x v="2"/>
    <x v="329"/>
    <x v="4"/>
  </r>
  <r>
    <s v="ORD000837"/>
    <s v="Lucía Navarro"/>
    <s v="lucía.navarro@mail.com"/>
    <x v="0"/>
    <s v="Valencia"/>
    <x v="4"/>
    <x v="11"/>
    <n v="2"/>
    <n v="1077.2"/>
    <n v="2154.4"/>
    <x v="10"/>
    <x v="2"/>
    <x v="374"/>
    <x v="2"/>
  </r>
  <r>
    <s v="ORD000838"/>
    <s v="Sofía Pérez"/>
    <s v="sofía.pérez@mail.com"/>
    <x v="0"/>
    <s v="Madrid"/>
    <x v="3"/>
    <x v="4"/>
    <n v="3"/>
    <n v="1264.08"/>
    <n v="3792.24"/>
    <x v="11"/>
    <x v="1"/>
    <x v="382"/>
    <x v="2"/>
  </r>
  <r>
    <s v="ORD000839"/>
    <s v="Irene Pérez"/>
    <s v="irene.pérez@mail.com"/>
    <x v="1"/>
    <s v="Múnich"/>
    <x v="4"/>
    <x v="22"/>
    <n v="5"/>
    <n v="17.989999999999998"/>
    <n v="89.949999999999989"/>
    <x v="7"/>
    <x v="1"/>
    <x v="404"/>
    <x v="3"/>
  </r>
  <r>
    <s v="ORD000840"/>
    <s v="Sofía Gil"/>
    <s v="sofía.gil@mail.com"/>
    <x v="0"/>
    <s v="Bilbao"/>
    <x v="4"/>
    <x v="22"/>
    <n v="2"/>
    <n v="1226.3800000000001"/>
    <n v="2452.7600000000002"/>
    <x v="5"/>
    <x v="0"/>
    <x v="371"/>
    <x v="4"/>
  </r>
  <r>
    <s v="ORD000841"/>
    <s v="Carlos Torres"/>
    <s v="carlos.torres@mail.com"/>
    <x v="2"/>
    <s v="Braga"/>
    <x v="4"/>
    <x v="22"/>
    <n v="1"/>
    <n v="1310.04"/>
    <n v="1310.04"/>
    <x v="9"/>
    <x v="1"/>
    <x v="523"/>
    <x v="0"/>
  </r>
  <r>
    <s v="ORD000842"/>
    <s v="Carmen Vázquez"/>
    <s v="carmen.vázquez@mail.com"/>
    <x v="0"/>
    <s v="Valencia"/>
    <x v="0"/>
    <x v="16"/>
    <n v="1"/>
    <n v="140.01"/>
    <n v="140.01"/>
    <x v="7"/>
    <x v="0"/>
    <x v="524"/>
    <x v="4"/>
  </r>
  <r>
    <s v="ORD000843"/>
    <s v="Ana Díaz"/>
    <s v="ana.díaz@mail.com"/>
    <x v="1"/>
    <s v="Berlín"/>
    <x v="0"/>
    <x v="13"/>
    <n v="1"/>
    <n v="118.43"/>
    <n v="118.43"/>
    <x v="9"/>
    <x v="1"/>
    <x v="525"/>
    <x v="4"/>
  </r>
  <r>
    <s v="ORD000844"/>
    <s v="Carlos Sánchez"/>
    <s v="carlos.sánchez@mail.com"/>
    <x v="3"/>
    <s v="Nápoles"/>
    <x v="4"/>
    <x v="22"/>
    <n v="3"/>
    <n v="159.03"/>
    <n v="477.09000000000003"/>
    <x v="11"/>
    <x v="1"/>
    <x v="76"/>
    <x v="1"/>
  </r>
  <r>
    <s v="ORD000845"/>
    <s v="Diego López"/>
    <s v="diego.lópez@mail.com"/>
    <x v="1"/>
    <s v="Berlín"/>
    <x v="3"/>
    <x v="5"/>
    <n v="3"/>
    <n v="701.86"/>
    <n v="2105.58"/>
    <x v="0"/>
    <x v="1"/>
    <x v="526"/>
    <x v="1"/>
  </r>
  <r>
    <s v="ORD000846"/>
    <s v="Carlos Gómez"/>
    <s v="carlos.gómez@mail.com"/>
    <x v="3"/>
    <s v="Nápoles"/>
    <x v="2"/>
    <x v="9"/>
    <n v="5"/>
    <n v="5.19"/>
    <n v="25.950000000000003"/>
    <x v="5"/>
    <x v="2"/>
    <x v="18"/>
    <x v="2"/>
  </r>
  <r>
    <s v="ORD000847"/>
    <s v="Pedro Gómez"/>
    <s v="pedro.gómez@mail.com"/>
    <x v="0"/>
    <s v="Bilbao"/>
    <x v="3"/>
    <x v="4"/>
    <n v="1"/>
    <n v="1076.3499999999999"/>
    <n v="1076.3499999999999"/>
    <x v="5"/>
    <x v="2"/>
    <x v="143"/>
    <x v="0"/>
  </r>
  <r>
    <s v="ORD000848"/>
    <s v="Lucía López"/>
    <s v="lucía.lópez@mail.com"/>
    <x v="4"/>
    <s v="Lyon"/>
    <x v="1"/>
    <x v="1"/>
    <n v="3"/>
    <n v="1021.96"/>
    <n v="3065.88"/>
    <x v="5"/>
    <x v="1"/>
    <x v="527"/>
    <x v="2"/>
  </r>
  <r>
    <s v="ORD000849"/>
    <s v="Javier Ruiz"/>
    <s v="javier.ruiz@mail.com"/>
    <x v="2"/>
    <s v="Lisboa"/>
    <x v="4"/>
    <x v="14"/>
    <n v="1"/>
    <n v="1225.07"/>
    <n v="1225.07"/>
    <x v="4"/>
    <x v="0"/>
    <x v="528"/>
    <x v="4"/>
  </r>
  <r>
    <s v="ORD000850"/>
    <s v="María García"/>
    <s v="maría.garcía@mail.com"/>
    <x v="2"/>
    <s v="Oporto"/>
    <x v="1"/>
    <x v="8"/>
    <n v="5"/>
    <n v="233.94"/>
    <n v="1169.7"/>
    <x v="5"/>
    <x v="2"/>
    <x v="319"/>
    <x v="1"/>
  </r>
  <r>
    <s v="ORD000851"/>
    <s v="Javier Díaz"/>
    <s v="javier.díaz@mail.com"/>
    <x v="1"/>
    <s v="Berlín"/>
    <x v="4"/>
    <x v="22"/>
    <n v="4"/>
    <n v="550.34"/>
    <n v="2201.36"/>
    <x v="0"/>
    <x v="0"/>
    <x v="480"/>
    <x v="3"/>
  </r>
  <r>
    <s v="ORD000852"/>
    <s v="Miguel Ramos"/>
    <s v="miguel.ramos@mail.com"/>
    <x v="0"/>
    <s v="Sevilla"/>
    <x v="1"/>
    <x v="8"/>
    <n v="5"/>
    <n v="1235.82"/>
    <n v="6179.0999999999995"/>
    <x v="9"/>
    <x v="1"/>
    <x v="492"/>
    <x v="0"/>
  </r>
  <r>
    <s v="ORD000853"/>
    <s v="Carmen Sánchez"/>
    <s v="carmen.sánchez@mail.com"/>
    <x v="1"/>
    <s v="Múnich"/>
    <x v="3"/>
    <x v="15"/>
    <n v="4"/>
    <n v="921.66"/>
    <n v="3686.64"/>
    <x v="10"/>
    <x v="0"/>
    <x v="529"/>
    <x v="2"/>
  </r>
  <r>
    <s v="ORD000854"/>
    <s v="Sofía Fernández"/>
    <s v="sofía.fernández@mail.com"/>
    <x v="2"/>
    <s v="Lisboa"/>
    <x v="4"/>
    <x v="23"/>
    <n v="5"/>
    <n v="788.19"/>
    <n v="3940.9500000000003"/>
    <x v="5"/>
    <x v="0"/>
    <x v="530"/>
    <x v="0"/>
  </r>
  <r>
    <s v="ORD000855"/>
    <s v="Irene López"/>
    <s v="irene.lópez@mail.com"/>
    <x v="4"/>
    <s v="Marsella"/>
    <x v="2"/>
    <x v="10"/>
    <n v="1"/>
    <n v="1416.61"/>
    <n v="1416.61"/>
    <x v="1"/>
    <x v="1"/>
    <x v="522"/>
    <x v="1"/>
  </r>
  <r>
    <s v="ORD000856"/>
    <s v="Pedro Ramos"/>
    <s v="pedro.ramos@mail.com"/>
    <x v="1"/>
    <s v="Hamburgo"/>
    <x v="0"/>
    <x v="20"/>
    <n v="4"/>
    <n v="919.85"/>
    <n v="3679.4"/>
    <x v="10"/>
    <x v="1"/>
    <x v="531"/>
    <x v="1"/>
  </r>
  <r>
    <s v="ORD000857"/>
    <s v="Pablo Martínez"/>
    <s v="pablo.martínez@mail.com"/>
    <x v="0"/>
    <s v="Sevilla"/>
    <x v="1"/>
    <x v="6"/>
    <n v="2"/>
    <n v="94.69"/>
    <n v="189.38"/>
    <x v="10"/>
    <x v="0"/>
    <x v="72"/>
    <x v="4"/>
  </r>
  <r>
    <s v="ORD000858"/>
    <s v="Pablo Ramos"/>
    <s v="pablo.ramos@mail.com"/>
    <x v="1"/>
    <s v="Hamburgo"/>
    <x v="4"/>
    <x v="14"/>
    <n v="1"/>
    <n v="1399.92"/>
    <n v="1399.92"/>
    <x v="3"/>
    <x v="0"/>
    <x v="135"/>
    <x v="1"/>
  </r>
  <r>
    <s v="ORD000859"/>
    <s v="Diego Gil"/>
    <s v="diego.gil@mail.com"/>
    <x v="4"/>
    <s v="París"/>
    <x v="0"/>
    <x v="13"/>
    <n v="2"/>
    <n v="686.68"/>
    <n v="1373.36"/>
    <x v="2"/>
    <x v="2"/>
    <x v="320"/>
    <x v="4"/>
  </r>
  <r>
    <s v="ORD000860"/>
    <s v="Carlos López"/>
    <s v="carlos.lópez@mail.com"/>
    <x v="0"/>
    <s v="Sevilla"/>
    <x v="4"/>
    <x v="21"/>
    <n v="5"/>
    <n v="259.89"/>
    <n v="1299.4499999999998"/>
    <x v="8"/>
    <x v="0"/>
    <x v="134"/>
    <x v="1"/>
  </r>
  <r>
    <s v="ORD000861"/>
    <s v="Sofía Vázquez"/>
    <s v="sofía.vázquez@mail.com"/>
    <x v="3"/>
    <s v="Milán"/>
    <x v="0"/>
    <x v="13"/>
    <n v="1"/>
    <n v="1223.92"/>
    <n v="1223.92"/>
    <x v="2"/>
    <x v="1"/>
    <x v="129"/>
    <x v="2"/>
  </r>
  <r>
    <s v="ORD000862"/>
    <s v="Miguel Gómez"/>
    <s v="miguel.gómez@mail.com"/>
    <x v="1"/>
    <s v="Múnich"/>
    <x v="3"/>
    <x v="18"/>
    <n v="1"/>
    <n v="193.29"/>
    <n v="193.29"/>
    <x v="11"/>
    <x v="0"/>
    <x v="314"/>
    <x v="1"/>
  </r>
  <r>
    <s v="ORD000863"/>
    <s v="Pablo Torres"/>
    <s v="pablo.torres@mail.com"/>
    <x v="4"/>
    <s v="Marsella"/>
    <x v="0"/>
    <x v="17"/>
    <n v="3"/>
    <n v="1044.98"/>
    <n v="3134.94"/>
    <x v="10"/>
    <x v="0"/>
    <x v="455"/>
    <x v="0"/>
  </r>
  <r>
    <s v="ORD000864"/>
    <s v="Irene Alonso"/>
    <s v="irene.alonso@mail.com"/>
    <x v="4"/>
    <s v="Marsella"/>
    <x v="3"/>
    <x v="4"/>
    <n v="4"/>
    <n v="1356.52"/>
    <n v="5426.08"/>
    <x v="3"/>
    <x v="0"/>
    <x v="532"/>
    <x v="3"/>
  </r>
  <r>
    <s v="ORD000865"/>
    <s v="Pedro Vázquez"/>
    <s v="pedro.vázquez@mail.com"/>
    <x v="3"/>
    <s v="Nápoles"/>
    <x v="3"/>
    <x v="7"/>
    <n v="1"/>
    <n v="907.47"/>
    <n v="907.47"/>
    <x v="0"/>
    <x v="0"/>
    <x v="533"/>
    <x v="1"/>
  </r>
  <r>
    <s v="ORD000866"/>
    <s v="Pedro Gil"/>
    <s v="pedro.gil@mail.com"/>
    <x v="3"/>
    <s v="Milán"/>
    <x v="1"/>
    <x v="12"/>
    <n v="3"/>
    <n v="981.74"/>
    <n v="2945.2200000000003"/>
    <x v="5"/>
    <x v="1"/>
    <x v="483"/>
    <x v="2"/>
  </r>
  <r>
    <s v="ORD000867"/>
    <s v="Lucía Pérez"/>
    <s v="lucía.pérez@mail.com"/>
    <x v="1"/>
    <s v="Múnich"/>
    <x v="1"/>
    <x v="8"/>
    <n v="3"/>
    <n v="699.01"/>
    <n v="2097.0299999999997"/>
    <x v="0"/>
    <x v="1"/>
    <x v="534"/>
    <x v="1"/>
  </r>
  <r>
    <s v="ORD000868"/>
    <s v="Pedro Rodríguez"/>
    <s v="pedro.rodríguez@mail.com"/>
    <x v="0"/>
    <s v="Valencia"/>
    <x v="0"/>
    <x v="17"/>
    <n v="3"/>
    <n v="1312.05"/>
    <n v="3936.1499999999996"/>
    <x v="0"/>
    <x v="0"/>
    <x v="533"/>
    <x v="2"/>
  </r>
  <r>
    <s v="ORD000869"/>
    <s v="Miguel Gómez"/>
    <s v="miguel.gómez@mail.com"/>
    <x v="1"/>
    <s v="Berlín"/>
    <x v="1"/>
    <x v="1"/>
    <n v="2"/>
    <n v="1467.81"/>
    <n v="2935.62"/>
    <x v="8"/>
    <x v="1"/>
    <x v="474"/>
    <x v="1"/>
  </r>
  <r>
    <s v="ORD000870"/>
    <s v="Javier Gil"/>
    <s v="javier.gil@mail.com"/>
    <x v="0"/>
    <s v="Bilbao"/>
    <x v="3"/>
    <x v="5"/>
    <n v="3"/>
    <n v="715.55"/>
    <n v="2146.6499999999996"/>
    <x v="3"/>
    <x v="0"/>
    <x v="535"/>
    <x v="0"/>
  </r>
  <r>
    <s v="ORD000871"/>
    <s v="Lucía López"/>
    <s v="lucía.lópez@mail.com"/>
    <x v="2"/>
    <s v="Lisboa"/>
    <x v="2"/>
    <x v="3"/>
    <n v="3"/>
    <n v="300.08999999999997"/>
    <n v="900.27"/>
    <x v="2"/>
    <x v="2"/>
    <x v="162"/>
    <x v="1"/>
  </r>
  <r>
    <s v="ORD000872"/>
    <s v="Javier Gómez"/>
    <s v="javier.gómez@mail.com"/>
    <x v="4"/>
    <s v="Lyon"/>
    <x v="1"/>
    <x v="12"/>
    <n v="5"/>
    <n v="699"/>
    <n v="3495"/>
    <x v="11"/>
    <x v="0"/>
    <x v="277"/>
    <x v="3"/>
  </r>
  <r>
    <s v="ORD000873"/>
    <s v="Ana Díaz"/>
    <s v="ana.díaz@mail.com"/>
    <x v="4"/>
    <s v="París"/>
    <x v="4"/>
    <x v="14"/>
    <n v="3"/>
    <n v="1247.9000000000001"/>
    <n v="3743.7000000000003"/>
    <x v="9"/>
    <x v="1"/>
    <x v="536"/>
    <x v="3"/>
  </r>
  <r>
    <s v="ORD000874"/>
    <s v="Lucía Ruiz"/>
    <s v="lucía.ruiz@mail.com"/>
    <x v="0"/>
    <s v="Sevilla"/>
    <x v="1"/>
    <x v="12"/>
    <n v="4"/>
    <n v="1436.43"/>
    <n v="5745.72"/>
    <x v="7"/>
    <x v="1"/>
    <x v="537"/>
    <x v="2"/>
  </r>
  <r>
    <s v="ORD000875"/>
    <s v="Luis Martínez"/>
    <s v="luis.martínez@mail.com"/>
    <x v="1"/>
    <s v="Berlín"/>
    <x v="3"/>
    <x v="7"/>
    <n v="1"/>
    <n v="524.55999999999995"/>
    <n v="524.55999999999995"/>
    <x v="7"/>
    <x v="0"/>
    <x v="326"/>
    <x v="4"/>
  </r>
  <r>
    <s v="ORD000876"/>
    <s v="Carlos Vázquez"/>
    <s v="carlos.vázquez@mail.com"/>
    <x v="0"/>
    <s v="Madrid"/>
    <x v="0"/>
    <x v="0"/>
    <n v="1"/>
    <n v="563.37"/>
    <n v="563.37"/>
    <x v="1"/>
    <x v="1"/>
    <x v="85"/>
    <x v="0"/>
  </r>
  <r>
    <s v="ORD000877"/>
    <s v="Pablo Alonso"/>
    <s v="pablo.alonso@mail.com"/>
    <x v="1"/>
    <s v="Hamburgo"/>
    <x v="2"/>
    <x v="19"/>
    <n v="2"/>
    <n v="1173.58"/>
    <n v="2347.16"/>
    <x v="10"/>
    <x v="1"/>
    <x v="464"/>
    <x v="0"/>
  </r>
  <r>
    <s v="ORD000878"/>
    <s v="Laura Rodríguez"/>
    <s v="laura.rodríguez@mail.com"/>
    <x v="2"/>
    <s v="Oporto"/>
    <x v="1"/>
    <x v="8"/>
    <n v="3"/>
    <n v="287.91000000000003"/>
    <n v="863.73"/>
    <x v="9"/>
    <x v="1"/>
    <x v="215"/>
    <x v="4"/>
  </r>
  <r>
    <s v="ORD000879"/>
    <s v="Raúl Navarro"/>
    <s v="raúl.navarro@mail.com"/>
    <x v="2"/>
    <s v="Lisboa"/>
    <x v="2"/>
    <x v="9"/>
    <n v="1"/>
    <n v="265.89"/>
    <n v="265.89"/>
    <x v="5"/>
    <x v="0"/>
    <x v="538"/>
    <x v="2"/>
  </r>
  <r>
    <s v="ORD000880"/>
    <s v="Raúl Rodríguez"/>
    <s v="raúl.rodríguez@mail.com"/>
    <x v="2"/>
    <s v="Oporto"/>
    <x v="4"/>
    <x v="11"/>
    <n v="4"/>
    <n v="517.72"/>
    <n v="2070.88"/>
    <x v="8"/>
    <x v="1"/>
    <x v="539"/>
    <x v="1"/>
  </r>
  <r>
    <s v="ORD000881"/>
    <s v="Luis Pérez"/>
    <s v="luis.pérez@mail.com"/>
    <x v="1"/>
    <s v="Hamburgo"/>
    <x v="3"/>
    <x v="5"/>
    <n v="4"/>
    <n v="1138.69"/>
    <n v="4554.76"/>
    <x v="10"/>
    <x v="0"/>
    <x v="425"/>
    <x v="2"/>
  </r>
  <r>
    <s v="ORD000882"/>
    <s v="Diego Fernández"/>
    <s v="diego.fernández@mail.com"/>
    <x v="0"/>
    <s v="Sevilla"/>
    <x v="4"/>
    <x v="11"/>
    <n v="5"/>
    <n v="208.37"/>
    <n v="1041.8499999999999"/>
    <x v="7"/>
    <x v="0"/>
    <x v="540"/>
    <x v="1"/>
  </r>
  <r>
    <s v="ORD000883"/>
    <s v="Elena López"/>
    <s v="elena.lópez@mail.com"/>
    <x v="0"/>
    <s v="Sevilla"/>
    <x v="0"/>
    <x v="17"/>
    <n v="5"/>
    <n v="795.14"/>
    <n v="3975.7"/>
    <x v="4"/>
    <x v="1"/>
    <x v="220"/>
    <x v="4"/>
  </r>
  <r>
    <s v="ORD000884"/>
    <s v="Elena Díaz"/>
    <s v="elena.díaz@mail.com"/>
    <x v="3"/>
    <s v="Roma"/>
    <x v="4"/>
    <x v="14"/>
    <n v="5"/>
    <n v="1366.47"/>
    <n v="6832.35"/>
    <x v="2"/>
    <x v="1"/>
    <x v="32"/>
    <x v="4"/>
  </r>
  <r>
    <s v="ORD000885"/>
    <s v="Sofía Díaz"/>
    <s v="sofía.díaz@mail.com"/>
    <x v="0"/>
    <s v="Valencia"/>
    <x v="0"/>
    <x v="13"/>
    <n v="4"/>
    <n v="291.68"/>
    <n v="1166.72"/>
    <x v="5"/>
    <x v="0"/>
    <x v="449"/>
    <x v="0"/>
  </r>
  <r>
    <s v="ORD000886"/>
    <s v="Pedro López"/>
    <s v="pedro.lópez@mail.com"/>
    <x v="4"/>
    <s v="Lyon"/>
    <x v="0"/>
    <x v="20"/>
    <n v="5"/>
    <n v="987.25"/>
    <n v="4936.25"/>
    <x v="9"/>
    <x v="0"/>
    <x v="541"/>
    <x v="0"/>
  </r>
  <r>
    <s v="ORD000887"/>
    <s v="Irene Díaz"/>
    <s v="irene.díaz@mail.com"/>
    <x v="4"/>
    <s v="Marsella"/>
    <x v="4"/>
    <x v="22"/>
    <n v="3"/>
    <n v="1273.0999999999999"/>
    <n v="3819.2999999999997"/>
    <x v="5"/>
    <x v="1"/>
    <x v="513"/>
    <x v="3"/>
  </r>
  <r>
    <s v="ORD000888"/>
    <s v="Carmen Ramos"/>
    <s v="carmen.ramos@mail.com"/>
    <x v="4"/>
    <s v="Lyon"/>
    <x v="0"/>
    <x v="13"/>
    <n v="2"/>
    <n v="676.19"/>
    <n v="1352.38"/>
    <x v="5"/>
    <x v="1"/>
    <x v="542"/>
    <x v="4"/>
  </r>
  <r>
    <s v="ORD000889"/>
    <s v="Raúl Pérez"/>
    <s v="raúl.pérez@mail.com"/>
    <x v="1"/>
    <s v="Múnich"/>
    <x v="1"/>
    <x v="6"/>
    <n v="2"/>
    <n v="243.19"/>
    <n v="486.38"/>
    <x v="0"/>
    <x v="0"/>
    <x v="533"/>
    <x v="2"/>
  </r>
  <r>
    <s v="ORD000890"/>
    <s v="Irene García"/>
    <s v="irene.garcía@mail.com"/>
    <x v="3"/>
    <s v="Milán"/>
    <x v="3"/>
    <x v="15"/>
    <n v="2"/>
    <n v="927.47"/>
    <n v="1854.94"/>
    <x v="9"/>
    <x v="0"/>
    <x v="213"/>
    <x v="2"/>
  </r>
  <r>
    <s v="ORD000891"/>
    <s v="Diego Ruiz"/>
    <s v="diego.ruiz@mail.com"/>
    <x v="1"/>
    <s v="Berlín"/>
    <x v="2"/>
    <x v="10"/>
    <n v="1"/>
    <n v="350.79"/>
    <n v="350.79"/>
    <x v="9"/>
    <x v="0"/>
    <x v="420"/>
    <x v="0"/>
  </r>
  <r>
    <s v="ORD000892"/>
    <s v="Miguel Vázquez"/>
    <s v="miguel.vázquez@mail.com"/>
    <x v="1"/>
    <s v="Berlín"/>
    <x v="2"/>
    <x v="9"/>
    <n v="5"/>
    <n v="1190.05"/>
    <n v="5950.25"/>
    <x v="6"/>
    <x v="0"/>
    <x v="543"/>
    <x v="2"/>
  </r>
  <r>
    <s v="ORD000893"/>
    <s v="María Vázquez"/>
    <s v="maría.vázquez@mail.com"/>
    <x v="1"/>
    <s v="Múnich"/>
    <x v="2"/>
    <x v="9"/>
    <n v="5"/>
    <n v="886.87"/>
    <n v="4434.3500000000004"/>
    <x v="3"/>
    <x v="1"/>
    <x v="520"/>
    <x v="0"/>
  </r>
  <r>
    <s v="ORD000894"/>
    <s v="Sofía Díaz"/>
    <s v="sofía.díaz@mail.com"/>
    <x v="3"/>
    <s v="Nápoles"/>
    <x v="0"/>
    <x v="20"/>
    <n v="2"/>
    <n v="1361.24"/>
    <n v="2722.48"/>
    <x v="10"/>
    <x v="0"/>
    <x v="425"/>
    <x v="0"/>
  </r>
  <r>
    <s v="ORD000895"/>
    <s v="Carlos Díaz"/>
    <s v="carlos.díaz@mail.com"/>
    <x v="2"/>
    <s v="Oporto"/>
    <x v="0"/>
    <x v="16"/>
    <n v="3"/>
    <n v="84.3"/>
    <n v="252.89999999999998"/>
    <x v="8"/>
    <x v="0"/>
    <x v="446"/>
    <x v="3"/>
  </r>
  <r>
    <s v="ORD000896"/>
    <s v="Miguel Rodríguez"/>
    <s v="miguel.rodríguez@mail.com"/>
    <x v="2"/>
    <s v="Lisboa"/>
    <x v="2"/>
    <x v="10"/>
    <n v="4"/>
    <n v="1424.04"/>
    <n v="5696.16"/>
    <x v="0"/>
    <x v="1"/>
    <x v="498"/>
    <x v="2"/>
  </r>
  <r>
    <s v="ORD000897"/>
    <s v="Javier Ramos"/>
    <s v="javier.ramos@mail.com"/>
    <x v="3"/>
    <s v="Nápoles"/>
    <x v="2"/>
    <x v="15"/>
    <n v="4"/>
    <n v="1306.92"/>
    <n v="5227.68"/>
    <x v="5"/>
    <x v="0"/>
    <x v="219"/>
    <x v="2"/>
  </r>
  <r>
    <s v="ORD000898"/>
    <s v="Javier Díaz"/>
    <s v="javier.díaz@mail.com"/>
    <x v="3"/>
    <s v="Nápoles"/>
    <x v="0"/>
    <x v="13"/>
    <n v="3"/>
    <n v="898.55"/>
    <n v="2695.6499999999996"/>
    <x v="10"/>
    <x v="1"/>
    <x v="245"/>
    <x v="2"/>
  </r>
  <r>
    <s v="ORD000899"/>
    <s v="María Rodríguez"/>
    <s v="maría.rodríguez@mail.com"/>
    <x v="1"/>
    <s v="Hamburgo"/>
    <x v="0"/>
    <x v="20"/>
    <n v="5"/>
    <n v="712.37"/>
    <n v="3561.85"/>
    <x v="7"/>
    <x v="0"/>
    <x v="118"/>
    <x v="2"/>
  </r>
  <r>
    <s v="ORD000900"/>
    <s v="Laura García"/>
    <s v="laura.garcía@mail.com"/>
    <x v="4"/>
    <s v="París"/>
    <x v="3"/>
    <x v="7"/>
    <n v="4"/>
    <n v="227.41"/>
    <n v="909.64"/>
    <x v="5"/>
    <x v="1"/>
    <x v="544"/>
    <x v="2"/>
  </r>
  <r>
    <s v="ORD000901"/>
    <s v="Diego Alonso"/>
    <s v="diego.alonso@mail.com"/>
    <x v="1"/>
    <s v="Berlín"/>
    <x v="2"/>
    <x v="15"/>
    <n v="2"/>
    <n v="927.28"/>
    <n v="1854.56"/>
    <x v="6"/>
    <x v="1"/>
    <x v="453"/>
    <x v="0"/>
  </r>
  <r>
    <s v="ORD000902"/>
    <s v="Carmen López"/>
    <s v="carmen.lópez@mail.com"/>
    <x v="1"/>
    <s v="Múnich"/>
    <x v="3"/>
    <x v="18"/>
    <n v="5"/>
    <n v="128.04"/>
    <n v="640.19999999999993"/>
    <x v="5"/>
    <x v="0"/>
    <x v="545"/>
    <x v="1"/>
  </r>
  <r>
    <s v="ORD000903"/>
    <s v="Elena Torres"/>
    <s v="elena.torres@mail.com"/>
    <x v="2"/>
    <s v="Lisboa"/>
    <x v="0"/>
    <x v="16"/>
    <n v="2"/>
    <n v="1169.8900000000001"/>
    <n v="2339.7800000000002"/>
    <x v="8"/>
    <x v="1"/>
    <x v="539"/>
    <x v="0"/>
  </r>
  <r>
    <s v="ORD000904"/>
    <s v="Elena Ruiz"/>
    <s v="elena.ruiz@mail.com"/>
    <x v="2"/>
    <s v="Lisboa"/>
    <x v="1"/>
    <x v="2"/>
    <n v="2"/>
    <n v="1225.49"/>
    <n v="2450.98"/>
    <x v="5"/>
    <x v="1"/>
    <x v="307"/>
    <x v="4"/>
  </r>
  <r>
    <s v="ORD000905"/>
    <s v="María Martínez"/>
    <s v="maría.martínez@mail.com"/>
    <x v="3"/>
    <s v="Milán"/>
    <x v="1"/>
    <x v="1"/>
    <n v="2"/>
    <n v="887.6"/>
    <n v="1775.2"/>
    <x v="2"/>
    <x v="1"/>
    <x v="349"/>
    <x v="1"/>
  </r>
  <r>
    <s v="ORD000906"/>
    <s v="Irene Martínez"/>
    <s v="irene.martínez@mail.com"/>
    <x v="4"/>
    <s v="París"/>
    <x v="1"/>
    <x v="12"/>
    <n v="1"/>
    <n v="910.55"/>
    <n v="910.55"/>
    <x v="9"/>
    <x v="0"/>
    <x v="206"/>
    <x v="3"/>
  </r>
  <r>
    <s v="ORD000907"/>
    <s v="Irene Gil"/>
    <s v="irene.gil@mail.com"/>
    <x v="0"/>
    <s v="Sevilla"/>
    <x v="0"/>
    <x v="16"/>
    <n v="4"/>
    <n v="725"/>
    <n v="2900"/>
    <x v="8"/>
    <x v="1"/>
    <x v="218"/>
    <x v="3"/>
  </r>
  <r>
    <s v="ORD000908"/>
    <s v="Diego Martínez"/>
    <s v="diego.martínez@mail.com"/>
    <x v="4"/>
    <s v="Lyon"/>
    <x v="0"/>
    <x v="17"/>
    <n v="4"/>
    <n v="50.43"/>
    <n v="201.72"/>
    <x v="7"/>
    <x v="1"/>
    <x v="30"/>
    <x v="4"/>
  </r>
  <r>
    <s v="ORD000909"/>
    <s v="María Fernández"/>
    <s v="maría.fernández@mail.com"/>
    <x v="3"/>
    <s v="Milán"/>
    <x v="2"/>
    <x v="9"/>
    <n v="2"/>
    <n v="305.14"/>
    <n v="610.28"/>
    <x v="10"/>
    <x v="0"/>
    <x v="72"/>
    <x v="1"/>
  </r>
  <r>
    <s v="ORD000910"/>
    <s v="Diego García"/>
    <s v="diego.garcía@mail.com"/>
    <x v="4"/>
    <s v="París"/>
    <x v="3"/>
    <x v="5"/>
    <n v="5"/>
    <n v="1176.52"/>
    <n v="5882.6"/>
    <x v="2"/>
    <x v="1"/>
    <x v="546"/>
    <x v="3"/>
  </r>
  <r>
    <s v="ORD000911"/>
    <s v="Raúl Gil"/>
    <s v="raúl.gil@mail.com"/>
    <x v="0"/>
    <s v="Barcelona"/>
    <x v="1"/>
    <x v="8"/>
    <n v="4"/>
    <n v="935.54"/>
    <n v="3742.16"/>
    <x v="8"/>
    <x v="1"/>
    <x v="539"/>
    <x v="3"/>
  </r>
  <r>
    <s v="ORD000912"/>
    <s v="Ana Navarro"/>
    <s v="ana.navarro@mail.com"/>
    <x v="2"/>
    <s v="Braga"/>
    <x v="0"/>
    <x v="0"/>
    <n v="1"/>
    <n v="273.27999999999997"/>
    <n v="273.27999999999997"/>
    <x v="9"/>
    <x v="1"/>
    <x v="195"/>
    <x v="4"/>
  </r>
  <r>
    <s v="ORD000913"/>
    <s v="Diego Díaz"/>
    <s v="diego.díaz@mail.com"/>
    <x v="3"/>
    <s v="Nápoles"/>
    <x v="2"/>
    <x v="10"/>
    <n v="5"/>
    <n v="256.07"/>
    <n v="1280.3499999999999"/>
    <x v="8"/>
    <x v="0"/>
    <x v="547"/>
    <x v="0"/>
  </r>
  <r>
    <s v="ORD000914"/>
    <s v="Javier Rodríguez"/>
    <s v="javier.rodríguez@mail.com"/>
    <x v="1"/>
    <s v="Hamburgo"/>
    <x v="2"/>
    <x v="15"/>
    <n v="5"/>
    <n v="568.32000000000005"/>
    <n v="2841.6000000000004"/>
    <x v="11"/>
    <x v="1"/>
    <x v="189"/>
    <x v="4"/>
  </r>
  <r>
    <s v="ORD000915"/>
    <s v="Diego Vázquez"/>
    <s v="diego.vázquez@mail.com"/>
    <x v="1"/>
    <s v="Múnich"/>
    <x v="4"/>
    <x v="14"/>
    <n v="3"/>
    <n v="1401.05"/>
    <n v="4203.1499999999996"/>
    <x v="11"/>
    <x v="0"/>
    <x v="548"/>
    <x v="3"/>
  </r>
  <r>
    <s v="ORD000916"/>
    <s v="Elena Gil"/>
    <s v="elena.gil@mail.com"/>
    <x v="1"/>
    <s v="Hamburgo"/>
    <x v="0"/>
    <x v="17"/>
    <n v="1"/>
    <n v="324.58"/>
    <n v="324.58"/>
    <x v="0"/>
    <x v="1"/>
    <x v="401"/>
    <x v="3"/>
  </r>
  <r>
    <s v="ORD000917"/>
    <s v="Pedro Gil"/>
    <s v="pedro.gil@mail.com"/>
    <x v="4"/>
    <s v="Lyon"/>
    <x v="1"/>
    <x v="2"/>
    <n v="5"/>
    <n v="538.35"/>
    <n v="2691.75"/>
    <x v="8"/>
    <x v="1"/>
    <x v="218"/>
    <x v="4"/>
  </r>
  <r>
    <s v="ORD000918"/>
    <s v="Laura Vázquez"/>
    <s v="laura.vázquez@mail.com"/>
    <x v="3"/>
    <s v="Roma"/>
    <x v="4"/>
    <x v="11"/>
    <n v="4"/>
    <n v="98.53"/>
    <n v="394.12"/>
    <x v="6"/>
    <x v="0"/>
    <x v="397"/>
    <x v="4"/>
  </r>
  <r>
    <s v="ORD000919"/>
    <s v="Ana Ruiz"/>
    <s v="ana.ruiz@mail.com"/>
    <x v="3"/>
    <s v="Roma"/>
    <x v="2"/>
    <x v="15"/>
    <n v="4"/>
    <n v="738.75"/>
    <n v="2955"/>
    <x v="5"/>
    <x v="1"/>
    <x v="549"/>
    <x v="3"/>
  </r>
  <r>
    <s v="ORD000920"/>
    <s v="Lucía Díaz"/>
    <s v="lucía.díaz@mail.com"/>
    <x v="1"/>
    <s v="Berlín"/>
    <x v="0"/>
    <x v="17"/>
    <n v="1"/>
    <n v="633.5"/>
    <n v="633.5"/>
    <x v="3"/>
    <x v="0"/>
    <x v="550"/>
    <x v="3"/>
  </r>
  <r>
    <s v="ORD000921"/>
    <s v="Javier Ruiz"/>
    <s v="javier.ruiz@mail.com"/>
    <x v="3"/>
    <s v="Milán"/>
    <x v="3"/>
    <x v="7"/>
    <n v="1"/>
    <n v="482.68"/>
    <n v="482.68"/>
    <x v="0"/>
    <x v="0"/>
    <x v="108"/>
    <x v="0"/>
  </r>
  <r>
    <s v="ORD000922"/>
    <s v="Irene Navarro"/>
    <s v="irene.navarro@mail.com"/>
    <x v="0"/>
    <s v="Sevilla"/>
    <x v="3"/>
    <x v="15"/>
    <n v="3"/>
    <n v="912.12"/>
    <n v="2736.36"/>
    <x v="9"/>
    <x v="0"/>
    <x v="300"/>
    <x v="4"/>
  </r>
  <r>
    <s v="ORD000923"/>
    <s v="Irene Alonso"/>
    <s v="irene.alonso@mail.com"/>
    <x v="3"/>
    <s v="Milán"/>
    <x v="2"/>
    <x v="19"/>
    <n v="3"/>
    <n v="844.67"/>
    <n v="2534.0099999999998"/>
    <x v="11"/>
    <x v="2"/>
    <x v="479"/>
    <x v="3"/>
  </r>
  <r>
    <s v="ORD000924"/>
    <s v="María Fernández"/>
    <s v="maría.fernández@mail.com"/>
    <x v="4"/>
    <s v="Marsella"/>
    <x v="3"/>
    <x v="4"/>
    <n v="4"/>
    <n v="32.630000000000003"/>
    <n v="130.52000000000001"/>
    <x v="8"/>
    <x v="1"/>
    <x v="551"/>
    <x v="2"/>
  </r>
  <r>
    <s v="ORD000925"/>
    <s v="Carmen Vázquez"/>
    <s v="carmen.vázquez@mail.com"/>
    <x v="2"/>
    <s v="Braga"/>
    <x v="4"/>
    <x v="23"/>
    <n v="3"/>
    <n v="369.79"/>
    <n v="1109.3700000000001"/>
    <x v="2"/>
    <x v="0"/>
    <x v="552"/>
    <x v="0"/>
  </r>
  <r>
    <s v="ORD000926"/>
    <s v="Elena Díaz"/>
    <s v="elena.díaz@mail.com"/>
    <x v="3"/>
    <s v="Milán"/>
    <x v="4"/>
    <x v="22"/>
    <n v="3"/>
    <n v="1134.94"/>
    <n v="3404.82"/>
    <x v="1"/>
    <x v="1"/>
    <x v="553"/>
    <x v="1"/>
  </r>
  <r>
    <s v="ORD000927"/>
    <s v="Irene Sánchez"/>
    <s v="irene.sánchez@mail.com"/>
    <x v="3"/>
    <s v="Milán"/>
    <x v="3"/>
    <x v="4"/>
    <n v="1"/>
    <n v="951.88"/>
    <n v="951.88"/>
    <x v="0"/>
    <x v="0"/>
    <x v="554"/>
    <x v="4"/>
  </r>
  <r>
    <s v="ORD000928"/>
    <s v="Laura Díaz"/>
    <s v="laura.díaz@mail.com"/>
    <x v="2"/>
    <s v="Braga"/>
    <x v="0"/>
    <x v="20"/>
    <n v="1"/>
    <n v="773.71"/>
    <n v="773.71"/>
    <x v="0"/>
    <x v="1"/>
    <x v="555"/>
    <x v="3"/>
  </r>
  <r>
    <s v="ORD000929"/>
    <s v="Lucía Fernández"/>
    <s v="lucía.fernández@mail.com"/>
    <x v="1"/>
    <s v="Múnich"/>
    <x v="1"/>
    <x v="2"/>
    <n v="5"/>
    <n v="336.12"/>
    <n v="1680.6"/>
    <x v="10"/>
    <x v="1"/>
    <x v="556"/>
    <x v="4"/>
  </r>
  <r>
    <s v="ORD000930"/>
    <s v="Carmen Rodríguez"/>
    <s v="carmen.rodríguez@mail.com"/>
    <x v="4"/>
    <s v="Marsella"/>
    <x v="1"/>
    <x v="6"/>
    <n v="3"/>
    <n v="772.51"/>
    <n v="2317.5299999999997"/>
    <x v="7"/>
    <x v="0"/>
    <x v="557"/>
    <x v="0"/>
  </r>
  <r>
    <s v="ORD000931"/>
    <s v="Elena Ramos"/>
    <s v="elena.ramos@mail.com"/>
    <x v="1"/>
    <s v="Múnich"/>
    <x v="2"/>
    <x v="3"/>
    <n v="5"/>
    <n v="1411.13"/>
    <n v="7055.6500000000005"/>
    <x v="0"/>
    <x v="1"/>
    <x v="9"/>
    <x v="0"/>
  </r>
  <r>
    <s v="ORD000932"/>
    <s v="Luis Sánchez"/>
    <s v="luis.sánchez@mail.com"/>
    <x v="2"/>
    <s v="Lisboa"/>
    <x v="4"/>
    <x v="11"/>
    <n v="4"/>
    <n v="1364.97"/>
    <n v="5459.88"/>
    <x v="2"/>
    <x v="0"/>
    <x v="558"/>
    <x v="0"/>
  </r>
  <r>
    <s v="ORD000933"/>
    <s v="Raúl Ramos"/>
    <s v="raúl.ramos@mail.com"/>
    <x v="0"/>
    <s v="Valencia"/>
    <x v="0"/>
    <x v="13"/>
    <n v="4"/>
    <n v="1491.04"/>
    <n v="5964.16"/>
    <x v="9"/>
    <x v="1"/>
    <x v="235"/>
    <x v="3"/>
  </r>
  <r>
    <s v="ORD000934"/>
    <s v="Carlos López"/>
    <s v="carlos.lópez@mail.com"/>
    <x v="0"/>
    <s v="Barcelona"/>
    <x v="1"/>
    <x v="12"/>
    <n v="5"/>
    <n v="624.61"/>
    <n v="3123.05"/>
    <x v="11"/>
    <x v="1"/>
    <x v="559"/>
    <x v="3"/>
  </r>
  <r>
    <s v="ORD000935"/>
    <s v="Luis García"/>
    <s v="luis.garcía@mail.com"/>
    <x v="2"/>
    <s v="Lisboa"/>
    <x v="0"/>
    <x v="13"/>
    <n v="3"/>
    <n v="906.86"/>
    <n v="2720.58"/>
    <x v="1"/>
    <x v="0"/>
    <x v="560"/>
    <x v="0"/>
  </r>
  <r>
    <s v="ORD000936"/>
    <s v="Lucía Díaz"/>
    <s v="lucía.díaz@mail.com"/>
    <x v="4"/>
    <s v="Marsella"/>
    <x v="1"/>
    <x v="1"/>
    <n v="3"/>
    <n v="1189.93"/>
    <n v="3569.79"/>
    <x v="8"/>
    <x v="0"/>
    <x v="456"/>
    <x v="3"/>
  </r>
  <r>
    <s v="ORD000937"/>
    <s v="Raúl Díaz"/>
    <s v="raúl.díaz@mail.com"/>
    <x v="2"/>
    <s v="Oporto"/>
    <x v="4"/>
    <x v="22"/>
    <n v="2"/>
    <n v="578.13"/>
    <n v="1156.26"/>
    <x v="10"/>
    <x v="1"/>
    <x v="561"/>
    <x v="1"/>
  </r>
  <r>
    <s v="ORD000938"/>
    <s v="María Rodríguez"/>
    <s v="maría.rodríguez@mail.com"/>
    <x v="4"/>
    <s v="París"/>
    <x v="4"/>
    <x v="11"/>
    <n v="2"/>
    <n v="1482.25"/>
    <n v="2964.5"/>
    <x v="4"/>
    <x v="0"/>
    <x v="24"/>
    <x v="0"/>
  </r>
  <r>
    <s v="ORD000939"/>
    <s v="Laura Torres"/>
    <s v="laura.torres@mail.com"/>
    <x v="1"/>
    <s v="Berlín"/>
    <x v="4"/>
    <x v="11"/>
    <n v="4"/>
    <n v="44.81"/>
    <n v="179.24"/>
    <x v="11"/>
    <x v="1"/>
    <x v="272"/>
    <x v="4"/>
  </r>
  <r>
    <s v="ORD000940"/>
    <s v="Lucía Rodríguez"/>
    <s v="lucía.rodríguez@mail.com"/>
    <x v="4"/>
    <s v="París"/>
    <x v="0"/>
    <x v="13"/>
    <n v="1"/>
    <n v="393.36"/>
    <n v="393.36"/>
    <x v="2"/>
    <x v="1"/>
    <x v="562"/>
    <x v="1"/>
  </r>
  <r>
    <s v="ORD000941"/>
    <s v="Carlos Gil"/>
    <s v="carlos.gil@mail.com"/>
    <x v="4"/>
    <s v="París"/>
    <x v="1"/>
    <x v="8"/>
    <n v="3"/>
    <n v="1424.98"/>
    <n v="4274.9400000000005"/>
    <x v="4"/>
    <x v="1"/>
    <x v="254"/>
    <x v="0"/>
  </r>
  <r>
    <s v="ORD000942"/>
    <s v="Irene Gil"/>
    <s v="irene.gil@mail.com"/>
    <x v="4"/>
    <s v="Lyon"/>
    <x v="2"/>
    <x v="15"/>
    <n v="1"/>
    <n v="710.79"/>
    <n v="710.79"/>
    <x v="6"/>
    <x v="0"/>
    <x v="51"/>
    <x v="4"/>
  </r>
  <r>
    <s v="ORD000943"/>
    <s v="Carlos López"/>
    <s v="carlos.lópez@mail.com"/>
    <x v="0"/>
    <s v="Valencia"/>
    <x v="4"/>
    <x v="21"/>
    <n v="5"/>
    <n v="552.19000000000005"/>
    <n v="2760.9500000000003"/>
    <x v="6"/>
    <x v="1"/>
    <x v="330"/>
    <x v="4"/>
  </r>
  <r>
    <s v="ORD000944"/>
    <s v="Raúl Sánchez"/>
    <s v="raúl.sánchez@mail.com"/>
    <x v="1"/>
    <s v="Múnich"/>
    <x v="2"/>
    <x v="10"/>
    <n v="3"/>
    <n v="1381.79"/>
    <n v="4145.37"/>
    <x v="8"/>
    <x v="1"/>
    <x v="563"/>
    <x v="4"/>
  </r>
  <r>
    <s v="ORD000945"/>
    <s v="Pedro Ramos"/>
    <s v="pedro.ramos@mail.com"/>
    <x v="4"/>
    <s v="Lyon"/>
    <x v="0"/>
    <x v="17"/>
    <n v="2"/>
    <n v="1410.25"/>
    <n v="2820.5"/>
    <x v="4"/>
    <x v="0"/>
    <x v="564"/>
    <x v="2"/>
  </r>
  <r>
    <s v="ORD000946"/>
    <s v="María Torres"/>
    <s v="maría.torres@mail.com"/>
    <x v="0"/>
    <s v="Valencia"/>
    <x v="0"/>
    <x v="17"/>
    <n v="1"/>
    <n v="127.72"/>
    <n v="127.72"/>
    <x v="5"/>
    <x v="1"/>
    <x v="499"/>
    <x v="0"/>
  </r>
  <r>
    <s v="ORD000947"/>
    <s v="Irene Rodríguez"/>
    <s v="irene.rodríguez@mail.com"/>
    <x v="2"/>
    <s v="Braga"/>
    <x v="1"/>
    <x v="6"/>
    <n v="1"/>
    <n v="1185.07"/>
    <n v="1185.07"/>
    <x v="4"/>
    <x v="1"/>
    <x v="375"/>
    <x v="4"/>
  </r>
  <r>
    <s v="ORD000948"/>
    <s v="Lucía Alonso"/>
    <s v="lucía.alonso@mail.com"/>
    <x v="4"/>
    <s v="Marsella"/>
    <x v="0"/>
    <x v="0"/>
    <n v="5"/>
    <n v="1264.08"/>
    <n v="6320.4"/>
    <x v="1"/>
    <x v="0"/>
    <x v="308"/>
    <x v="3"/>
  </r>
  <r>
    <s v="ORD000949"/>
    <s v="Laura Fernández"/>
    <s v="laura.fernández@mail.com"/>
    <x v="4"/>
    <s v="París"/>
    <x v="4"/>
    <x v="21"/>
    <n v="1"/>
    <n v="304.89"/>
    <n v="304.89"/>
    <x v="4"/>
    <x v="0"/>
    <x v="565"/>
    <x v="2"/>
  </r>
  <r>
    <s v="ORD000950"/>
    <s v="Luis Torres"/>
    <s v="luis.torres@mail.com"/>
    <x v="0"/>
    <s v="Valencia"/>
    <x v="0"/>
    <x v="0"/>
    <n v="1"/>
    <n v="778.98"/>
    <n v="778.98"/>
    <x v="5"/>
    <x v="1"/>
    <x v="292"/>
    <x v="3"/>
  </r>
  <r>
    <s v="ORD000951"/>
    <s v="Raúl Díaz"/>
    <s v="raúl.díaz@mail.com"/>
    <x v="3"/>
    <s v="Nápoles"/>
    <x v="1"/>
    <x v="1"/>
    <n v="2"/>
    <n v="1385.83"/>
    <n v="2771.66"/>
    <x v="1"/>
    <x v="0"/>
    <x v="477"/>
    <x v="0"/>
  </r>
  <r>
    <s v="ORD000952"/>
    <s v="Ana Torres"/>
    <s v="ana.torres@mail.com"/>
    <x v="4"/>
    <s v="Lyon"/>
    <x v="3"/>
    <x v="4"/>
    <n v="1"/>
    <n v="168.96"/>
    <n v="168.96"/>
    <x v="11"/>
    <x v="1"/>
    <x v="382"/>
    <x v="1"/>
  </r>
  <r>
    <s v="ORD000953"/>
    <s v="María Gómez"/>
    <s v="maría.gómez@mail.com"/>
    <x v="4"/>
    <s v="Lyon"/>
    <x v="4"/>
    <x v="14"/>
    <n v="4"/>
    <n v="1291.1400000000001"/>
    <n v="5164.5600000000004"/>
    <x v="5"/>
    <x v="2"/>
    <x v="566"/>
    <x v="0"/>
  </r>
  <r>
    <s v="ORD000954"/>
    <s v="Irene Vázquez"/>
    <s v="irene.vázquez@mail.com"/>
    <x v="4"/>
    <s v="París"/>
    <x v="3"/>
    <x v="5"/>
    <n v="3"/>
    <n v="880.05"/>
    <n v="2640.1499999999996"/>
    <x v="3"/>
    <x v="1"/>
    <x v="99"/>
    <x v="4"/>
  </r>
  <r>
    <s v="ORD000955"/>
    <s v="Laura Pérez"/>
    <s v="laura.pérez@mail.com"/>
    <x v="4"/>
    <s v="Lyon"/>
    <x v="1"/>
    <x v="2"/>
    <n v="4"/>
    <n v="998.97"/>
    <n v="3995.88"/>
    <x v="0"/>
    <x v="1"/>
    <x v="468"/>
    <x v="2"/>
  </r>
  <r>
    <s v="ORD000956"/>
    <s v="Elena Rodríguez"/>
    <s v="elena.rodríguez@mail.com"/>
    <x v="4"/>
    <s v="París"/>
    <x v="1"/>
    <x v="12"/>
    <n v="5"/>
    <n v="391.99"/>
    <n v="1959.95"/>
    <x v="4"/>
    <x v="0"/>
    <x v="24"/>
    <x v="1"/>
  </r>
  <r>
    <s v="ORD000957"/>
    <s v="Javier Díaz"/>
    <s v="javier.díaz@mail.com"/>
    <x v="0"/>
    <s v="Bilbao"/>
    <x v="1"/>
    <x v="8"/>
    <n v="1"/>
    <n v="832.85"/>
    <n v="832.85"/>
    <x v="10"/>
    <x v="2"/>
    <x v="396"/>
    <x v="2"/>
  </r>
  <r>
    <s v="ORD000958"/>
    <s v="Ana Navarro"/>
    <s v="ana.navarro@mail.com"/>
    <x v="4"/>
    <s v="Marsella"/>
    <x v="4"/>
    <x v="11"/>
    <n v="1"/>
    <n v="113.4"/>
    <n v="113.4"/>
    <x v="0"/>
    <x v="0"/>
    <x v="521"/>
    <x v="3"/>
  </r>
  <r>
    <s v="ORD000959"/>
    <s v="Raúl Gil"/>
    <s v="raúl.gil@mail.com"/>
    <x v="1"/>
    <s v="Berlín"/>
    <x v="0"/>
    <x v="16"/>
    <n v="4"/>
    <n v="116.61"/>
    <n v="466.44"/>
    <x v="7"/>
    <x v="1"/>
    <x v="567"/>
    <x v="1"/>
  </r>
  <r>
    <s v="ORD000960"/>
    <s v="Irene Ruiz"/>
    <s v="irene.ruiz@mail.com"/>
    <x v="2"/>
    <s v="Lisboa"/>
    <x v="3"/>
    <x v="5"/>
    <n v="1"/>
    <n v="678.16"/>
    <n v="678.16"/>
    <x v="10"/>
    <x v="2"/>
    <x v="568"/>
    <x v="1"/>
  </r>
  <r>
    <s v="ORD000961"/>
    <s v="Irene Vázquez"/>
    <s v="irene.vázquez@mail.com"/>
    <x v="0"/>
    <s v="Bilbao"/>
    <x v="2"/>
    <x v="3"/>
    <n v="1"/>
    <n v="1241.4000000000001"/>
    <n v="1241.4000000000001"/>
    <x v="0"/>
    <x v="0"/>
    <x v="108"/>
    <x v="4"/>
  </r>
  <r>
    <s v="ORD000962"/>
    <s v="Luis Navarro"/>
    <s v="luis.navarro@mail.com"/>
    <x v="1"/>
    <s v="Múnich"/>
    <x v="2"/>
    <x v="9"/>
    <n v="5"/>
    <n v="38"/>
    <n v="190"/>
    <x v="2"/>
    <x v="0"/>
    <x v="569"/>
    <x v="4"/>
  </r>
  <r>
    <s v="ORD000963"/>
    <s v="María Ruiz"/>
    <s v="maría.ruiz@mail.com"/>
    <x v="0"/>
    <s v="Bilbao"/>
    <x v="2"/>
    <x v="3"/>
    <n v="4"/>
    <n v="859.19"/>
    <n v="3436.76"/>
    <x v="0"/>
    <x v="1"/>
    <x v="570"/>
    <x v="2"/>
  </r>
  <r>
    <s v="ORD000964"/>
    <s v="Sofía Pérez"/>
    <s v="sofía.pérez@mail.com"/>
    <x v="4"/>
    <s v="París"/>
    <x v="4"/>
    <x v="11"/>
    <n v="3"/>
    <n v="1010.75"/>
    <n v="3032.25"/>
    <x v="3"/>
    <x v="0"/>
    <x v="532"/>
    <x v="1"/>
  </r>
  <r>
    <s v="ORD000965"/>
    <s v="Elena Ramos"/>
    <s v="elena.ramos@mail.com"/>
    <x v="3"/>
    <s v="Milán"/>
    <x v="3"/>
    <x v="5"/>
    <n v="3"/>
    <n v="1387.38"/>
    <n v="4162.1400000000003"/>
    <x v="1"/>
    <x v="1"/>
    <x v="237"/>
    <x v="4"/>
  </r>
  <r>
    <s v="ORD000966"/>
    <s v="Sofía Torres"/>
    <s v="sofía.torres@mail.com"/>
    <x v="2"/>
    <s v="Braga"/>
    <x v="4"/>
    <x v="22"/>
    <n v="3"/>
    <n v="16.18"/>
    <n v="48.54"/>
    <x v="6"/>
    <x v="1"/>
    <x v="571"/>
    <x v="2"/>
  </r>
  <r>
    <s v="ORD000967"/>
    <s v="Irene Martínez"/>
    <s v="irene.martínez@mail.com"/>
    <x v="1"/>
    <s v="Berlín"/>
    <x v="1"/>
    <x v="12"/>
    <n v="2"/>
    <n v="377.83"/>
    <n v="755.66"/>
    <x v="5"/>
    <x v="0"/>
    <x v="155"/>
    <x v="1"/>
  </r>
  <r>
    <s v="ORD000968"/>
    <s v="María Pérez"/>
    <s v="maría.pérez@mail.com"/>
    <x v="2"/>
    <s v="Oporto"/>
    <x v="3"/>
    <x v="18"/>
    <n v="1"/>
    <n v="1057.19"/>
    <n v="1057.19"/>
    <x v="5"/>
    <x v="2"/>
    <x v="372"/>
    <x v="3"/>
  </r>
  <r>
    <s v="ORD000969"/>
    <s v="Sofía Pérez"/>
    <s v="sofía.pérez@mail.com"/>
    <x v="1"/>
    <s v="Berlín"/>
    <x v="3"/>
    <x v="5"/>
    <n v="3"/>
    <n v="1237.51"/>
    <n v="3712.5299999999997"/>
    <x v="11"/>
    <x v="1"/>
    <x v="572"/>
    <x v="1"/>
  </r>
  <r>
    <s v="ORD000970"/>
    <s v="Javier García"/>
    <s v="javier.garcía@mail.com"/>
    <x v="1"/>
    <s v="Múnich"/>
    <x v="1"/>
    <x v="6"/>
    <n v="5"/>
    <n v="1414.73"/>
    <n v="7073.65"/>
    <x v="5"/>
    <x v="2"/>
    <x v="361"/>
    <x v="1"/>
  </r>
  <r>
    <s v="ORD000971"/>
    <s v="Laura Ruiz"/>
    <s v="laura.ruiz@mail.com"/>
    <x v="1"/>
    <s v="Berlín"/>
    <x v="0"/>
    <x v="0"/>
    <n v="5"/>
    <n v="742.75"/>
    <n v="3713.75"/>
    <x v="6"/>
    <x v="1"/>
    <x v="573"/>
    <x v="4"/>
  </r>
  <r>
    <s v="ORD000972"/>
    <s v="Diego Ramos"/>
    <s v="diego.ramos@mail.com"/>
    <x v="2"/>
    <s v="Braga"/>
    <x v="3"/>
    <x v="7"/>
    <n v="5"/>
    <n v="1252.31"/>
    <n v="6261.5499999999993"/>
    <x v="7"/>
    <x v="0"/>
    <x v="299"/>
    <x v="0"/>
  </r>
  <r>
    <s v="ORD000973"/>
    <s v="Pedro Alonso"/>
    <s v="pedro.alonso@mail.com"/>
    <x v="3"/>
    <s v="Nápoles"/>
    <x v="0"/>
    <x v="0"/>
    <n v="3"/>
    <n v="359.79"/>
    <n v="1079.3700000000001"/>
    <x v="7"/>
    <x v="1"/>
    <x v="223"/>
    <x v="1"/>
  </r>
  <r>
    <s v="ORD000974"/>
    <s v="Ana Fernández"/>
    <s v="ana.fernández@mail.com"/>
    <x v="4"/>
    <s v="París"/>
    <x v="4"/>
    <x v="21"/>
    <n v="3"/>
    <n v="753.9"/>
    <n v="2261.6999999999998"/>
    <x v="3"/>
    <x v="0"/>
    <x v="311"/>
    <x v="1"/>
  </r>
  <r>
    <s v="ORD000975"/>
    <s v="Elena Alonso"/>
    <s v="elena.alonso@mail.com"/>
    <x v="0"/>
    <s v="Madrid"/>
    <x v="2"/>
    <x v="19"/>
    <n v="3"/>
    <n v="658.34"/>
    <n v="1975.02"/>
    <x v="9"/>
    <x v="0"/>
    <x v="574"/>
    <x v="2"/>
  </r>
  <r>
    <s v="ORD000976"/>
    <s v="Carmen Ruiz"/>
    <s v="carmen.ruiz@mail.com"/>
    <x v="0"/>
    <s v="Sevilla"/>
    <x v="0"/>
    <x v="13"/>
    <n v="4"/>
    <n v="23.63"/>
    <n v="94.52"/>
    <x v="9"/>
    <x v="0"/>
    <x v="42"/>
    <x v="3"/>
  </r>
  <r>
    <s v="ORD000977"/>
    <s v="Pedro Navarro"/>
    <s v="pedro.navarro@mail.com"/>
    <x v="4"/>
    <s v="Marsella"/>
    <x v="4"/>
    <x v="21"/>
    <n v="1"/>
    <n v="712.12"/>
    <n v="712.12"/>
    <x v="10"/>
    <x v="2"/>
    <x v="98"/>
    <x v="2"/>
  </r>
  <r>
    <s v="ORD000978"/>
    <s v="Carlos Martínez"/>
    <s v="carlos.martínez@mail.com"/>
    <x v="0"/>
    <s v="Sevilla"/>
    <x v="0"/>
    <x v="20"/>
    <n v="5"/>
    <n v="24.95"/>
    <n v="124.75"/>
    <x v="4"/>
    <x v="1"/>
    <x v="220"/>
    <x v="4"/>
  </r>
  <r>
    <s v="ORD000979"/>
    <s v="Diego Díaz"/>
    <s v="diego.díaz@mail.com"/>
    <x v="2"/>
    <s v="Oporto"/>
    <x v="4"/>
    <x v="14"/>
    <n v="1"/>
    <n v="968.28"/>
    <n v="968.28"/>
    <x v="3"/>
    <x v="1"/>
    <x v="575"/>
    <x v="2"/>
  </r>
  <r>
    <s v="ORD000980"/>
    <s v="Elena Ramos"/>
    <s v="elena.ramos@mail.com"/>
    <x v="2"/>
    <s v="Lisboa"/>
    <x v="3"/>
    <x v="15"/>
    <n v="3"/>
    <n v="12.56"/>
    <n v="37.68"/>
    <x v="4"/>
    <x v="0"/>
    <x v="24"/>
    <x v="0"/>
  </r>
  <r>
    <s v="ORD000981"/>
    <s v="Luis Ramos"/>
    <s v="luis.ramos@mail.com"/>
    <x v="2"/>
    <s v="Oporto"/>
    <x v="0"/>
    <x v="0"/>
    <n v="5"/>
    <n v="1424.75"/>
    <n v="7123.75"/>
    <x v="3"/>
    <x v="1"/>
    <x v="325"/>
    <x v="2"/>
  </r>
  <r>
    <s v="ORD000982"/>
    <s v="Carmen Vázquez"/>
    <s v="carmen.vázquez@mail.com"/>
    <x v="2"/>
    <s v="Lisboa"/>
    <x v="4"/>
    <x v="21"/>
    <n v="4"/>
    <n v="660.31"/>
    <n v="2641.24"/>
    <x v="9"/>
    <x v="1"/>
    <x v="146"/>
    <x v="2"/>
  </r>
  <r>
    <s v="ORD000983"/>
    <s v="Laura Sánchez"/>
    <s v="laura.sánchez@mail.com"/>
    <x v="2"/>
    <s v="Oporto"/>
    <x v="0"/>
    <x v="13"/>
    <n v="2"/>
    <n v="593.22"/>
    <n v="1186.44"/>
    <x v="9"/>
    <x v="1"/>
    <x v="525"/>
    <x v="4"/>
  </r>
  <r>
    <s v="ORD000984"/>
    <s v="Luis Torres"/>
    <s v="luis.torres@mail.com"/>
    <x v="3"/>
    <s v="Roma"/>
    <x v="0"/>
    <x v="17"/>
    <n v="1"/>
    <n v="41.96"/>
    <n v="41.96"/>
    <x v="2"/>
    <x v="2"/>
    <x v="153"/>
    <x v="1"/>
  </r>
  <r>
    <s v="ORD000985"/>
    <s v="Lucía Ruiz"/>
    <s v="lucía.ruiz@mail.com"/>
    <x v="0"/>
    <s v="Sevilla"/>
    <x v="4"/>
    <x v="22"/>
    <n v="1"/>
    <n v="1458.23"/>
    <n v="1458.23"/>
    <x v="2"/>
    <x v="0"/>
    <x v="63"/>
    <x v="4"/>
  </r>
  <r>
    <s v="ORD000986"/>
    <s v="Raúl Alonso"/>
    <s v="raúl.alonso@mail.com"/>
    <x v="1"/>
    <s v="Múnich"/>
    <x v="2"/>
    <x v="3"/>
    <n v="5"/>
    <n v="1425.09"/>
    <n v="7125.45"/>
    <x v="7"/>
    <x v="0"/>
    <x v="576"/>
    <x v="2"/>
  </r>
  <r>
    <s v="ORD000987"/>
    <s v="Laura Gil"/>
    <s v="laura.gil@mail.com"/>
    <x v="1"/>
    <s v="Múnich"/>
    <x v="2"/>
    <x v="19"/>
    <n v="4"/>
    <n v="195.08"/>
    <n v="780.32"/>
    <x v="2"/>
    <x v="2"/>
    <x v="577"/>
    <x v="1"/>
  </r>
  <r>
    <s v="ORD000988"/>
    <s v="Raúl Torres"/>
    <s v="raúl.torres@mail.com"/>
    <x v="2"/>
    <s v="Oporto"/>
    <x v="4"/>
    <x v="21"/>
    <n v="2"/>
    <n v="1332.75"/>
    <n v="2665.5"/>
    <x v="11"/>
    <x v="2"/>
    <x v="479"/>
    <x v="3"/>
  </r>
  <r>
    <s v="ORD000989"/>
    <s v="Elena Gil"/>
    <s v="elena.gil@mail.com"/>
    <x v="0"/>
    <s v="Barcelona"/>
    <x v="2"/>
    <x v="19"/>
    <n v="3"/>
    <n v="882.58"/>
    <n v="2647.7400000000002"/>
    <x v="4"/>
    <x v="1"/>
    <x v="351"/>
    <x v="0"/>
  </r>
  <r>
    <s v="ORD000990"/>
    <s v="Carmen Vázquez"/>
    <s v="carmen.vázquez@mail.com"/>
    <x v="1"/>
    <s v="Hamburgo"/>
    <x v="2"/>
    <x v="3"/>
    <n v="2"/>
    <n v="669.82"/>
    <n v="1339.64"/>
    <x v="2"/>
    <x v="2"/>
    <x v="196"/>
    <x v="1"/>
  </r>
  <r>
    <s v="ORD000991"/>
    <s v="Diego Vázquez"/>
    <s v="diego.vázquez@mail.com"/>
    <x v="2"/>
    <s v="Oporto"/>
    <x v="4"/>
    <x v="21"/>
    <n v="5"/>
    <n v="560.37"/>
    <n v="2801.85"/>
    <x v="10"/>
    <x v="1"/>
    <x v="578"/>
    <x v="4"/>
  </r>
  <r>
    <s v="ORD000992"/>
    <s v="Pablo Sánchez"/>
    <s v="pablo.sánchez@mail.com"/>
    <x v="0"/>
    <s v="Madrid"/>
    <x v="0"/>
    <x v="20"/>
    <n v="4"/>
    <n v="801.65"/>
    <n v="3206.6"/>
    <x v="3"/>
    <x v="1"/>
    <x v="301"/>
    <x v="4"/>
  </r>
  <r>
    <s v="ORD000993"/>
    <s v="Pablo Gil"/>
    <s v="pablo.gil@mail.com"/>
    <x v="1"/>
    <s v="Múnich"/>
    <x v="2"/>
    <x v="10"/>
    <n v="1"/>
    <n v="361.3"/>
    <n v="361.3"/>
    <x v="0"/>
    <x v="1"/>
    <x v="570"/>
    <x v="0"/>
  </r>
  <r>
    <s v="ORD000994"/>
    <s v="Diego Fernández"/>
    <s v="diego.fernández@mail.com"/>
    <x v="0"/>
    <s v="Sevilla"/>
    <x v="2"/>
    <x v="19"/>
    <n v="4"/>
    <n v="1121.8699999999999"/>
    <n v="4487.4799999999996"/>
    <x v="6"/>
    <x v="1"/>
    <x v="579"/>
    <x v="4"/>
  </r>
  <r>
    <s v="ORD000995"/>
    <s v="Javier Vázquez"/>
    <s v="javier.vázquez@mail.com"/>
    <x v="3"/>
    <s v="Milán"/>
    <x v="3"/>
    <x v="18"/>
    <n v="2"/>
    <n v="771.93"/>
    <n v="1543.86"/>
    <x v="8"/>
    <x v="0"/>
    <x v="580"/>
    <x v="4"/>
  </r>
  <r>
    <s v="ORD000996"/>
    <s v="Ana Díaz"/>
    <s v="ana.díaz@mail.com"/>
    <x v="3"/>
    <s v="Roma"/>
    <x v="4"/>
    <x v="14"/>
    <n v="2"/>
    <n v="803.73"/>
    <n v="1607.46"/>
    <x v="5"/>
    <x v="1"/>
    <x v="52"/>
    <x v="0"/>
  </r>
  <r>
    <s v="ORD000997"/>
    <s v="Sofía Sánchez"/>
    <s v="sofía.sánchez@mail.com"/>
    <x v="2"/>
    <s v="Braga"/>
    <x v="2"/>
    <x v="10"/>
    <n v="1"/>
    <n v="90.25"/>
    <n v="90.25"/>
    <x v="1"/>
    <x v="0"/>
    <x v="358"/>
    <x v="3"/>
  </r>
  <r>
    <s v="ORD000998"/>
    <s v="Diego Ramos"/>
    <s v="diego.ramos@mail.com"/>
    <x v="3"/>
    <s v="Milán"/>
    <x v="2"/>
    <x v="9"/>
    <n v="2"/>
    <n v="1230.54"/>
    <n v="2461.08"/>
    <x v="5"/>
    <x v="1"/>
    <x v="581"/>
    <x v="2"/>
  </r>
  <r>
    <s v="ORD000999"/>
    <s v="Carmen Ruiz"/>
    <s v="carmen.ruiz@mail.com"/>
    <x v="1"/>
    <s v="Múnich"/>
    <x v="1"/>
    <x v="1"/>
    <n v="1"/>
    <n v="179.64"/>
    <n v="179.64"/>
    <x v="2"/>
    <x v="0"/>
    <x v="69"/>
    <x v="2"/>
  </r>
  <r>
    <s v="ORD001000"/>
    <s v="Lucía Pérez"/>
    <s v="lucía.pérez@mail.com"/>
    <x v="4"/>
    <s v="Lyon"/>
    <x v="4"/>
    <x v="21"/>
    <n v="1"/>
    <n v="555.48"/>
    <n v="555.48"/>
    <x v="6"/>
    <x v="0"/>
    <x v="582"/>
    <x v="1"/>
  </r>
  <r>
    <s v="ORD001001"/>
    <s v="Lucía Gómez"/>
    <s v="lucía.gómez@mail.com"/>
    <x v="4"/>
    <s v="Marsella"/>
    <x v="4"/>
    <x v="21"/>
    <n v="1"/>
    <n v="1313.76"/>
    <n v="1313.76"/>
    <x v="5"/>
    <x v="0"/>
    <x v="583"/>
    <x v="3"/>
  </r>
  <r>
    <s v="ORD001002"/>
    <s v="Sofía Pérez"/>
    <s v="sofía.pérez@mail.com"/>
    <x v="0"/>
    <s v="Valencia"/>
    <x v="1"/>
    <x v="1"/>
    <n v="2"/>
    <n v="1232.23"/>
    <n v="2464.46"/>
    <x v="8"/>
    <x v="1"/>
    <x v="584"/>
    <x v="4"/>
  </r>
  <r>
    <s v="ORD001003"/>
    <s v="Sofía Gil"/>
    <s v="sofía.gil@mail.com"/>
    <x v="1"/>
    <s v="Múnich"/>
    <x v="2"/>
    <x v="15"/>
    <n v="2"/>
    <n v="1079.3599999999999"/>
    <n v="2158.7199999999998"/>
    <x v="7"/>
    <x v="0"/>
    <x v="91"/>
    <x v="4"/>
  </r>
  <r>
    <s v="ORD001004"/>
    <s v="Javier Rodríguez"/>
    <s v="javier.rodríguez@mail.com"/>
    <x v="1"/>
    <s v="Múnich"/>
    <x v="2"/>
    <x v="15"/>
    <n v="3"/>
    <n v="710.15"/>
    <n v="2130.4499999999998"/>
    <x v="6"/>
    <x v="0"/>
    <x v="111"/>
    <x v="0"/>
  </r>
  <r>
    <s v="ORD001005"/>
    <s v="Elena Sánchez"/>
    <s v="elena.sánchez@mail.com"/>
    <x v="0"/>
    <s v="Madrid"/>
    <x v="3"/>
    <x v="15"/>
    <n v="4"/>
    <n v="1426.02"/>
    <n v="5704.08"/>
    <x v="9"/>
    <x v="1"/>
    <x v="536"/>
    <x v="3"/>
  </r>
  <r>
    <s v="ORD001006"/>
    <s v="Ana Sánchez"/>
    <s v="ana.sánchez@mail.com"/>
    <x v="4"/>
    <s v="París"/>
    <x v="1"/>
    <x v="1"/>
    <n v="1"/>
    <n v="1279.92"/>
    <n v="1279.92"/>
    <x v="5"/>
    <x v="2"/>
    <x v="284"/>
    <x v="1"/>
  </r>
  <r>
    <s v="ORD001007"/>
    <s v="Sofía Ramos"/>
    <s v="sofía.ramos@mail.com"/>
    <x v="1"/>
    <s v="Hamburgo"/>
    <x v="0"/>
    <x v="20"/>
    <n v="4"/>
    <n v="1280.22"/>
    <n v="5120.88"/>
    <x v="0"/>
    <x v="0"/>
    <x v="585"/>
    <x v="3"/>
  </r>
  <r>
    <s v="ORD001008"/>
    <s v="Raúl Pérez"/>
    <s v="raúl.pérez@mail.com"/>
    <x v="1"/>
    <s v="Berlín"/>
    <x v="3"/>
    <x v="5"/>
    <n v="5"/>
    <n v="367.64"/>
    <n v="1838.1999999999998"/>
    <x v="0"/>
    <x v="1"/>
    <x v="498"/>
    <x v="4"/>
  </r>
  <r>
    <s v="ORD001009"/>
    <s v="Ana Vázquez"/>
    <s v="ana.vázquez@mail.com"/>
    <x v="4"/>
    <s v="París"/>
    <x v="2"/>
    <x v="15"/>
    <n v="3"/>
    <n v="52.33"/>
    <n v="156.99"/>
    <x v="5"/>
    <x v="0"/>
    <x v="586"/>
    <x v="3"/>
  </r>
  <r>
    <s v="ORD001010"/>
    <s v="Luis Torres"/>
    <s v="luis.torres@mail.com"/>
    <x v="1"/>
    <s v="Múnich"/>
    <x v="1"/>
    <x v="1"/>
    <n v="5"/>
    <n v="807.62"/>
    <n v="4038.1"/>
    <x v="4"/>
    <x v="1"/>
    <x v="7"/>
    <x v="4"/>
  </r>
  <r>
    <s v="ORD001011"/>
    <s v="Irene Martínez"/>
    <s v="irene.martínez@mail.com"/>
    <x v="4"/>
    <s v="Lyon"/>
    <x v="4"/>
    <x v="11"/>
    <n v="2"/>
    <n v="1336.72"/>
    <n v="2673.44"/>
    <x v="4"/>
    <x v="1"/>
    <x v="587"/>
    <x v="0"/>
  </r>
  <r>
    <s v="ORD001012"/>
    <s v="Lucía Alonso"/>
    <s v="lucía.alonso@mail.com"/>
    <x v="3"/>
    <s v="Milán"/>
    <x v="3"/>
    <x v="15"/>
    <n v="1"/>
    <n v="1288.01"/>
    <n v="1288.01"/>
    <x v="10"/>
    <x v="1"/>
    <x v="180"/>
    <x v="3"/>
  </r>
  <r>
    <s v="ORD001013"/>
    <s v="María López"/>
    <s v="maría.lópez@mail.com"/>
    <x v="0"/>
    <s v="Sevilla"/>
    <x v="0"/>
    <x v="0"/>
    <n v="4"/>
    <n v="929.52"/>
    <n v="3718.08"/>
    <x v="7"/>
    <x v="1"/>
    <x v="211"/>
    <x v="2"/>
  </r>
  <r>
    <s v="ORD001014"/>
    <s v="Sofía Gómez"/>
    <s v="sofía.gómez@mail.com"/>
    <x v="4"/>
    <s v="Marsella"/>
    <x v="4"/>
    <x v="11"/>
    <n v="3"/>
    <n v="371.32"/>
    <n v="1113.96"/>
    <x v="4"/>
    <x v="0"/>
    <x v="416"/>
    <x v="1"/>
  </r>
  <r>
    <s v="ORD001015"/>
    <s v="Luis Fernández"/>
    <s v="luis.fernández@mail.com"/>
    <x v="4"/>
    <s v="París"/>
    <x v="2"/>
    <x v="9"/>
    <n v="3"/>
    <n v="623.14"/>
    <n v="1869.42"/>
    <x v="11"/>
    <x v="1"/>
    <x v="588"/>
    <x v="1"/>
  </r>
  <r>
    <s v="ORD001016"/>
    <s v="María García"/>
    <s v="maría.garcía@mail.com"/>
    <x v="2"/>
    <s v="Oporto"/>
    <x v="2"/>
    <x v="9"/>
    <n v="5"/>
    <n v="69.569999999999993"/>
    <n v="347.84999999999997"/>
    <x v="5"/>
    <x v="0"/>
    <x v="510"/>
    <x v="4"/>
  </r>
  <r>
    <s v="ORD001017"/>
    <s v="Elena Martínez"/>
    <s v="elena.martínez@mail.com"/>
    <x v="2"/>
    <s v="Braga"/>
    <x v="3"/>
    <x v="15"/>
    <n v="5"/>
    <n v="950.89"/>
    <n v="4754.45"/>
    <x v="0"/>
    <x v="1"/>
    <x v="39"/>
    <x v="1"/>
  </r>
  <r>
    <s v="ORD001018"/>
    <s v="Diego Torres"/>
    <s v="diego.torres@mail.com"/>
    <x v="2"/>
    <s v="Lisboa"/>
    <x v="3"/>
    <x v="5"/>
    <n v="5"/>
    <n v="322.73"/>
    <n v="1613.65"/>
    <x v="7"/>
    <x v="0"/>
    <x v="471"/>
    <x v="2"/>
  </r>
  <r>
    <s v="ORD001019"/>
    <s v="Luis Rodríguez"/>
    <s v="luis.rodríguez@mail.com"/>
    <x v="0"/>
    <s v="Bilbao"/>
    <x v="2"/>
    <x v="9"/>
    <n v="3"/>
    <n v="563.54"/>
    <n v="1690.62"/>
    <x v="0"/>
    <x v="0"/>
    <x v="480"/>
    <x v="1"/>
  </r>
  <r>
    <s v="ORD001020"/>
    <s v="Carmen Pérez"/>
    <s v="carmen.pérez@mail.com"/>
    <x v="0"/>
    <s v="Barcelona"/>
    <x v="1"/>
    <x v="6"/>
    <n v="5"/>
    <n v="393.75"/>
    <n v="1968.75"/>
    <x v="0"/>
    <x v="1"/>
    <x v="407"/>
    <x v="0"/>
  </r>
  <r>
    <s v="ORD001021"/>
    <s v="Miguel Alonso"/>
    <s v="miguel.alonso@mail.com"/>
    <x v="1"/>
    <s v="Múnich"/>
    <x v="2"/>
    <x v="9"/>
    <n v="4"/>
    <n v="1029.79"/>
    <n v="4119.16"/>
    <x v="6"/>
    <x v="1"/>
    <x v="589"/>
    <x v="1"/>
  </r>
  <r>
    <s v="ORD001022"/>
    <s v="Raúl Sánchez"/>
    <s v="raúl.sánchez@mail.com"/>
    <x v="4"/>
    <s v="Marsella"/>
    <x v="3"/>
    <x v="4"/>
    <n v="3"/>
    <n v="838.01"/>
    <n v="2514.0299999999997"/>
    <x v="9"/>
    <x v="1"/>
    <x v="500"/>
    <x v="2"/>
  </r>
  <r>
    <s v="ORD001023"/>
    <s v="Diego Sánchez"/>
    <s v="diego.sánchez@mail.com"/>
    <x v="3"/>
    <s v="Roma"/>
    <x v="4"/>
    <x v="22"/>
    <n v="4"/>
    <n v="1255.76"/>
    <n v="5023.04"/>
    <x v="11"/>
    <x v="1"/>
    <x v="315"/>
    <x v="2"/>
  </r>
  <r>
    <s v="ORD001024"/>
    <s v="María Ramos"/>
    <s v="maría.ramos@mail.com"/>
    <x v="0"/>
    <s v="Valencia"/>
    <x v="0"/>
    <x v="20"/>
    <n v="3"/>
    <n v="628.58000000000004"/>
    <n v="1885.7400000000002"/>
    <x v="4"/>
    <x v="1"/>
    <x v="338"/>
    <x v="2"/>
  </r>
  <r>
    <s v="ORD001025"/>
    <s v="Elena Ramos"/>
    <s v="elena.ramos@mail.com"/>
    <x v="2"/>
    <s v="Braga"/>
    <x v="2"/>
    <x v="9"/>
    <n v="2"/>
    <n v="1401.15"/>
    <n v="2802.3"/>
    <x v="11"/>
    <x v="0"/>
    <x v="442"/>
    <x v="1"/>
  </r>
  <r>
    <s v="ORD001026"/>
    <s v="María Ramos"/>
    <s v="maría.ramos@mail.com"/>
    <x v="3"/>
    <s v="Nápoles"/>
    <x v="2"/>
    <x v="10"/>
    <n v="4"/>
    <n v="1264.8699999999999"/>
    <n v="5059.4799999999996"/>
    <x v="9"/>
    <x v="1"/>
    <x v="457"/>
    <x v="1"/>
  </r>
  <r>
    <s v="ORD001027"/>
    <s v="Sofía Ruiz"/>
    <s v="sofía.ruiz@mail.com"/>
    <x v="3"/>
    <s v="Roma"/>
    <x v="0"/>
    <x v="13"/>
    <n v="4"/>
    <n v="1188.1400000000001"/>
    <n v="4752.5600000000004"/>
    <x v="1"/>
    <x v="1"/>
    <x v="237"/>
    <x v="0"/>
  </r>
  <r>
    <s v="ORD001028"/>
    <s v="Pablo Sánchez"/>
    <s v="pablo.sánchez@mail.com"/>
    <x v="0"/>
    <s v="Sevilla"/>
    <x v="3"/>
    <x v="7"/>
    <n v="1"/>
    <n v="1061.07"/>
    <n v="1061.07"/>
    <x v="9"/>
    <x v="1"/>
    <x v="276"/>
    <x v="1"/>
  </r>
  <r>
    <s v="ORD001029"/>
    <s v="Elena Fernández"/>
    <s v="elena.fernández@mail.com"/>
    <x v="4"/>
    <s v="Lyon"/>
    <x v="4"/>
    <x v="22"/>
    <n v="2"/>
    <n v="348.82"/>
    <n v="697.64"/>
    <x v="4"/>
    <x v="1"/>
    <x v="294"/>
    <x v="4"/>
  </r>
  <r>
    <s v="ORD001030"/>
    <s v="Elena Fernández"/>
    <s v="elena.fernández@mail.com"/>
    <x v="2"/>
    <s v="Braga"/>
    <x v="0"/>
    <x v="13"/>
    <n v="1"/>
    <n v="915.33"/>
    <n v="915.33"/>
    <x v="2"/>
    <x v="1"/>
    <x v="490"/>
    <x v="1"/>
  </r>
  <r>
    <s v="ORD001031"/>
    <s v="Lucía Ruiz"/>
    <s v="lucía.ruiz@mail.com"/>
    <x v="0"/>
    <s v="Valencia"/>
    <x v="2"/>
    <x v="10"/>
    <n v="3"/>
    <n v="626.02"/>
    <n v="1878.06"/>
    <x v="2"/>
    <x v="0"/>
    <x v="69"/>
    <x v="0"/>
  </r>
  <r>
    <s v="ORD001032"/>
    <s v="Raúl Martínez"/>
    <s v="raúl.martínez@mail.com"/>
    <x v="3"/>
    <s v="Roma"/>
    <x v="3"/>
    <x v="4"/>
    <n v="1"/>
    <n v="570.1"/>
    <n v="570.1"/>
    <x v="11"/>
    <x v="0"/>
    <x v="590"/>
    <x v="0"/>
  </r>
  <r>
    <s v="ORD001033"/>
    <s v="Lucía García"/>
    <s v="lucía.garcía@mail.com"/>
    <x v="2"/>
    <s v="Braga"/>
    <x v="3"/>
    <x v="5"/>
    <n v="2"/>
    <n v="414.03"/>
    <n v="828.06"/>
    <x v="6"/>
    <x v="0"/>
    <x v="582"/>
    <x v="3"/>
  </r>
  <r>
    <s v="ORD001034"/>
    <s v="Ana Martínez"/>
    <s v="ana.martínez@mail.com"/>
    <x v="0"/>
    <s v="Sevilla"/>
    <x v="0"/>
    <x v="20"/>
    <n v="4"/>
    <n v="393.68"/>
    <n v="1574.72"/>
    <x v="9"/>
    <x v="0"/>
    <x v="591"/>
    <x v="2"/>
  </r>
  <r>
    <s v="ORD001035"/>
    <s v="Luis Gil"/>
    <s v="luis.gil@mail.com"/>
    <x v="1"/>
    <s v="Berlín"/>
    <x v="3"/>
    <x v="15"/>
    <n v="3"/>
    <n v="226.45"/>
    <n v="679.34999999999991"/>
    <x v="11"/>
    <x v="0"/>
    <x v="592"/>
    <x v="0"/>
  </r>
  <r>
    <s v="ORD001036"/>
    <s v="Carmen Gil"/>
    <s v="carmen.gil@mail.com"/>
    <x v="2"/>
    <s v="Braga"/>
    <x v="2"/>
    <x v="3"/>
    <n v="2"/>
    <n v="1025.68"/>
    <n v="2051.36"/>
    <x v="6"/>
    <x v="1"/>
    <x v="27"/>
    <x v="4"/>
  </r>
  <r>
    <s v="ORD001037"/>
    <s v="Carlos Díaz"/>
    <s v="carlos.díaz@mail.com"/>
    <x v="4"/>
    <s v="Lyon"/>
    <x v="2"/>
    <x v="15"/>
    <n v="5"/>
    <n v="153.69999999999999"/>
    <n v="768.5"/>
    <x v="1"/>
    <x v="0"/>
    <x v="317"/>
    <x v="2"/>
  </r>
  <r>
    <s v="ORD001038"/>
    <s v="Carmen Gómez"/>
    <s v="carmen.gómez@mail.com"/>
    <x v="3"/>
    <s v="Nápoles"/>
    <x v="4"/>
    <x v="23"/>
    <n v="4"/>
    <n v="1340.16"/>
    <n v="5360.64"/>
    <x v="0"/>
    <x v="0"/>
    <x v="405"/>
    <x v="4"/>
  </r>
  <r>
    <s v="ORD001039"/>
    <s v="Miguel Martínez"/>
    <s v="miguel.martínez@mail.com"/>
    <x v="1"/>
    <s v="Múnich"/>
    <x v="4"/>
    <x v="22"/>
    <n v="1"/>
    <n v="231.21"/>
    <n v="231.21"/>
    <x v="8"/>
    <x v="0"/>
    <x v="202"/>
    <x v="2"/>
  </r>
  <r>
    <s v="ORD001040"/>
    <s v="María Gómez"/>
    <s v="maría.gómez@mail.com"/>
    <x v="0"/>
    <s v="Valencia"/>
    <x v="2"/>
    <x v="3"/>
    <n v="2"/>
    <n v="274.63"/>
    <n v="549.26"/>
    <x v="1"/>
    <x v="1"/>
    <x v="106"/>
    <x v="3"/>
  </r>
  <r>
    <s v="ORD001041"/>
    <s v="Miguel Torres"/>
    <s v="miguel.torres@mail.com"/>
    <x v="1"/>
    <s v="Múnich"/>
    <x v="4"/>
    <x v="22"/>
    <n v="3"/>
    <n v="1140.8800000000001"/>
    <n v="3422.6400000000003"/>
    <x v="0"/>
    <x v="1"/>
    <x v="555"/>
    <x v="4"/>
  </r>
  <r>
    <s v="ORD001042"/>
    <s v="Pablo Navarro"/>
    <s v="pablo.navarro@mail.com"/>
    <x v="1"/>
    <s v="Berlín"/>
    <x v="3"/>
    <x v="4"/>
    <n v="5"/>
    <n v="9.98"/>
    <n v="49.900000000000006"/>
    <x v="7"/>
    <x v="1"/>
    <x v="239"/>
    <x v="0"/>
  </r>
  <r>
    <s v="ORD001043"/>
    <s v="María Alonso"/>
    <s v="maría.alonso@mail.com"/>
    <x v="1"/>
    <s v="Berlín"/>
    <x v="3"/>
    <x v="15"/>
    <n v="5"/>
    <n v="960.43"/>
    <n v="4802.1499999999996"/>
    <x v="6"/>
    <x v="1"/>
    <x v="593"/>
    <x v="3"/>
  </r>
  <r>
    <s v="ORD001044"/>
    <s v="Elena Gómez"/>
    <s v="elena.gómez@mail.com"/>
    <x v="4"/>
    <s v="Marsella"/>
    <x v="3"/>
    <x v="15"/>
    <n v="1"/>
    <n v="117.27"/>
    <n v="117.27"/>
    <x v="1"/>
    <x v="1"/>
    <x v="394"/>
    <x v="4"/>
  </r>
  <r>
    <s v="ORD001045"/>
    <s v="Elena Pérez"/>
    <s v="elena.pérez@mail.com"/>
    <x v="2"/>
    <s v="Lisboa"/>
    <x v="3"/>
    <x v="18"/>
    <n v="4"/>
    <n v="165.97"/>
    <n v="663.88"/>
    <x v="0"/>
    <x v="1"/>
    <x v="594"/>
    <x v="3"/>
  </r>
  <r>
    <s v="ORD001046"/>
    <s v="Raúl López"/>
    <s v="raúl.lópez@mail.com"/>
    <x v="4"/>
    <s v="París"/>
    <x v="3"/>
    <x v="4"/>
    <n v="1"/>
    <n v="555.75"/>
    <n v="555.75"/>
    <x v="10"/>
    <x v="1"/>
    <x v="503"/>
    <x v="4"/>
  </r>
  <r>
    <s v="ORD001047"/>
    <s v="Diego Vázquez"/>
    <s v="diego.vázquez@mail.com"/>
    <x v="3"/>
    <s v="Milán"/>
    <x v="3"/>
    <x v="15"/>
    <n v="2"/>
    <n v="1481.48"/>
    <n v="2962.96"/>
    <x v="5"/>
    <x v="1"/>
    <x v="89"/>
    <x v="1"/>
  </r>
  <r>
    <s v="ORD001048"/>
    <s v="Miguel Rodríguez"/>
    <s v="miguel.rodríguez@mail.com"/>
    <x v="3"/>
    <s v="Milán"/>
    <x v="0"/>
    <x v="0"/>
    <n v="1"/>
    <n v="725.4"/>
    <n v="725.4"/>
    <x v="2"/>
    <x v="0"/>
    <x v="309"/>
    <x v="3"/>
  </r>
  <r>
    <s v="ORD001049"/>
    <s v="Pablo Alonso"/>
    <s v="pablo.alonso@mail.com"/>
    <x v="3"/>
    <s v="Roma"/>
    <x v="2"/>
    <x v="3"/>
    <n v="5"/>
    <n v="477.44"/>
    <n v="2387.1999999999998"/>
    <x v="7"/>
    <x v="1"/>
    <x v="71"/>
    <x v="4"/>
  </r>
  <r>
    <s v="ORD001050"/>
    <s v="Irene Gil"/>
    <s v="irene.gil@mail.com"/>
    <x v="0"/>
    <s v="Valencia"/>
    <x v="3"/>
    <x v="18"/>
    <n v="1"/>
    <n v="837.63"/>
    <n v="837.63"/>
    <x v="2"/>
    <x v="0"/>
    <x v="16"/>
    <x v="4"/>
  </r>
  <r>
    <s v="ORD001051"/>
    <s v="Pedro Díaz"/>
    <s v="pedro.díaz@mail.com"/>
    <x v="3"/>
    <s v="Milán"/>
    <x v="2"/>
    <x v="15"/>
    <n v="5"/>
    <n v="585.52"/>
    <n v="2927.6"/>
    <x v="3"/>
    <x v="0"/>
    <x v="3"/>
    <x v="2"/>
  </r>
  <r>
    <s v="ORD001052"/>
    <s v="Elena Navarro"/>
    <s v="elena.navarro@mail.com"/>
    <x v="2"/>
    <s v="Braga"/>
    <x v="1"/>
    <x v="6"/>
    <n v="1"/>
    <n v="758.97"/>
    <n v="758.97"/>
    <x v="11"/>
    <x v="0"/>
    <x v="334"/>
    <x v="1"/>
  </r>
  <r>
    <s v="ORD001053"/>
    <s v="Laura Díaz"/>
    <s v="laura.díaz@mail.com"/>
    <x v="2"/>
    <s v="Oporto"/>
    <x v="1"/>
    <x v="6"/>
    <n v="2"/>
    <n v="799.62"/>
    <n v="1599.24"/>
    <x v="8"/>
    <x v="0"/>
    <x v="456"/>
    <x v="0"/>
  </r>
  <r>
    <s v="ORD001054"/>
    <s v="Laura Vázquez"/>
    <s v="laura.vázquez@mail.com"/>
    <x v="4"/>
    <s v="Marsella"/>
    <x v="3"/>
    <x v="15"/>
    <n v="2"/>
    <n v="179.47"/>
    <n v="358.94"/>
    <x v="4"/>
    <x v="1"/>
    <x v="587"/>
    <x v="0"/>
  </r>
  <r>
    <s v="ORD001055"/>
    <s v="Javier Gil"/>
    <s v="javier.gil@mail.com"/>
    <x v="1"/>
    <s v="Múnich"/>
    <x v="3"/>
    <x v="15"/>
    <n v="5"/>
    <n v="1078.0899999999999"/>
    <n v="5390.45"/>
    <x v="1"/>
    <x v="0"/>
    <x v="595"/>
    <x v="3"/>
  </r>
  <r>
    <s v="ORD001056"/>
    <s v="Ana Ruiz"/>
    <s v="ana.ruiz@mail.com"/>
    <x v="1"/>
    <s v="Múnich"/>
    <x v="2"/>
    <x v="9"/>
    <n v="1"/>
    <n v="162.4"/>
    <n v="162.4"/>
    <x v="3"/>
    <x v="0"/>
    <x v="596"/>
    <x v="1"/>
  </r>
  <r>
    <s v="ORD001057"/>
    <s v="Raúl Torres"/>
    <s v="raúl.torres@mail.com"/>
    <x v="0"/>
    <s v="Barcelona"/>
    <x v="2"/>
    <x v="19"/>
    <n v="5"/>
    <n v="89.88"/>
    <n v="449.4"/>
    <x v="4"/>
    <x v="0"/>
    <x v="597"/>
    <x v="4"/>
  </r>
  <r>
    <s v="ORD001058"/>
    <s v="Javier Sánchez"/>
    <s v="javier.sánchez@mail.com"/>
    <x v="4"/>
    <s v="Marsella"/>
    <x v="3"/>
    <x v="5"/>
    <n v="4"/>
    <n v="1059.94"/>
    <n v="4239.76"/>
    <x v="1"/>
    <x v="0"/>
    <x v="598"/>
    <x v="3"/>
  </r>
  <r>
    <s v="ORD001059"/>
    <s v="Miguel Gómez"/>
    <s v="miguel.gómez@mail.com"/>
    <x v="0"/>
    <s v="Madrid"/>
    <x v="4"/>
    <x v="14"/>
    <n v="3"/>
    <n v="1061.99"/>
    <n v="3185.9700000000003"/>
    <x v="3"/>
    <x v="0"/>
    <x v="333"/>
    <x v="0"/>
  </r>
  <r>
    <s v="ORD001060"/>
    <s v="Lucía García"/>
    <s v="lucía.garcía@mail.com"/>
    <x v="0"/>
    <s v="Barcelona"/>
    <x v="2"/>
    <x v="9"/>
    <n v="5"/>
    <n v="1278.96"/>
    <n v="6394.8"/>
    <x v="10"/>
    <x v="2"/>
    <x v="599"/>
    <x v="2"/>
  </r>
  <r>
    <s v="ORD001061"/>
    <s v="María Gil"/>
    <s v="maría.gil@mail.com"/>
    <x v="3"/>
    <s v="Nápoles"/>
    <x v="3"/>
    <x v="18"/>
    <n v="4"/>
    <n v="491.61"/>
    <n v="1966.44"/>
    <x v="11"/>
    <x v="1"/>
    <x v="600"/>
    <x v="0"/>
  </r>
  <r>
    <s v="ORD001062"/>
    <s v="Carmen Navarro"/>
    <s v="carmen.navarro@mail.com"/>
    <x v="3"/>
    <s v="Nápoles"/>
    <x v="1"/>
    <x v="8"/>
    <n v="5"/>
    <n v="226.1"/>
    <n v="1130.5"/>
    <x v="2"/>
    <x v="0"/>
    <x v="117"/>
    <x v="4"/>
  </r>
  <r>
    <s v="ORD001063"/>
    <s v="Pablo Rodríguez"/>
    <s v="pablo.rodríguez@mail.com"/>
    <x v="4"/>
    <s v="Lyon"/>
    <x v="0"/>
    <x v="16"/>
    <n v="4"/>
    <n v="268.33"/>
    <n v="1073.32"/>
    <x v="3"/>
    <x v="1"/>
    <x v="601"/>
    <x v="3"/>
  </r>
  <r>
    <s v="ORD001064"/>
    <s v="Lucía Fernández"/>
    <s v="lucía.fernández@mail.com"/>
    <x v="3"/>
    <s v="Roma"/>
    <x v="3"/>
    <x v="4"/>
    <n v="4"/>
    <n v="688.01"/>
    <n v="2752.04"/>
    <x v="1"/>
    <x v="1"/>
    <x v="602"/>
    <x v="4"/>
  </r>
  <r>
    <s v="ORD001065"/>
    <s v="Lucía Ramos"/>
    <s v="lucía.ramos@mail.com"/>
    <x v="2"/>
    <s v="Oporto"/>
    <x v="2"/>
    <x v="19"/>
    <n v="5"/>
    <n v="724.41"/>
    <n v="3622.0499999999997"/>
    <x v="5"/>
    <x v="0"/>
    <x v="365"/>
    <x v="0"/>
  </r>
  <r>
    <s v="ORD001066"/>
    <s v="Irene López"/>
    <s v="irene.lópez@mail.com"/>
    <x v="3"/>
    <s v="Nápoles"/>
    <x v="3"/>
    <x v="5"/>
    <n v="1"/>
    <n v="1422.41"/>
    <n v="1422.41"/>
    <x v="6"/>
    <x v="0"/>
    <x v="285"/>
    <x v="2"/>
  </r>
  <r>
    <s v="ORD001067"/>
    <s v="María López"/>
    <s v="maría.lópez@mail.com"/>
    <x v="0"/>
    <s v="Sevilla"/>
    <x v="1"/>
    <x v="6"/>
    <n v="3"/>
    <n v="1299.04"/>
    <n v="3897.12"/>
    <x v="10"/>
    <x v="0"/>
    <x v="136"/>
    <x v="0"/>
  </r>
  <r>
    <s v="ORD001068"/>
    <s v="Miguel Sánchez"/>
    <s v="miguel.sánchez@mail.com"/>
    <x v="2"/>
    <s v="Lisboa"/>
    <x v="2"/>
    <x v="19"/>
    <n v="3"/>
    <n v="843.94"/>
    <n v="2531.8200000000002"/>
    <x v="8"/>
    <x v="0"/>
    <x v="66"/>
    <x v="3"/>
  </r>
  <r>
    <s v="ORD001069"/>
    <s v="Laura Ruiz"/>
    <s v="laura.ruiz@mail.com"/>
    <x v="1"/>
    <s v="Hamburgo"/>
    <x v="0"/>
    <x v="0"/>
    <n v="3"/>
    <n v="1454.67"/>
    <n v="4364.01"/>
    <x v="3"/>
    <x v="1"/>
    <x v="603"/>
    <x v="1"/>
  </r>
  <r>
    <s v="ORD001070"/>
    <s v="María Sánchez"/>
    <s v="maría.sánchez@mail.com"/>
    <x v="2"/>
    <s v="Lisboa"/>
    <x v="1"/>
    <x v="1"/>
    <n v="5"/>
    <n v="1489.92"/>
    <n v="7449.6"/>
    <x v="11"/>
    <x v="0"/>
    <x v="442"/>
    <x v="2"/>
  </r>
  <r>
    <s v="ORD001071"/>
    <s v="Diego Sánchez"/>
    <s v="diego.sánchez@mail.com"/>
    <x v="0"/>
    <s v="Madrid"/>
    <x v="0"/>
    <x v="0"/>
    <n v="2"/>
    <n v="1007.51"/>
    <n v="2015.02"/>
    <x v="8"/>
    <x v="1"/>
    <x v="604"/>
    <x v="3"/>
  </r>
  <r>
    <s v="ORD001072"/>
    <s v="Pedro Gil"/>
    <s v="pedro.gil@mail.com"/>
    <x v="3"/>
    <s v="Nápoles"/>
    <x v="4"/>
    <x v="11"/>
    <n v="4"/>
    <n v="933.68"/>
    <n v="3734.72"/>
    <x v="3"/>
    <x v="0"/>
    <x v="403"/>
    <x v="0"/>
  </r>
  <r>
    <s v="ORD001073"/>
    <s v="Ana Ramos"/>
    <s v="ana.ramos@mail.com"/>
    <x v="0"/>
    <s v="Valencia"/>
    <x v="0"/>
    <x v="0"/>
    <n v="2"/>
    <n v="767.86"/>
    <n v="1535.72"/>
    <x v="2"/>
    <x v="1"/>
    <x v="227"/>
    <x v="3"/>
  </r>
  <r>
    <s v="ORD001074"/>
    <s v="Luis García"/>
    <s v="luis.garcía@mail.com"/>
    <x v="4"/>
    <s v="Lyon"/>
    <x v="2"/>
    <x v="10"/>
    <n v="5"/>
    <n v="684.12"/>
    <n v="3420.6"/>
    <x v="3"/>
    <x v="0"/>
    <x v="605"/>
    <x v="4"/>
  </r>
  <r>
    <s v="ORD001075"/>
    <s v="Pedro Rodríguez"/>
    <s v="pedro.rodríguez@mail.com"/>
    <x v="4"/>
    <s v="París"/>
    <x v="4"/>
    <x v="22"/>
    <n v="4"/>
    <n v="1117.6500000000001"/>
    <n v="4470.6000000000004"/>
    <x v="8"/>
    <x v="0"/>
    <x v="216"/>
    <x v="1"/>
  </r>
  <r>
    <s v="ORD001076"/>
    <s v="Raúl Rodríguez"/>
    <s v="raúl.rodríguez@mail.com"/>
    <x v="1"/>
    <s v="Múnich"/>
    <x v="4"/>
    <x v="14"/>
    <n v="3"/>
    <n v="757.29"/>
    <n v="2271.87"/>
    <x v="9"/>
    <x v="1"/>
    <x v="606"/>
    <x v="3"/>
  </r>
  <r>
    <s v="ORD001077"/>
    <s v="María Navarro"/>
    <s v="maría.navarro@mail.com"/>
    <x v="0"/>
    <s v="Sevilla"/>
    <x v="4"/>
    <x v="23"/>
    <n v="4"/>
    <n v="1256.21"/>
    <n v="5024.84"/>
    <x v="0"/>
    <x v="1"/>
    <x v="594"/>
    <x v="4"/>
  </r>
  <r>
    <s v="ORD001078"/>
    <s v="María Torres"/>
    <s v="maría.torres@mail.com"/>
    <x v="2"/>
    <s v="Lisboa"/>
    <x v="0"/>
    <x v="20"/>
    <n v="2"/>
    <n v="402.34"/>
    <n v="804.68"/>
    <x v="0"/>
    <x v="0"/>
    <x v="607"/>
    <x v="2"/>
  </r>
  <r>
    <s v="ORD001079"/>
    <s v="Carlos López"/>
    <s v="carlos.lópez@mail.com"/>
    <x v="0"/>
    <s v="Barcelona"/>
    <x v="0"/>
    <x v="16"/>
    <n v="5"/>
    <n v="26.36"/>
    <n v="131.80000000000001"/>
    <x v="0"/>
    <x v="0"/>
    <x v="608"/>
    <x v="0"/>
  </r>
  <r>
    <s v="ORD001080"/>
    <s v="Carlos López"/>
    <s v="carlos.lópez@mail.com"/>
    <x v="0"/>
    <s v="Sevilla"/>
    <x v="3"/>
    <x v="18"/>
    <n v="2"/>
    <n v="342.91"/>
    <n v="685.82"/>
    <x v="2"/>
    <x v="1"/>
    <x v="609"/>
    <x v="3"/>
  </r>
  <r>
    <s v="ORD001081"/>
    <s v="Laura Sánchez"/>
    <s v="laura.sánchez@mail.com"/>
    <x v="4"/>
    <s v="Marsella"/>
    <x v="3"/>
    <x v="7"/>
    <n v="5"/>
    <n v="307.08999999999997"/>
    <n v="1535.4499999999998"/>
    <x v="3"/>
    <x v="1"/>
    <x v="421"/>
    <x v="3"/>
  </r>
  <r>
    <s v="ORD001082"/>
    <s v="Laura Martínez"/>
    <s v="laura.martínez@mail.com"/>
    <x v="4"/>
    <s v="Marsella"/>
    <x v="3"/>
    <x v="5"/>
    <n v="2"/>
    <n v="395.2"/>
    <n v="790.4"/>
    <x v="11"/>
    <x v="0"/>
    <x v="447"/>
    <x v="2"/>
  </r>
  <r>
    <s v="ORD001083"/>
    <s v="Ana Ruiz"/>
    <s v="ana.ruiz@mail.com"/>
    <x v="3"/>
    <s v="Nápoles"/>
    <x v="2"/>
    <x v="9"/>
    <n v="3"/>
    <n v="407.87"/>
    <n v="1223.6100000000001"/>
    <x v="11"/>
    <x v="1"/>
    <x v="382"/>
    <x v="0"/>
  </r>
  <r>
    <s v="ORD001084"/>
    <s v="Carlos Sánchez"/>
    <s v="carlos.sánchez@mail.com"/>
    <x v="1"/>
    <s v="Hamburgo"/>
    <x v="2"/>
    <x v="15"/>
    <n v="2"/>
    <n v="1016.77"/>
    <n v="2033.54"/>
    <x v="10"/>
    <x v="0"/>
    <x v="398"/>
    <x v="1"/>
  </r>
  <r>
    <s v="ORD001085"/>
    <s v="Pedro Navarro"/>
    <s v="pedro.navarro@mail.com"/>
    <x v="2"/>
    <s v="Lisboa"/>
    <x v="1"/>
    <x v="12"/>
    <n v="1"/>
    <n v="575.25"/>
    <n v="575.25"/>
    <x v="5"/>
    <x v="1"/>
    <x v="292"/>
    <x v="2"/>
  </r>
  <r>
    <s v="ORD001086"/>
    <s v="Sofía Gómez"/>
    <s v="sofía.gómez@mail.com"/>
    <x v="0"/>
    <s v="Valencia"/>
    <x v="3"/>
    <x v="4"/>
    <n v="4"/>
    <n v="1483.77"/>
    <n v="5935.08"/>
    <x v="7"/>
    <x v="0"/>
    <x v="91"/>
    <x v="2"/>
  </r>
  <r>
    <s v="ORD001087"/>
    <s v="Lucía Martínez"/>
    <s v="lucía.martínez@mail.com"/>
    <x v="1"/>
    <s v="Múnich"/>
    <x v="3"/>
    <x v="7"/>
    <n v="3"/>
    <n v="310.04000000000002"/>
    <n v="930.12000000000012"/>
    <x v="6"/>
    <x v="0"/>
    <x v="610"/>
    <x v="3"/>
  </r>
  <r>
    <s v="ORD001088"/>
    <s v="Luis Fernández"/>
    <s v="luis.fernández@mail.com"/>
    <x v="3"/>
    <s v="Roma"/>
    <x v="0"/>
    <x v="13"/>
    <n v="3"/>
    <n v="1071.68"/>
    <n v="3215.04"/>
    <x v="10"/>
    <x v="0"/>
    <x v="489"/>
    <x v="1"/>
  </r>
  <r>
    <s v="ORD001089"/>
    <s v="Ana Gómez"/>
    <s v="ana.gómez@mail.com"/>
    <x v="2"/>
    <s v="Lisboa"/>
    <x v="4"/>
    <x v="11"/>
    <n v="4"/>
    <n v="1361.32"/>
    <n v="5445.28"/>
    <x v="10"/>
    <x v="2"/>
    <x v="568"/>
    <x v="1"/>
  </r>
  <r>
    <s v="ORD001090"/>
    <s v="Carmen Rodríguez"/>
    <s v="carmen.rodríguez@mail.com"/>
    <x v="0"/>
    <s v="Valencia"/>
    <x v="1"/>
    <x v="8"/>
    <n v="5"/>
    <n v="353.37"/>
    <n v="1766.85"/>
    <x v="10"/>
    <x v="1"/>
    <x v="611"/>
    <x v="1"/>
  </r>
  <r>
    <s v="ORD001091"/>
    <s v="Luis Rodríguez"/>
    <s v="luis.rodríguez@mail.com"/>
    <x v="0"/>
    <s v="Barcelona"/>
    <x v="0"/>
    <x v="17"/>
    <n v="1"/>
    <n v="109.13"/>
    <n v="109.13"/>
    <x v="6"/>
    <x v="1"/>
    <x v="612"/>
    <x v="1"/>
  </r>
  <r>
    <s v="ORD001092"/>
    <s v="Pedro Navarro"/>
    <s v="pedro.navarro@mail.com"/>
    <x v="4"/>
    <s v="Marsella"/>
    <x v="3"/>
    <x v="7"/>
    <n v="4"/>
    <n v="299.86"/>
    <n v="1199.44"/>
    <x v="5"/>
    <x v="2"/>
    <x v="613"/>
    <x v="2"/>
  </r>
  <r>
    <s v="ORD001093"/>
    <s v="Lucía García"/>
    <s v="lucía.garcía@mail.com"/>
    <x v="2"/>
    <s v="Oporto"/>
    <x v="1"/>
    <x v="12"/>
    <n v="5"/>
    <n v="1077.6400000000001"/>
    <n v="5388.2000000000007"/>
    <x v="1"/>
    <x v="0"/>
    <x v="137"/>
    <x v="4"/>
  </r>
  <r>
    <s v="ORD001094"/>
    <s v="Pedro Vázquez"/>
    <s v="pedro.vázquez@mail.com"/>
    <x v="2"/>
    <s v="Oporto"/>
    <x v="1"/>
    <x v="1"/>
    <n v="2"/>
    <n v="1304.24"/>
    <n v="2608.48"/>
    <x v="0"/>
    <x v="0"/>
    <x v="554"/>
    <x v="4"/>
  </r>
  <r>
    <s v="ORD001095"/>
    <s v="Javier Fernández"/>
    <s v="javier.fernández@mail.com"/>
    <x v="4"/>
    <s v="Marsella"/>
    <x v="0"/>
    <x v="17"/>
    <n v="5"/>
    <n v="659.38"/>
    <n v="3296.9"/>
    <x v="1"/>
    <x v="1"/>
    <x v="380"/>
    <x v="3"/>
  </r>
  <r>
    <s v="ORD001096"/>
    <s v="Javier García"/>
    <s v="javier.garcía@mail.com"/>
    <x v="3"/>
    <s v="Nápoles"/>
    <x v="4"/>
    <x v="11"/>
    <n v="1"/>
    <n v="1471.16"/>
    <n v="1471.16"/>
    <x v="0"/>
    <x v="1"/>
    <x v="594"/>
    <x v="3"/>
  </r>
  <r>
    <s v="ORD001097"/>
    <s v="Laura Fernández"/>
    <s v="laura.fernández@mail.com"/>
    <x v="0"/>
    <s v="Valencia"/>
    <x v="1"/>
    <x v="1"/>
    <n v="5"/>
    <n v="769.06"/>
    <n v="3845.2999999999997"/>
    <x v="7"/>
    <x v="1"/>
    <x v="404"/>
    <x v="1"/>
  </r>
  <r>
    <s v="ORD001098"/>
    <s v="Diego Gómez"/>
    <s v="diego.gómez@mail.com"/>
    <x v="4"/>
    <s v="Marsella"/>
    <x v="1"/>
    <x v="6"/>
    <n v="4"/>
    <n v="1033.5899999999999"/>
    <n v="4134.3599999999997"/>
    <x v="4"/>
    <x v="0"/>
    <x v="614"/>
    <x v="4"/>
  </r>
  <r>
    <s v="ORD001099"/>
    <s v="Sofía Gómez"/>
    <s v="sofía.gómez@mail.com"/>
    <x v="2"/>
    <s v="Braga"/>
    <x v="0"/>
    <x v="0"/>
    <n v="5"/>
    <n v="294.55"/>
    <n v="1472.75"/>
    <x v="10"/>
    <x v="2"/>
    <x v="615"/>
    <x v="0"/>
  </r>
  <r>
    <s v="ORD001100"/>
    <s v="Javier García"/>
    <s v="javier.garcía@mail.com"/>
    <x v="4"/>
    <s v="París"/>
    <x v="0"/>
    <x v="0"/>
    <n v="4"/>
    <n v="1123.44"/>
    <n v="4493.76"/>
    <x v="1"/>
    <x v="1"/>
    <x v="616"/>
    <x v="4"/>
  </r>
  <r>
    <s v="ORD001101"/>
    <s v="Miguel Torres"/>
    <s v="miguel.torres@mail.com"/>
    <x v="1"/>
    <s v="Berlín"/>
    <x v="3"/>
    <x v="15"/>
    <n v="2"/>
    <n v="159.07"/>
    <n v="318.14"/>
    <x v="0"/>
    <x v="1"/>
    <x v="407"/>
    <x v="4"/>
  </r>
  <r>
    <s v="ORD001102"/>
    <s v="Raúl Rodríguez"/>
    <s v="raúl.rodríguez@mail.com"/>
    <x v="0"/>
    <s v="Madrid"/>
    <x v="1"/>
    <x v="6"/>
    <n v="3"/>
    <n v="1162.96"/>
    <n v="3488.88"/>
    <x v="10"/>
    <x v="2"/>
    <x v="199"/>
    <x v="1"/>
  </r>
  <r>
    <s v="ORD001103"/>
    <s v="Raúl Rodríguez"/>
    <s v="raúl.rodríguez@mail.com"/>
    <x v="3"/>
    <s v="Nápoles"/>
    <x v="3"/>
    <x v="4"/>
    <n v="3"/>
    <n v="85.88"/>
    <n v="257.64"/>
    <x v="9"/>
    <x v="0"/>
    <x v="508"/>
    <x v="3"/>
  </r>
  <r>
    <s v="ORD001104"/>
    <s v="Diego Torres"/>
    <s v="diego.torres@mail.com"/>
    <x v="1"/>
    <s v="Berlín"/>
    <x v="1"/>
    <x v="12"/>
    <n v="4"/>
    <n v="641.92999999999995"/>
    <n v="2567.7199999999998"/>
    <x v="4"/>
    <x v="0"/>
    <x v="617"/>
    <x v="2"/>
  </r>
  <r>
    <s v="ORD001105"/>
    <s v="Pedro Martínez"/>
    <s v="pedro.martínez@mail.com"/>
    <x v="1"/>
    <s v="Hamburgo"/>
    <x v="0"/>
    <x v="16"/>
    <n v="1"/>
    <n v="372.48"/>
    <n v="372.48"/>
    <x v="7"/>
    <x v="0"/>
    <x v="576"/>
    <x v="4"/>
  </r>
  <r>
    <s v="ORD001106"/>
    <s v="Luis Fernández"/>
    <s v="luis.fernández@mail.com"/>
    <x v="2"/>
    <s v="Lisboa"/>
    <x v="3"/>
    <x v="18"/>
    <n v="3"/>
    <n v="239.22"/>
    <n v="717.66"/>
    <x v="5"/>
    <x v="2"/>
    <x v="269"/>
    <x v="4"/>
  </r>
  <r>
    <s v="ORD001107"/>
    <s v="Carlos Navarro"/>
    <s v="carlos.navarro@mail.com"/>
    <x v="2"/>
    <s v="Braga"/>
    <x v="1"/>
    <x v="6"/>
    <n v="1"/>
    <n v="1322.61"/>
    <n v="1322.61"/>
    <x v="10"/>
    <x v="0"/>
    <x v="618"/>
    <x v="0"/>
  </r>
  <r>
    <s v="ORD001108"/>
    <s v="Miguel Martínez"/>
    <s v="miguel.martínez@mail.com"/>
    <x v="1"/>
    <s v="Múnich"/>
    <x v="0"/>
    <x v="17"/>
    <n v="5"/>
    <n v="1241.6400000000001"/>
    <n v="6208.2000000000007"/>
    <x v="9"/>
    <x v="0"/>
    <x v="541"/>
    <x v="4"/>
  </r>
  <r>
    <s v="ORD001109"/>
    <s v="María Ruiz"/>
    <s v="maría.ruiz@mail.com"/>
    <x v="3"/>
    <s v="Nápoles"/>
    <x v="1"/>
    <x v="12"/>
    <n v="2"/>
    <n v="855.88"/>
    <n v="1711.76"/>
    <x v="2"/>
    <x v="2"/>
    <x v="619"/>
    <x v="1"/>
  </r>
  <r>
    <s v="ORD001110"/>
    <s v="Pablo Ramos"/>
    <s v="pablo.ramos@mail.com"/>
    <x v="2"/>
    <s v="Lisboa"/>
    <x v="1"/>
    <x v="8"/>
    <n v="4"/>
    <n v="298.13"/>
    <n v="1192.52"/>
    <x v="0"/>
    <x v="1"/>
    <x v="9"/>
    <x v="0"/>
  </r>
  <r>
    <s v="ORD001111"/>
    <s v="María Vázquez"/>
    <s v="maría.vázquez@mail.com"/>
    <x v="3"/>
    <s v="Milán"/>
    <x v="0"/>
    <x v="17"/>
    <n v="3"/>
    <n v="1460.18"/>
    <n v="4380.54"/>
    <x v="0"/>
    <x v="0"/>
    <x v="620"/>
    <x v="0"/>
  </r>
  <r>
    <s v="ORD001112"/>
    <s v="Miguel Vázquez"/>
    <s v="miguel.vázquez@mail.com"/>
    <x v="2"/>
    <s v="Lisboa"/>
    <x v="1"/>
    <x v="2"/>
    <n v="3"/>
    <n v="395.66"/>
    <n v="1186.98"/>
    <x v="10"/>
    <x v="0"/>
    <x v="55"/>
    <x v="4"/>
  </r>
  <r>
    <s v="ORD001113"/>
    <s v="Miguel Martínez"/>
    <s v="miguel.martínez@mail.com"/>
    <x v="0"/>
    <s v="Bilbao"/>
    <x v="4"/>
    <x v="11"/>
    <n v="1"/>
    <n v="1246.6600000000001"/>
    <n v="1246.6600000000001"/>
    <x v="10"/>
    <x v="0"/>
    <x v="262"/>
    <x v="1"/>
  </r>
  <r>
    <s v="ORD001114"/>
    <s v="Carmen Díaz"/>
    <s v="carmen.díaz@mail.com"/>
    <x v="2"/>
    <s v="Braga"/>
    <x v="0"/>
    <x v="17"/>
    <n v="5"/>
    <n v="65.790000000000006"/>
    <n v="328.95000000000005"/>
    <x v="1"/>
    <x v="1"/>
    <x v="170"/>
    <x v="1"/>
  </r>
  <r>
    <s v="ORD001115"/>
    <s v="Carlos Torres"/>
    <s v="carlos.torres@mail.com"/>
    <x v="1"/>
    <s v="Múnich"/>
    <x v="4"/>
    <x v="14"/>
    <n v="3"/>
    <n v="1030.5899999999999"/>
    <n v="3091.7699999999995"/>
    <x v="1"/>
    <x v="0"/>
    <x v="173"/>
    <x v="1"/>
  </r>
  <r>
    <s v="ORD001116"/>
    <s v="Miguel Navarro"/>
    <s v="miguel.navarro@mail.com"/>
    <x v="0"/>
    <s v="Barcelona"/>
    <x v="0"/>
    <x v="16"/>
    <n v="1"/>
    <n v="72.06"/>
    <n v="72.06"/>
    <x v="6"/>
    <x v="0"/>
    <x v="414"/>
    <x v="2"/>
  </r>
  <r>
    <s v="ORD001117"/>
    <s v="Luis Martínez"/>
    <s v="luis.martínez@mail.com"/>
    <x v="3"/>
    <s v="Nápoles"/>
    <x v="0"/>
    <x v="17"/>
    <n v="1"/>
    <n v="1359.44"/>
    <n v="1359.44"/>
    <x v="3"/>
    <x v="0"/>
    <x v="621"/>
    <x v="4"/>
  </r>
  <r>
    <s v="ORD001118"/>
    <s v="Carlos Ruiz"/>
    <s v="carlos.ruiz@mail.com"/>
    <x v="3"/>
    <s v="Milán"/>
    <x v="4"/>
    <x v="21"/>
    <n v="2"/>
    <n v="984.8"/>
    <n v="1969.6"/>
    <x v="10"/>
    <x v="0"/>
    <x v="367"/>
    <x v="4"/>
  </r>
  <r>
    <s v="ORD001119"/>
    <s v="Irene Fernández"/>
    <s v="irene.fernández@mail.com"/>
    <x v="2"/>
    <s v="Oporto"/>
    <x v="3"/>
    <x v="4"/>
    <n v="5"/>
    <n v="275.37"/>
    <n v="1376.85"/>
    <x v="8"/>
    <x v="0"/>
    <x v="161"/>
    <x v="3"/>
  </r>
  <r>
    <s v="ORD001120"/>
    <s v="Ana López"/>
    <s v="ana.lópez@mail.com"/>
    <x v="1"/>
    <s v="Múnich"/>
    <x v="0"/>
    <x v="17"/>
    <n v="3"/>
    <n v="15.95"/>
    <n v="47.849999999999994"/>
    <x v="1"/>
    <x v="0"/>
    <x v="622"/>
    <x v="4"/>
  </r>
  <r>
    <s v="ORD001121"/>
    <s v="Sofía Sánchez"/>
    <s v="sofía.sánchez@mail.com"/>
    <x v="4"/>
    <s v="París"/>
    <x v="3"/>
    <x v="4"/>
    <n v="4"/>
    <n v="568.69000000000005"/>
    <n v="2274.7600000000002"/>
    <x v="8"/>
    <x v="1"/>
    <x v="218"/>
    <x v="0"/>
  </r>
  <r>
    <s v="ORD001122"/>
    <s v="Luis Torres"/>
    <s v="luis.torres@mail.com"/>
    <x v="3"/>
    <s v="Nápoles"/>
    <x v="0"/>
    <x v="16"/>
    <n v="5"/>
    <n v="670.9"/>
    <n v="3354.5"/>
    <x v="10"/>
    <x v="0"/>
    <x v="391"/>
    <x v="2"/>
  </r>
  <r>
    <s v="ORD001123"/>
    <s v="Lucía Gómez"/>
    <s v="lucía.gómez@mail.com"/>
    <x v="4"/>
    <s v="Lyon"/>
    <x v="1"/>
    <x v="8"/>
    <n v="3"/>
    <n v="1168.07"/>
    <n v="3504.21"/>
    <x v="3"/>
    <x v="1"/>
    <x v="90"/>
    <x v="4"/>
  </r>
  <r>
    <s v="ORD001124"/>
    <s v="Miguel Gómez"/>
    <s v="miguel.gómez@mail.com"/>
    <x v="4"/>
    <s v="Marsella"/>
    <x v="1"/>
    <x v="6"/>
    <n v="1"/>
    <n v="1378.94"/>
    <n v="1378.94"/>
    <x v="1"/>
    <x v="0"/>
    <x v="623"/>
    <x v="1"/>
  </r>
  <r>
    <s v="ORD001125"/>
    <s v="Ana Ramos"/>
    <s v="ana.ramos@mail.com"/>
    <x v="2"/>
    <s v="Lisboa"/>
    <x v="1"/>
    <x v="2"/>
    <n v="2"/>
    <n v="1317.84"/>
    <n v="2635.68"/>
    <x v="1"/>
    <x v="1"/>
    <x v="54"/>
    <x v="3"/>
  </r>
  <r>
    <s v="ORD001126"/>
    <s v="Javier Sánchez"/>
    <s v="javier.sánchez@mail.com"/>
    <x v="1"/>
    <s v="Múnich"/>
    <x v="1"/>
    <x v="8"/>
    <n v="1"/>
    <n v="379.13"/>
    <n v="379.13"/>
    <x v="4"/>
    <x v="0"/>
    <x v="340"/>
    <x v="1"/>
  </r>
  <r>
    <s v="ORD001127"/>
    <s v="Sofía Gómez"/>
    <s v="sofía.gómez@mail.com"/>
    <x v="0"/>
    <s v="Barcelona"/>
    <x v="1"/>
    <x v="12"/>
    <n v="1"/>
    <n v="505.89"/>
    <n v="505.89"/>
    <x v="0"/>
    <x v="0"/>
    <x v="496"/>
    <x v="2"/>
  </r>
  <r>
    <s v="ORD001128"/>
    <s v="Irene Ramos"/>
    <s v="irene.ramos@mail.com"/>
    <x v="4"/>
    <s v="París"/>
    <x v="1"/>
    <x v="8"/>
    <n v="1"/>
    <n v="1064.76"/>
    <n v="1064.76"/>
    <x v="2"/>
    <x v="1"/>
    <x v="182"/>
    <x v="0"/>
  </r>
  <r>
    <s v="ORD001129"/>
    <s v="Laura Fernández"/>
    <s v="laura.fernández@mail.com"/>
    <x v="4"/>
    <s v="Lyon"/>
    <x v="2"/>
    <x v="9"/>
    <n v="4"/>
    <n v="977.54"/>
    <n v="3910.16"/>
    <x v="4"/>
    <x v="0"/>
    <x v="528"/>
    <x v="4"/>
  </r>
  <r>
    <s v="ORD001130"/>
    <s v="Laura Alonso"/>
    <s v="laura.alonso@mail.com"/>
    <x v="2"/>
    <s v="Braga"/>
    <x v="1"/>
    <x v="1"/>
    <n v="2"/>
    <n v="1206.92"/>
    <n v="2413.84"/>
    <x v="11"/>
    <x v="1"/>
    <x v="624"/>
    <x v="0"/>
  </r>
  <r>
    <s v="ORD001131"/>
    <s v="María Gil"/>
    <s v="maría.gil@mail.com"/>
    <x v="0"/>
    <s v="Barcelona"/>
    <x v="3"/>
    <x v="18"/>
    <n v="4"/>
    <n v="1121.78"/>
    <n v="4487.12"/>
    <x v="2"/>
    <x v="1"/>
    <x v="454"/>
    <x v="4"/>
  </r>
  <r>
    <s v="ORD001132"/>
    <s v="Elena Rodríguez"/>
    <s v="elena.rodríguez@mail.com"/>
    <x v="3"/>
    <s v="Nápoles"/>
    <x v="0"/>
    <x v="13"/>
    <n v="3"/>
    <n v="689.7"/>
    <n v="2069.1000000000004"/>
    <x v="3"/>
    <x v="0"/>
    <x v="360"/>
    <x v="2"/>
  </r>
  <r>
    <s v="ORD001133"/>
    <s v="Irene Alonso"/>
    <s v="irene.alonso@mail.com"/>
    <x v="3"/>
    <s v="Milán"/>
    <x v="2"/>
    <x v="10"/>
    <n v="4"/>
    <n v="1071.8599999999999"/>
    <n v="4287.4399999999996"/>
    <x v="9"/>
    <x v="0"/>
    <x v="625"/>
    <x v="1"/>
  </r>
  <r>
    <s v="ORD001134"/>
    <s v="Javier Pérez"/>
    <s v="javier.pérez@mail.com"/>
    <x v="3"/>
    <s v="Milán"/>
    <x v="2"/>
    <x v="9"/>
    <n v="1"/>
    <n v="1433.46"/>
    <n v="1433.46"/>
    <x v="4"/>
    <x v="0"/>
    <x v="564"/>
    <x v="0"/>
  </r>
  <r>
    <s v="ORD001135"/>
    <s v="Laura Fernández"/>
    <s v="laura.fernández@mail.com"/>
    <x v="3"/>
    <s v="Roma"/>
    <x v="4"/>
    <x v="23"/>
    <n v="2"/>
    <n v="870.08"/>
    <n v="1740.16"/>
    <x v="1"/>
    <x v="0"/>
    <x v="626"/>
    <x v="3"/>
  </r>
  <r>
    <s v="ORD001136"/>
    <s v="Irene Vázquez"/>
    <s v="irene.vázquez@mail.com"/>
    <x v="2"/>
    <s v="Oporto"/>
    <x v="2"/>
    <x v="19"/>
    <n v="2"/>
    <n v="20.3"/>
    <n v="40.6"/>
    <x v="10"/>
    <x v="2"/>
    <x v="627"/>
    <x v="1"/>
  </r>
  <r>
    <s v="ORD001137"/>
    <s v="María Alonso"/>
    <s v="maría.alonso@mail.com"/>
    <x v="4"/>
    <s v="París"/>
    <x v="2"/>
    <x v="9"/>
    <n v="3"/>
    <n v="1436.04"/>
    <n v="4308.12"/>
    <x v="7"/>
    <x v="0"/>
    <x v="628"/>
    <x v="1"/>
  </r>
  <r>
    <s v="ORD001138"/>
    <s v="Raúl García"/>
    <s v="raúl.garcía@mail.com"/>
    <x v="3"/>
    <s v="Roma"/>
    <x v="0"/>
    <x v="17"/>
    <n v="3"/>
    <n v="1041.73"/>
    <n v="3125.19"/>
    <x v="8"/>
    <x v="0"/>
    <x v="629"/>
    <x v="4"/>
  </r>
  <r>
    <s v="ORD001139"/>
    <s v="Lucía Martínez"/>
    <s v="lucía.martínez@mail.com"/>
    <x v="4"/>
    <s v="París"/>
    <x v="1"/>
    <x v="2"/>
    <n v="3"/>
    <n v="530.67999999999995"/>
    <n v="1592.04"/>
    <x v="5"/>
    <x v="0"/>
    <x v="87"/>
    <x v="0"/>
  </r>
  <r>
    <s v="ORD001140"/>
    <s v="Carmen Sánchez"/>
    <s v="carmen.sánchez@mail.com"/>
    <x v="4"/>
    <s v="Lyon"/>
    <x v="4"/>
    <x v="21"/>
    <n v="4"/>
    <n v="679.53"/>
    <n v="2718.12"/>
    <x v="5"/>
    <x v="2"/>
    <x v="269"/>
    <x v="0"/>
  </r>
  <r>
    <s v="ORD001141"/>
    <s v="María Ruiz"/>
    <s v="maría.ruiz@mail.com"/>
    <x v="1"/>
    <s v="Hamburgo"/>
    <x v="0"/>
    <x v="17"/>
    <n v="5"/>
    <n v="298.82"/>
    <n v="1494.1"/>
    <x v="8"/>
    <x v="1"/>
    <x v="485"/>
    <x v="1"/>
  </r>
  <r>
    <s v="ORD001142"/>
    <s v="Sofía Navarro"/>
    <s v="sofía.navarro@mail.com"/>
    <x v="1"/>
    <s v="Múnich"/>
    <x v="1"/>
    <x v="12"/>
    <n v="1"/>
    <n v="1122.95"/>
    <n v="1122.95"/>
    <x v="3"/>
    <x v="1"/>
    <x v="125"/>
    <x v="0"/>
  </r>
  <r>
    <s v="ORD001143"/>
    <s v="Irene Ramos"/>
    <s v="irene.ramos@mail.com"/>
    <x v="2"/>
    <s v="Lisboa"/>
    <x v="0"/>
    <x v="0"/>
    <n v="1"/>
    <n v="1142.19"/>
    <n v="1142.19"/>
    <x v="2"/>
    <x v="0"/>
    <x v="316"/>
    <x v="3"/>
  </r>
  <r>
    <s v="ORD001144"/>
    <s v="Carmen Navarro"/>
    <s v="carmen.navarro@mail.com"/>
    <x v="3"/>
    <s v="Nápoles"/>
    <x v="0"/>
    <x v="0"/>
    <n v="3"/>
    <n v="882.18"/>
    <n v="2646.54"/>
    <x v="9"/>
    <x v="0"/>
    <x v="206"/>
    <x v="0"/>
  </r>
  <r>
    <s v="ORD001145"/>
    <s v="Sofía García"/>
    <s v="sofía.garcía@mail.com"/>
    <x v="1"/>
    <s v="Hamburgo"/>
    <x v="4"/>
    <x v="22"/>
    <n v="5"/>
    <n v="1026.4100000000001"/>
    <n v="5132.05"/>
    <x v="6"/>
    <x v="0"/>
    <x v="543"/>
    <x v="3"/>
  </r>
  <r>
    <s v="ORD001146"/>
    <s v="Pablo Rodríguez"/>
    <s v="pablo.rodríguez@mail.com"/>
    <x v="0"/>
    <s v="Bilbao"/>
    <x v="0"/>
    <x v="16"/>
    <n v="5"/>
    <n v="1191.57"/>
    <n v="5957.8499999999995"/>
    <x v="10"/>
    <x v="2"/>
    <x v="291"/>
    <x v="2"/>
  </r>
  <r>
    <s v="ORD001147"/>
    <s v="Sofía Gil"/>
    <s v="sofía.gil@mail.com"/>
    <x v="3"/>
    <s v="Roma"/>
    <x v="0"/>
    <x v="16"/>
    <n v="4"/>
    <n v="914.43"/>
    <n v="3657.72"/>
    <x v="7"/>
    <x v="1"/>
    <x v="228"/>
    <x v="2"/>
  </r>
  <r>
    <s v="ORD001148"/>
    <s v="Sofía Gil"/>
    <s v="sofía.gil@mail.com"/>
    <x v="3"/>
    <s v="Milán"/>
    <x v="1"/>
    <x v="8"/>
    <n v="1"/>
    <n v="253.91"/>
    <n v="253.91"/>
    <x v="10"/>
    <x v="1"/>
    <x v="100"/>
    <x v="3"/>
  </r>
  <r>
    <s v="ORD001149"/>
    <s v="Diego Díaz"/>
    <s v="diego.díaz@mail.com"/>
    <x v="4"/>
    <s v="París"/>
    <x v="4"/>
    <x v="21"/>
    <n v="5"/>
    <n v="985.62"/>
    <n v="4928.1000000000004"/>
    <x v="3"/>
    <x v="1"/>
    <x v="630"/>
    <x v="3"/>
  </r>
  <r>
    <s v="ORD001150"/>
    <s v="Ana Fernández"/>
    <s v="ana.fernández@mail.com"/>
    <x v="0"/>
    <s v="Bilbao"/>
    <x v="0"/>
    <x v="16"/>
    <n v="5"/>
    <n v="492.6"/>
    <n v="2463"/>
    <x v="10"/>
    <x v="2"/>
    <x v="599"/>
    <x v="3"/>
  </r>
  <r>
    <s v="ORD001151"/>
    <s v="Elena Navarro"/>
    <s v="elena.navarro@mail.com"/>
    <x v="0"/>
    <s v="Bilbao"/>
    <x v="0"/>
    <x v="0"/>
    <n v="1"/>
    <n v="521.42999999999995"/>
    <n v="521.42999999999995"/>
    <x v="10"/>
    <x v="1"/>
    <x v="466"/>
    <x v="0"/>
  </r>
  <r>
    <s v="ORD001152"/>
    <s v="Carlos Rodríguez"/>
    <s v="carlos.rodríguez@mail.com"/>
    <x v="3"/>
    <s v="Roma"/>
    <x v="3"/>
    <x v="18"/>
    <n v="1"/>
    <n v="374.6"/>
    <n v="374.6"/>
    <x v="3"/>
    <x v="0"/>
    <x v="135"/>
    <x v="0"/>
  </r>
  <r>
    <s v="ORD001153"/>
    <s v="Diego Alonso"/>
    <s v="diego.alonso@mail.com"/>
    <x v="4"/>
    <s v="París"/>
    <x v="1"/>
    <x v="12"/>
    <n v="2"/>
    <n v="1147.9100000000001"/>
    <n v="2295.8200000000002"/>
    <x v="9"/>
    <x v="0"/>
    <x v="420"/>
    <x v="0"/>
  </r>
  <r>
    <s v="ORD001154"/>
    <s v="Sofía Ramos"/>
    <s v="sofía.ramos@mail.com"/>
    <x v="4"/>
    <s v="París"/>
    <x v="3"/>
    <x v="15"/>
    <n v="2"/>
    <n v="655.29"/>
    <n v="1310.58"/>
    <x v="7"/>
    <x v="0"/>
    <x v="557"/>
    <x v="1"/>
  </r>
  <r>
    <s v="ORD001155"/>
    <s v="Sofía Ruiz"/>
    <s v="sofía.ruiz@mail.com"/>
    <x v="3"/>
    <s v="Roma"/>
    <x v="2"/>
    <x v="9"/>
    <n v="2"/>
    <n v="612.12"/>
    <n v="1224.24"/>
    <x v="6"/>
    <x v="0"/>
    <x v="515"/>
    <x v="1"/>
  </r>
  <r>
    <s v="ORD001156"/>
    <s v="Javier Rodríguez"/>
    <s v="javier.rodríguez@mail.com"/>
    <x v="4"/>
    <s v="Marsella"/>
    <x v="4"/>
    <x v="14"/>
    <n v="2"/>
    <n v="782.77"/>
    <n v="1565.54"/>
    <x v="7"/>
    <x v="1"/>
    <x v="631"/>
    <x v="3"/>
  </r>
  <r>
    <s v="ORD001157"/>
    <s v="Ana Rodríguez"/>
    <s v="ana.rodríguez@mail.com"/>
    <x v="0"/>
    <s v="Madrid"/>
    <x v="3"/>
    <x v="4"/>
    <n v="3"/>
    <n v="441.34"/>
    <n v="1324.02"/>
    <x v="10"/>
    <x v="2"/>
    <x v="252"/>
    <x v="1"/>
  </r>
  <r>
    <s v="ORD001158"/>
    <s v="Raúl Rodríguez"/>
    <s v="raúl.rodríguez@mail.com"/>
    <x v="2"/>
    <s v="Lisboa"/>
    <x v="2"/>
    <x v="15"/>
    <n v="4"/>
    <n v="211.21"/>
    <n v="844.84"/>
    <x v="9"/>
    <x v="0"/>
    <x v="258"/>
    <x v="0"/>
  </r>
  <r>
    <s v="ORD001159"/>
    <s v="María Alonso"/>
    <s v="maría.alonso@mail.com"/>
    <x v="0"/>
    <s v="Madrid"/>
    <x v="4"/>
    <x v="21"/>
    <n v="3"/>
    <n v="1186.9100000000001"/>
    <n v="3560.7300000000005"/>
    <x v="2"/>
    <x v="2"/>
    <x v="359"/>
    <x v="0"/>
  </r>
  <r>
    <s v="ORD001160"/>
    <s v="Elena Ruiz"/>
    <s v="elena.ruiz@mail.com"/>
    <x v="4"/>
    <s v="París"/>
    <x v="0"/>
    <x v="20"/>
    <n v="4"/>
    <n v="1470.69"/>
    <n v="5882.76"/>
    <x v="0"/>
    <x v="1"/>
    <x v="570"/>
    <x v="4"/>
  </r>
  <r>
    <s v="ORD001161"/>
    <s v="Laura Martínez"/>
    <s v="laura.martínez@mail.com"/>
    <x v="0"/>
    <s v="Bilbao"/>
    <x v="1"/>
    <x v="8"/>
    <n v="2"/>
    <n v="1123.77"/>
    <n v="2247.54"/>
    <x v="4"/>
    <x v="1"/>
    <x v="472"/>
    <x v="4"/>
  </r>
  <r>
    <s v="ORD001162"/>
    <s v="Diego Fernández"/>
    <s v="diego.fernández@mail.com"/>
    <x v="0"/>
    <s v="Bilbao"/>
    <x v="1"/>
    <x v="2"/>
    <n v="1"/>
    <n v="11.36"/>
    <n v="11.36"/>
    <x v="5"/>
    <x v="1"/>
    <x v="8"/>
    <x v="3"/>
  </r>
  <r>
    <s v="ORD001163"/>
    <s v="Lucía López"/>
    <s v="lucía.lópez@mail.com"/>
    <x v="3"/>
    <s v="Milán"/>
    <x v="4"/>
    <x v="22"/>
    <n v="1"/>
    <n v="1458.24"/>
    <n v="1458.24"/>
    <x v="9"/>
    <x v="0"/>
    <x v="353"/>
    <x v="1"/>
  </r>
  <r>
    <s v="ORD001164"/>
    <s v="Ana Torres"/>
    <s v="ana.torres@mail.com"/>
    <x v="3"/>
    <s v="Nápoles"/>
    <x v="3"/>
    <x v="18"/>
    <n v="1"/>
    <n v="646.91999999999996"/>
    <n v="646.91999999999996"/>
    <x v="10"/>
    <x v="1"/>
    <x v="632"/>
    <x v="3"/>
  </r>
  <r>
    <s v="ORD001165"/>
    <s v="Javier Pérez"/>
    <s v="javier.pérez@mail.com"/>
    <x v="3"/>
    <s v="Nápoles"/>
    <x v="2"/>
    <x v="15"/>
    <n v="5"/>
    <n v="407.1"/>
    <n v="2035.5"/>
    <x v="10"/>
    <x v="0"/>
    <x v="352"/>
    <x v="2"/>
  </r>
  <r>
    <s v="ORD001166"/>
    <s v="Lucía Gómez"/>
    <s v="lucía.gómez@mail.com"/>
    <x v="2"/>
    <s v="Oporto"/>
    <x v="2"/>
    <x v="9"/>
    <n v="3"/>
    <n v="792.03"/>
    <n v="2376.09"/>
    <x v="9"/>
    <x v="0"/>
    <x v="142"/>
    <x v="1"/>
  </r>
  <r>
    <s v="ORD001167"/>
    <s v="María García"/>
    <s v="maría.garcía@mail.com"/>
    <x v="1"/>
    <s v="Múnich"/>
    <x v="3"/>
    <x v="15"/>
    <n v="4"/>
    <n v="151.97"/>
    <n v="607.88"/>
    <x v="5"/>
    <x v="0"/>
    <x v="586"/>
    <x v="2"/>
  </r>
  <r>
    <s v="ORD001168"/>
    <s v="Luis Ruiz"/>
    <s v="luis.ruiz@mail.com"/>
    <x v="2"/>
    <s v="Braga"/>
    <x v="2"/>
    <x v="15"/>
    <n v="2"/>
    <n v="225.39"/>
    <n v="450.78"/>
    <x v="5"/>
    <x v="1"/>
    <x v="473"/>
    <x v="4"/>
  </r>
  <r>
    <s v="ORD001169"/>
    <s v="Pedro Alonso"/>
    <s v="pedro.alonso@mail.com"/>
    <x v="1"/>
    <s v="Berlín"/>
    <x v="4"/>
    <x v="21"/>
    <n v="2"/>
    <n v="449.2"/>
    <n v="898.4"/>
    <x v="4"/>
    <x v="1"/>
    <x v="633"/>
    <x v="2"/>
  </r>
  <r>
    <s v="ORD001170"/>
    <s v="Raúl Rodríguez"/>
    <s v="raúl.rodríguez@mail.com"/>
    <x v="3"/>
    <s v="Milán"/>
    <x v="0"/>
    <x v="13"/>
    <n v="5"/>
    <n v="497.94"/>
    <n v="2489.6999999999998"/>
    <x v="5"/>
    <x v="2"/>
    <x v="231"/>
    <x v="2"/>
  </r>
  <r>
    <s v="ORD001171"/>
    <s v="Lucía Torres"/>
    <s v="lucía.torres@mail.com"/>
    <x v="3"/>
    <s v="Roma"/>
    <x v="0"/>
    <x v="13"/>
    <n v="5"/>
    <n v="86.95"/>
    <n v="434.75"/>
    <x v="8"/>
    <x v="1"/>
    <x v="539"/>
    <x v="1"/>
  </r>
  <r>
    <s v="ORD001172"/>
    <s v="Raúl Ramos"/>
    <s v="raúl.ramos@mail.com"/>
    <x v="3"/>
    <s v="Roma"/>
    <x v="2"/>
    <x v="9"/>
    <n v="1"/>
    <n v="585.16999999999996"/>
    <n v="585.16999999999996"/>
    <x v="5"/>
    <x v="1"/>
    <x v="292"/>
    <x v="0"/>
  </r>
  <r>
    <s v="ORD001173"/>
    <s v="Laura Navarro"/>
    <s v="laura.navarro@mail.com"/>
    <x v="3"/>
    <s v="Nápoles"/>
    <x v="2"/>
    <x v="3"/>
    <n v="3"/>
    <n v="1374.42"/>
    <n v="4123.26"/>
    <x v="10"/>
    <x v="1"/>
    <x v="200"/>
    <x v="3"/>
  </r>
  <r>
    <s v="ORD001174"/>
    <s v="Carmen Gil"/>
    <s v="carmen.gil@mail.com"/>
    <x v="2"/>
    <s v="Lisboa"/>
    <x v="0"/>
    <x v="16"/>
    <n v="3"/>
    <n v="522.64"/>
    <n v="1567.92"/>
    <x v="3"/>
    <x v="0"/>
    <x v="403"/>
    <x v="3"/>
  </r>
  <r>
    <s v="ORD001175"/>
    <s v="Sofía Gil"/>
    <s v="sofía.gil@mail.com"/>
    <x v="3"/>
    <s v="Roma"/>
    <x v="3"/>
    <x v="15"/>
    <n v="1"/>
    <n v="866.12"/>
    <n v="866.12"/>
    <x v="10"/>
    <x v="0"/>
    <x v="59"/>
    <x v="2"/>
  </r>
  <r>
    <s v="ORD001176"/>
    <s v="Irene Martínez"/>
    <s v="irene.martínez@mail.com"/>
    <x v="3"/>
    <s v="Roma"/>
    <x v="4"/>
    <x v="11"/>
    <n v="3"/>
    <n v="1279.55"/>
    <n v="3838.6499999999996"/>
    <x v="2"/>
    <x v="1"/>
    <x v="349"/>
    <x v="3"/>
  </r>
  <r>
    <s v="ORD001177"/>
    <s v="Ana López"/>
    <s v="ana.lópez@mail.com"/>
    <x v="2"/>
    <s v="Lisboa"/>
    <x v="0"/>
    <x v="16"/>
    <n v="3"/>
    <n v="1492.75"/>
    <n v="4478.25"/>
    <x v="6"/>
    <x v="0"/>
    <x v="51"/>
    <x v="3"/>
  </r>
  <r>
    <s v="ORD001178"/>
    <s v="Elena Gil"/>
    <s v="elena.gil@mail.com"/>
    <x v="0"/>
    <s v="Madrid"/>
    <x v="1"/>
    <x v="2"/>
    <n v="1"/>
    <n v="749.39"/>
    <n v="749.39"/>
    <x v="4"/>
    <x v="0"/>
    <x v="171"/>
    <x v="1"/>
  </r>
  <r>
    <s v="ORD001179"/>
    <s v="Carlos Vázquez"/>
    <s v="carlos.vázquez@mail.com"/>
    <x v="1"/>
    <s v="Múnich"/>
    <x v="0"/>
    <x v="13"/>
    <n v="3"/>
    <n v="1252.78"/>
    <n v="3758.34"/>
    <x v="8"/>
    <x v="0"/>
    <x v="634"/>
    <x v="0"/>
  </r>
  <r>
    <s v="ORD001180"/>
    <s v="Carmen Ramos"/>
    <s v="carmen.ramos@mail.com"/>
    <x v="2"/>
    <s v="Oporto"/>
    <x v="1"/>
    <x v="2"/>
    <n v="2"/>
    <n v="1118.99"/>
    <n v="2237.98"/>
    <x v="7"/>
    <x v="1"/>
    <x v="23"/>
    <x v="0"/>
  </r>
  <r>
    <s v="ORD001181"/>
    <s v="Diego Pérez"/>
    <s v="diego.pérez@mail.com"/>
    <x v="0"/>
    <s v="Bilbao"/>
    <x v="1"/>
    <x v="12"/>
    <n v="1"/>
    <n v="305.04000000000002"/>
    <n v="305.04000000000002"/>
    <x v="10"/>
    <x v="1"/>
    <x v="100"/>
    <x v="1"/>
  </r>
  <r>
    <s v="ORD001182"/>
    <s v="Laura Sánchez"/>
    <s v="laura.sánchez@mail.com"/>
    <x v="4"/>
    <s v="Lyon"/>
    <x v="2"/>
    <x v="9"/>
    <n v="1"/>
    <n v="1429.33"/>
    <n v="1429.33"/>
    <x v="0"/>
    <x v="0"/>
    <x v="225"/>
    <x v="0"/>
  </r>
  <r>
    <s v="ORD001183"/>
    <s v="Ana Ramos"/>
    <s v="ana.ramos@mail.com"/>
    <x v="1"/>
    <s v="Hamburgo"/>
    <x v="4"/>
    <x v="14"/>
    <n v="2"/>
    <n v="1216.3699999999999"/>
    <n v="2432.7399999999998"/>
    <x v="10"/>
    <x v="1"/>
    <x v="381"/>
    <x v="3"/>
  </r>
  <r>
    <s v="ORD001184"/>
    <s v="María Alonso"/>
    <s v="maría.alonso@mail.com"/>
    <x v="1"/>
    <s v="Hamburgo"/>
    <x v="4"/>
    <x v="22"/>
    <n v="5"/>
    <n v="990.09"/>
    <n v="4950.45"/>
    <x v="8"/>
    <x v="1"/>
    <x v="210"/>
    <x v="1"/>
  </r>
  <r>
    <s v="ORD001185"/>
    <s v="Luis López"/>
    <s v="luis.lópez@mail.com"/>
    <x v="0"/>
    <s v="Valencia"/>
    <x v="2"/>
    <x v="10"/>
    <n v="5"/>
    <n v="663.12"/>
    <n v="3315.6"/>
    <x v="0"/>
    <x v="0"/>
    <x v="264"/>
    <x v="3"/>
  </r>
  <r>
    <s v="ORD001186"/>
    <s v="Irene Martínez"/>
    <s v="irene.martínez@mail.com"/>
    <x v="0"/>
    <s v="Madrid"/>
    <x v="0"/>
    <x v="17"/>
    <n v="1"/>
    <n v="1331"/>
    <n v="1331"/>
    <x v="9"/>
    <x v="0"/>
    <x v="635"/>
    <x v="4"/>
  </r>
  <r>
    <s v="ORD001187"/>
    <s v="Raúl Fernández"/>
    <s v="raúl.fernández@mail.com"/>
    <x v="0"/>
    <s v="Sevilla"/>
    <x v="3"/>
    <x v="15"/>
    <n v="4"/>
    <n v="1252.45"/>
    <n v="5009.8"/>
    <x v="0"/>
    <x v="0"/>
    <x v="225"/>
    <x v="0"/>
  </r>
  <r>
    <s v="ORD001188"/>
    <s v="Pedro Torres"/>
    <s v="pedro.torres@mail.com"/>
    <x v="2"/>
    <s v="Oporto"/>
    <x v="2"/>
    <x v="10"/>
    <n v="3"/>
    <n v="874.9"/>
    <n v="2624.7"/>
    <x v="5"/>
    <x v="0"/>
    <x v="219"/>
    <x v="1"/>
  </r>
  <r>
    <s v="ORD001189"/>
    <s v="Ana Díaz"/>
    <s v="ana.díaz@mail.com"/>
    <x v="2"/>
    <s v="Oporto"/>
    <x v="0"/>
    <x v="16"/>
    <n v="5"/>
    <n v="350.3"/>
    <n v="1751.5"/>
    <x v="1"/>
    <x v="0"/>
    <x v="595"/>
    <x v="4"/>
  </r>
  <r>
    <s v="ORD001190"/>
    <s v="Luis Ruiz"/>
    <s v="luis.ruiz@mail.com"/>
    <x v="4"/>
    <s v="Lyon"/>
    <x v="3"/>
    <x v="15"/>
    <n v="4"/>
    <n v="1080.22"/>
    <n v="4320.88"/>
    <x v="1"/>
    <x v="0"/>
    <x v="400"/>
    <x v="3"/>
  </r>
  <r>
    <s v="ORD001191"/>
    <s v="Javier Navarro"/>
    <s v="javier.navarro@mail.com"/>
    <x v="4"/>
    <s v="París"/>
    <x v="4"/>
    <x v="22"/>
    <n v="1"/>
    <n v="907.84"/>
    <n v="907.84"/>
    <x v="3"/>
    <x v="1"/>
    <x v="465"/>
    <x v="3"/>
  </r>
  <r>
    <s v="ORD001192"/>
    <s v="Sofía Gil"/>
    <s v="sofía.gil@mail.com"/>
    <x v="4"/>
    <s v="París"/>
    <x v="4"/>
    <x v="14"/>
    <n v="3"/>
    <n v="1321.2"/>
    <n v="3963.6000000000004"/>
    <x v="1"/>
    <x v="0"/>
    <x v="636"/>
    <x v="1"/>
  </r>
  <r>
    <s v="ORD001193"/>
    <s v="Javier Alonso"/>
    <s v="javier.alonso@mail.com"/>
    <x v="2"/>
    <s v="Oporto"/>
    <x v="4"/>
    <x v="21"/>
    <n v="5"/>
    <n v="667.41"/>
    <n v="3337.0499999999997"/>
    <x v="4"/>
    <x v="1"/>
    <x v="58"/>
    <x v="4"/>
  </r>
  <r>
    <s v="ORD001194"/>
    <s v="Carmen Gil"/>
    <s v="carmen.gil@mail.com"/>
    <x v="3"/>
    <s v="Nápoles"/>
    <x v="0"/>
    <x v="17"/>
    <n v="3"/>
    <n v="1370.24"/>
    <n v="4110.72"/>
    <x v="0"/>
    <x v="1"/>
    <x v="570"/>
    <x v="0"/>
  </r>
  <r>
    <s v="ORD001195"/>
    <s v="Lucía Rodríguez"/>
    <s v="lucía.rodríguez@mail.com"/>
    <x v="2"/>
    <s v="Oporto"/>
    <x v="2"/>
    <x v="9"/>
    <n v="1"/>
    <n v="940.44"/>
    <n v="940.44"/>
    <x v="7"/>
    <x v="1"/>
    <x v="637"/>
    <x v="4"/>
  </r>
  <r>
    <s v="ORD001196"/>
    <s v="Laura Díaz"/>
    <s v="laura.díaz@mail.com"/>
    <x v="1"/>
    <s v="Berlín"/>
    <x v="3"/>
    <x v="7"/>
    <n v="5"/>
    <n v="784.23"/>
    <n v="3921.15"/>
    <x v="2"/>
    <x v="1"/>
    <x v="504"/>
    <x v="3"/>
  </r>
  <r>
    <s v="ORD001197"/>
    <s v="María Rodríguez"/>
    <s v="maría.rodríguez@mail.com"/>
    <x v="2"/>
    <s v="Oporto"/>
    <x v="4"/>
    <x v="14"/>
    <n v="3"/>
    <n v="538.27"/>
    <n v="1614.81"/>
    <x v="3"/>
    <x v="0"/>
    <x v="638"/>
    <x v="1"/>
  </r>
  <r>
    <s v="ORD001198"/>
    <s v="Sofía Sánchez"/>
    <s v="sofía.sánchez@mail.com"/>
    <x v="3"/>
    <s v="Nápoles"/>
    <x v="3"/>
    <x v="18"/>
    <n v="1"/>
    <n v="61.73"/>
    <n v="61.73"/>
    <x v="9"/>
    <x v="0"/>
    <x v="353"/>
    <x v="2"/>
  </r>
  <r>
    <s v="ORD001199"/>
    <s v="Luis Ruiz"/>
    <s v="luis.ruiz@mail.com"/>
    <x v="4"/>
    <s v="París"/>
    <x v="1"/>
    <x v="8"/>
    <n v="3"/>
    <n v="432.97"/>
    <n v="1298.9100000000001"/>
    <x v="8"/>
    <x v="0"/>
    <x v="639"/>
    <x v="3"/>
  </r>
  <r>
    <s v="ORD001200"/>
    <s v="Irene Ruiz"/>
    <s v="irene.ruiz@mail.com"/>
    <x v="1"/>
    <s v="Hamburgo"/>
    <x v="4"/>
    <x v="14"/>
    <n v="1"/>
    <n v="641.04"/>
    <n v="641.04"/>
    <x v="0"/>
    <x v="0"/>
    <x v="225"/>
    <x v="2"/>
  </r>
  <r>
    <s v="ORD001201"/>
    <s v="Carmen Sánchez"/>
    <s v="carmen.sánchez@mail.com"/>
    <x v="0"/>
    <s v="Madrid"/>
    <x v="1"/>
    <x v="6"/>
    <n v="1"/>
    <n v="1070.8699999999999"/>
    <n v="1070.8699999999999"/>
    <x v="9"/>
    <x v="0"/>
    <x v="420"/>
    <x v="1"/>
  </r>
  <r>
    <s v="ORD001202"/>
    <s v="Irene Fernández"/>
    <s v="irene.fernández@mail.com"/>
    <x v="2"/>
    <s v="Braga"/>
    <x v="1"/>
    <x v="1"/>
    <n v="5"/>
    <n v="1059.02"/>
    <n v="5295.1"/>
    <x v="2"/>
    <x v="2"/>
    <x v="2"/>
    <x v="0"/>
  </r>
  <r>
    <s v="ORD001203"/>
    <s v="Miguel Fernández"/>
    <s v="miguel.fernández@mail.com"/>
    <x v="4"/>
    <s v="Marsella"/>
    <x v="1"/>
    <x v="1"/>
    <n v="3"/>
    <n v="445.54"/>
    <n v="1336.6200000000001"/>
    <x v="10"/>
    <x v="2"/>
    <x v="640"/>
    <x v="2"/>
  </r>
  <r>
    <s v="ORD001204"/>
    <s v="Laura Ruiz"/>
    <s v="laura.ruiz@mail.com"/>
    <x v="4"/>
    <s v="Lyon"/>
    <x v="0"/>
    <x v="20"/>
    <n v="2"/>
    <n v="908.54"/>
    <n v="1817.08"/>
    <x v="4"/>
    <x v="0"/>
    <x v="460"/>
    <x v="0"/>
  </r>
  <r>
    <s v="ORD001205"/>
    <s v="Luis López"/>
    <s v="luis.lópez@mail.com"/>
    <x v="4"/>
    <s v="Lyon"/>
    <x v="3"/>
    <x v="15"/>
    <n v="3"/>
    <n v="883.37"/>
    <n v="2650.11"/>
    <x v="7"/>
    <x v="0"/>
    <x v="641"/>
    <x v="2"/>
  </r>
  <r>
    <s v="ORD001206"/>
    <s v="Carlos Ramos"/>
    <s v="carlos.ramos@mail.com"/>
    <x v="2"/>
    <s v="Braga"/>
    <x v="1"/>
    <x v="2"/>
    <n v="2"/>
    <n v="125.6"/>
    <n v="251.2"/>
    <x v="4"/>
    <x v="0"/>
    <x v="25"/>
    <x v="4"/>
  </r>
  <r>
    <s v="ORD001207"/>
    <s v="Carmen Martínez"/>
    <s v="carmen.martínez@mail.com"/>
    <x v="3"/>
    <s v="Roma"/>
    <x v="4"/>
    <x v="14"/>
    <n v="4"/>
    <n v="1480.3"/>
    <n v="5921.2"/>
    <x v="2"/>
    <x v="2"/>
    <x v="436"/>
    <x v="2"/>
  </r>
  <r>
    <s v="ORD001208"/>
    <s v="Laura Navarro"/>
    <s v="laura.navarro@mail.com"/>
    <x v="1"/>
    <s v="Berlín"/>
    <x v="2"/>
    <x v="3"/>
    <n v="5"/>
    <n v="288.2"/>
    <n v="1441"/>
    <x v="3"/>
    <x v="1"/>
    <x v="325"/>
    <x v="0"/>
  </r>
  <r>
    <s v="ORD001209"/>
    <s v="Luis López"/>
    <s v="luis.lópez@mail.com"/>
    <x v="2"/>
    <s v="Braga"/>
    <x v="2"/>
    <x v="3"/>
    <n v="3"/>
    <n v="587.5"/>
    <n v="1762.5"/>
    <x v="9"/>
    <x v="1"/>
    <x v="642"/>
    <x v="3"/>
  </r>
  <r>
    <s v="ORD001210"/>
    <s v="Pablo Pérez"/>
    <s v="pablo.pérez@mail.com"/>
    <x v="2"/>
    <s v="Braga"/>
    <x v="4"/>
    <x v="14"/>
    <n v="4"/>
    <n v="708.14"/>
    <n v="2832.56"/>
    <x v="2"/>
    <x v="1"/>
    <x v="643"/>
    <x v="2"/>
  </r>
  <r>
    <s v="ORD001211"/>
    <s v="Diego Sánchez"/>
    <s v="diego.sánchez@mail.com"/>
    <x v="3"/>
    <s v="Milán"/>
    <x v="2"/>
    <x v="15"/>
    <n v="2"/>
    <n v="581.30999999999995"/>
    <n v="1162.6199999999999"/>
    <x v="4"/>
    <x v="0"/>
    <x v="435"/>
    <x v="4"/>
  </r>
  <r>
    <s v="ORD001212"/>
    <s v="Luis Rodríguez"/>
    <s v="luis.rodríguez@mail.com"/>
    <x v="2"/>
    <s v="Lisboa"/>
    <x v="4"/>
    <x v="21"/>
    <n v="3"/>
    <n v="1168.45"/>
    <n v="3505.3500000000004"/>
    <x v="10"/>
    <x v="2"/>
    <x v="119"/>
    <x v="0"/>
  </r>
  <r>
    <s v="ORD001213"/>
    <s v="Laura Pérez"/>
    <s v="laura.pérez@mail.com"/>
    <x v="3"/>
    <s v="Roma"/>
    <x v="1"/>
    <x v="2"/>
    <n v="3"/>
    <n v="179.2"/>
    <n v="537.59999999999991"/>
    <x v="3"/>
    <x v="1"/>
    <x v="40"/>
    <x v="3"/>
  </r>
  <r>
    <s v="ORD001214"/>
    <s v="Sofía Martínez"/>
    <s v="sofía.martínez@mail.com"/>
    <x v="2"/>
    <s v="Oporto"/>
    <x v="0"/>
    <x v="20"/>
    <n v="1"/>
    <n v="1463.65"/>
    <n v="1463.65"/>
    <x v="8"/>
    <x v="1"/>
    <x v="584"/>
    <x v="1"/>
  </r>
  <r>
    <s v="ORD001215"/>
    <s v="Raúl Alonso"/>
    <s v="raúl.alonso@mail.com"/>
    <x v="0"/>
    <s v="Madrid"/>
    <x v="3"/>
    <x v="15"/>
    <n v="4"/>
    <n v="561.64"/>
    <n v="2246.56"/>
    <x v="2"/>
    <x v="1"/>
    <x v="454"/>
    <x v="3"/>
  </r>
  <r>
    <s v="ORD001216"/>
    <s v="Javier Gil"/>
    <s v="javier.gil@mail.com"/>
    <x v="4"/>
    <s v="París"/>
    <x v="1"/>
    <x v="8"/>
    <n v="4"/>
    <n v="1046.51"/>
    <n v="4186.04"/>
    <x v="10"/>
    <x v="2"/>
    <x v="644"/>
    <x v="1"/>
  </r>
  <r>
    <s v="ORD001217"/>
    <s v="Irene Vázquez"/>
    <s v="irene.vázquez@mail.com"/>
    <x v="2"/>
    <s v="Oporto"/>
    <x v="3"/>
    <x v="5"/>
    <n v="3"/>
    <n v="1011.97"/>
    <n v="3035.91"/>
    <x v="2"/>
    <x v="2"/>
    <x v="645"/>
    <x v="0"/>
  </r>
  <r>
    <s v="ORD001218"/>
    <s v="Carlos García"/>
    <s v="carlos.garcía@mail.com"/>
    <x v="4"/>
    <s v="París"/>
    <x v="2"/>
    <x v="19"/>
    <n v="2"/>
    <n v="690.96"/>
    <n v="1381.92"/>
    <x v="5"/>
    <x v="0"/>
    <x v="510"/>
    <x v="0"/>
  </r>
  <r>
    <s v="ORD001219"/>
    <s v="Ana Torres"/>
    <s v="ana.torres@mail.com"/>
    <x v="1"/>
    <s v="Múnich"/>
    <x v="4"/>
    <x v="14"/>
    <n v="3"/>
    <n v="116.71"/>
    <n v="350.13"/>
    <x v="7"/>
    <x v="0"/>
    <x v="62"/>
    <x v="4"/>
  </r>
  <r>
    <s v="ORD001220"/>
    <s v="Pablo Sánchez"/>
    <s v="pablo.sánchez@mail.com"/>
    <x v="2"/>
    <s v="Braga"/>
    <x v="4"/>
    <x v="22"/>
    <n v="4"/>
    <n v="1153.3800000000001"/>
    <n v="4613.5200000000004"/>
    <x v="0"/>
    <x v="1"/>
    <x v="468"/>
    <x v="3"/>
  </r>
  <r>
    <s v="ORD001221"/>
    <s v="Raúl Torres"/>
    <s v="raúl.torres@mail.com"/>
    <x v="4"/>
    <s v="París"/>
    <x v="0"/>
    <x v="17"/>
    <n v="2"/>
    <n v="1472.11"/>
    <n v="2944.22"/>
    <x v="10"/>
    <x v="0"/>
    <x v="262"/>
    <x v="1"/>
  </r>
  <r>
    <s v="ORD001222"/>
    <s v="Raúl Ramos"/>
    <s v="raúl.ramos@mail.com"/>
    <x v="2"/>
    <s v="Oporto"/>
    <x v="0"/>
    <x v="17"/>
    <n v="4"/>
    <n v="891.2"/>
    <n v="3564.8"/>
    <x v="10"/>
    <x v="2"/>
    <x v="644"/>
    <x v="3"/>
  </r>
  <r>
    <s v="ORD001223"/>
    <s v="Carlos Martínez"/>
    <s v="carlos.martínez@mail.com"/>
    <x v="3"/>
    <s v="Roma"/>
    <x v="2"/>
    <x v="19"/>
    <n v="2"/>
    <n v="117.33"/>
    <n v="234.66"/>
    <x v="2"/>
    <x v="2"/>
    <x v="646"/>
    <x v="1"/>
  </r>
  <r>
    <s v="ORD001224"/>
    <s v="Sofía Navarro"/>
    <s v="sofía.navarro@mail.com"/>
    <x v="1"/>
    <s v="Hamburgo"/>
    <x v="4"/>
    <x v="11"/>
    <n v="3"/>
    <n v="729.44"/>
    <n v="2188.3200000000002"/>
    <x v="5"/>
    <x v="1"/>
    <x v="516"/>
    <x v="3"/>
  </r>
  <r>
    <s v="ORD001225"/>
    <s v="Elena Fernández"/>
    <s v="elena.fernández@mail.com"/>
    <x v="0"/>
    <s v="Bilbao"/>
    <x v="4"/>
    <x v="22"/>
    <n v="5"/>
    <n v="1276.92"/>
    <n v="6384.6"/>
    <x v="1"/>
    <x v="0"/>
    <x v="626"/>
    <x v="4"/>
  </r>
  <r>
    <s v="ORD001226"/>
    <s v="Elena Torres"/>
    <s v="elena.torres@mail.com"/>
    <x v="3"/>
    <s v="Roma"/>
    <x v="3"/>
    <x v="18"/>
    <n v="4"/>
    <n v="717.62"/>
    <n v="2870.48"/>
    <x v="6"/>
    <x v="1"/>
    <x v="647"/>
    <x v="2"/>
  </r>
  <r>
    <s v="ORD001227"/>
    <s v="Diego Alonso"/>
    <s v="diego.alonso@mail.com"/>
    <x v="0"/>
    <s v="Barcelona"/>
    <x v="4"/>
    <x v="11"/>
    <n v="5"/>
    <n v="1409.68"/>
    <n v="7048.4000000000005"/>
    <x v="6"/>
    <x v="0"/>
    <x v="26"/>
    <x v="4"/>
  </r>
  <r>
    <s v="ORD001228"/>
    <s v="Raúl Torres"/>
    <s v="raúl.torres@mail.com"/>
    <x v="3"/>
    <s v="Milán"/>
    <x v="1"/>
    <x v="8"/>
    <n v="1"/>
    <n v="255.27"/>
    <n v="255.27"/>
    <x v="5"/>
    <x v="2"/>
    <x v="96"/>
    <x v="3"/>
  </r>
  <r>
    <s v="ORD001229"/>
    <s v="Miguel Navarro"/>
    <s v="miguel.navarro@mail.com"/>
    <x v="3"/>
    <s v="Milán"/>
    <x v="1"/>
    <x v="6"/>
    <n v="5"/>
    <n v="669.5"/>
    <n v="3347.5"/>
    <x v="3"/>
    <x v="0"/>
    <x v="110"/>
    <x v="4"/>
  </r>
  <r>
    <s v="ORD001230"/>
    <s v="María López"/>
    <s v="maría.lópez@mail.com"/>
    <x v="4"/>
    <s v="París"/>
    <x v="4"/>
    <x v="21"/>
    <n v="2"/>
    <n v="769.94"/>
    <n v="1539.88"/>
    <x v="3"/>
    <x v="1"/>
    <x v="325"/>
    <x v="3"/>
  </r>
  <r>
    <s v="ORD001231"/>
    <s v="Ana Torres"/>
    <s v="ana.torres@mail.com"/>
    <x v="1"/>
    <s v="Berlín"/>
    <x v="3"/>
    <x v="18"/>
    <n v="1"/>
    <n v="971.39"/>
    <n v="971.39"/>
    <x v="3"/>
    <x v="0"/>
    <x v="596"/>
    <x v="3"/>
  </r>
  <r>
    <s v="ORD001232"/>
    <s v="Laura Torres"/>
    <s v="laura.torres@mail.com"/>
    <x v="4"/>
    <s v="Marsella"/>
    <x v="1"/>
    <x v="12"/>
    <n v="5"/>
    <n v="148.58000000000001"/>
    <n v="742.90000000000009"/>
    <x v="2"/>
    <x v="1"/>
    <x v="454"/>
    <x v="4"/>
  </r>
  <r>
    <s v="ORD001233"/>
    <s v="Carlos Torres"/>
    <s v="carlos.torres@mail.com"/>
    <x v="1"/>
    <s v="Berlín"/>
    <x v="4"/>
    <x v="22"/>
    <n v="1"/>
    <n v="1293.52"/>
    <n v="1293.52"/>
    <x v="1"/>
    <x v="1"/>
    <x v="602"/>
    <x v="4"/>
  </r>
  <r>
    <s v="ORD001234"/>
    <s v="Raúl Vázquez"/>
    <s v="raúl.vázquez@mail.com"/>
    <x v="0"/>
    <s v="Valencia"/>
    <x v="1"/>
    <x v="6"/>
    <n v="2"/>
    <n v="748.52"/>
    <n v="1497.04"/>
    <x v="5"/>
    <x v="0"/>
    <x v="487"/>
    <x v="0"/>
  </r>
  <r>
    <s v="ORD001235"/>
    <s v="Laura Gil"/>
    <s v="laura.gil@mail.com"/>
    <x v="4"/>
    <s v="París"/>
    <x v="4"/>
    <x v="14"/>
    <n v="5"/>
    <n v="903.42"/>
    <n v="4517.0999999999995"/>
    <x v="4"/>
    <x v="1"/>
    <x v="633"/>
    <x v="3"/>
  </r>
  <r>
    <s v="ORD001236"/>
    <s v="Pedro Alonso"/>
    <s v="pedro.alonso@mail.com"/>
    <x v="4"/>
    <s v="Lyon"/>
    <x v="2"/>
    <x v="19"/>
    <n v="5"/>
    <n v="468.4"/>
    <n v="2342"/>
    <x v="4"/>
    <x v="1"/>
    <x v="373"/>
    <x v="3"/>
  </r>
  <r>
    <s v="ORD001237"/>
    <s v="Pedro Ruiz"/>
    <s v="pedro.ruiz@mail.com"/>
    <x v="4"/>
    <s v="Lyon"/>
    <x v="0"/>
    <x v="0"/>
    <n v="2"/>
    <n v="584.70000000000005"/>
    <n v="1169.4000000000001"/>
    <x v="1"/>
    <x v="0"/>
    <x v="622"/>
    <x v="1"/>
  </r>
  <r>
    <s v="ORD001238"/>
    <s v="Lucía Ruiz"/>
    <s v="lucía.ruiz@mail.com"/>
    <x v="0"/>
    <s v="Madrid"/>
    <x v="0"/>
    <x v="16"/>
    <n v="2"/>
    <n v="1094.7"/>
    <n v="2189.4"/>
    <x v="0"/>
    <x v="1"/>
    <x v="648"/>
    <x v="1"/>
  </r>
  <r>
    <s v="ORD001239"/>
    <s v="Sofía Pérez"/>
    <s v="sofía.pérez@mail.com"/>
    <x v="2"/>
    <s v="Braga"/>
    <x v="3"/>
    <x v="15"/>
    <n v="1"/>
    <n v="360.44"/>
    <n v="360.44"/>
    <x v="6"/>
    <x v="1"/>
    <x v="649"/>
    <x v="1"/>
  </r>
  <r>
    <s v="ORD001240"/>
    <s v="Laura Gil"/>
    <s v="laura.gil@mail.com"/>
    <x v="3"/>
    <s v="Milán"/>
    <x v="3"/>
    <x v="7"/>
    <n v="5"/>
    <n v="479.66"/>
    <n v="2398.3000000000002"/>
    <x v="8"/>
    <x v="0"/>
    <x v="158"/>
    <x v="4"/>
  </r>
  <r>
    <s v="ORD001241"/>
    <s v="Pedro Gómez"/>
    <s v="pedro.gómez@mail.com"/>
    <x v="3"/>
    <s v="Nápoles"/>
    <x v="3"/>
    <x v="5"/>
    <n v="2"/>
    <n v="859.2"/>
    <n v="1718.4"/>
    <x v="5"/>
    <x v="2"/>
    <x v="319"/>
    <x v="2"/>
  </r>
  <r>
    <s v="ORD001242"/>
    <s v="Carlos Gómez"/>
    <s v="carlos.gómez@mail.com"/>
    <x v="4"/>
    <s v="París"/>
    <x v="0"/>
    <x v="17"/>
    <n v="5"/>
    <n v="1189.8599999999999"/>
    <n v="5949.2999999999993"/>
    <x v="11"/>
    <x v="0"/>
    <x v="441"/>
    <x v="0"/>
  </r>
  <r>
    <s v="ORD001243"/>
    <s v="Diego Alonso"/>
    <s v="diego.alonso@mail.com"/>
    <x v="2"/>
    <s v="Braga"/>
    <x v="4"/>
    <x v="22"/>
    <n v="2"/>
    <n v="982.36"/>
    <n v="1964.72"/>
    <x v="6"/>
    <x v="0"/>
    <x v="414"/>
    <x v="1"/>
  </r>
  <r>
    <s v="ORD001244"/>
    <s v="Miguel García"/>
    <s v="miguel.garcía@mail.com"/>
    <x v="4"/>
    <s v="Lyon"/>
    <x v="4"/>
    <x v="14"/>
    <n v="2"/>
    <n v="1410.05"/>
    <n v="2820.1"/>
    <x v="1"/>
    <x v="1"/>
    <x v="237"/>
    <x v="3"/>
  </r>
  <r>
    <s v="ORD001245"/>
    <s v="Irene García"/>
    <s v="irene.garcía@mail.com"/>
    <x v="1"/>
    <s v="Hamburgo"/>
    <x v="1"/>
    <x v="1"/>
    <n v="2"/>
    <n v="375.58"/>
    <n v="751.16"/>
    <x v="1"/>
    <x v="1"/>
    <x v="553"/>
    <x v="0"/>
  </r>
  <r>
    <s v="ORD001246"/>
    <s v="Lucía Ramos"/>
    <s v="lucía.ramos@mail.com"/>
    <x v="0"/>
    <s v="Madrid"/>
    <x v="1"/>
    <x v="1"/>
    <n v="2"/>
    <n v="968.03"/>
    <n v="1936.06"/>
    <x v="5"/>
    <x v="1"/>
    <x v="105"/>
    <x v="2"/>
  </r>
  <r>
    <s v="ORD001247"/>
    <s v="Luis Alonso"/>
    <s v="luis.alonso@mail.com"/>
    <x v="4"/>
    <s v="Lyon"/>
    <x v="2"/>
    <x v="15"/>
    <n v="2"/>
    <n v="356.81"/>
    <n v="713.62"/>
    <x v="1"/>
    <x v="0"/>
    <x v="650"/>
    <x v="4"/>
  </r>
  <r>
    <s v="ORD001248"/>
    <s v="Carmen Alonso"/>
    <s v="carmen.alonso@mail.com"/>
    <x v="0"/>
    <s v="Sevilla"/>
    <x v="1"/>
    <x v="8"/>
    <n v="1"/>
    <n v="1209.81"/>
    <n v="1209.81"/>
    <x v="1"/>
    <x v="0"/>
    <x v="623"/>
    <x v="0"/>
  </r>
  <r>
    <s v="ORD001249"/>
    <s v="Ana Pérez"/>
    <s v="ana.pérez@mail.com"/>
    <x v="1"/>
    <s v="Hamburgo"/>
    <x v="4"/>
    <x v="14"/>
    <n v="5"/>
    <n v="1397.74"/>
    <n v="6988.7"/>
    <x v="7"/>
    <x v="0"/>
    <x v="540"/>
    <x v="1"/>
  </r>
  <r>
    <s v="ORD001250"/>
    <s v="Raúl López"/>
    <s v="raúl.lópez@mail.com"/>
    <x v="3"/>
    <s v="Nápoles"/>
    <x v="2"/>
    <x v="10"/>
    <n v="1"/>
    <n v="121.39"/>
    <n v="121.39"/>
    <x v="7"/>
    <x v="1"/>
    <x v="651"/>
    <x v="2"/>
  </r>
  <r>
    <s v="ORD001251"/>
    <s v="Diego Alonso"/>
    <s v="diego.alonso@mail.com"/>
    <x v="0"/>
    <s v="Sevilla"/>
    <x v="1"/>
    <x v="8"/>
    <n v="3"/>
    <n v="1051.6300000000001"/>
    <n v="3154.8900000000003"/>
    <x v="10"/>
    <x v="2"/>
    <x v="345"/>
    <x v="0"/>
  </r>
  <r>
    <s v="ORD001252"/>
    <s v="Javier Ramos"/>
    <s v="javier.ramos@mail.com"/>
    <x v="4"/>
    <s v="Marsella"/>
    <x v="1"/>
    <x v="2"/>
    <n v="3"/>
    <n v="246.4"/>
    <n v="739.2"/>
    <x v="5"/>
    <x v="0"/>
    <x v="95"/>
    <x v="2"/>
  </r>
  <r>
    <s v="ORD001253"/>
    <s v="Raúl Gómez"/>
    <s v="raúl.gómez@mail.com"/>
    <x v="3"/>
    <s v="Milán"/>
    <x v="0"/>
    <x v="16"/>
    <n v="4"/>
    <n v="1019.25"/>
    <n v="4077"/>
    <x v="8"/>
    <x v="1"/>
    <x v="65"/>
    <x v="0"/>
  </r>
  <r>
    <s v="ORD001254"/>
    <s v="Raúl López"/>
    <s v="raúl.lópez@mail.com"/>
    <x v="0"/>
    <s v="Valencia"/>
    <x v="3"/>
    <x v="15"/>
    <n v="3"/>
    <n v="248"/>
    <n v="744"/>
    <x v="8"/>
    <x v="0"/>
    <x v="161"/>
    <x v="0"/>
  </r>
  <r>
    <s v="ORD001255"/>
    <s v="Carmen Pérez"/>
    <s v="carmen.pérez@mail.com"/>
    <x v="3"/>
    <s v="Roma"/>
    <x v="4"/>
    <x v="22"/>
    <n v="3"/>
    <n v="1091.6400000000001"/>
    <n v="3274.92"/>
    <x v="1"/>
    <x v="0"/>
    <x v="476"/>
    <x v="0"/>
  </r>
  <r>
    <s v="ORD001256"/>
    <s v="Javier Vázquez"/>
    <s v="javier.vázquez@mail.com"/>
    <x v="4"/>
    <s v="Marsella"/>
    <x v="2"/>
    <x v="15"/>
    <n v="1"/>
    <n v="1037.5999999999999"/>
    <n v="1037.5999999999999"/>
    <x v="0"/>
    <x v="0"/>
    <x v="6"/>
    <x v="2"/>
  </r>
  <r>
    <s v="ORD001257"/>
    <s v="Javier Torres"/>
    <s v="javier.torres@mail.com"/>
    <x v="1"/>
    <s v="Berlín"/>
    <x v="1"/>
    <x v="6"/>
    <n v="2"/>
    <n v="645.76"/>
    <n v="1291.52"/>
    <x v="10"/>
    <x v="1"/>
    <x v="288"/>
    <x v="3"/>
  </r>
  <r>
    <s v="ORD001258"/>
    <s v="Pedro Torres"/>
    <s v="pedro.torres@mail.com"/>
    <x v="0"/>
    <s v="Madrid"/>
    <x v="3"/>
    <x v="7"/>
    <n v="5"/>
    <n v="246.6"/>
    <n v="1233"/>
    <x v="8"/>
    <x v="0"/>
    <x v="286"/>
    <x v="4"/>
  </r>
  <r>
    <s v="ORD001259"/>
    <s v="Diego Vázquez"/>
    <s v="diego.vázquez@mail.com"/>
    <x v="2"/>
    <s v="Lisboa"/>
    <x v="3"/>
    <x v="7"/>
    <n v="3"/>
    <n v="1262.49"/>
    <n v="3787.4700000000003"/>
    <x v="5"/>
    <x v="2"/>
    <x v="143"/>
    <x v="3"/>
  </r>
  <r>
    <s v="ORD001260"/>
    <s v="Diego Ramos"/>
    <s v="diego.ramos@mail.com"/>
    <x v="0"/>
    <s v="Madrid"/>
    <x v="2"/>
    <x v="15"/>
    <n v="2"/>
    <n v="845.27"/>
    <n v="1690.54"/>
    <x v="11"/>
    <x v="0"/>
    <x v="126"/>
    <x v="4"/>
  </r>
  <r>
    <s v="ORD001261"/>
    <s v="Laura Torres"/>
    <s v="laura.torres@mail.com"/>
    <x v="0"/>
    <s v="Sevilla"/>
    <x v="2"/>
    <x v="19"/>
    <n v="5"/>
    <n v="106.23"/>
    <n v="531.15"/>
    <x v="5"/>
    <x v="2"/>
    <x v="652"/>
    <x v="3"/>
  </r>
  <r>
    <s v="ORD001262"/>
    <s v="Pedro Navarro"/>
    <s v="pedro.navarro@mail.com"/>
    <x v="0"/>
    <s v="Bilbao"/>
    <x v="0"/>
    <x v="20"/>
    <n v="5"/>
    <n v="490.39"/>
    <n v="2451.9499999999998"/>
    <x v="8"/>
    <x v="0"/>
    <x v="388"/>
    <x v="3"/>
  </r>
  <r>
    <s v="ORD001263"/>
    <s v="Carmen Sánchez"/>
    <s v="carmen.sánchez@mail.com"/>
    <x v="2"/>
    <s v="Oporto"/>
    <x v="4"/>
    <x v="11"/>
    <n v="3"/>
    <n v="143.82"/>
    <n v="431.46"/>
    <x v="9"/>
    <x v="1"/>
    <x v="20"/>
    <x v="2"/>
  </r>
  <r>
    <s v="ORD001264"/>
    <s v="Elena Sánchez"/>
    <s v="elena.sánchez@mail.com"/>
    <x v="0"/>
    <s v="Barcelona"/>
    <x v="1"/>
    <x v="8"/>
    <n v="1"/>
    <n v="311.02999999999997"/>
    <n v="311.02999999999997"/>
    <x v="4"/>
    <x v="1"/>
    <x v="501"/>
    <x v="1"/>
  </r>
  <r>
    <s v="ORD001265"/>
    <s v="Raúl López"/>
    <s v="raúl.lópez@mail.com"/>
    <x v="4"/>
    <s v="Marsella"/>
    <x v="2"/>
    <x v="15"/>
    <n v="5"/>
    <n v="701.47"/>
    <n v="3507.3500000000004"/>
    <x v="7"/>
    <x v="0"/>
    <x v="653"/>
    <x v="1"/>
  </r>
  <r>
    <s v="ORD001266"/>
    <s v="Javier Ruiz"/>
    <s v="javier.ruiz@mail.com"/>
    <x v="1"/>
    <s v="Múnich"/>
    <x v="3"/>
    <x v="15"/>
    <n v="1"/>
    <n v="955.89"/>
    <n v="955.89"/>
    <x v="9"/>
    <x v="0"/>
    <x v="541"/>
    <x v="4"/>
  </r>
  <r>
    <s v="ORD001267"/>
    <s v="Pablo Díaz"/>
    <s v="pablo.díaz@mail.com"/>
    <x v="0"/>
    <s v="Sevilla"/>
    <x v="4"/>
    <x v="14"/>
    <n v="5"/>
    <n v="259.20999999999998"/>
    <n v="1296.05"/>
    <x v="3"/>
    <x v="1"/>
    <x v="325"/>
    <x v="4"/>
  </r>
  <r>
    <s v="ORD001268"/>
    <s v="Carmen Vázquez"/>
    <s v="carmen.vázquez@mail.com"/>
    <x v="0"/>
    <s v="Valencia"/>
    <x v="4"/>
    <x v="11"/>
    <n v="1"/>
    <n v="1458.5"/>
    <n v="1458.5"/>
    <x v="3"/>
    <x v="0"/>
    <x v="311"/>
    <x v="4"/>
  </r>
  <r>
    <s v="ORD001269"/>
    <s v="Sofía Navarro"/>
    <s v="sofía.navarro@mail.com"/>
    <x v="4"/>
    <s v="Marsella"/>
    <x v="0"/>
    <x v="16"/>
    <n v="4"/>
    <n v="1017.49"/>
    <n v="4069.96"/>
    <x v="10"/>
    <x v="2"/>
    <x v="374"/>
    <x v="2"/>
  </r>
  <r>
    <s v="ORD001270"/>
    <s v="Luis Ramos"/>
    <s v="luis.ramos@mail.com"/>
    <x v="1"/>
    <s v="Berlín"/>
    <x v="4"/>
    <x v="23"/>
    <n v="4"/>
    <n v="714.62"/>
    <n v="2858.48"/>
    <x v="2"/>
    <x v="0"/>
    <x v="234"/>
    <x v="2"/>
  </r>
  <r>
    <s v="ORD001271"/>
    <s v="Ana García"/>
    <s v="ana.garcía@mail.com"/>
    <x v="1"/>
    <s v="Berlín"/>
    <x v="0"/>
    <x v="20"/>
    <n v="2"/>
    <n v="1321.57"/>
    <n v="2643.14"/>
    <x v="11"/>
    <x v="1"/>
    <x v="76"/>
    <x v="1"/>
  </r>
  <r>
    <s v="ORD001272"/>
    <s v="Javier Navarro"/>
    <s v="javier.navarro@mail.com"/>
    <x v="0"/>
    <s v="Sevilla"/>
    <x v="2"/>
    <x v="10"/>
    <n v="5"/>
    <n v="1494.87"/>
    <n v="7474.3499999999995"/>
    <x v="4"/>
    <x v="1"/>
    <x v="654"/>
    <x v="3"/>
  </r>
  <r>
    <s v="ORD001273"/>
    <s v="Diego Sánchez"/>
    <s v="diego.sánchez@mail.com"/>
    <x v="4"/>
    <s v="París"/>
    <x v="3"/>
    <x v="15"/>
    <n v="3"/>
    <n v="951.56"/>
    <n v="2854.68"/>
    <x v="5"/>
    <x v="1"/>
    <x v="542"/>
    <x v="3"/>
  </r>
  <r>
    <s v="ORD001274"/>
    <s v="Elena Pérez"/>
    <s v="elena.pérez@mail.com"/>
    <x v="2"/>
    <s v="Lisboa"/>
    <x v="1"/>
    <x v="12"/>
    <n v="1"/>
    <n v="870.43"/>
    <n v="870.43"/>
    <x v="11"/>
    <x v="0"/>
    <x v="518"/>
    <x v="1"/>
  </r>
  <r>
    <s v="ORD001275"/>
    <s v="Javier Fernández"/>
    <s v="javier.fernández@mail.com"/>
    <x v="2"/>
    <s v="Oporto"/>
    <x v="2"/>
    <x v="3"/>
    <n v="2"/>
    <n v="243.33"/>
    <n v="486.66"/>
    <x v="1"/>
    <x v="0"/>
    <x v="19"/>
    <x v="1"/>
  </r>
  <r>
    <s v="ORD001276"/>
    <s v="Sofía Gil"/>
    <s v="sofía.gil@mail.com"/>
    <x v="1"/>
    <s v="Múnich"/>
    <x v="3"/>
    <x v="18"/>
    <n v="5"/>
    <n v="982.76"/>
    <n v="4913.8"/>
    <x v="5"/>
    <x v="1"/>
    <x v="89"/>
    <x v="1"/>
  </r>
  <r>
    <s v="ORD001277"/>
    <s v="Carlos García"/>
    <s v="carlos.garcía@mail.com"/>
    <x v="2"/>
    <s v="Lisboa"/>
    <x v="4"/>
    <x v="23"/>
    <n v="5"/>
    <n v="59.89"/>
    <n v="299.45"/>
    <x v="7"/>
    <x v="1"/>
    <x v="64"/>
    <x v="3"/>
  </r>
  <r>
    <s v="ORD001278"/>
    <s v="Carmen Gómez"/>
    <s v="carmen.gómez@mail.com"/>
    <x v="1"/>
    <s v="Berlín"/>
    <x v="0"/>
    <x v="0"/>
    <n v="1"/>
    <n v="569.74"/>
    <n v="569.74"/>
    <x v="0"/>
    <x v="0"/>
    <x v="194"/>
    <x v="2"/>
  </r>
  <r>
    <s v="ORD001279"/>
    <s v="Pedro Vázquez"/>
    <s v="pedro.vázquez@mail.com"/>
    <x v="2"/>
    <s v="Braga"/>
    <x v="1"/>
    <x v="12"/>
    <n v="5"/>
    <n v="137.06"/>
    <n v="685.3"/>
    <x v="11"/>
    <x v="1"/>
    <x v="268"/>
    <x v="0"/>
  </r>
  <r>
    <s v="ORD001280"/>
    <s v="Javier Navarro"/>
    <s v="javier.navarro@mail.com"/>
    <x v="4"/>
    <s v="París"/>
    <x v="0"/>
    <x v="16"/>
    <n v="1"/>
    <n v="630.6"/>
    <n v="630.6"/>
    <x v="4"/>
    <x v="0"/>
    <x v="463"/>
    <x v="3"/>
  </r>
  <r>
    <s v="ORD001281"/>
    <s v="Javier García"/>
    <s v="javier.garcía@mail.com"/>
    <x v="0"/>
    <s v="Valencia"/>
    <x v="0"/>
    <x v="17"/>
    <n v="1"/>
    <n v="1234.21"/>
    <n v="1234.21"/>
    <x v="4"/>
    <x v="0"/>
    <x v="460"/>
    <x v="4"/>
  </r>
  <r>
    <s v="ORD001282"/>
    <s v="Carmen Sánchez"/>
    <s v="carmen.sánchez@mail.com"/>
    <x v="1"/>
    <s v="Hamburgo"/>
    <x v="2"/>
    <x v="10"/>
    <n v="4"/>
    <n v="1091.9000000000001"/>
    <n v="4367.6000000000004"/>
    <x v="1"/>
    <x v="1"/>
    <x v="522"/>
    <x v="1"/>
  </r>
  <r>
    <s v="ORD001283"/>
    <s v="Javier Fernández"/>
    <s v="javier.fernández@mail.com"/>
    <x v="4"/>
    <s v="Lyon"/>
    <x v="4"/>
    <x v="11"/>
    <n v="4"/>
    <n v="1313.19"/>
    <n v="5252.76"/>
    <x v="9"/>
    <x v="1"/>
    <x v="204"/>
    <x v="0"/>
  </r>
  <r>
    <s v="ORD001284"/>
    <s v="Javier Ramos"/>
    <s v="javier.ramos@mail.com"/>
    <x v="2"/>
    <s v="Braga"/>
    <x v="4"/>
    <x v="14"/>
    <n v="4"/>
    <n v="428.62"/>
    <n v="1714.48"/>
    <x v="8"/>
    <x v="0"/>
    <x v="134"/>
    <x v="3"/>
  </r>
  <r>
    <s v="ORD001285"/>
    <s v="Lucía Martínez"/>
    <s v="lucía.martínez@mail.com"/>
    <x v="0"/>
    <s v="Sevilla"/>
    <x v="3"/>
    <x v="4"/>
    <n v="5"/>
    <n v="1206.25"/>
    <n v="6031.25"/>
    <x v="4"/>
    <x v="0"/>
    <x v="617"/>
    <x v="0"/>
  </r>
  <r>
    <s v="ORD001286"/>
    <s v="Sofía Rodríguez"/>
    <s v="sofía.rodríguez@mail.com"/>
    <x v="4"/>
    <s v="Lyon"/>
    <x v="3"/>
    <x v="18"/>
    <n v="3"/>
    <n v="245.74"/>
    <n v="737.22"/>
    <x v="3"/>
    <x v="0"/>
    <x v="655"/>
    <x v="1"/>
  </r>
  <r>
    <s v="ORD001287"/>
    <s v="Irene Sánchez"/>
    <s v="irene.sánchez@mail.com"/>
    <x v="1"/>
    <s v="Múnich"/>
    <x v="1"/>
    <x v="12"/>
    <n v="2"/>
    <n v="256.31"/>
    <n v="512.62"/>
    <x v="3"/>
    <x v="1"/>
    <x v="36"/>
    <x v="2"/>
  </r>
  <r>
    <s v="ORD001288"/>
    <s v="Sofía López"/>
    <s v="sofía.lópez@mail.com"/>
    <x v="0"/>
    <s v="Sevilla"/>
    <x v="3"/>
    <x v="5"/>
    <n v="2"/>
    <n v="143.52000000000001"/>
    <n v="287.04000000000002"/>
    <x v="0"/>
    <x v="0"/>
    <x v="264"/>
    <x v="2"/>
  </r>
  <r>
    <s v="ORD001289"/>
    <s v="Ana Sánchez"/>
    <s v="ana.sánchez@mail.com"/>
    <x v="3"/>
    <s v="Milán"/>
    <x v="4"/>
    <x v="11"/>
    <n v="3"/>
    <n v="1137.6600000000001"/>
    <n v="3412.9800000000005"/>
    <x v="1"/>
    <x v="0"/>
    <x v="626"/>
    <x v="0"/>
  </r>
  <r>
    <s v="ORD001290"/>
    <s v="Carmen Torres"/>
    <s v="carmen.torres@mail.com"/>
    <x v="2"/>
    <s v="Oporto"/>
    <x v="4"/>
    <x v="11"/>
    <n v="4"/>
    <n v="319.69"/>
    <n v="1278.76"/>
    <x v="2"/>
    <x v="2"/>
    <x v="2"/>
    <x v="1"/>
  </r>
  <r>
    <s v="ORD001291"/>
    <s v="Carlos Martínez"/>
    <s v="carlos.martínez@mail.com"/>
    <x v="1"/>
    <s v="Múnich"/>
    <x v="3"/>
    <x v="4"/>
    <n v="3"/>
    <n v="746.26"/>
    <n v="2238.7799999999997"/>
    <x v="5"/>
    <x v="2"/>
    <x v="361"/>
    <x v="4"/>
  </r>
  <r>
    <s v="ORD001292"/>
    <s v="María Ruiz"/>
    <s v="maría.ruiz@mail.com"/>
    <x v="1"/>
    <s v="Berlín"/>
    <x v="3"/>
    <x v="5"/>
    <n v="3"/>
    <n v="451.65"/>
    <n v="1354.9499999999998"/>
    <x v="2"/>
    <x v="1"/>
    <x v="303"/>
    <x v="3"/>
  </r>
  <r>
    <s v="ORD001293"/>
    <s v="Pablo Sánchez"/>
    <s v="pablo.sánchez@mail.com"/>
    <x v="1"/>
    <s v="Múnich"/>
    <x v="1"/>
    <x v="2"/>
    <n v="2"/>
    <n v="298.11"/>
    <n v="596.22"/>
    <x v="1"/>
    <x v="0"/>
    <x v="81"/>
    <x v="3"/>
  </r>
  <r>
    <s v="ORD001294"/>
    <s v="Ana Navarro"/>
    <s v="ana.navarro@mail.com"/>
    <x v="0"/>
    <s v="Sevilla"/>
    <x v="2"/>
    <x v="9"/>
    <n v="5"/>
    <n v="164.72"/>
    <n v="823.6"/>
    <x v="5"/>
    <x v="0"/>
    <x v="21"/>
    <x v="1"/>
  </r>
  <r>
    <s v="ORD001295"/>
    <s v="Raúl Díaz"/>
    <s v="raúl.díaz@mail.com"/>
    <x v="1"/>
    <s v="Berlín"/>
    <x v="4"/>
    <x v="14"/>
    <n v="3"/>
    <n v="139.66"/>
    <n v="418.98"/>
    <x v="7"/>
    <x v="1"/>
    <x v="228"/>
    <x v="2"/>
  </r>
  <r>
    <s v="ORD001296"/>
    <s v="Carmen Martínez"/>
    <s v="carmen.martínez@mail.com"/>
    <x v="1"/>
    <s v="Múnich"/>
    <x v="3"/>
    <x v="15"/>
    <n v="5"/>
    <n v="1213.5899999999999"/>
    <n v="6067.95"/>
    <x v="0"/>
    <x v="0"/>
    <x v="608"/>
    <x v="2"/>
  </r>
  <r>
    <s v="ORD001297"/>
    <s v="Luis Martínez"/>
    <s v="luis.martínez@mail.com"/>
    <x v="4"/>
    <s v="Lyon"/>
    <x v="2"/>
    <x v="9"/>
    <n v="5"/>
    <n v="973.34"/>
    <n v="4866.7"/>
    <x v="1"/>
    <x v="1"/>
    <x v="380"/>
    <x v="3"/>
  </r>
  <r>
    <s v="ORD001298"/>
    <s v="Diego López"/>
    <s v="diego.lópez@mail.com"/>
    <x v="1"/>
    <s v="Berlín"/>
    <x v="2"/>
    <x v="9"/>
    <n v="1"/>
    <n v="619.54999999999995"/>
    <n v="619.54999999999995"/>
    <x v="11"/>
    <x v="1"/>
    <x v="382"/>
    <x v="0"/>
  </r>
  <r>
    <s v="ORD001299"/>
    <s v="Elena Martínez"/>
    <s v="elena.martínez@mail.com"/>
    <x v="3"/>
    <s v="Milán"/>
    <x v="3"/>
    <x v="4"/>
    <n v="5"/>
    <n v="1358.61"/>
    <n v="6793.0499999999993"/>
    <x v="10"/>
    <x v="1"/>
    <x v="656"/>
    <x v="1"/>
  </r>
  <r>
    <s v="ORD001300"/>
    <s v="Raúl Rodríguez"/>
    <s v="raúl.rodríguez@mail.com"/>
    <x v="1"/>
    <s v="Hamburgo"/>
    <x v="3"/>
    <x v="18"/>
    <n v="1"/>
    <n v="738.31"/>
    <n v="738.31"/>
    <x v="9"/>
    <x v="0"/>
    <x v="657"/>
    <x v="3"/>
  </r>
  <r>
    <s v="ORD001301"/>
    <s v="Laura Ramos"/>
    <s v="laura.ramos@mail.com"/>
    <x v="2"/>
    <s v="Lisboa"/>
    <x v="3"/>
    <x v="15"/>
    <n v="2"/>
    <n v="1362.83"/>
    <n v="2725.66"/>
    <x v="5"/>
    <x v="2"/>
    <x v="652"/>
    <x v="3"/>
  </r>
  <r>
    <s v="ORD001302"/>
    <s v="Ana Ruiz"/>
    <s v="ana.ruiz@mail.com"/>
    <x v="4"/>
    <s v="Marsella"/>
    <x v="0"/>
    <x v="16"/>
    <n v="3"/>
    <n v="1281.72"/>
    <n v="3845.16"/>
    <x v="3"/>
    <x v="1"/>
    <x v="325"/>
    <x v="4"/>
  </r>
  <r>
    <s v="ORD001303"/>
    <s v="Pedro Gil"/>
    <s v="pedro.gil@mail.com"/>
    <x v="0"/>
    <s v="Madrid"/>
    <x v="4"/>
    <x v="21"/>
    <n v="5"/>
    <n v="390.71"/>
    <n v="1953.55"/>
    <x v="6"/>
    <x v="1"/>
    <x v="201"/>
    <x v="2"/>
  </r>
  <r>
    <s v="ORD001304"/>
    <s v="María Sánchez"/>
    <s v="maría.sánchez@mail.com"/>
    <x v="2"/>
    <s v="Lisboa"/>
    <x v="2"/>
    <x v="10"/>
    <n v="5"/>
    <n v="714.44"/>
    <n v="3572.2000000000003"/>
    <x v="5"/>
    <x v="2"/>
    <x v="452"/>
    <x v="3"/>
  </r>
  <r>
    <s v="ORD001305"/>
    <s v="Luis Gil"/>
    <s v="luis.gil@mail.com"/>
    <x v="0"/>
    <s v="Sevilla"/>
    <x v="3"/>
    <x v="18"/>
    <n v="3"/>
    <n v="1105.6300000000001"/>
    <n v="3316.8900000000003"/>
    <x v="11"/>
    <x v="1"/>
    <x v="658"/>
    <x v="1"/>
  </r>
  <r>
    <s v="ORD001306"/>
    <s v="Diego Alonso"/>
    <s v="diego.alonso@mail.com"/>
    <x v="3"/>
    <s v="Milán"/>
    <x v="1"/>
    <x v="8"/>
    <n v="1"/>
    <n v="201.66"/>
    <n v="201.66"/>
    <x v="1"/>
    <x v="0"/>
    <x v="659"/>
    <x v="2"/>
  </r>
  <r>
    <s v="ORD001307"/>
    <s v="Carlos Gómez"/>
    <s v="carlos.gómez@mail.com"/>
    <x v="3"/>
    <s v="Roma"/>
    <x v="0"/>
    <x v="20"/>
    <n v="1"/>
    <n v="470"/>
    <n v="470"/>
    <x v="2"/>
    <x v="1"/>
    <x v="123"/>
    <x v="2"/>
  </r>
  <r>
    <s v="ORD001308"/>
    <s v="Irene Navarro"/>
    <s v="irene.navarro@mail.com"/>
    <x v="4"/>
    <s v="París"/>
    <x v="4"/>
    <x v="21"/>
    <n v="4"/>
    <n v="1289.3499999999999"/>
    <n v="5157.3999999999996"/>
    <x v="3"/>
    <x v="1"/>
    <x v="141"/>
    <x v="3"/>
  </r>
  <r>
    <s v="ORD001309"/>
    <s v="Miguel Pérez"/>
    <s v="miguel.pérez@mail.com"/>
    <x v="0"/>
    <s v="Bilbao"/>
    <x v="1"/>
    <x v="6"/>
    <n v="5"/>
    <n v="421.54"/>
    <n v="2107.7000000000003"/>
    <x v="1"/>
    <x v="0"/>
    <x v="400"/>
    <x v="1"/>
  </r>
  <r>
    <s v="ORD001310"/>
    <s v="Raúl Rodríguez"/>
    <s v="raúl.rodríguez@mail.com"/>
    <x v="4"/>
    <s v="París"/>
    <x v="0"/>
    <x v="17"/>
    <n v="2"/>
    <n v="124.18"/>
    <n v="248.36"/>
    <x v="0"/>
    <x v="1"/>
    <x v="660"/>
    <x v="4"/>
  </r>
  <r>
    <s v="ORD001311"/>
    <s v="Irene Ramos"/>
    <s v="irene.ramos@mail.com"/>
    <x v="4"/>
    <s v="Marsella"/>
    <x v="2"/>
    <x v="10"/>
    <n v="5"/>
    <n v="801.12"/>
    <n v="4005.6"/>
    <x v="2"/>
    <x v="2"/>
    <x v="196"/>
    <x v="0"/>
  </r>
  <r>
    <s v="ORD001312"/>
    <s v="Luis Navarro"/>
    <s v="luis.navarro@mail.com"/>
    <x v="0"/>
    <s v="Valencia"/>
    <x v="1"/>
    <x v="8"/>
    <n v="2"/>
    <n v="1329.51"/>
    <n v="2659.02"/>
    <x v="11"/>
    <x v="1"/>
    <x v="177"/>
    <x v="2"/>
  </r>
  <r>
    <s v="ORD001313"/>
    <s v="Lucía Alonso"/>
    <s v="lucía.alonso@mail.com"/>
    <x v="1"/>
    <s v="Berlín"/>
    <x v="4"/>
    <x v="14"/>
    <n v="3"/>
    <n v="26.89"/>
    <n v="80.67"/>
    <x v="6"/>
    <x v="0"/>
    <x v="661"/>
    <x v="3"/>
  </r>
  <r>
    <s v="ORD001314"/>
    <s v="Irene Navarro"/>
    <s v="irene.navarro@mail.com"/>
    <x v="3"/>
    <s v="Roma"/>
    <x v="0"/>
    <x v="20"/>
    <n v="2"/>
    <n v="231.94"/>
    <n v="463.88"/>
    <x v="9"/>
    <x v="1"/>
    <x v="413"/>
    <x v="1"/>
  </r>
  <r>
    <s v="ORD001315"/>
    <s v="Ana Gil"/>
    <s v="ana.gil@mail.com"/>
    <x v="3"/>
    <s v="Nápoles"/>
    <x v="2"/>
    <x v="3"/>
    <n v="2"/>
    <n v="1428.98"/>
    <n v="2857.96"/>
    <x v="10"/>
    <x v="2"/>
    <x v="662"/>
    <x v="3"/>
  </r>
  <r>
    <s v="ORD001316"/>
    <s v="Carlos Díaz"/>
    <s v="carlos.díaz@mail.com"/>
    <x v="3"/>
    <s v="Nápoles"/>
    <x v="4"/>
    <x v="22"/>
    <n v="2"/>
    <n v="619.21"/>
    <n v="1238.42"/>
    <x v="7"/>
    <x v="1"/>
    <x v="663"/>
    <x v="4"/>
  </r>
  <r>
    <s v="ORD001317"/>
    <s v="Ana Navarro"/>
    <s v="ana.navarro@mail.com"/>
    <x v="2"/>
    <s v="Lisboa"/>
    <x v="2"/>
    <x v="10"/>
    <n v="2"/>
    <n v="615.24"/>
    <n v="1230.48"/>
    <x v="8"/>
    <x v="1"/>
    <x v="551"/>
    <x v="2"/>
  </r>
  <r>
    <s v="ORD001318"/>
    <s v="Carmen Rodríguez"/>
    <s v="carmen.rodríguez@mail.com"/>
    <x v="1"/>
    <s v="Hamburgo"/>
    <x v="0"/>
    <x v="20"/>
    <n v="3"/>
    <n v="116.67"/>
    <n v="350.01"/>
    <x v="0"/>
    <x v="0"/>
    <x v="244"/>
    <x v="3"/>
  </r>
  <r>
    <s v="ORD001319"/>
    <s v="Miguel García"/>
    <s v="miguel.garcía@mail.com"/>
    <x v="2"/>
    <s v="Braga"/>
    <x v="1"/>
    <x v="6"/>
    <n v="3"/>
    <n v="900.82"/>
    <n v="2702.46"/>
    <x v="5"/>
    <x v="0"/>
    <x v="293"/>
    <x v="0"/>
  </r>
  <r>
    <s v="ORD001320"/>
    <s v="Elena Torres"/>
    <s v="elena.torres@mail.com"/>
    <x v="1"/>
    <s v="Berlín"/>
    <x v="4"/>
    <x v="22"/>
    <n v="4"/>
    <n v="357.02"/>
    <n v="1428.08"/>
    <x v="6"/>
    <x v="0"/>
    <x v="664"/>
    <x v="4"/>
  </r>
  <r>
    <s v="ORD001321"/>
    <s v="Lucía Díaz"/>
    <s v="lucía.díaz@mail.com"/>
    <x v="1"/>
    <s v="Múnich"/>
    <x v="4"/>
    <x v="14"/>
    <n v="2"/>
    <n v="539.83000000000004"/>
    <n v="1079.6600000000001"/>
    <x v="11"/>
    <x v="1"/>
    <x v="624"/>
    <x v="0"/>
  </r>
  <r>
    <s v="ORD001322"/>
    <s v="Carlos Rodríguez"/>
    <s v="carlos.rodríguez@mail.com"/>
    <x v="1"/>
    <s v="Múnich"/>
    <x v="1"/>
    <x v="1"/>
    <n v="1"/>
    <n v="714.87"/>
    <n v="714.87"/>
    <x v="7"/>
    <x v="0"/>
    <x v="362"/>
    <x v="0"/>
  </r>
  <r>
    <s v="ORD001323"/>
    <s v="Laura López"/>
    <s v="laura.lópez@mail.com"/>
    <x v="2"/>
    <s v="Lisboa"/>
    <x v="4"/>
    <x v="14"/>
    <n v="5"/>
    <n v="347.23"/>
    <n v="1736.15"/>
    <x v="6"/>
    <x v="1"/>
    <x v="665"/>
    <x v="4"/>
  </r>
  <r>
    <s v="ORD001324"/>
    <s v="Ana Torres"/>
    <s v="ana.torres@mail.com"/>
    <x v="2"/>
    <s v="Braga"/>
    <x v="0"/>
    <x v="0"/>
    <n v="4"/>
    <n v="460.63"/>
    <n v="1842.52"/>
    <x v="2"/>
    <x v="2"/>
    <x v="399"/>
    <x v="1"/>
  </r>
  <r>
    <s v="ORD001325"/>
    <s v="Laura Martínez"/>
    <s v="laura.martínez@mail.com"/>
    <x v="1"/>
    <s v="Múnich"/>
    <x v="4"/>
    <x v="14"/>
    <n v="3"/>
    <n v="1251.3699999999999"/>
    <n v="3754.1099999999997"/>
    <x v="3"/>
    <x v="0"/>
    <x v="666"/>
    <x v="3"/>
  </r>
  <r>
    <s v="ORD001326"/>
    <s v="Diego Torres"/>
    <s v="diego.torres@mail.com"/>
    <x v="2"/>
    <s v="Lisboa"/>
    <x v="4"/>
    <x v="14"/>
    <n v="2"/>
    <n v="223.74"/>
    <n v="447.48"/>
    <x v="7"/>
    <x v="0"/>
    <x v="362"/>
    <x v="1"/>
  </r>
  <r>
    <s v="ORD001327"/>
    <s v="Carmen Gil"/>
    <s v="carmen.gil@mail.com"/>
    <x v="3"/>
    <s v="Roma"/>
    <x v="3"/>
    <x v="15"/>
    <n v="3"/>
    <n v="1030.26"/>
    <n v="3090.7799999999997"/>
    <x v="5"/>
    <x v="1"/>
    <x v="581"/>
    <x v="3"/>
  </r>
  <r>
    <s v="ORD001328"/>
    <s v="Pedro Vázquez"/>
    <s v="pedro.vázquez@mail.com"/>
    <x v="4"/>
    <s v="Lyon"/>
    <x v="1"/>
    <x v="12"/>
    <n v="2"/>
    <n v="1271.95"/>
    <n v="2543.9"/>
    <x v="2"/>
    <x v="0"/>
    <x v="132"/>
    <x v="0"/>
  </r>
  <r>
    <s v="ORD001329"/>
    <s v="Miguel Navarro"/>
    <s v="miguel.navarro@mail.com"/>
    <x v="1"/>
    <s v="Múnich"/>
    <x v="0"/>
    <x v="16"/>
    <n v="5"/>
    <n v="1320.77"/>
    <n v="6603.85"/>
    <x v="8"/>
    <x v="0"/>
    <x v="109"/>
    <x v="1"/>
  </r>
  <r>
    <s v="ORD001330"/>
    <s v="Javier Gil"/>
    <s v="javier.gil@mail.com"/>
    <x v="2"/>
    <s v="Braga"/>
    <x v="1"/>
    <x v="8"/>
    <n v="4"/>
    <n v="1333.68"/>
    <n v="5334.72"/>
    <x v="10"/>
    <x v="1"/>
    <x v="556"/>
    <x v="1"/>
  </r>
  <r>
    <s v="ORD001331"/>
    <s v="Elena Vázquez"/>
    <s v="elena.vázquez@mail.com"/>
    <x v="2"/>
    <s v="Oporto"/>
    <x v="4"/>
    <x v="22"/>
    <n v="5"/>
    <n v="1207.02"/>
    <n v="6035.1"/>
    <x v="2"/>
    <x v="1"/>
    <x v="667"/>
    <x v="1"/>
  </r>
  <r>
    <s v="ORD001332"/>
    <s v="Pablo Gil"/>
    <s v="pablo.gil@mail.com"/>
    <x v="0"/>
    <s v="Madrid"/>
    <x v="2"/>
    <x v="19"/>
    <n v="1"/>
    <n v="1402.67"/>
    <n v="1402.67"/>
    <x v="9"/>
    <x v="1"/>
    <x v="424"/>
    <x v="0"/>
  </r>
  <r>
    <s v="ORD001333"/>
    <s v="Sofía Díaz"/>
    <s v="sofía.díaz@mail.com"/>
    <x v="4"/>
    <s v="Lyon"/>
    <x v="2"/>
    <x v="3"/>
    <n v="2"/>
    <n v="631.39"/>
    <n v="1262.78"/>
    <x v="8"/>
    <x v="0"/>
    <x v="668"/>
    <x v="1"/>
  </r>
  <r>
    <s v="ORD001334"/>
    <s v="Luis Gil"/>
    <s v="luis.gil@mail.com"/>
    <x v="1"/>
    <s v="Berlín"/>
    <x v="3"/>
    <x v="7"/>
    <n v="5"/>
    <n v="1311.18"/>
    <n v="6555.9000000000005"/>
    <x v="7"/>
    <x v="1"/>
    <x v="257"/>
    <x v="3"/>
  </r>
  <r>
    <s v="ORD001335"/>
    <s v="Pablo Ruiz"/>
    <s v="pablo.ruiz@mail.com"/>
    <x v="2"/>
    <s v="Lisboa"/>
    <x v="3"/>
    <x v="7"/>
    <n v="3"/>
    <n v="211.33"/>
    <n v="633.99"/>
    <x v="6"/>
    <x v="0"/>
    <x v="669"/>
    <x v="4"/>
  </r>
  <r>
    <s v="ORD001336"/>
    <s v="Diego Navarro"/>
    <s v="diego.navarro@mail.com"/>
    <x v="4"/>
    <s v="Marsella"/>
    <x v="0"/>
    <x v="16"/>
    <n v="2"/>
    <n v="1448.79"/>
    <n v="2897.58"/>
    <x v="4"/>
    <x v="0"/>
    <x v="614"/>
    <x v="2"/>
  </r>
  <r>
    <s v="ORD001337"/>
    <s v="Sofía Gómez"/>
    <s v="sofía.gómez@mail.com"/>
    <x v="3"/>
    <s v="Roma"/>
    <x v="4"/>
    <x v="21"/>
    <n v="4"/>
    <n v="1101.67"/>
    <n v="4406.68"/>
    <x v="4"/>
    <x v="0"/>
    <x v="290"/>
    <x v="0"/>
  </r>
  <r>
    <s v="ORD001338"/>
    <s v="Lucía López"/>
    <s v="lucía.lópez@mail.com"/>
    <x v="0"/>
    <s v="Valencia"/>
    <x v="1"/>
    <x v="6"/>
    <n v="2"/>
    <n v="1403.38"/>
    <n v="2806.76"/>
    <x v="6"/>
    <x v="0"/>
    <x v="515"/>
    <x v="3"/>
  </r>
  <r>
    <s v="ORD001339"/>
    <s v="Elena Sánchez"/>
    <s v="elena.sánchez@mail.com"/>
    <x v="0"/>
    <s v="Madrid"/>
    <x v="1"/>
    <x v="2"/>
    <n v="3"/>
    <n v="1395.01"/>
    <n v="4185.03"/>
    <x v="11"/>
    <x v="0"/>
    <x v="112"/>
    <x v="2"/>
  </r>
  <r>
    <s v="ORD001340"/>
    <s v="Sofía Ruiz"/>
    <s v="sofía.ruiz@mail.com"/>
    <x v="3"/>
    <s v="Roma"/>
    <x v="0"/>
    <x v="13"/>
    <n v="1"/>
    <n v="1347.47"/>
    <n v="1347.47"/>
    <x v="5"/>
    <x v="0"/>
    <x v="246"/>
    <x v="1"/>
  </r>
  <r>
    <s v="ORD001341"/>
    <s v="María Sánchez"/>
    <s v="maría.sánchez@mail.com"/>
    <x v="2"/>
    <s v="Lisboa"/>
    <x v="4"/>
    <x v="14"/>
    <n v="5"/>
    <n v="1408.36"/>
    <n v="7041.7999999999993"/>
    <x v="4"/>
    <x v="0"/>
    <x v="670"/>
    <x v="4"/>
  </r>
  <r>
    <s v="ORD001342"/>
    <s v="Carlos Alonso"/>
    <s v="carlos.alonso@mail.com"/>
    <x v="1"/>
    <s v="Hamburgo"/>
    <x v="1"/>
    <x v="2"/>
    <n v="4"/>
    <n v="1389.51"/>
    <n v="5558.04"/>
    <x v="8"/>
    <x v="0"/>
    <x v="634"/>
    <x v="0"/>
  </r>
  <r>
    <s v="ORD001343"/>
    <s v="Javier Fernández"/>
    <s v="javier.fernández@mail.com"/>
    <x v="0"/>
    <s v="Barcelona"/>
    <x v="1"/>
    <x v="2"/>
    <n v="2"/>
    <n v="525.82000000000005"/>
    <n v="1051.6400000000001"/>
    <x v="6"/>
    <x v="0"/>
    <x v="77"/>
    <x v="0"/>
  </r>
  <r>
    <s v="ORD001344"/>
    <s v="Raúl Martínez"/>
    <s v="raúl.martínez@mail.com"/>
    <x v="2"/>
    <s v="Braga"/>
    <x v="1"/>
    <x v="8"/>
    <n v="5"/>
    <n v="378.06"/>
    <n v="1890.3"/>
    <x v="8"/>
    <x v="0"/>
    <x v="446"/>
    <x v="0"/>
  </r>
  <r>
    <s v="ORD001345"/>
    <s v="Diego Rodríguez"/>
    <s v="diego.rodríguez@mail.com"/>
    <x v="4"/>
    <s v="Marsella"/>
    <x v="0"/>
    <x v="0"/>
    <n v="2"/>
    <n v="886.68"/>
    <n v="1773.36"/>
    <x v="1"/>
    <x v="0"/>
    <x v="400"/>
    <x v="1"/>
  </r>
  <r>
    <s v="ORD001346"/>
    <s v="María Sánchez"/>
    <s v="maría.sánchez@mail.com"/>
    <x v="2"/>
    <s v="Braga"/>
    <x v="3"/>
    <x v="7"/>
    <n v="1"/>
    <n v="886.63"/>
    <n v="886.63"/>
    <x v="10"/>
    <x v="2"/>
    <x v="644"/>
    <x v="3"/>
  </r>
  <r>
    <s v="ORD001347"/>
    <s v="Carmen Martínez"/>
    <s v="carmen.martínez@mail.com"/>
    <x v="0"/>
    <s v="Barcelona"/>
    <x v="2"/>
    <x v="3"/>
    <n v="2"/>
    <n v="374.21"/>
    <n v="748.42"/>
    <x v="3"/>
    <x v="0"/>
    <x v="655"/>
    <x v="0"/>
  </r>
  <r>
    <s v="ORD001348"/>
    <s v="Carlos Pérez"/>
    <s v="carlos.pérez@mail.com"/>
    <x v="4"/>
    <s v="Lyon"/>
    <x v="3"/>
    <x v="7"/>
    <n v="1"/>
    <n v="490.06"/>
    <n v="490.06"/>
    <x v="5"/>
    <x v="1"/>
    <x v="581"/>
    <x v="4"/>
  </r>
  <r>
    <s v="ORD001349"/>
    <s v="Miguel García"/>
    <s v="miguel.garcía@mail.com"/>
    <x v="3"/>
    <s v="Nápoles"/>
    <x v="3"/>
    <x v="4"/>
    <n v="5"/>
    <n v="1076.26"/>
    <n v="5381.3"/>
    <x v="7"/>
    <x v="0"/>
    <x v="350"/>
    <x v="1"/>
  </r>
  <r>
    <s v="ORD001350"/>
    <s v="Carmen Alonso"/>
    <s v="carmen.alonso@mail.com"/>
    <x v="2"/>
    <s v="Braga"/>
    <x v="0"/>
    <x v="0"/>
    <n v="2"/>
    <n v="1280.21"/>
    <n v="2560.42"/>
    <x v="1"/>
    <x v="1"/>
    <x v="1"/>
    <x v="0"/>
  </r>
  <r>
    <s v="ORD001351"/>
    <s v="Miguel García"/>
    <s v="miguel.garcía@mail.com"/>
    <x v="4"/>
    <s v="París"/>
    <x v="3"/>
    <x v="5"/>
    <n v="4"/>
    <n v="174.26"/>
    <n v="697.04"/>
    <x v="8"/>
    <x v="0"/>
    <x v="158"/>
    <x v="2"/>
  </r>
  <r>
    <s v="ORD001352"/>
    <s v="Lucía Navarro"/>
    <s v="lucía.navarro@mail.com"/>
    <x v="3"/>
    <s v="Nápoles"/>
    <x v="4"/>
    <x v="14"/>
    <n v="5"/>
    <n v="79.290000000000006"/>
    <n v="396.45000000000005"/>
    <x v="4"/>
    <x v="1"/>
    <x v="249"/>
    <x v="2"/>
  </r>
  <r>
    <s v="ORD001353"/>
    <s v="Diego Martínez"/>
    <s v="diego.martínez@mail.com"/>
    <x v="4"/>
    <s v="Marsella"/>
    <x v="2"/>
    <x v="9"/>
    <n v="2"/>
    <n v="1384.47"/>
    <n v="2768.94"/>
    <x v="11"/>
    <x v="1"/>
    <x v="378"/>
    <x v="3"/>
  </r>
  <r>
    <s v="ORD001354"/>
    <s v="Laura Martínez"/>
    <s v="laura.martínez@mail.com"/>
    <x v="1"/>
    <s v="Múnich"/>
    <x v="3"/>
    <x v="7"/>
    <n v="5"/>
    <n v="1478.83"/>
    <n v="7394.15"/>
    <x v="1"/>
    <x v="0"/>
    <x v="622"/>
    <x v="2"/>
  </r>
  <r>
    <s v="ORD001355"/>
    <s v="Sofía Ruiz"/>
    <s v="sofía.ruiz@mail.com"/>
    <x v="3"/>
    <s v="Roma"/>
    <x v="0"/>
    <x v="0"/>
    <n v="1"/>
    <n v="1382.34"/>
    <n v="1382.34"/>
    <x v="5"/>
    <x v="0"/>
    <x v="203"/>
    <x v="4"/>
  </r>
  <r>
    <s v="ORD001356"/>
    <s v="Carmen Vázquez"/>
    <s v="carmen.vázquez@mail.com"/>
    <x v="1"/>
    <s v="Hamburgo"/>
    <x v="4"/>
    <x v="11"/>
    <n v="4"/>
    <n v="795.29"/>
    <n v="3181.16"/>
    <x v="0"/>
    <x v="0"/>
    <x v="174"/>
    <x v="2"/>
  </r>
  <r>
    <s v="ORD001357"/>
    <s v="Luis Martínez"/>
    <s v="luis.martínez@mail.com"/>
    <x v="2"/>
    <s v="Lisboa"/>
    <x v="0"/>
    <x v="20"/>
    <n v="1"/>
    <n v="282.33"/>
    <n v="282.33"/>
    <x v="6"/>
    <x v="1"/>
    <x v="327"/>
    <x v="4"/>
  </r>
  <r>
    <s v="ORD001358"/>
    <s v="Carmen Fernández"/>
    <s v="carmen.fernández@mail.com"/>
    <x v="0"/>
    <s v="Sevilla"/>
    <x v="1"/>
    <x v="8"/>
    <n v="4"/>
    <n v="1231.2"/>
    <n v="4924.8"/>
    <x v="8"/>
    <x v="0"/>
    <x v="671"/>
    <x v="2"/>
  </r>
  <r>
    <s v="ORD001359"/>
    <s v="Ana Díaz"/>
    <s v="ana.díaz@mail.com"/>
    <x v="3"/>
    <s v="Roma"/>
    <x v="3"/>
    <x v="4"/>
    <n v="2"/>
    <n v="1258.98"/>
    <n v="2517.96"/>
    <x v="9"/>
    <x v="1"/>
    <x v="418"/>
    <x v="2"/>
  </r>
  <r>
    <s v="ORD001360"/>
    <s v="Laura Sánchez"/>
    <s v="laura.sánchez@mail.com"/>
    <x v="2"/>
    <s v="Braga"/>
    <x v="1"/>
    <x v="1"/>
    <n v="5"/>
    <n v="1389.15"/>
    <n v="6945.75"/>
    <x v="0"/>
    <x v="1"/>
    <x v="672"/>
    <x v="0"/>
  </r>
  <r>
    <s v="ORD001361"/>
    <s v="Elena López"/>
    <s v="elena.lópez@mail.com"/>
    <x v="1"/>
    <s v="Múnich"/>
    <x v="4"/>
    <x v="11"/>
    <n v="2"/>
    <n v="1491.96"/>
    <n v="2983.92"/>
    <x v="6"/>
    <x v="1"/>
    <x v="27"/>
    <x v="1"/>
  </r>
  <r>
    <s v="ORD001362"/>
    <s v="Irene Ruiz"/>
    <s v="irene.ruiz@mail.com"/>
    <x v="4"/>
    <s v="Lyon"/>
    <x v="1"/>
    <x v="8"/>
    <n v="5"/>
    <n v="258.45999999999998"/>
    <n v="1292.3"/>
    <x v="3"/>
    <x v="1"/>
    <x v="60"/>
    <x v="1"/>
  </r>
  <r>
    <s v="ORD001363"/>
    <s v="Pablo Vázquez"/>
    <s v="pablo.vázquez@mail.com"/>
    <x v="1"/>
    <s v="Múnich"/>
    <x v="1"/>
    <x v="8"/>
    <n v="1"/>
    <n v="960.05"/>
    <n v="960.05"/>
    <x v="8"/>
    <x v="1"/>
    <x v="673"/>
    <x v="1"/>
  </r>
  <r>
    <s v="ORD001364"/>
    <s v="Carlos Martínez"/>
    <s v="carlos.martínez@mail.com"/>
    <x v="0"/>
    <s v="Valencia"/>
    <x v="0"/>
    <x v="13"/>
    <n v="5"/>
    <n v="1429.33"/>
    <n v="7146.65"/>
    <x v="9"/>
    <x v="1"/>
    <x v="525"/>
    <x v="3"/>
  </r>
  <r>
    <s v="ORD001365"/>
    <s v="Javier Gil"/>
    <s v="javier.gil@mail.com"/>
    <x v="2"/>
    <s v="Braga"/>
    <x v="1"/>
    <x v="1"/>
    <n v="5"/>
    <n v="809.63"/>
    <n v="4048.15"/>
    <x v="9"/>
    <x v="0"/>
    <x v="300"/>
    <x v="1"/>
  </r>
  <r>
    <s v="ORD001366"/>
    <s v="Miguel Vázquez"/>
    <s v="miguel.vázquez@mail.com"/>
    <x v="1"/>
    <s v="Berlín"/>
    <x v="1"/>
    <x v="2"/>
    <n v="1"/>
    <n v="1227.42"/>
    <n v="1227.42"/>
    <x v="1"/>
    <x v="0"/>
    <x v="317"/>
    <x v="1"/>
  </r>
  <r>
    <s v="ORD001367"/>
    <s v="Elena Fernández"/>
    <s v="elena.fernández@mail.com"/>
    <x v="4"/>
    <s v="Lyon"/>
    <x v="2"/>
    <x v="10"/>
    <n v="1"/>
    <n v="1035.0999999999999"/>
    <n v="1035.0999999999999"/>
    <x v="11"/>
    <x v="0"/>
    <x v="277"/>
    <x v="1"/>
  </r>
  <r>
    <s v="ORD001368"/>
    <s v="Lucía Sánchez"/>
    <s v="lucía.sánchez@mail.com"/>
    <x v="3"/>
    <s v="Nápoles"/>
    <x v="2"/>
    <x v="3"/>
    <n v="2"/>
    <n v="640.55999999999995"/>
    <n v="1281.1199999999999"/>
    <x v="11"/>
    <x v="1"/>
    <x v="600"/>
    <x v="1"/>
  </r>
  <r>
    <s v="ORD001369"/>
    <s v="Pablo Rodríguez"/>
    <s v="pablo.rodríguez@mail.com"/>
    <x v="3"/>
    <s v="Nápoles"/>
    <x v="2"/>
    <x v="9"/>
    <n v="4"/>
    <n v="339.44"/>
    <n v="1357.76"/>
    <x v="9"/>
    <x v="1"/>
    <x v="104"/>
    <x v="4"/>
  </r>
  <r>
    <s v="ORD001370"/>
    <s v="Carmen Torres"/>
    <s v="carmen.torres@mail.com"/>
    <x v="3"/>
    <s v="Nápoles"/>
    <x v="2"/>
    <x v="10"/>
    <n v="1"/>
    <n v="312.18"/>
    <n v="312.18"/>
    <x v="0"/>
    <x v="0"/>
    <x v="264"/>
    <x v="3"/>
  </r>
  <r>
    <s v="ORD001371"/>
    <s v="Carlos Torres"/>
    <s v="carlos.torres@mail.com"/>
    <x v="1"/>
    <s v="Berlín"/>
    <x v="1"/>
    <x v="6"/>
    <n v="3"/>
    <n v="857.75"/>
    <n v="2573.25"/>
    <x v="8"/>
    <x v="1"/>
    <x v="563"/>
    <x v="4"/>
  </r>
  <r>
    <s v="ORD001372"/>
    <s v="Pablo Torres"/>
    <s v="pablo.torres@mail.com"/>
    <x v="3"/>
    <s v="Nápoles"/>
    <x v="1"/>
    <x v="2"/>
    <n v="5"/>
    <n v="783"/>
    <n v="3915"/>
    <x v="7"/>
    <x v="1"/>
    <x v="674"/>
    <x v="2"/>
  </r>
  <r>
    <s v="ORD001373"/>
    <s v="Diego Gil"/>
    <s v="diego.gil@mail.com"/>
    <x v="0"/>
    <s v="Barcelona"/>
    <x v="1"/>
    <x v="8"/>
    <n v="5"/>
    <n v="1382.17"/>
    <n v="6910.85"/>
    <x v="2"/>
    <x v="0"/>
    <x v="558"/>
    <x v="3"/>
  </r>
  <r>
    <s v="ORD001374"/>
    <s v="Carmen Navarro"/>
    <s v="carmen.navarro@mail.com"/>
    <x v="3"/>
    <s v="Roma"/>
    <x v="2"/>
    <x v="3"/>
    <n v="1"/>
    <n v="741.96"/>
    <n v="741.96"/>
    <x v="1"/>
    <x v="0"/>
    <x v="19"/>
    <x v="1"/>
  </r>
  <r>
    <s v="ORD001375"/>
    <s v="Raúl Ruiz"/>
    <s v="raúl.ruiz@mail.com"/>
    <x v="1"/>
    <s v="Múnich"/>
    <x v="0"/>
    <x v="17"/>
    <n v="3"/>
    <n v="1049.1300000000001"/>
    <n v="3147.3900000000003"/>
    <x v="6"/>
    <x v="0"/>
    <x v="51"/>
    <x v="4"/>
  </r>
  <r>
    <s v="ORD001376"/>
    <s v="Raúl Ramos"/>
    <s v="raúl.ramos@mail.com"/>
    <x v="4"/>
    <s v="Marsella"/>
    <x v="1"/>
    <x v="6"/>
    <n v="1"/>
    <n v="873.02"/>
    <n v="873.02"/>
    <x v="6"/>
    <x v="0"/>
    <x v="331"/>
    <x v="2"/>
  </r>
  <r>
    <s v="ORD001377"/>
    <s v="Lucía Navarro"/>
    <s v="lucía.navarro@mail.com"/>
    <x v="3"/>
    <s v="Nápoles"/>
    <x v="4"/>
    <x v="21"/>
    <n v="4"/>
    <n v="18.510000000000002"/>
    <n v="74.040000000000006"/>
    <x v="1"/>
    <x v="1"/>
    <x v="394"/>
    <x v="2"/>
  </r>
  <r>
    <s v="ORD001378"/>
    <s v="Lucía Gómez"/>
    <s v="lucía.gómez@mail.com"/>
    <x v="0"/>
    <s v="Sevilla"/>
    <x v="4"/>
    <x v="23"/>
    <n v="5"/>
    <n v="71.03"/>
    <n v="355.15"/>
    <x v="7"/>
    <x v="0"/>
    <x v="91"/>
    <x v="4"/>
  </r>
  <r>
    <s v="ORD001379"/>
    <s v="María Martínez"/>
    <s v="maría.martínez@mail.com"/>
    <x v="3"/>
    <s v="Nápoles"/>
    <x v="0"/>
    <x v="16"/>
    <n v="2"/>
    <n v="730.49"/>
    <n v="1460.98"/>
    <x v="6"/>
    <x v="0"/>
    <x v="675"/>
    <x v="1"/>
  </r>
  <r>
    <s v="ORD001380"/>
    <s v="Javier Gómez"/>
    <s v="javier.gómez@mail.com"/>
    <x v="0"/>
    <s v="Madrid"/>
    <x v="4"/>
    <x v="23"/>
    <n v="2"/>
    <n v="1000.42"/>
    <n v="2000.84"/>
    <x v="8"/>
    <x v="1"/>
    <x v="415"/>
    <x v="2"/>
  </r>
  <r>
    <s v="ORD001381"/>
    <s v="Carmen Pérez"/>
    <s v="carmen.pérez@mail.com"/>
    <x v="2"/>
    <s v="Lisboa"/>
    <x v="0"/>
    <x v="13"/>
    <n v="2"/>
    <n v="272.07"/>
    <n v="544.14"/>
    <x v="6"/>
    <x v="1"/>
    <x v="181"/>
    <x v="4"/>
  </r>
  <r>
    <s v="ORD001382"/>
    <s v="Carmen Pérez"/>
    <s v="carmen.pérez@mail.com"/>
    <x v="3"/>
    <s v="Nápoles"/>
    <x v="4"/>
    <x v="22"/>
    <n v="5"/>
    <n v="316.02999999999997"/>
    <n v="1580.1499999999999"/>
    <x v="5"/>
    <x v="0"/>
    <x v="538"/>
    <x v="1"/>
  </r>
  <r>
    <s v="ORD001383"/>
    <s v="Luis Díaz"/>
    <s v="luis.díaz@mail.com"/>
    <x v="2"/>
    <s v="Oporto"/>
    <x v="2"/>
    <x v="10"/>
    <n v="5"/>
    <n v="1333.85"/>
    <n v="6669.25"/>
    <x v="0"/>
    <x v="0"/>
    <x v="108"/>
    <x v="1"/>
  </r>
  <r>
    <s v="ORD001384"/>
    <s v="Ana Sánchez"/>
    <s v="ana.sánchez@mail.com"/>
    <x v="2"/>
    <s v="Lisboa"/>
    <x v="0"/>
    <x v="0"/>
    <n v="5"/>
    <n v="1178.8"/>
    <n v="5894"/>
    <x v="1"/>
    <x v="1"/>
    <x v="522"/>
    <x v="4"/>
  </r>
  <r>
    <s v="ORD001385"/>
    <s v="Diego Ramos"/>
    <s v="diego.ramos@mail.com"/>
    <x v="3"/>
    <s v="Roma"/>
    <x v="1"/>
    <x v="12"/>
    <n v="2"/>
    <n v="504.34"/>
    <n v="1008.68"/>
    <x v="6"/>
    <x v="0"/>
    <x v="111"/>
    <x v="2"/>
  </r>
  <r>
    <s v="ORD001386"/>
    <s v="Laura Fernández"/>
    <s v="laura.fernández@mail.com"/>
    <x v="4"/>
    <s v="Lyon"/>
    <x v="3"/>
    <x v="18"/>
    <n v="2"/>
    <n v="1163.22"/>
    <n v="2326.44"/>
    <x v="5"/>
    <x v="2"/>
    <x v="566"/>
    <x v="3"/>
  </r>
  <r>
    <s v="ORD001387"/>
    <s v="Ana Gil"/>
    <s v="ana.gil@mail.com"/>
    <x v="4"/>
    <s v="Lyon"/>
    <x v="4"/>
    <x v="14"/>
    <n v="4"/>
    <n v="680.36"/>
    <n v="2721.44"/>
    <x v="0"/>
    <x v="1"/>
    <x v="526"/>
    <x v="2"/>
  </r>
  <r>
    <s v="ORD001388"/>
    <s v="Javier Gómez"/>
    <s v="javier.gómez@mail.com"/>
    <x v="2"/>
    <s v="Lisboa"/>
    <x v="4"/>
    <x v="14"/>
    <n v="4"/>
    <n v="6.21"/>
    <n v="24.84"/>
    <x v="0"/>
    <x v="0"/>
    <x v="676"/>
    <x v="0"/>
  </r>
  <r>
    <s v="ORD001389"/>
    <s v="Irene Ruiz"/>
    <s v="irene.ruiz@mail.com"/>
    <x v="3"/>
    <s v="Roma"/>
    <x v="4"/>
    <x v="14"/>
    <n v="4"/>
    <n v="968.15"/>
    <n v="3872.6"/>
    <x v="2"/>
    <x v="0"/>
    <x v="558"/>
    <x v="1"/>
  </r>
  <r>
    <s v="ORD001390"/>
    <s v="Pedro Fernández"/>
    <s v="pedro.fernández@mail.com"/>
    <x v="2"/>
    <s v="Braga"/>
    <x v="1"/>
    <x v="6"/>
    <n v="5"/>
    <n v="777.62"/>
    <n v="3888.1"/>
    <x v="2"/>
    <x v="2"/>
    <x v="359"/>
    <x v="4"/>
  </r>
  <r>
    <s v="ORD001391"/>
    <s v="Miguel Pérez"/>
    <s v="miguel.pérez@mail.com"/>
    <x v="3"/>
    <s v="Roma"/>
    <x v="1"/>
    <x v="12"/>
    <n v="3"/>
    <n v="441.96"/>
    <n v="1325.8799999999999"/>
    <x v="4"/>
    <x v="1"/>
    <x v="427"/>
    <x v="0"/>
  </r>
  <r>
    <s v="ORD001392"/>
    <s v="Elena García"/>
    <s v="elena.garcía@mail.com"/>
    <x v="0"/>
    <s v="Madrid"/>
    <x v="2"/>
    <x v="19"/>
    <n v="3"/>
    <n v="1170.19"/>
    <n v="3510.57"/>
    <x v="5"/>
    <x v="0"/>
    <x v="324"/>
    <x v="2"/>
  </r>
  <r>
    <s v="ORD001393"/>
    <s v="Sofía Gómez"/>
    <s v="sofía.gómez@mail.com"/>
    <x v="4"/>
    <s v="Lyon"/>
    <x v="3"/>
    <x v="5"/>
    <n v="3"/>
    <n v="14.35"/>
    <n v="43.05"/>
    <x v="3"/>
    <x v="0"/>
    <x v="621"/>
    <x v="1"/>
  </r>
  <r>
    <s v="ORD001394"/>
    <s v="María Gómez"/>
    <s v="maría.gómez@mail.com"/>
    <x v="1"/>
    <s v="Hamburgo"/>
    <x v="2"/>
    <x v="19"/>
    <n v="3"/>
    <n v="1426.9"/>
    <n v="4280.7000000000007"/>
    <x v="4"/>
    <x v="1"/>
    <x v="677"/>
    <x v="3"/>
  </r>
  <r>
    <s v="ORD001395"/>
    <s v="Carlos Gómez"/>
    <s v="carlos.gómez@mail.com"/>
    <x v="2"/>
    <s v="Lisboa"/>
    <x v="0"/>
    <x v="20"/>
    <n v="3"/>
    <n v="1077.83"/>
    <n v="3233.49"/>
    <x v="2"/>
    <x v="2"/>
    <x v="2"/>
    <x v="1"/>
  </r>
  <r>
    <s v="ORD001396"/>
    <s v="Javier Díaz"/>
    <s v="javier.díaz@mail.com"/>
    <x v="4"/>
    <s v="París"/>
    <x v="1"/>
    <x v="2"/>
    <n v="2"/>
    <n v="1095.1199999999999"/>
    <n v="2190.2399999999998"/>
    <x v="5"/>
    <x v="0"/>
    <x v="219"/>
    <x v="1"/>
  </r>
  <r>
    <s v="ORD001397"/>
    <s v="María Sánchez"/>
    <s v="maría.sánchez@mail.com"/>
    <x v="4"/>
    <s v="Lyon"/>
    <x v="4"/>
    <x v="14"/>
    <n v="5"/>
    <n v="1380.48"/>
    <n v="6902.4"/>
    <x v="5"/>
    <x v="2"/>
    <x v="613"/>
    <x v="2"/>
  </r>
  <r>
    <s v="ORD001398"/>
    <s v="Miguel Pérez"/>
    <s v="miguel.pérez@mail.com"/>
    <x v="0"/>
    <s v="Madrid"/>
    <x v="0"/>
    <x v="0"/>
    <n v="3"/>
    <n v="1330.62"/>
    <n v="3991.8599999999997"/>
    <x v="0"/>
    <x v="1"/>
    <x v="498"/>
    <x v="0"/>
  </r>
  <r>
    <s v="ORD001399"/>
    <s v="Carmen Pérez"/>
    <s v="carmen.pérez@mail.com"/>
    <x v="2"/>
    <s v="Lisboa"/>
    <x v="4"/>
    <x v="11"/>
    <n v="3"/>
    <n v="1211.02"/>
    <n v="3633.06"/>
    <x v="2"/>
    <x v="2"/>
    <x v="2"/>
    <x v="4"/>
  </r>
  <r>
    <s v="ORD001400"/>
    <s v="Laura Rodríguez"/>
    <s v="laura.rodríguez@mail.com"/>
    <x v="4"/>
    <s v="París"/>
    <x v="1"/>
    <x v="12"/>
    <n v="1"/>
    <n v="1365.02"/>
    <n v="1365.02"/>
    <x v="11"/>
    <x v="1"/>
    <x v="678"/>
    <x v="2"/>
  </r>
  <r>
    <s v="ORD001401"/>
    <s v="Ana Ruiz"/>
    <s v="ana.ruiz@mail.com"/>
    <x v="1"/>
    <s v="Hamburgo"/>
    <x v="4"/>
    <x v="23"/>
    <n v="4"/>
    <n v="287.10000000000002"/>
    <n v="1148.4000000000001"/>
    <x v="8"/>
    <x v="1"/>
    <x v="298"/>
    <x v="3"/>
  </r>
  <r>
    <s v="ORD001402"/>
    <s v="Ana Gómez"/>
    <s v="ana.gómez@mail.com"/>
    <x v="3"/>
    <s v="Milán"/>
    <x v="0"/>
    <x v="0"/>
    <n v="2"/>
    <n v="1241.3800000000001"/>
    <n v="2482.7600000000002"/>
    <x v="10"/>
    <x v="1"/>
    <x v="466"/>
    <x v="2"/>
  </r>
  <r>
    <s v="ORD001403"/>
    <s v="María Gil"/>
    <s v="maría.gil@mail.com"/>
    <x v="0"/>
    <s v="Sevilla"/>
    <x v="1"/>
    <x v="1"/>
    <n v="4"/>
    <n v="627.4"/>
    <n v="2509.6"/>
    <x v="2"/>
    <x v="1"/>
    <x v="504"/>
    <x v="3"/>
  </r>
  <r>
    <s v="ORD001404"/>
    <s v="Irene Martínez"/>
    <s v="irene.martínez@mail.com"/>
    <x v="1"/>
    <s v="Berlín"/>
    <x v="1"/>
    <x v="12"/>
    <n v="2"/>
    <n v="381.81"/>
    <n v="763.62"/>
    <x v="1"/>
    <x v="0"/>
    <x v="19"/>
    <x v="0"/>
  </r>
  <r>
    <s v="ORD001405"/>
    <s v="Laura López"/>
    <s v="laura.lópez@mail.com"/>
    <x v="0"/>
    <s v="Valencia"/>
    <x v="1"/>
    <x v="2"/>
    <n v="2"/>
    <n v="1126.6099999999999"/>
    <n v="2253.2199999999998"/>
    <x v="10"/>
    <x v="0"/>
    <x v="242"/>
    <x v="1"/>
  </r>
  <r>
    <s v="ORD001406"/>
    <s v="Carmen Gómez"/>
    <s v="carmen.gómez@mail.com"/>
    <x v="3"/>
    <s v="Nápoles"/>
    <x v="0"/>
    <x v="13"/>
    <n v="3"/>
    <n v="1151.3399999999999"/>
    <n v="3454.0199999999995"/>
    <x v="6"/>
    <x v="0"/>
    <x v="679"/>
    <x v="4"/>
  </r>
  <r>
    <s v="ORD001407"/>
    <s v="Javier Gil"/>
    <s v="javier.gil@mail.com"/>
    <x v="2"/>
    <s v="Oporto"/>
    <x v="4"/>
    <x v="11"/>
    <n v="2"/>
    <n v="1065.43"/>
    <n v="2130.86"/>
    <x v="0"/>
    <x v="1"/>
    <x v="39"/>
    <x v="2"/>
  </r>
  <r>
    <s v="ORD001408"/>
    <s v="Javier Fernández"/>
    <s v="javier.fernández@mail.com"/>
    <x v="1"/>
    <s v="Berlín"/>
    <x v="0"/>
    <x v="17"/>
    <n v="2"/>
    <n v="1480.9"/>
    <n v="2961.8"/>
    <x v="4"/>
    <x v="1"/>
    <x v="58"/>
    <x v="0"/>
  </r>
  <r>
    <s v="ORD001409"/>
    <s v="Pedro Alonso"/>
    <s v="pedro.alonso@mail.com"/>
    <x v="0"/>
    <s v="Bilbao"/>
    <x v="1"/>
    <x v="2"/>
    <n v="5"/>
    <n v="1215.04"/>
    <n v="6075.2"/>
    <x v="7"/>
    <x v="1"/>
    <x v="64"/>
    <x v="2"/>
  </r>
  <r>
    <s v="ORD001410"/>
    <s v="Carlos Martínez"/>
    <s v="carlos.martínez@mail.com"/>
    <x v="0"/>
    <s v="Sevilla"/>
    <x v="0"/>
    <x v="17"/>
    <n v="4"/>
    <n v="49.53"/>
    <n v="198.12"/>
    <x v="5"/>
    <x v="0"/>
    <x v="680"/>
    <x v="3"/>
  </r>
  <r>
    <s v="ORD001411"/>
    <s v="Raúl Ruiz"/>
    <s v="raúl.ruiz@mail.com"/>
    <x v="0"/>
    <s v="Madrid"/>
    <x v="0"/>
    <x v="17"/>
    <n v="3"/>
    <n v="1001.01"/>
    <n v="3003.0299999999997"/>
    <x v="0"/>
    <x v="1"/>
    <x v="570"/>
    <x v="0"/>
  </r>
  <r>
    <s v="ORD001412"/>
    <s v="Raúl Pérez"/>
    <s v="raúl.pérez@mail.com"/>
    <x v="3"/>
    <s v="Roma"/>
    <x v="1"/>
    <x v="6"/>
    <n v="4"/>
    <n v="937.85"/>
    <n v="3751.4"/>
    <x v="1"/>
    <x v="1"/>
    <x v="282"/>
    <x v="4"/>
  </r>
  <r>
    <s v="ORD001413"/>
    <s v="Luis Vázquez"/>
    <s v="luis.vázquez@mail.com"/>
    <x v="2"/>
    <s v="Braga"/>
    <x v="2"/>
    <x v="15"/>
    <n v="5"/>
    <n v="1393.66"/>
    <n v="6968.3"/>
    <x v="2"/>
    <x v="0"/>
    <x v="234"/>
    <x v="4"/>
  </r>
  <r>
    <s v="ORD001414"/>
    <s v="Miguel Pérez"/>
    <s v="miguel.pérez@mail.com"/>
    <x v="3"/>
    <s v="Nápoles"/>
    <x v="3"/>
    <x v="5"/>
    <n v="2"/>
    <n v="554.23"/>
    <n v="1108.46"/>
    <x v="10"/>
    <x v="0"/>
    <x v="186"/>
    <x v="1"/>
  </r>
  <r>
    <s v="ORD001415"/>
    <s v="Ana Pérez"/>
    <s v="ana.pérez@mail.com"/>
    <x v="1"/>
    <s v="Hamburgo"/>
    <x v="1"/>
    <x v="1"/>
    <n v="3"/>
    <n v="833.06"/>
    <n v="2499.1799999999998"/>
    <x v="10"/>
    <x v="2"/>
    <x v="681"/>
    <x v="0"/>
  </r>
  <r>
    <s v="ORD001416"/>
    <s v="Javier López"/>
    <s v="javier.lópez@mail.com"/>
    <x v="0"/>
    <s v="Valencia"/>
    <x v="0"/>
    <x v="0"/>
    <n v="5"/>
    <n v="1319.89"/>
    <n v="6599.4500000000007"/>
    <x v="1"/>
    <x v="1"/>
    <x v="346"/>
    <x v="4"/>
  </r>
  <r>
    <s v="ORD001417"/>
    <s v="Diego Rodríguez"/>
    <s v="diego.rodríguez@mail.com"/>
    <x v="0"/>
    <s v="Barcelona"/>
    <x v="2"/>
    <x v="3"/>
    <n v="5"/>
    <n v="1162.51"/>
    <n v="5812.55"/>
    <x v="4"/>
    <x v="1"/>
    <x v="7"/>
    <x v="3"/>
  </r>
  <r>
    <s v="ORD001418"/>
    <s v="Javier Ramos"/>
    <s v="javier.ramos@mail.com"/>
    <x v="2"/>
    <s v="Lisboa"/>
    <x v="0"/>
    <x v="13"/>
    <n v="5"/>
    <n v="813.28"/>
    <n v="4066.3999999999996"/>
    <x v="4"/>
    <x v="1"/>
    <x v="654"/>
    <x v="3"/>
  </r>
  <r>
    <s v="ORD001419"/>
    <s v="Laura Martínez"/>
    <s v="laura.martínez@mail.com"/>
    <x v="0"/>
    <s v="Barcelona"/>
    <x v="2"/>
    <x v="9"/>
    <n v="1"/>
    <n v="552.47"/>
    <n v="552.47"/>
    <x v="10"/>
    <x v="1"/>
    <x v="656"/>
    <x v="4"/>
  </r>
  <r>
    <s v="ORD001420"/>
    <s v="Irene López"/>
    <s v="irene.lópez@mail.com"/>
    <x v="3"/>
    <s v="Nápoles"/>
    <x v="1"/>
    <x v="6"/>
    <n v="5"/>
    <n v="946.35"/>
    <n v="4731.75"/>
    <x v="8"/>
    <x v="0"/>
    <x v="158"/>
    <x v="2"/>
  </r>
  <r>
    <s v="ORD001421"/>
    <s v="Irene Alonso"/>
    <s v="irene.alonso@mail.com"/>
    <x v="2"/>
    <s v="Lisboa"/>
    <x v="4"/>
    <x v="23"/>
    <n v="4"/>
    <n v="1030.79"/>
    <n v="4123.16"/>
    <x v="3"/>
    <x v="0"/>
    <x v="682"/>
    <x v="1"/>
  </r>
  <r>
    <s v="ORD001422"/>
    <s v="Miguel Gómez"/>
    <s v="miguel.gómez@mail.com"/>
    <x v="0"/>
    <s v="Sevilla"/>
    <x v="3"/>
    <x v="7"/>
    <n v="5"/>
    <n v="1052.79"/>
    <n v="5263.95"/>
    <x v="10"/>
    <x v="2"/>
    <x v="683"/>
    <x v="3"/>
  </r>
  <r>
    <s v="ORD001423"/>
    <s v="Javier Díaz"/>
    <s v="javier.díaz@mail.com"/>
    <x v="4"/>
    <s v="Marsella"/>
    <x v="2"/>
    <x v="19"/>
    <n v="4"/>
    <n v="1447.86"/>
    <n v="5791.44"/>
    <x v="11"/>
    <x v="1"/>
    <x v="684"/>
    <x v="4"/>
  </r>
  <r>
    <s v="ORD001424"/>
    <s v="Diego Torres"/>
    <s v="diego.torres@mail.com"/>
    <x v="3"/>
    <s v="Roma"/>
    <x v="2"/>
    <x v="9"/>
    <n v="5"/>
    <n v="563.49"/>
    <n v="2817.45"/>
    <x v="5"/>
    <x v="0"/>
    <x v="203"/>
    <x v="0"/>
  </r>
  <r>
    <s v="ORD001425"/>
    <s v="María Gil"/>
    <s v="maría.gil@mail.com"/>
    <x v="2"/>
    <s v="Lisboa"/>
    <x v="3"/>
    <x v="18"/>
    <n v="1"/>
    <n v="1362.64"/>
    <n v="1362.64"/>
    <x v="5"/>
    <x v="1"/>
    <x v="440"/>
    <x v="4"/>
  </r>
  <r>
    <s v="ORD001426"/>
    <s v="Laura Pérez"/>
    <s v="laura.pérez@mail.com"/>
    <x v="4"/>
    <s v="Lyon"/>
    <x v="1"/>
    <x v="1"/>
    <n v="2"/>
    <n v="805.56"/>
    <n v="1611.12"/>
    <x v="0"/>
    <x v="0"/>
    <x v="230"/>
    <x v="2"/>
  </r>
  <r>
    <s v="ORD001427"/>
    <s v="Miguel Martínez"/>
    <s v="miguel.martínez@mail.com"/>
    <x v="4"/>
    <s v="Marsella"/>
    <x v="4"/>
    <x v="14"/>
    <n v="4"/>
    <n v="1109.6400000000001"/>
    <n v="4438.5600000000004"/>
    <x v="9"/>
    <x v="0"/>
    <x v="70"/>
    <x v="1"/>
  </r>
  <r>
    <s v="ORD001428"/>
    <s v="Raúl Fernández"/>
    <s v="raúl.fernández@mail.com"/>
    <x v="1"/>
    <s v="Múnich"/>
    <x v="3"/>
    <x v="4"/>
    <n v="1"/>
    <n v="1197.6300000000001"/>
    <n v="1197.6300000000001"/>
    <x v="11"/>
    <x v="0"/>
    <x v="390"/>
    <x v="0"/>
  </r>
  <r>
    <s v="ORD001429"/>
    <s v="Javier Torres"/>
    <s v="javier.torres@mail.com"/>
    <x v="4"/>
    <s v="París"/>
    <x v="4"/>
    <x v="22"/>
    <n v="1"/>
    <n v="1494.88"/>
    <n v="1494.88"/>
    <x v="5"/>
    <x v="0"/>
    <x v="293"/>
    <x v="0"/>
  </r>
  <r>
    <s v="ORD001430"/>
    <s v="Ana Pérez"/>
    <s v="ana.pérez@mail.com"/>
    <x v="1"/>
    <s v="Berlín"/>
    <x v="0"/>
    <x v="17"/>
    <n v="3"/>
    <n v="843.01"/>
    <n v="2529.0299999999997"/>
    <x v="4"/>
    <x v="1"/>
    <x v="138"/>
    <x v="3"/>
  </r>
  <r>
    <s v="ORD001431"/>
    <s v="María García"/>
    <s v="maría.garcía@mail.com"/>
    <x v="3"/>
    <s v="Roma"/>
    <x v="4"/>
    <x v="22"/>
    <n v="1"/>
    <n v="1465.7"/>
    <n v="1465.7"/>
    <x v="7"/>
    <x v="1"/>
    <x v="228"/>
    <x v="2"/>
  </r>
  <r>
    <s v="ORD001432"/>
    <s v="Miguel Díaz"/>
    <s v="miguel.díaz@mail.com"/>
    <x v="4"/>
    <s v="Lyon"/>
    <x v="4"/>
    <x v="21"/>
    <n v="4"/>
    <n v="742.03"/>
    <n v="2968.12"/>
    <x v="5"/>
    <x v="2"/>
    <x v="431"/>
    <x v="3"/>
  </r>
  <r>
    <s v="ORD001433"/>
    <s v="Sofía Pérez"/>
    <s v="sofía.pérez@mail.com"/>
    <x v="0"/>
    <s v="Valencia"/>
    <x v="0"/>
    <x v="13"/>
    <n v="4"/>
    <n v="661.17"/>
    <n v="2644.68"/>
    <x v="1"/>
    <x v="1"/>
    <x v="685"/>
    <x v="2"/>
  </r>
  <r>
    <s v="ORD001434"/>
    <s v="Pablo Sánchez"/>
    <s v="pablo.sánchez@mail.com"/>
    <x v="2"/>
    <s v="Braga"/>
    <x v="2"/>
    <x v="15"/>
    <n v="5"/>
    <n v="431.54"/>
    <n v="2157.7000000000003"/>
    <x v="2"/>
    <x v="2"/>
    <x v="329"/>
    <x v="4"/>
  </r>
  <r>
    <s v="ORD001435"/>
    <s v="Pedro Gil"/>
    <s v="pedro.gil@mail.com"/>
    <x v="3"/>
    <s v="Milán"/>
    <x v="2"/>
    <x v="10"/>
    <n v="5"/>
    <n v="953.19"/>
    <n v="4765.9500000000007"/>
    <x v="3"/>
    <x v="0"/>
    <x v="110"/>
    <x v="0"/>
  </r>
  <r>
    <s v="ORD001436"/>
    <s v="Elena Torres"/>
    <s v="elena.torres@mail.com"/>
    <x v="2"/>
    <s v="Braga"/>
    <x v="1"/>
    <x v="6"/>
    <n v="3"/>
    <n v="1012.29"/>
    <n v="3036.87"/>
    <x v="11"/>
    <x v="1"/>
    <x v="572"/>
    <x v="3"/>
  </r>
  <r>
    <s v="ORD001437"/>
    <s v="Javier Pérez"/>
    <s v="javier.pérez@mail.com"/>
    <x v="4"/>
    <s v="Lyon"/>
    <x v="2"/>
    <x v="10"/>
    <n v="3"/>
    <n v="607.48"/>
    <n v="1822.44"/>
    <x v="3"/>
    <x v="1"/>
    <x v="99"/>
    <x v="4"/>
  </r>
  <r>
    <s v="ORD001438"/>
    <s v="Pedro Gómez"/>
    <s v="pedro.gómez@mail.com"/>
    <x v="4"/>
    <s v="París"/>
    <x v="4"/>
    <x v="22"/>
    <n v="5"/>
    <n v="247.69"/>
    <n v="1238.45"/>
    <x v="8"/>
    <x v="0"/>
    <x v="158"/>
    <x v="3"/>
  </r>
  <r>
    <s v="ORD001439"/>
    <s v="María Alonso"/>
    <s v="maría.alonso@mail.com"/>
    <x v="2"/>
    <s v="Braga"/>
    <x v="1"/>
    <x v="1"/>
    <n v="5"/>
    <n v="512.04999999999995"/>
    <n v="2560.25"/>
    <x v="5"/>
    <x v="2"/>
    <x v="231"/>
    <x v="1"/>
  </r>
  <r>
    <s v="ORD001440"/>
    <s v="Raúl Ramos"/>
    <s v="raúl.ramos@mail.com"/>
    <x v="2"/>
    <s v="Braga"/>
    <x v="2"/>
    <x v="10"/>
    <n v="4"/>
    <n v="1366.07"/>
    <n v="5464.28"/>
    <x v="0"/>
    <x v="1"/>
    <x v="686"/>
    <x v="2"/>
  </r>
  <r>
    <s v="ORD001441"/>
    <s v="Irene Martínez"/>
    <s v="irene.martínez@mail.com"/>
    <x v="1"/>
    <s v="Múnich"/>
    <x v="2"/>
    <x v="15"/>
    <n v="3"/>
    <n v="288.54000000000002"/>
    <n v="865.62000000000012"/>
    <x v="8"/>
    <x v="1"/>
    <x v="687"/>
    <x v="2"/>
  </r>
  <r>
    <s v="ORD001442"/>
    <s v="Carmen Ramos"/>
    <s v="carmen.ramos@mail.com"/>
    <x v="3"/>
    <s v="Roma"/>
    <x v="3"/>
    <x v="5"/>
    <n v="5"/>
    <n v="770.71"/>
    <n v="3853.55"/>
    <x v="11"/>
    <x v="1"/>
    <x v="121"/>
    <x v="4"/>
  </r>
  <r>
    <s v="ORD001443"/>
    <s v="Pedro Navarro"/>
    <s v="pedro.navarro@mail.com"/>
    <x v="2"/>
    <s v="Oporto"/>
    <x v="4"/>
    <x v="21"/>
    <n v="4"/>
    <n v="681.23"/>
    <n v="2724.92"/>
    <x v="8"/>
    <x v="1"/>
    <x v="12"/>
    <x v="1"/>
  </r>
  <r>
    <s v="ORD001444"/>
    <s v="Irene Fernández"/>
    <s v="irene.fernández@mail.com"/>
    <x v="0"/>
    <s v="Madrid"/>
    <x v="1"/>
    <x v="12"/>
    <n v="1"/>
    <n v="929.89"/>
    <n v="929.89"/>
    <x v="2"/>
    <x v="2"/>
    <x v="445"/>
    <x v="4"/>
  </r>
  <r>
    <s v="ORD001445"/>
    <s v="Pedro Pérez"/>
    <s v="pedro.pérez@mail.com"/>
    <x v="0"/>
    <s v="Madrid"/>
    <x v="0"/>
    <x v="16"/>
    <n v="3"/>
    <n v="502.4"/>
    <n v="1507.1999999999998"/>
    <x v="1"/>
    <x v="1"/>
    <x v="346"/>
    <x v="1"/>
  </r>
  <r>
    <s v="ORD001446"/>
    <s v="Carmen Navarro"/>
    <s v="carmen.navarro@mail.com"/>
    <x v="0"/>
    <s v="Madrid"/>
    <x v="1"/>
    <x v="12"/>
    <n v="3"/>
    <n v="1181.17"/>
    <n v="3543.51"/>
    <x v="8"/>
    <x v="0"/>
    <x v="61"/>
    <x v="3"/>
  </r>
  <r>
    <s v="ORD001447"/>
    <s v="Elena Fernández"/>
    <s v="elena.fernández@mail.com"/>
    <x v="0"/>
    <s v="Sevilla"/>
    <x v="4"/>
    <x v="11"/>
    <n v="4"/>
    <n v="41.52"/>
    <n v="166.08"/>
    <x v="8"/>
    <x v="0"/>
    <x v="66"/>
    <x v="0"/>
  </r>
  <r>
    <s v="ORD001448"/>
    <s v="María Torres"/>
    <s v="maría.torres@mail.com"/>
    <x v="4"/>
    <s v="Lyon"/>
    <x v="4"/>
    <x v="14"/>
    <n v="3"/>
    <n v="1093.54"/>
    <n v="3280.62"/>
    <x v="9"/>
    <x v="1"/>
    <x v="500"/>
    <x v="1"/>
  </r>
  <r>
    <s v="ORD001449"/>
    <s v="Javier Díaz"/>
    <s v="javier.díaz@mail.com"/>
    <x v="1"/>
    <s v="Hamburgo"/>
    <x v="3"/>
    <x v="15"/>
    <n v="1"/>
    <n v="607.87"/>
    <n v="607.87"/>
    <x v="0"/>
    <x v="0"/>
    <x v="405"/>
    <x v="0"/>
  </r>
  <r>
    <s v="ORD001450"/>
    <s v="Javier Ruiz"/>
    <s v="javier.ruiz@mail.com"/>
    <x v="2"/>
    <s v="Oporto"/>
    <x v="3"/>
    <x v="5"/>
    <n v="4"/>
    <n v="473.68"/>
    <n v="1894.72"/>
    <x v="1"/>
    <x v="0"/>
    <x v="476"/>
    <x v="2"/>
  </r>
  <r>
    <s v="ORD001451"/>
    <s v="María López"/>
    <s v="maría.lópez@mail.com"/>
    <x v="2"/>
    <s v="Lisboa"/>
    <x v="0"/>
    <x v="20"/>
    <n v="3"/>
    <n v="1380.42"/>
    <n v="4141.26"/>
    <x v="6"/>
    <x v="1"/>
    <x v="593"/>
    <x v="2"/>
  </r>
  <r>
    <s v="ORD001452"/>
    <s v="Miguel Ruiz"/>
    <s v="miguel.ruiz@mail.com"/>
    <x v="1"/>
    <s v="Múnich"/>
    <x v="3"/>
    <x v="7"/>
    <n v="3"/>
    <n v="1336.39"/>
    <n v="4009.17"/>
    <x v="2"/>
    <x v="1"/>
    <x v="504"/>
    <x v="0"/>
  </r>
  <r>
    <s v="ORD001453"/>
    <s v="Javier Martínez"/>
    <s v="javier.martínez@mail.com"/>
    <x v="2"/>
    <s v="Lisboa"/>
    <x v="3"/>
    <x v="18"/>
    <n v="1"/>
    <n v="639.14"/>
    <n v="639.14"/>
    <x v="8"/>
    <x v="1"/>
    <x v="563"/>
    <x v="3"/>
  </r>
  <r>
    <s v="ORD001454"/>
    <s v="Miguel Gil"/>
    <s v="miguel.gil@mail.com"/>
    <x v="3"/>
    <s v="Milán"/>
    <x v="4"/>
    <x v="14"/>
    <n v="1"/>
    <n v="190.93"/>
    <n v="190.93"/>
    <x v="8"/>
    <x v="0"/>
    <x v="172"/>
    <x v="4"/>
  </r>
  <r>
    <s v="ORD001455"/>
    <s v="Diego Gómez"/>
    <s v="diego.gómez@mail.com"/>
    <x v="4"/>
    <s v="Marsella"/>
    <x v="4"/>
    <x v="14"/>
    <n v="5"/>
    <n v="917"/>
    <n v="4585"/>
    <x v="0"/>
    <x v="0"/>
    <x v="194"/>
    <x v="1"/>
  </r>
  <r>
    <s v="ORD001456"/>
    <s v="Raúl Gómez"/>
    <s v="raúl.gómez@mail.com"/>
    <x v="1"/>
    <s v="Berlín"/>
    <x v="3"/>
    <x v="5"/>
    <n v="5"/>
    <n v="1379.57"/>
    <n v="6897.8499999999995"/>
    <x v="2"/>
    <x v="2"/>
    <x v="336"/>
    <x v="2"/>
  </r>
  <r>
    <s v="ORD001457"/>
    <s v="Elena Navarro"/>
    <s v="elena.navarro@mail.com"/>
    <x v="4"/>
    <s v="París"/>
    <x v="0"/>
    <x v="20"/>
    <n v="1"/>
    <n v="488.01"/>
    <n v="488.01"/>
    <x v="1"/>
    <x v="1"/>
    <x v="1"/>
    <x v="4"/>
  </r>
  <r>
    <s v="ORD001458"/>
    <s v="Carlos Gómez"/>
    <s v="carlos.gómez@mail.com"/>
    <x v="1"/>
    <s v="Múnich"/>
    <x v="0"/>
    <x v="0"/>
    <n v="3"/>
    <n v="1212.94"/>
    <n v="3638.82"/>
    <x v="9"/>
    <x v="1"/>
    <x v="104"/>
    <x v="4"/>
  </r>
  <r>
    <s v="ORD001459"/>
    <s v="Irene Alonso"/>
    <s v="irene.alonso@mail.com"/>
    <x v="1"/>
    <s v="Múnich"/>
    <x v="0"/>
    <x v="0"/>
    <n v="1"/>
    <n v="1488.74"/>
    <n v="1488.74"/>
    <x v="11"/>
    <x v="1"/>
    <x v="432"/>
    <x v="3"/>
  </r>
  <r>
    <s v="ORD001460"/>
    <s v="Ana García"/>
    <s v="ana.garcía@mail.com"/>
    <x v="2"/>
    <s v="Oporto"/>
    <x v="3"/>
    <x v="15"/>
    <n v="1"/>
    <n v="757.12"/>
    <n v="757.12"/>
    <x v="6"/>
    <x v="1"/>
    <x v="612"/>
    <x v="1"/>
  </r>
  <r>
    <s v="ORD001461"/>
    <s v="Ana Ruiz"/>
    <s v="ana.ruiz@mail.com"/>
    <x v="2"/>
    <s v="Lisboa"/>
    <x v="0"/>
    <x v="13"/>
    <n v="5"/>
    <n v="265.83999999999997"/>
    <n v="1329.1999999999998"/>
    <x v="4"/>
    <x v="0"/>
    <x v="265"/>
    <x v="1"/>
  </r>
  <r>
    <s v="ORD001462"/>
    <s v="Irene García"/>
    <s v="irene.garcía@mail.com"/>
    <x v="1"/>
    <s v="Hamburgo"/>
    <x v="1"/>
    <x v="1"/>
    <n v="1"/>
    <n v="792.18"/>
    <n v="792.18"/>
    <x v="0"/>
    <x v="0"/>
    <x v="688"/>
    <x v="2"/>
  </r>
  <r>
    <s v="ORD001463"/>
    <s v="Ana García"/>
    <s v="ana.garcía@mail.com"/>
    <x v="3"/>
    <s v="Milán"/>
    <x v="0"/>
    <x v="20"/>
    <n v="5"/>
    <n v="728.67"/>
    <n v="3643.35"/>
    <x v="10"/>
    <x v="1"/>
    <x v="578"/>
    <x v="2"/>
  </r>
  <r>
    <s v="ORD001464"/>
    <s v="Carlos Navarro"/>
    <s v="carlos.navarro@mail.com"/>
    <x v="3"/>
    <s v="Nápoles"/>
    <x v="3"/>
    <x v="4"/>
    <n v="4"/>
    <n v="580.47"/>
    <n v="2321.88"/>
    <x v="8"/>
    <x v="0"/>
    <x v="158"/>
    <x v="2"/>
  </r>
  <r>
    <s v="ORD001465"/>
    <s v="Sofía Fernández"/>
    <s v="sofía.fernández@mail.com"/>
    <x v="0"/>
    <s v="Sevilla"/>
    <x v="4"/>
    <x v="21"/>
    <n v="3"/>
    <n v="1006.28"/>
    <n v="3018.84"/>
    <x v="10"/>
    <x v="1"/>
    <x v="556"/>
    <x v="3"/>
  </r>
  <r>
    <s v="ORD001466"/>
    <s v="Lucía Torres"/>
    <s v="lucía.torres@mail.com"/>
    <x v="1"/>
    <s v="Múnich"/>
    <x v="4"/>
    <x v="21"/>
    <n v="1"/>
    <n v="951.09"/>
    <n v="951.09"/>
    <x v="8"/>
    <x v="0"/>
    <x v="158"/>
    <x v="4"/>
  </r>
  <r>
    <s v="ORD001467"/>
    <s v="Pedro Fernández"/>
    <s v="pedro.fernández@mail.com"/>
    <x v="2"/>
    <s v="Braga"/>
    <x v="0"/>
    <x v="16"/>
    <n v="4"/>
    <n v="769.62"/>
    <n v="3078.48"/>
    <x v="5"/>
    <x v="0"/>
    <x v="583"/>
    <x v="0"/>
  </r>
  <r>
    <s v="ORD001468"/>
    <s v="Miguel Rodríguez"/>
    <s v="miguel.rodríguez@mail.com"/>
    <x v="0"/>
    <s v="Barcelona"/>
    <x v="2"/>
    <x v="3"/>
    <n v="4"/>
    <n v="609.78"/>
    <n v="2439.12"/>
    <x v="9"/>
    <x v="1"/>
    <x v="418"/>
    <x v="0"/>
  </r>
  <r>
    <s v="ORD001469"/>
    <s v="María López"/>
    <s v="maría.lópez@mail.com"/>
    <x v="2"/>
    <s v="Lisboa"/>
    <x v="3"/>
    <x v="18"/>
    <n v="1"/>
    <n v="552.34"/>
    <n v="552.34"/>
    <x v="1"/>
    <x v="0"/>
    <x v="308"/>
    <x v="3"/>
  </r>
  <r>
    <s v="ORD001470"/>
    <s v="Miguel Fernández"/>
    <s v="miguel.fernández@mail.com"/>
    <x v="1"/>
    <s v="Berlín"/>
    <x v="2"/>
    <x v="10"/>
    <n v="3"/>
    <n v="617.29999999999995"/>
    <n v="1851.8999999999999"/>
    <x v="3"/>
    <x v="0"/>
    <x v="31"/>
    <x v="1"/>
  </r>
  <r>
    <s v="ORD001471"/>
    <s v="Ana Sánchez"/>
    <s v="ana.sánchez@mail.com"/>
    <x v="0"/>
    <s v="Bilbao"/>
    <x v="3"/>
    <x v="18"/>
    <n v="1"/>
    <n v="1326.4"/>
    <n v="1326.4"/>
    <x v="11"/>
    <x v="1"/>
    <x v="177"/>
    <x v="4"/>
  </r>
  <r>
    <s v="ORD001472"/>
    <s v="Irene Gómez"/>
    <s v="irene.gómez@mail.com"/>
    <x v="3"/>
    <s v="Milán"/>
    <x v="3"/>
    <x v="18"/>
    <n v="2"/>
    <n v="776.56"/>
    <n v="1553.12"/>
    <x v="2"/>
    <x v="0"/>
    <x v="190"/>
    <x v="2"/>
  </r>
  <r>
    <s v="ORD001473"/>
    <s v="Luis López"/>
    <s v="luis.lópez@mail.com"/>
    <x v="1"/>
    <s v="Berlín"/>
    <x v="4"/>
    <x v="14"/>
    <n v="1"/>
    <n v="1471.14"/>
    <n v="1471.14"/>
    <x v="10"/>
    <x v="1"/>
    <x v="288"/>
    <x v="0"/>
  </r>
  <r>
    <s v="ORD001474"/>
    <s v="Raúl García"/>
    <s v="raúl.garcía@mail.com"/>
    <x v="3"/>
    <s v="Nápoles"/>
    <x v="2"/>
    <x v="10"/>
    <n v="1"/>
    <n v="271.67"/>
    <n v="271.67"/>
    <x v="9"/>
    <x v="1"/>
    <x v="215"/>
    <x v="4"/>
  </r>
  <r>
    <s v="ORD001475"/>
    <s v="Ana Gómez"/>
    <s v="ana.gómez@mail.com"/>
    <x v="4"/>
    <s v="Lyon"/>
    <x v="4"/>
    <x v="21"/>
    <n v="3"/>
    <n v="828.67"/>
    <n v="2486.0099999999998"/>
    <x v="5"/>
    <x v="2"/>
    <x v="96"/>
    <x v="2"/>
  </r>
  <r>
    <s v="ORD001476"/>
    <s v="Miguel Torres"/>
    <s v="miguel.torres@mail.com"/>
    <x v="4"/>
    <s v="París"/>
    <x v="1"/>
    <x v="12"/>
    <n v="1"/>
    <n v="359.66"/>
    <n v="359.66"/>
    <x v="2"/>
    <x v="1"/>
    <x v="349"/>
    <x v="4"/>
  </r>
  <r>
    <s v="ORD001477"/>
    <s v="Pedro Fernández"/>
    <s v="pedro.fernández@mail.com"/>
    <x v="4"/>
    <s v="París"/>
    <x v="4"/>
    <x v="23"/>
    <n v="2"/>
    <n v="1363.4"/>
    <n v="2726.8"/>
    <x v="5"/>
    <x v="1"/>
    <x v="256"/>
    <x v="3"/>
  </r>
  <r>
    <s v="ORD001478"/>
    <s v="Raúl García"/>
    <s v="raúl.garcía@mail.com"/>
    <x v="3"/>
    <s v="Roma"/>
    <x v="3"/>
    <x v="7"/>
    <n v="1"/>
    <n v="1008.62"/>
    <n v="1008.62"/>
    <x v="3"/>
    <x v="1"/>
    <x v="60"/>
    <x v="0"/>
  </r>
  <r>
    <s v="ORD001479"/>
    <s v="Laura Navarro"/>
    <s v="laura.navarro@mail.com"/>
    <x v="3"/>
    <s v="Nápoles"/>
    <x v="2"/>
    <x v="10"/>
    <n v="3"/>
    <n v="1244.9100000000001"/>
    <n v="3734.7300000000005"/>
    <x v="6"/>
    <x v="0"/>
    <x v="679"/>
    <x v="4"/>
  </r>
  <r>
    <s v="ORD001480"/>
    <s v="María Díaz"/>
    <s v="maría.díaz@mail.com"/>
    <x v="4"/>
    <s v="París"/>
    <x v="4"/>
    <x v="23"/>
    <n v="1"/>
    <n v="1489.38"/>
    <n v="1489.38"/>
    <x v="6"/>
    <x v="0"/>
    <x v="414"/>
    <x v="1"/>
  </r>
  <r>
    <s v="ORD001481"/>
    <s v="Lucía Gómez"/>
    <s v="lucía.gómez@mail.com"/>
    <x v="4"/>
    <s v="París"/>
    <x v="4"/>
    <x v="14"/>
    <n v="3"/>
    <n v="1235.73"/>
    <n v="3707.19"/>
    <x v="0"/>
    <x v="0"/>
    <x v="405"/>
    <x v="1"/>
  </r>
  <r>
    <s v="ORD001482"/>
    <s v="Pablo Navarro"/>
    <s v="pablo.navarro@mail.com"/>
    <x v="4"/>
    <s v="Marsella"/>
    <x v="1"/>
    <x v="8"/>
    <n v="2"/>
    <n v="1489.23"/>
    <n v="2978.46"/>
    <x v="7"/>
    <x v="1"/>
    <x v="97"/>
    <x v="2"/>
  </r>
  <r>
    <s v="ORD001483"/>
    <s v="Miguel García"/>
    <s v="miguel.garcía@mail.com"/>
    <x v="4"/>
    <s v="Marsella"/>
    <x v="2"/>
    <x v="19"/>
    <n v="1"/>
    <n v="99.38"/>
    <n v="99.38"/>
    <x v="5"/>
    <x v="1"/>
    <x v="89"/>
    <x v="4"/>
  </r>
  <r>
    <s v="ORD001484"/>
    <s v="Carmen Fernández"/>
    <s v="carmen.fernández@mail.com"/>
    <x v="0"/>
    <s v="Bilbao"/>
    <x v="1"/>
    <x v="1"/>
    <n v="5"/>
    <n v="831.96"/>
    <n v="4159.8"/>
    <x v="3"/>
    <x v="0"/>
    <x v="403"/>
    <x v="2"/>
  </r>
  <r>
    <s v="ORD001485"/>
    <s v="Pedro Rodríguez"/>
    <s v="pedro.rodríguez@mail.com"/>
    <x v="3"/>
    <s v="Nápoles"/>
    <x v="0"/>
    <x v="17"/>
    <n v="4"/>
    <n v="945.75"/>
    <n v="3783"/>
    <x v="9"/>
    <x v="1"/>
    <x v="204"/>
    <x v="2"/>
  </r>
  <r>
    <s v="ORD001486"/>
    <s v="Pedro Vázquez"/>
    <s v="pedro.vázquez@mail.com"/>
    <x v="3"/>
    <s v="Roma"/>
    <x v="4"/>
    <x v="11"/>
    <n v="5"/>
    <n v="497.78"/>
    <n v="2488.8999999999996"/>
    <x v="5"/>
    <x v="1"/>
    <x v="295"/>
    <x v="2"/>
  </r>
  <r>
    <s v="ORD001487"/>
    <s v="Javier Gil"/>
    <s v="javier.gil@mail.com"/>
    <x v="1"/>
    <s v="Múnich"/>
    <x v="1"/>
    <x v="2"/>
    <n v="5"/>
    <n v="889.78"/>
    <n v="4448.8999999999996"/>
    <x v="4"/>
    <x v="1"/>
    <x v="689"/>
    <x v="1"/>
  </r>
  <r>
    <s v="ORD001488"/>
    <s v="Irene López"/>
    <s v="irene.lópez@mail.com"/>
    <x v="1"/>
    <s v="Hamburgo"/>
    <x v="4"/>
    <x v="22"/>
    <n v="5"/>
    <n v="372.19"/>
    <n v="1860.95"/>
    <x v="7"/>
    <x v="1"/>
    <x v="354"/>
    <x v="4"/>
  </r>
  <r>
    <s v="ORD001489"/>
    <s v="Pedro Martínez"/>
    <s v="pedro.martínez@mail.com"/>
    <x v="0"/>
    <s v="Sevilla"/>
    <x v="3"/>
    <x v="4"/>
    <n v="1"/>
    <n v="1457.31"/>
    <n v="1457.31"/>
    <x v="8"/>
    <x v="0"/>
    <x v="158"/>
    <x v="0"/>
  </r>
  <r>
    <s v="ORD001490"/>
    <s v="Carlos Alonso"/>
    <s v="carlos.alonso@mail.com"/>
    <x v="2"/>
    <s v="Lisboa"/>
    <x v="0"/>
    <x v="16"/>
    <n v="4"/>
    <n v="489.82"/>
    <n v="1959.28"/>
    <x v="1"/>
    <x v="1"/>
    <x v="106"/>
    <x v="4"/>
  </r>
  <r>
    <s v="ORD001491"/>
    <s v="Pablo Alonso"/>
    <s v="pablo.alonso@mail.com"/>
    <x v="3"/>
    <s v="Nápoles"/>
    <x v="0"/>
    <x v="17"/>
    <n v="1"/>
    <n v="758.39"/>
    <n v="758.39"/>
    <x v="10"/>
    <x v="0"/>
    <x v="186"/>
    <x v="4"/>
  </r>
  <r>
    <s v="ORD001492"/>
    <s v="Ana Pérez"/>
    <s v="ana.pérez@mail.com"/>
    <x v="0"/>
    <s v="Sevilla"/>
    <x v="2"/>
    <x v="15"/>
    <n v="1"/>
    <n v="1490.87"/>
    <n v="1490.87"/>
    <x v="11"/>
    <x v="1"/>
    <x v="315"/>
    <x v="3"/>
  </r>
  <r>
    <s v="ORD001493"/>
    <s v="Diego Martínez"/>
    <s v="diego.martínez@mail.com"/>
    <x v="1"/>
    <s v="Múnich"/>
    <x v="2"/>
    <x v="15"/>
    <n v="2"/>
    <n v="155.62"/>
    <n v="311.24"/>
    <x v="11"/>
    <x v="1"/>
    <x v="272"/>
    <x v="4"/>
  </r>
  <r>
    <s v="ORD001494"/>
    <s v="Javier Alonso"/>
    <s v="javier.alonso@mail.com"/>
    <x v="0"/>
    <s v="Barcelona"/>
    <x v="1"/>
    <x v="1"/>
    <n v="2"/>
    <n v="235.3"/>
    <n v="470.6"/>
    <x v="7"/>
    <x v="0"/>
    <x v="93"/>
    <x v="1"/>
  </r>
  <r>
    <s v="ORD001495"/>
    <s v="Elena Gómez"/>
    <s v="elena.gómez@mail.com"/>
    <x v="1"/>
    <s v="Múnich"/>
    <x v="4"/>
    <x v="14"/>
    <n v="3"/>
    <n v="1275.4000000000001"/>
    <n v="3826.2000000000003"/>
    <x v="7"/>
    <x v="1"/>
    <x v="537"/>
    <x v="3"/>
  </r>
  <r>
    <s v="ORD001496"/>
    <s v="Elena Ramos"/>
    <s v="elena.ramos@mail.com"/>
    <x v="1"/>
    <s v="Berlín"/>
    <x v="2"/>
    <x v="10"/>
    <n v="5"/>
    <n v="665.68"/>
    <n v="3328.3999999999996"/>
    <x v="5"/>
    <x v="1"/>
    <x v="499"/>
    <x v="1"/>
  </r>
  <r>
    <s v="ORD001497"/>
    <s v="Javier Martínez"/>
    <s v="javier.martínez@mail.com"/>
    <x v="2"/>
    <s v="Oporto"/>
    <x v="4"/>
    <x v="22"/>
    <n v="2"/>
    <n v="1330.22"/>
    <n v="2660.44"/>
    <x v="11"/>
    <x v="1"/>
    <x v="690"/>
    <x v="3"/>
  </r>
  <r>
    <s v="ORD001498"/>
    <s v="Ana Rodríguez"/>
    <s v="ana.rodríguez@mail.com"/>
    <x v="0"/>
    <s v="Valencia"/>
    <x v="2"/>
    <x v="19"/>
    <n v="3"/>
    <n v="881.92"/>
    <n v="2645.7599999999998"/>
    <x v="2"/>
    <x v="2"/>
    <x v="646"/>
    <x v="0"/>
  </r>
  <r>
    <s v="ORD001499"/>
    <s v="Elena Díaz"/>
    <s v="elena.díaz@mail.com"/>
    <x v="2"/>
    <s v="Braga"/>
    <x v="1"/>
    <x v="12"/>
    <n v="2"/>
    <n v="355.7"/>
    <n v="711.4"/>
    <x v="3"/>
    <x v="0"/>
    <x v="621"/>
    <x v="3"/>
  </r>
  <r>
    <s v="ORD001500"/>
    <s v="Laura Torres"/>
    <s v="laura.torres@mail.com"/>
    <x v="2"/>
    <s v="Braga"/>
    <x v="3"/>
    <x v="7"/>
    <n v="5"/>
    <n v="16.670000000000002"/>
    <n v="83.350000000000009"/>
    <x v="0"/>
    <x v="0"/>
    <x v="6"/>
    <x v="0"/>
  </r>
  <r>
    <s v="ORD001501"/>
    <s v="Carlos Gómez"/>
    <s v="carlos.gómez@mail.com"/>
    <x v="1"/>
    <s v="Berlín"/>
    <x v="4"/>
    <x v="11"/>
    <n v="3"/>
    <n v="1318.71"/>
    <n v="3956.13"/>
    <x v="0"/>
    <x v="0"/>
    <x v="313"/>
    <x v="3"/>
  </r>
  <r>
    <s v="ORD001502"/>
    <s v="Diego López"/>
    <s v="diego.lópez@mail.com"/>
    <x v="2"/>
    <s v="Oporto"/>
    <x v="4"/>
    <x v="21"/>
    <n v="3"/>
    <n v="79.86"/>
    <n v="239.57999999999998"/>
    <x v="4"/>
    <x v="0"/>
    <x v="691"/>
    <x v="0"/>
  </r>
  <r>
    <s v="ORD001503"/>
    <s v="María Vázquez"/>
    <s v="maría.vázquez@mail.com"/>
    <x v="4"/>
    <s v="Marsella"/>
    <x v="2"/>
    <x v="19"/>
    <n v="5"/>
    <n v="901.33"/>
    <n v="4506.6500000000005"/>
    <x v="9"/>
    <x v="1"/>
    <x v="525"/>
    <x v="2"/>
  </r>
  <r>
    <s v="ORD001504"/>
    <s v="Diego López"/>
    <s v="diego.lópez@mail.com"/>
    <x v="2"/>
    <s v="Braga"/>
    <x v="1"/>
    <x v="6"/>
    <n v="5"/>
    <n v="1336.83"/>
    <n v="6684.15"/>
    <x v="4"/>
    <x v="0"/>
    <x v="159"/>
    <x v="4"/>
  </r>
  <r>
    <s v="ORD001505"/>
    <s v="Diego Gil"/>
    <s v="diego.gil@mail.com"/>
    <x v="3"/>
    <s v="Nápoles"/>
    <x v="0"/>
    <x v="13"/>
    <n v="1"/>
    <n v="453.34"/>
    <n v="453.34"/>
    <x v="11"/>
    <x v="1"/>
    <x v="684"/>
    <x v="1"/>
  </r>
  <r>
    <s v="ORD001506"/>
    <s v="Laura Rodríguez"/>
    <s v="laura.rodríguez@mail.com"/>
    <x v="2"/>
    <s v="Braga"/>
    <x v="3"/>
    <x v="7"/>
    <n v="1"/>
    <n v="1384.46"/>
    <n v="1384.46"/>
    <x v="5"/>
    <x v="2"/>
    <x v="566"/>
    <x v="2"/>
  </r>
  <r>
    <s v="ORD001507"/>
    <s v="Ana Alonso"/>
    <s v="ana.alonso@mail.com"/>
    <x v="2"/>
    <s v="Braga"/>
    <x v="2"/>
    <x v="3"/>
    <n v="5"/>
    <n v="193.52"/>
    <n v="967.6"/>
    <x v="7"/>
    <x v="0"/>
    <x v="557"/>
    <x v="2"/>
  </r>
  <r>
    <s v="ORD001508"/>
    <s v="Ana Sánchez"/>
    <s v="ana.sánchez@mail.com"/>
    <x v="1"/>
    <s v="Berlín"/>
    <x v="2"/>
    <x v="9"/>
    <n v="5"/>
    <n v="386.63"/>
    <n v="1933.15"/>
    <x v="2"/>
    <x v="1"/>
    <x v="546"/>
    <x v="4"/>
  </r>
  <r>
    <s v="ORD001509"/>
    <s v="María Martínez"/>
    <s v="maría.martínez@mail.com"/>
    <x v="0"/>
    <s v="Madrid"/>
    <x v="1"/>
    <x v="12"/>
    <n v="5"/>
    <n v="681.7"/>
    <n v="3408.5"/>
    <x v="6"/>
    <x v="1"/>
    <x v="10"/>
    <x v="3"/>
  </r>
  <r>
    <s v="ORD001510"/>
    <s v="Pablo Gómez"/>
    <s v="pablo.gómez@mail.com"/>
    <x v="2"/>
    <s v="Braga"/>
    <x v="0"/>
    <x v="16"/>
    <n v="2"/>
    <n v="892.09"/>
    <n v="1784.18"/>
    <x v="9"/>
    <x v="0"/>
    <x v="49"/>
    <x v="4"/>
  </r>
  <r>
    <s v="ORD001511"/>
    <s v="Javier Gómez"/>
    <s v="javier.gómez@mail.com"/>
    <x v="2"/>
    <s v="Oporto"/>
    <x v="4"/>
    <x v="22"/>
    <n v="1"/>
    <n v="1056.57"/>
    <n v="1056.57"/>
    <x v="2"/>
    <x v="0"/>
    <x v="116"/>
    <x v="0"/>
  </r>
  <r>
    <s v="ORD001512"/>
    <s v="Sofía Alonso"/>
    <s v="sofía.alonso@mail.com"/>
    <x v="2"/>
    <s v="Oporto"/>
    <x v="0"/>
    <x v="16"/>
    <n v="2"/>
    <n v="24.22"/>
    <n v="48.44"/>
    <x v="11"/>
    <x v="0"/>
    <x v="187"/>
    <x v="3"/>
  </r>
  <r>
    <s v="ORD001513"/>
    <s v="Javier López"/>
    <s v="javier.lópez@mail.com"/>
    <x v="1"/>
    <s v="Múnich"/>
    <x v="0"/>
    <x v="17"/>
    <n v="5"/>
    <n v="960.99"/>
    <n v="4804.95"/>
    <x v="5"/>
    <x v="0"/>
    <x v="155"/>
    <x v="4"/>
  </r>
  <r>
    <s v="ORD001514"/>
    <s v="Carlos Navarro"/>
    <s v="carlos.navarro@mail.com"/>
    <x v="0"/>
    <s v="Valencia"/>
    <x v="4"/>
    <x v="14"/>
    <n v="1"/>
    <n v="435.5"/>
    <n v="435.5"/>
    <x v="2"/>
    <x v="0"/>
    <x v="309"/>
    <x v="1"/>
  </r>
  <r>
    <s v="ORD001515"/>
    <s v="Carlos Pérez"/>
    <s v="carlos.pérez@mail.com"/>
    <x v="1"/>
    <s v="Berlín"/>
    <x v="1"/>
    <x v="2"/>
    <n v="1"/>
    <n v="1385.03"/>
    <n v="1385.03"/>
    <x v="4"/>
    <x v="0"/>
    <x v="265"/>
    <x v="2"/>
  </r>
  <r>
    <s v="ORD001516"/>
    <s v="Elena Sánchez"/>
    <s v="elena.sánchez@mail.com"/>
    <x v="2"/>
    <s v="Oporto"/>
    <x v="1"/>
    <x v="6"/>
    <n v="1"/>
    <n v="814.62"/>
    <n v="814.62"/>
    <x v="7"/>
    <x v="1"/>
    <x v="395"/>
    <x v="3"/>
  </r>
  <r>
    <s v="ORD001517"/>
    <s v="Irene Ramos"/>
    <s v="irene.ramos@mail.com"/>
    <x v="1"/>
    <s v="Múnich"/>
    <x v="1"/>
    <x v="8"/>
    <n v="1"/>
    <n v="258.73"/>
    <n v="258.73"/>
    <x v="5"/>
    <x v="0"/>
    <x v="680"/>
    <x v="3"/>
  </r>
  <r>
    <s v="ORD001518"/>
    <s v="Javier Martínez"/>
    <s v="javier.martínez@mail.com"/>
    <x v="0"/>
    <s v="Madrid"/>
    <x v="0"/>
    <x v="17"/>
    <n v="5"/>
    <n v="841.22"/>
    <n v="4206.1000000000004"/>
    <x v="4"/>
    <x v="0"/>
    <x v="670"/>
    <x v="3"/>
  </r>
  <r>
    <s v="ORD001519"/>
    <s v="Carmen Díaz"/>
    <s v="carmen.díaz@mail.com"/>
    <x v="0"/>
    <s v="Bilbao"/>
    <x v="0"/>
    <x v="0"/>
    <n v="3"/>
    <n v="713.8"/>
    <n v="2141.3999999999996"/>
    <x v="8"/>
    <x v="1"/>
    <x v="38"/>
    <x v="1"/>
  </r>
  <r>
    <s v="ORD001520"/>
    <s v="Diego García"/>
    <s v="diego.garcía@mail.com"/>
    <x v="4"/>
    <s v="Marsella"/>
    <x v="4"/>
    <x v="14"/>
    <n v="3"/>
    <n v="421.34"/>
    <n v="1264.02"/>
    <x v="7"/>
    <x v="1"/>
    <x v="228"/>
    <x v="4"/>
  </r>
  <r>
    <s v="ORD001521"/>
    <s v="Laura Alonso"/>
    <s v="laura.alonso@mail.com"/>
    <x v="3"/>
    <s v="Nápoles"/>
    <x v="2"/>
    <x v="3"/>
    <n v="4"/>
    <n v="1235.8800000000001"/>
    <n v="4943.5200000000004"/>
    <x v="7"/>
    <x v="1"/>
    <x v="395"/>
    <x v="2"/>
  </r>
  <r>
    <s v="ORD001522"/>
    <s v="Miguel Ramos"/>
    <s v="miguel.ramos@mail.com"/>
    <x v="1"/>
    <s v="Berlín"/>
    <x v="4"/>
    <x v="22"/>
    <n v="2"/>
    <n v="1088.95"/>
    <n v="2177.9"/>
    <x v="3"/>
    <x v="0"/>
    <x v="596"/>
    <x v="0"/>
  </r>
  <r>
    <s v="ORD001523"/>
    <s v="Miguel Díaz"/>
    <s v="miguel.díaz@mail.com"/>
    <x v="0"/>
    <s v="Madrid"/>
    <x v="3"/>
    <x v="4"/>
    <n v="3"/>
    <n v="1020.22"/>
    <n v="3060.66"/>
    <x v="3"/>
    <x v="1"/>
    <x v="630"/>
    <x v="2"/>
  </r>
  <r>
    <s v="ORD001524"/>
    <s v="Elena López"/>
    <s v="elena.lópez@mail.com"/>
    <x v="1"/>
    <s v="Berlín"/>
    <x v="3"/>
    <x v="4"/>
    <n v="3"/>
    <n v="440.77"/>
    <n v="1322.31"/>
    <x v="2"/>
    <x v="1"/>
    <x v="227"/>
    <x v="4"/>
  </r>
  <r>
    <s v="ORD001525"/>
    <s v="Carmen Díaz"/>
    <s v="carmen.díaz@mail.com"/>
    <x v="0"/>
    <s v="Sevilla"/>
    <x v="0"/>
    <x v="17"/>
    <n v="1"/>
    <n v="755.15"/>
    <n v="755.15"/>
    <x v="4"/>
    <x v="1"/>
    <x v="472"/>
    <x v="0"/>
  </r>
  <r>
    <s v="ORD001526"/>
    <s v="María Rodríguez"/>
    <s v="maría.rodríguez@mail.com"/>
    <x v="0"/>
    <s v="Sevilla"/>
    <x v="4"/>
    <x v="14"/>
    <n v="5"/>
    <n v="1014.95"/>
    <n v="5074.75"/>
    <x v="1"/>
    <x v="1"/>
    <x v="514"/>
    <x v="2"/>
  </r>
  <r>
    <s v="ORD001527"/>
    <s v="Lucía Torres"/>
    <s v="lucía.torres@mail.com"/>
    <x v="1"/>
    <s v="Múnich"/>
    <x v="0"/>
    <x v="20"/>
    <n v="4"/>
    <n v="62.72"/>
    <n v="250.88"/>
    <x v="5"/>
    <x v="2"/>
    <x v="613"/>
    <x v="3"/>
  </r>
  <r>
    <s v="ORD001528"/>
    <s v="Javier Vázquez"/>
    <s v="javier.vázquez@mail.com"/>
    <x v="1"/>
    <s v="Hamburgo"/>
    <x v="4"/>
    <x v="21"/>
    <n v="1"/>
    <n v="1331.38"/>
    <n v="1331.38"/>
    <x v="7"/>
    <x v="0"/>
    <x v="524"/>
    <x v="1"/>
  </r>
  <r>
    <s v="ORD001529"/>
    <s v="Diego García"/>
    <s v="diego.garcía@mail.com"/>
    <x v="2"/>
    <s v="Lisboa"/>
    <x v="1"/>
    <x v="6"/>
    <n v="3"/>
    <n v="777.13"/>
    <n v="2331.39"/>
    <x v="2"/>
    <x v="1"/>
    <x v="692"/>
    <x v="4"/>
  </r>
  <r>
    <s v="ORD001530"/>
    <s v="Diego Torres"/>
    <s v="diego.torres@mail.com"/>
    <x v="0"/>
    <s v="Madrid"/>
    <x v="4"/>
    <x v="22"/>
    <n v="2"/>
    <n v="1363.98"/>
    <n v="2727.96"/>
    <x v="3"/>
    <x v="0"/>
    <x v="110"/>
    <x v="1"/>
  </r>
  <r>
    <s v="ORD001531"/>
    <s v="Laura Pérez"/>
    <s v="laura.pérez@mail.com"/>
    <x v="0"/>
    <s v="Sevilla"/>
    <x v="0"/>
    <x v="16"/>
    <n v="2"/>
    <n v="62.59"/>
    <n v="125.18"/>
    <x v="10"/>
    <x v="0"/>
    <x v="352"/>
    <x v="2"/>
  </r>
  <r>
    <s v="ORD001532"/>
    <s v="Laura Torres"/>
    <s v="laura.torres@mail.com"/>
    <x v="0"/>
    <s v="Madrid"/>
    <x v="0"/>
    <x v="0"/>
    <n v="4"/>
    <n v="1319.81"/>
    <n v="5279.24"/>
    <x v="7"/>
    <x v="1"/>
    <x v="71"/>
    <x v="2"/>
  </r>
  <r>
    <s v="ORD001533"/>
    <s v="Miguel Navarro"/>
    <s v="miguel.navarro@mail.com"/>
    <x v="3"/>
    <s v="Nápoles"/>
    <x v="0"/>
    <x v="13"/>
    <n v="5"/>
    <n v="868.63"/>
    <n v="4343.1499999999996"/>
    <x v="4"/>
    <x v="0"/>
    <x v="691"/>
    <x v="3"/>
  </r>
  <r>
    <s v="ORD001534"/>
    <s v="Sofía Sánchez"/>
    <s v="sofía.sánchez@mail.com"/>
    <x v="1"/>
    <s v="Berlín"/>
    <x v="1"/>
    <x v="8"/>
    <n v="3"/>
    <n v="1165.24"/>
    <n v="3495.7200000000003"/>
    <x v="1"/>
    <x v="0"/>
    <x v="389"/>
    <x v="4"/>
  </r>
  <r>
    <s v="ORD001535"/>
    <s v="Sofía Ramos"/>
    <s v="sofía.ramos@mail.com"/>
    <x v="1"/>
    <s v="Múnich"/>
    <x v="2"/>
    <x v="3"/>
    <n v="3"/>
    <n v="650.88"/>
    <n v="1952.6399999999999"/>
    <x v="1"/>
    <x v="0"/>
    <x v="626"/>
    <x v="2"/>
  </r>
  <r>
    <s v="ORD001536"/>
    <s v="Diego García"/>
    <s v="diego.garcía@mail.com"/>
    <x v="1"/>
    <s v="Berlín"/>
    <x v="0"/>
    <x v="20"/>
    <n v="2"/>
    <n v="367.54"/>
    <n v="735.08"/>
    <x v="10"/>
    <x v="2"/>
    <x v="693"/>
    <x v="0"/>
  </r>
  <r>
    <s v="ORD001537"/>
    <s v="Miguel Rodríguez"/>
    <s v="miguel.rodríguez@mail.com"/>
    <x v="2"/>
    <s v="Braga"/>
    <x v="0"/>
    <x v="17"/>
    <n v="2"/>
    <n v="1077.42"/>
    <n v="2154.84"/>
    <x v="4"/>
    <x v="0"/>
    <x v="565"/>
    <x v="2"/>
  </r>
  <r>
    <s v="ORD001538"/>
    <s v="Javier Martínez"/>
    <s v="javier.martínez@mail.com"/>
    <x v="4"/>
    <s v="París"/>
    <x v="1"/>
    <x v="1"/>
    <n v="3"/>
    <n v="278.47000000000003"/>
    <n v="835.41000000000008"/>
    <x v="3"/>
    <x v="0"/>
    <x v="638"/>
    <x v="0"/>
  </r>
  <r>
    <s v="ORD001539"/>
    <s v="Ana Díaz"/>
    <s v="ana.díaz@mail.com"/>
    <x v="3"/>
    <s v="Roma"/>
    <x v="3"/>
    <x v="7"/>
    <n v="2"/>
    <n v="882.93"/>
    <n v="1765.86"/>
    <x v="6"/>
    <x v="0"/>
    <x v="610"/>
    <x v="1"/>
  </r>
  <r>
    <s v="ORD001540"/>
    <s v="Sofía Fernández"/>
    <s v="sofía.fernández@mail.com"/>
    <x v="3"/>
    <s v="Roma"/>
    <x v="0"/>
    <x v="0"/>
    <n v="5"/>
    <n v="1367.14"/>
    <n v="6835.7000000000007"/>
    <x v="11"/>
    <x v="0"/>
    <x v="266"/>
    <x v="0"/>
  </r>
  <r>
    <s v="ORD001541"/>
    <s v="Laura Ramos"/>
    <s v="laura.ramos@mail.com"/>
    <x v="0"/>
    <s v="Sevilla"/>
    <x v="3"/>
    <x v="4"/>
    <n v="5"/>
    <n v="7.74"/>
    <n v="38.700000000000003"/>
    <x v="1"/>
    <x v="1"/>
    <x v="384"/>
    <x v="3"/>
  </r>
  <r>
    <s v="ORD001542"/>
    <s v="Carmen Fernández"/>
    <s v="carmen.fernández@mail.com"/>
    <x v="0"/>
    <s v="Valencia"/>
    <x v="1"/>
    <x v="12"/>
    <n v="3"/>
    <n v="481.72"/>
    <n v="1445.16"/>
    <x v="9"/>
    <x v="0"/>
    <x v="574"/>
    <x v="4"/>
  </r>
  <r>
    <s v="ORD001543"/>
    <s v="Pedro Díaz"/>
    <s v="pedro.díaz@mail.com"/>
    <x v="2"/>
    <s v="Braga"/>
    <x v="2"/>
    <x v="15"/>
    <n v="4"/>
    <n v="436.76"/>
    <n v="1747.04"/>
    <x v="10"/>
    <x v="0"/>
    <x v="352"/>
    <x v="0"/>
  </r>
  <r>
    <s v="ORD001544"/>
    <s v="Ana Ramos"/>
    <s v="ana.ramos@mail.com"/>
    <x v="1"/>
    <s v="Hamburgo"/>
    <x v="2"/>
    <x v="19"/>
    <n v="3"/>
    <n v="1264.92"/>
    <n v="3794.76"/>
    <x v="1"/>
    <x v="0"/>
    <x v="173"/>
    <x v="1"/>
  </r>
  <r>
    <s v="ORD001545"/>
    <s v="Raúl Fernández"/>
    <s v="raúl.fernández@mail.com"/>
    <x v="0"/>
    <s v="Barcelona"/>
    <x v="4"/>
    <x v="22"/>
    <n v="5"/>
    <n v="696.14"/>
    <n v="3480.7"/>
    <x v="4"/>
    <x v="0"/>
    <x v="597"/>
    <x v="1"/>
  </r>
  <r>
    <s v="ORD001546"/>
    <s v="Elena García"/>
    <s v="elena.garcía@mail.com"/>
    <x v="0"/>
    <s v="Bilbao"/>
    <x v="4"/>
    <x v="21"/>
    <n v="4"/>
    <n v="1139.8900000000001"/>
    <n v="4559.5600000000004"/>
    <x v="5"/>
    <x v="2"/>
    <x v="269"/>
    <x v="3"/>
  </r>
  <r>
    <s v="ORD001547"/>
    <s v="Laura Pérez"/>
    <s v="laura.pérez@mail.com"/>
    <x v="0"/>
    <s v="Sevilla"/>
    <x v="0"/>
    <x v="13"/>
    <n v="2"/>
    <n v="1369.57"/>
    <n v="2739.14"/>
    <x v="11"/>
    <x v="1"/>
    <x v="76"/>
    <x v="3"/>
  </r>
  <r>
    <s v="ORD001548"/>
    <s v="Carlos Navarro"/>
    <s v="carlos.navarro@mail.com"/>
    <x v="1"/>
    <s v="Berlín"/>
    <x v="3"/>
    <x v="18"/>
    <n v="2"/>
    <n v="528.03"/>
    <n v="1056.06"/>
    <x v="11"/>
    <x v="0"/>
    <x v="511"/>
    <x v="4"/>
  </r>
  <r>
    <s v="ORD001549"/>
    <s v="Luis Navarro"/>
    <s v="luis.navarro@mail.com"/>
    <x v="4"/>
    <s v="París"/>
    <x v="1"/>
    <x v="2"/>
    <n v="2"/>
    <n v="984.54"/>
    <n v="1969.08"/>
    <x v="11"/>
    <x v="2"/>
    <x v="479"/>
    <x v="0"/>
  </r>
  <r>
    <s v="ORD001550"/>
    <s v="Carlos Gil"/>
    <s v="carlos.gil@mail.com"/>
    <x v="4"/>
    <s v="París"/>
    <x v="4"/>
    <x v="14"/>
    <n v="2"/>
    <n v="1299.31"/>
    <n v="2598.62"/>
    <x v="7"/>
    <x v="0"/>
    <x v="35"/>
    <x v="1"/>
  </r>
  <r>
    <s v="ORD001551"/>
    <s v="Diego Rodríguez"/>
    <s v="diego.rodríguez@mail.com"/>
    <x v="4"/>
    <s v="París"/>
    <x v="1"/>
    <x v="12"/>
    <n v="5"/>
    <n v="1349.95"/>
    <n v="6749.75"/>
    <x v="11"/>
    <x v="0"/>
    <x v="187"/>
    <x v="4"/>
  </r>
  <r>
    <s v="ORD001552"/>
    <s v="Carlos Ruiz"/>
    <s v="carlos.ruiz@mail.com"/>
    <x v="2"/>
    <s v="Lisboa"/>
    <x v="0"/>
    <x v="0"/>
    <n v="2"/>
    <n v="1299.79"/>
    <n v="2599.58"/>
    <x v="7"/>
    <x v="0"/>
    <x v="62"/>
    <x v="2"/>
  </r>
  <r>
    <s v="ORD001553"/>
    <s v="Javier Gil"/>
    <s v="javier.gil@mail.com"/>
    <x v="4"/>
    <s v="Lyon"/>
    <x v="1"/>
    <x v="6"/>
    <n v="4"/>
    <n v="165.95"/>
    <n v="663.8"/>
    <x v="1"/>
    <x v="0"/>
    <x v="379"/>
    <x v="0"/>
  </r>
  <r>
    <s v="ORD001554"/>
    <s v="Diego Gil"/>
    <s v="diego.gil@mail.com"/>
    <x v="4"/>
    <s v="Lyon"/>
    <x v="3"/>
    <x v="15"/>
    <n v="3"/>
    <n v="184.32"/>
    <n v="552.96"/>
    <x v="10"/>
    <x v="0"/>
    <x v="186"/>
    <x v="0"/>
  </r>
  <r>
    <s v="ORD001555"/>
    <s v="Luis Torres"/>
    <s v="luis.torres@mail.com"/>
    <x v="2"/>
    <s v="Lisboa"/>
    <x v="3"/>
    <x v="5"/>
    <n v="2"/>
    <n v="856.11"/>
    <n v="1712.22"/>
    <x v="3"/>
    <x v="0"/>
    <x v="3"/>
    <x v="1"/>
  </r>
  <r>
    <s v="ORD001556"/>
    <s v="Irene Ruiz"/>
    <s v="irene.ruiz@mail.com"/>
    <x v="3"/>
    <s v="Nápoles"/>
    <x v="1"/>
    <x v="2"/>
    <n v="3"/>
    <n v="782.28"/>
    <n v="2346.84"/>
    <x v="5"/>
    <x v="2"/>
    <x v="372"/>
    <x v="0"/>
  </r>
  <r>
    <s v="ORD001557"/>
    <s v="Elena Gil"/>
    <s v="elena.gil@mail.com"/>
    <x v="1"/>
    <s v="Múnich"/>
    <x v="2"/>
    <x v="10"/>
    <n v="3"/>
    <n v="668.91"/>
    <n v="2006.73"/>
    <x v="8"/>
    <x v="0"/>
    <x v="547"/>
    <x v="3"/>
  </r>
  <r>
    <s v="ORD001558"/>
    <s v="Irene García"/>
    <s v="irene.garcía@mail.com"/>
    <x v="2"/>
    <s v="Lisboa"/>
    <x v="2"/>
    <x v="3"/>
    <n v="3"/>
    <n v="125.88"/>
    <n v="377.64"/>
    <x v="2"/>
    <x v="0"/>
    <x v="694"/>
    <x v="4"/>
  </r>
  <r>
    <s v="ORD001559"/>
    <s v="Carlos García"/>
    <s v="carlos.garcía@mail.com"/>
    <x v="0"/>
    <s v="Madrid"/>
    <x v="1"/>
    <x v="12"/>
    <n v="2"/>
    <n v="104.75"/>
    <n v="209.5"/>
    <x v="5"/>
    <x v="2"/>
    <x v="494"/>
    <x v="0"/>
  </r>
  <r>
    <s v="ORD001560"/>
    <s v="María Alonso"/>
    <s v="maría.alonso@mail.com"/>
    <x v="4"/>
    <s v="Lyon"/>
    <x v="3"/>
    <x v="5"/>
    <n v="4"/>
    <n v="957.33"/>
    <n v="3829.32"/>
    <x v="6"/>
    <x v="1"/>
    <x v="86"/>
    <x v="2"/>
  </r>
  <r>
    <s v="ORD001561"/>
    <s v="María López"/>
    <s v="maría.lópez@mail.com"/>
    <x v="3"/>
    <s v="Roma"/>
    <x v="0"/>
    <x v="0"/>
    <n v="4"/>
    <n v="758.78"/>
    <n v="3035.12"/>
    <x v="4"/>
    <x v="0"/>
    <x v="528"/>
    <x v="0"/>
  </r>
  <r>
    <s v="ORD001562"/>
    <s v="Pablo Díaz"/>
    <s v="pablo.díaz@mail.com"/>
    <x v="2"/>
    <s v="Lisboa"/>
    <x v="4"/>
    <x v="22"/>
    <n v="4"/>
    <n v="277.07"/>
    <n v="1108.28"/>
    <x v="8"/>
    <x v="0"/>
    <x v="639"/>
    <x v="4"/>
  </r>
  <r>
    <s v="ORD001563"/>
    <s v="Javier Ruiz"/>
    <s v="javier.ruiz@mail.com"/>
    <x v="0"/>
    <s v="Bilbao"/>
    <x v="2"/>
    <x v="19"/>
    <n v="2"/>
    <n v="1323.92"/>
    <n v="2647.84"/>
    <x v="6"/>
    <x v="0"/>
    <x v="111"/>
    <x v="3"/>
  </r>
  <r>
    <s v="ORD001564"/>
    <s v="Laura Navarro"/>
    <s v="laura.navarro@mail.com"/>
    <x v="0"/>
    <s v="Barcelona"/>
    <x v="0"/>
    <x v="20"/>
    <n v="3"/>
    <n v="214.55"/>
    <n v="643.65000000000009"/>
    <x v="6"/>
    <x v="0"/>
    <x v="505"/>
    <x v="1"/>
  </r>
  <r>
    <s v="ORD001565"/>
    <s v="Ana Vázquez"/>
    <s v="ana.vázquez@mail.com"/>
    <x v="1"/>
    <s v="Berlín"/>
    <x v="3"/>
    <x v="4"/>
    <n v="3"/>
    <n v="16.170000000000002"/>
    <n v="48.510000000000005"/>
    <x v="8"/>
    <x v="1"/>
    <x v="474"/>
    <x v="0"/>
  </r>
  <r>
    <s v="ORD001566"/>
    <s v="Miguel Martínez"/>
    <s v="miguel.martínez@mail.com"/>
    <x v="2"/>
    <s v="Lisboa"/>
    <x v="1"/>
    <x v="2"/>
    <n v="3"/>
    <n v="1016.47"/>
    <n v="3049.41"/>
    <x v="3"/>
    <x v="1"/>
    <x v="278"/>
    <x v="4"/>
  </r>
  <r>
    <s v="ORD001567"/>
    <s v="Pedro Gil"/>
    <s v="pedro.gil@mail.com"/>
    <x v="1"/>
    <s v="Hamburgo"/>
    <x v="1"/>
    <x v="6"/>
    <n v="4"/>
    <n v="1137.45"/>
    <n v="4549.8"/>
    <x v="1"/>
    <x v="0"/>
    <x v="695"/>
    <x v="0"/>
  </r>
  <r>
    <s v="ORD001568"/>
    <s v="Sofía Sánchez"/>
    <s v="sofía.sánchez@mail.com"/>
    <x v="2"/>
    <s v="Oporto"/>
    <x v="0"/>
    <x v="20"/>
    <n v="1"/>
    <n v="913.68"/>
    <n v="913.68"/>
    <x v="5"/>
    <x v="0"/>
    <x v="273"/>
    <x v="0"/>
  </r>
  <r>
    <s v="ORD001569"/>
    <s v="Luis Rodríguez"/>
    <s v="luis.rodríguez@mail.com"/>
    <x v="0"/>
    <s v="Madrid"/>
    <x v="3"/>
    <x v="18"/>
    <n v="3"/>
    <n v="93.44"/>
    <n v="280.32"/>
    <x v="9"/>
    <x v="0"/>
    <x v="508"/>
    <x v="1"/>
  </r>
  <r>
    <s v="ORD001570"/>
    <s v="Lucía Pérez"/>
    <s v="lucía.pérez@mail.com"/>
    <x v="2"/>
    <s v="Braga"/>
    <x v="1"/>
    <x v="12"/>
    <n v="4"/>
    <n v="1171.22"/>
    <n v="4684.88"/>
    <x v="5"/>
    <x v="1"/>
    <x v="428"/>
    <x v="0"/>
  </r>
  <r>
    <s v="ORD001571"/>
    <s v="Pablo Vázquez"/>
    <s v="pablo.vázquez@mail.com"/>
    <x v="0"/>
    <s v="Sevilla"/>
    <x v="3"/>
    <x v="4"/>
    <n v="2"/>
    <n v="1262.74"/>
    <n v="2525.48"/>
    <x v="5"/>
    <x v="1"/>
    <x v="483"/>
    <x v="4"/>
  </r>
  <r>
    <s v="ORD001572"/>
    <s v="Raúl Torres"/>
    <s v="raúl.torres@mail.com"/>
    <x v="4"/>
    <s v="Marsella"/>
    <x v="4"/>
    <x v="22"/>
    <n v="2"/>
    <n v="765.86"/>
    <n v="1531.72"/>
    <x v="6"/>
    <x v="0"/>
    <x v="610"/>
    <x v="0"/>
  </r>
  <r>
    <s v="ORD001573"/>
    <s v="Pablo Gómez"/>
    <s v="pablo.gómez@mail.com"/>
    <x v="3"/>
    <s v="Roma"/>
    <x v="2"/>
    <x v="9"/>
    <n v="4"/>
    <n v="1487.91"/>
    <n v="5951.64"/>
    <x v="5"/>
    <x v="1"/>
    <x v="581"/>
    <x v="0"/>
  </r>
  <r>
    <s v="ORD001574"/>
    <s v="Carmen Rodríguez"/>
    <s v="carmen.rodríguez@mail.com"/>
    <x v="4"/>
    <s v="Lyon"/>
    <x v="3"/>
    <x v="4"/>
    <n v="1"/>
    <n v="502.72"/>
    <n v="502.72"/>
    <x v="4"/>
    <x v="0"/>
    <x v="614"/>
    <x v="0"/>
  </r>
  <r>
    <s v="ORD001575"/>
    <s v="Miguel Alonso"/>
    <s v="miguel.alonso@mail.com"/>
    <x v="0"/>
    <s v="Madrid"/>
    <x v="3"/>
    <x v="7"/>
    <n v="3"/>
    <n v="797.7"/>
    <n v="2393.1000000000004"/>
    <x v="11"/>
    <x v="1"/>
    <x v="696"/>
    <x v="4"/>
  </r>
  <r>
    <s v="ORD001576"/>
    <s v="Raúl Gómez"/>
    <s v="raúl.gómez@mail.com"/>
    <x v="3"/>
    <s v="Nápoles"/>
    <x v="2"/>
    <x v="15"/>
    <n v="5"/>
    <n v="543.25"/>
    <n v="2716.25"/>
    <x v="2"/>
    <x v="0"/>
    <x v="462"/>
    <x v="3"/>
  </r>
  <r>
    <s v="ORD001577"/>
    <s v="Luis García"/>
    <s v="luis.garcía@mail.com"/>
    <x v="3"/>
    <s v="Milán"/>
    <x v="0"/>
    <x v="17"/>
    <n v="5"/>
    <n v="138.13"/>
    <n v="690.65"/>
    <x v="9"/>
    <x v="1"/>
    <x v="457"/>
    <x v="2"/>
  </r>
  <r>
    <s v="ORD001578"/>
    <s v="Pedro Ramos"/>
    <s v="pedro.ramos@mail.com"/>
    <x v="4"/>
    <s v="París"/>
    <x v="1"/>
    <x v="8"/>
    <n v="1"/>
    <n v="887.53"/>
    <n v="887.53"/>
    <x v="4"/>
    <x v="0"/>
    <x v="290"/>
    <x v="3"/>
  </r>
  <r>
    <s v="ORD001579"/>
    <s v="Luis Fernández"/>
    <s v="luis.fernández@mail.com"/>
    <x v="4"/>
    <s v="Marsella"/>
    <x v="3"/>
    <x v="15"/>
    <n v="3"/>
    <n v="143.81"/>
    <n v="431.43"/>
    <x v="6"/>
    <x v="0"/>
    <x v="543"/>
    <x v="0"/>
  </r>
  <r>
    <s v="ORD001580"/>
    <s v="Ana Vázquez"/>
    <s v="ana.vázquez@mail.com"/>
    <x v="4"/>
    <s v="Lyon"/>
    <x v="2"/>
    <x v="3"/>
    <n v="3"/>
    <n v="1089.82"/>
    <n v="3269.46"/>
    <x v="9"/>
    <x v="0"/>
    <x v="44"/>
    <x v="3"/>
  </r>
  <r>
    <s v="ORD001581"/>
    <s v="Ana Gil"/>
    <s v="ana.gil@mail.com"/>
    <x v="1"/>
    <s v="Hamburgo"/>
    <x v="2"/>
    <x v="15"/>
    <n v="3"/>
    <n v="392.01"/>
    <n v="1176.03"/>
    <x v="5"/>
    <x v="1"/>
    <x v="305"/>
    <x v="2"/>
  </r>
  <r>
    <s v="ORD001582"/>
    <s v="Miguel Rodríguez"/>
    <s v="miguel.rodríguez@mail.com"/>
    <x v="0"/>
    <s v="Madrid"/>
    <x v="2"/>
    <x v="19"/>
    <n v="3"/>
    <n v="191.88"/>
    <n v="575.64"/>
    <x v="3"/>
    <x v="1"/>
    <x v="179"/>
    <x v="4"/>
  </r>
  <r>
    <s v="ORD001583"/>
    <s v="Raúl Gil"/>
    <s v="raúl.gil@mail.com"/>
    <x v="2"/>
    <s v="Braga"/>
    <x v="4"/>
    <x v="14"/>
    <n v="5"/>
    <n v="1269.99"/>
    <n v="6349.95"/>
    <x v="11"/>
    <x v="0"/>
    <x v="94"/>
    <x v="0"/>
  </r>
  <r>
    <s v="ORD001584"/>
    <s v="Lucía Gil"/>
    <s v="lucía.gil@mail.com"/>
    <x v="1"/>
    <s v="Hamburgo"/>
    <x v="0"/>
    <x v="20"/>
    <n v="3"/>
    <n v="1469.03"/>
    <n v="4407.09"/>
    <x v="8"/>
    <x v="0"/>
    <x v="639"/>
    <x v="1"/>
  </r>
  <r>
    <s v="ORD001585"/>
    <s v="Sofía Gil"/>
    <s v="sofía.gil@mail.com"/>
    <x v="0"/>
    <s v="Madrid"/>
    <x v="3"/>
    <x v="7"/>
    <n v="5"/>
    <n v="870.95"/>
    <n v="4354.75"/>
    <x v="7"/>
    <x v="0"/>
    <x v="118"/>
    <x v="2"/>
  </r>
  <r>
    <s v="ORD001586"/>
    <s v="Miguel Martínez"/>
    <s v="miguel.martínez@mail.com"/>
    <x v="0"/>
    <s v="Valencia"/>
    <x v="3"/>
    <x v="5"/>
    <n v="2"/>
    <n v="1168.83"/>
    <n v="2337.66"/>
    <x v="4"/>
    <x v="1"/>
    <x v="357"/>
    <x v="1"/>
  </r>
  <r>
    <s v="ORD001587"/>
    <s v="Diego Gómez"/>
    <s v="diego.gómez@mail.com"/>
    <x v="0"/>
    <s v="Bilbao"/>
    <x v="3"/>
    <x v="15"/>
    <n v="3"/>
    <n v="305.38"/>
    <n v="916.14"/>
    <x v="9"/>
    <x v="1"/>
    <x v="276"/>
    <x v="4"/>
  </r>
  <r>
    <s v="ORD001588"/>
    <s v="Ana Pérez"/>
    <s v="ana.pérez@mail.com"/>
    <x v="0"/>
    <s v="Sevilla"/>
    <x v="1"/>
    <x v="6"/>
    <n v="5"/>
    <n v="508.23"/>
    <n v="2541.15"/>
    <x v="10"/>
    <x v="0"/>
    <x v="697"/>
    <x v="4"/>
  </r>
  <r>
    <s v="ORD001589"/>
    <s v="Pedro Martínez"/>
    <s v="pedro.martínez@mail.com"/>
    <x v="1"/>
    <s v="Berlín"/>
    <x v="3"/>
    <x v="4"/>
    <n v="4"/>
    <n v="1278.82"/>
    <n v="5115.28"/>
    <x v="3"/>
    <x v="1"/>
    <x v="386"/>
    <x v="2"/>
  </r>
  <r>
    <s v="ORD001590"/>
    <s v="María Gil"/>
    <s v="maría.gil@mail.com"/>
    <x v="0"/>
    <s v="Madrid"/>
    <x v="2"/>
    <x v="10"/>
    <n v="4"/>
    <n v="314.86"/>
    <n v="1259.44"/>
    <x v="5"/>
    <x v="0"/>
    <x v="538"/>
    <x v="1"/>
  </r>
  <r>
    <s v="ORD001591"/>
    <s v="María Rodríguez"/>
    <s v="maría.rodríguez@mail.com"/>
    <x v="3"/>
    <s v="Milán"/>
    <x v="0"/>
    <x v="16"/>
    <n v="4"/>
    <n v="399.21"/>
    <n v="1596.84"/>
    <x v="2"/>
    <x v="1"/>
    <x v="698"/>
    <x v="3"/>
  </r>
  <r>
    <s v="ORD001592"/>
    <s v="Pedro Fernández"/>
    <s v="pedro.fernández@mail.com"/>
    <x v="0"/>
    <s v="Bilbao"/>
    <x v="1"/>
    <x v="1"/>
    <n v="4"/>
    <n v="891.64"/>
    <n v="3566.56"/>
    <x v="7"/>
    <x v="0"/>
    <x v="540"/>
    <x v="2"/>
  </r>
  <r>
    <s v="ORD001593"/>
    <s v="Irene Torres"/>
    <s v="irene.torres@mail.com"/>
    <x v="0"/>
    <s v="Bilbao"/>
    <x v="1"/>
    <x v="6"/>
    <n v="3"/>
    <n v="978.42"/>
    <n v="2935.2599999999998"/>
    <x v="7"/>
    <x v="0"/>
    <x v="350"/>
    <x v="1"/>
  </r>
  <r>
    <s v="ORD001594"/>
    <s v="Carlos Díaz"/>
    <s v="carlos.díaz@mail.com"/>
    <x v="0"/>
    <s v="Valencia"/>
    <x v="0"/>
    <x v="13"/>
    <n v="1"/>
    <n v="1134.8499999999999"/>
    <n v="1134.8499999999999"/>
    <x v="11"/>
    <x v="0"/>
    <x v="699"/>
    <x v="2"/>
  </r>
  <r>
    <s v="ORD001595"/>
    <s v="María Sánchez"/>
    <s v="maría.sánchez@mail.com"/>
    <x v="3"/>
    <s v="Roma"/>
    <x v="4"/>
    <x v="23"/>
    <n v="4"/>
    <n v="942.36"/>
    <n v="3769.44"/>
    <x v="0"/>
    <x v="0"/>
    <x v="80"/>
    <x v="1"/>
  </r>
  <r>
    <s v="ORD001596"/>
    <s v="Diego Fernández"/>
    <s v="diego.fernández@mail.com"/>
    <x v="2"/>
    <s v="Oporto"/>
    <x v="4"/>
    <x v="23"/>
    <n v="5"/>
    <n v="551.52"/>
    <n v="2757.6"/>
    <x v="10"/>
    <x v="2"/>
    <x v="345"/>
    <x v="4"/>
  </r>
  <r>
    <s v="ORD001597"/>
    <s v="Carmen Martínez"/>
    <s v="carmen.martínez@mail.com"/>
    <x v="4"/>
    <s v="Lyon"/>
    <x v="3"/>
    <x v="7"/>
    <n v="5"/>
    <n v="664"/>
    <n v="3320"/>
    <x v="8"/>
    <x v="1"/>
    <x v="687"/>
    <x v="4"/>
  </r>
  <r>
    <s v="ORD001598"/>
    <s v="Lucía García"/>
    <s v="lucía.garcía@mail.com"/>
    <x v="2"/>
    <s v="Oporto"/>
    <x v="4"/>
    <x v="23"/>
    <n v="2"/>
    <n v="1395.04"/>
    <n v="2790.08"/>
    <x v="5"/>
    <x v="2"/>
    <x v="700"/>
    <x v="2"/>
  </r>
  <r>
    <s v="ORD001599"/>
    <s v="María Ramos"/>
    <s v="maría.ramos@mail.com"/>
    <x v="1"/>
    <s v="Hamburgo"/>
    <x v="3"/>
    <x v="15"/>
    <n v="1"/>
    <n v="1477.21"/>
    <n v="1477.21"/>
    <x v="0"/>
    <x v="0"/>
    <x v="496"/>
    <x v="1"/>
  </r>
  <r>
    <s v="ORD001600"/>
    <s v="Carlos Fernández"/>
    <s v="carlos.fernández@mail.com"/>
    <x v="3"/>
    <s v="Nápoles"/>
    <x v="1"/>
    <x v="8"/>
    <n v="3"/>
    <n v="632.26"/>
    <n v="1896.78"/>
    <x v="6"/>
    <x v="0"/>
    <x v="669"/>
    <x v="0"/>
  </r>
  <r>
    <s v="ORD001601"/>
    <s v="Elena Martínez"/>
    <s v="elena.martínez@mail.com"/>
    <x v="2"/>
    <s v="Braga"/>
    <x v="2"/>
    <x v="9"/>
    <n v="4"/>
    <n v="1299.96"/>
    <n v="5199.84"/>
    <x v="6"/>
    <x v="1"/>
    <x v="571"/>
    <x v="4"/>
  </r>
  <r>
    <s v="ORD001602"/>
    <s v="Raúl López"/>
    <s v="raúl.lópez@mail.com"/>
    <x v="2"/>
    <s v="Lisboa"/>
    <x v="3"/>
    <x v="18"/>
    <n v="1"/>
    <n v="1121.77"/>
    <n v="1121.77"/>
    <x v="7"/>
    <x v="0"/>
    <x v="653"/>
    <x v="1"/>
  </r>
  <r>
    <s v="ORD001603"/>
    <s v="Ana Gómez"/>
    <s v="ana.gómez@mail.com"/>
    <x v="0"/>
    <s v="Sevilla"/>
    <x v="2"/>
    <x v="10"/>
    <n v="3"/>
    <n v="797.81"/>
    <n v="2393.4299999999998"/>
    <x v="2"/>
    <x v="2"/>
    <x v="646"/>
    <x v="0"/>
  </r>
  <r>
    <s v="ORD001604"/>
    <s v="Sofía Vázquez"/>
    <s v="sofía.vázquez@mail.com"/>
    <x v="2"/>
    <s v="Lisboa"/>
    <x v="0"/>
    <x v="17"/>
    <n v="4"/>
    <n v="1048.42"/>
    <n v="4193.68"/>
    <x v="9"/>
    <x v="1"/>
    <x v="701"/>
    <x v="2"/>
  </r>
  <r>
    <s v="ORD001605"/>
    <s v="Pablo Navarro"/>
    <s v="pablo.navarro@mail.com"/>
    <x v="1"/>
    <s v="Múnich"/>
    <x v="4"/>
    <x v="14"/>
    <n v="5"/>
    <n v="1067.47"/>
    <n v="5337.35"/>
    <x v="11"/>
    <x v="0"/>
    <x v="484"/>
    <x v="0"/>
  </r>
  <r>
    <s v="ORD001606"/>
    <s v="Sofía Navarro"/>
    <s v="sofía.navarro@mail.com"/>
    <x v="2"/>
    <s v="Braga"/>
    <x v="2"/>
    <x v="19"/>
    <n v="1"/>
    <n v="162.29"/>
    <n v="162.29"/>
    <x v="9"/>
    <x v="1"/>
    <x v="702"/>
    <x v="3"/>
  </r>
  <r>
    <s v="ORD001607"/>
    <s v="Irene Ramos"/>
    <s v="irene.ramos@mail.com"/>
    <x v="0"/>
    <s v="Barcelona"/>
    <x v="4"/>
    <x v="23"/>
    <n v="5"/>
    <n v="799.32"/>
    <n v="3996.6000000000004"/>
    <x v="3"/>
    <x v="1"/>
    <x v="36"/>
    <x v="1"/>
  </r>
  <r>
    <s v="ORD001608"/>
    <s v="Diego Sánchez"/>
    <s v="diego.sánchez@mail.com"/>
    <x v="2"/>
    <s v="Oporto"/>
    <x v="4"/>
    <x v="21"/>
    <n v="4"/>
    <n v="748.41"/>
    <n v="2993.64"/>
    <x v="10"/>
    <x v="2"/>
    <x v="374"/>
    <x v="2"/>
  </r>
  <r>
    <s v="ORD001609"/>
    <s v="Sofía Gil"/>
    <s v="sofía.gil@mail.com"/>
    <x v="2"/>
    <s v="Oporto"/>
    <x v="4"/>
    <x v="21"/>
    <n v="5"/>
    <n v="107.01"/>
    <n v="535.05000000000007"/>
    <x v="1"/>
    <x v="0"/>
    <x v="173"/>
    <x v="2"/>
  </r>
  <r>
    <s v="ORD001610"/>
    <s v="Diego Torres"/>
    <s v="diego.torres@mail.com"/>
    <x v="2"/>
    <s v="Braga"/>
    <x v="2"/>
    <x v="19"/>
    <n v="5"/>
    <n v="524.27"/>
    <n v="2621.35"/>
    <x v="9"/>
    <x v="0"/>
    <x v="70"/>
    <x v="1"/>
  </r>
  <r>
    <s v="ORD001611"/>
    <s v="Lucía Pérez"/>
    <s v="lucía.pérez@mail.com"/>
    <x v="4"/>
    <s v="Lyon"/>
    <x v="1"/>
    <x v="1"/>
    <n v="4"/>
    <n v="114.36"/>
    <n v="457.44"/>
    <x v="5"/>
    <x v="0"/>
    <x v="586"/>
    <x v="2"/>
  </r>
  <r>
    <s v="ORD001612"/>
    <s v="Carmen Díaz"/>
    <s v="carmen.díaz@mail.com"/>
    <x v="4"/>
    <s v="Lyon"/>
    <x v="3"/>
    <x v="5"/>
    <n v="1"/>
    <n v="236.39"/>
    <n v="236.39"/>
    <x v="10"/>
    <x v="1"/>
    <x v="703"/>
    <x v="0"/>
  </r>
  <r>
    <s v="ORD001613"/>
    <s v="Irene Sánchez"/>
    <s v="irene.sánchez@mail.com"/>
    <x v="4"/>
    <s v="Lyon"/>
    <x v="0"/>
    <x v="17"/>
    <n v="5"/>
    <n v="31.69"/>
    <n v="158.45000000000002"/>
    <x v="3"/>
    <x v="1"/>
    <x v="704"/>
    <x v="0"/>
  </r>
  <r>
    <s v="ORD001614"/>
    <s v="Raúl Fernández"/>
    <s v="raúl.fernández@mail.com"/>
    <x v="3"/>
    <s v="Milán"/>
    <x v="3"/>
    <x v="4"/>
    <n v="2"/>
    <n v="221.96"/>
    <n v="443.92"/>
    <x v="9"/>
    <x v="1"/>
    <x v="705"/>
    <x v="1"/>
  </r>
  <r>
    <s v="ORD001615"/>
    <s v="Lucía García"/>
    <s v="lucía.garcía@mail.com"/>
    <x v="2"/>
    <s v="Lisboa"/>
    <x v="4"/>
    <x v="11"/>
    <n v="3"/>
    <n v="1362.42"/>
    <n v="4087.26"/>
    <x v="4"/>
    <x v="0"/>
    <x v="597"/>
    <x v="4"/>
  </r>
  <r>
    <s v="ORD001616"/>
    <s v="Raúl Navarro"/>
    <s v="raúl.navarro@mail.com"/>
    <x v="3"/>
    <s v="Milán"/>
    <x v="1"/>
    <x v="6"/>
    <n v="5"/>
    <n v="907.61"/>
    <n v="4538.05"/>
    <x v="5"/>
    <x v="0"/>
    <x v="293"/>
    <x v="3"/>
  </r>
  <r>
    <s v="ORD001617"/>
    <s v="Laura Díaz"/>
    <s v="laura.díaz@mail.com"/>
    <x v="1"/>
    <s v="Múnich"/>
    <x v="4"/>
    <x v="23"/>
    <n v="1"/>
    <n v="1405.67"/>
    <n v="1405.67"/>
    <x v="9"/>
    <x v="1"/>
    <x v="475"/>
    <x v="2"/>
  </r>
  <r>
    <s v="ORD001618"/>
    <s v="Irene Navarro"/>
    <s v="irene.navarro@mail.com"/>
    <x v="1"/>
    <s v="Múnich"/>
    <x v="0"/>
    <x v="16"/>
    <n v="2"/>
    <n v="243.09"/>
    <n v="486.18"/>
    <x v="9"/>
    <x v="0"/>
    <x v="574"/>
    <x v="4"/>
  </r>
  <r>
    <s v="ORD001619"/>
    <s v="Javier Ramos"/>
    <s v="javier.ramos@mail.com"/>
    <x v="3"/>
    <s v="Milán"/>
    <x v="3"/>
    <x v="5"/>
    <n v="1"/>
    <n v="287.45"/>
    <n v="287.45"/>
    <x v="6"/>
    <x v="1"/>
    <x v="571"/>
    <x v="4"/>
  </r>
  <r>
    <s v="ORD001620"/>
    <s v="Pedro Martínez"/>
    <s v="pedro.martínez@mail.com"/>
    <x v="1"/>
    <s v="Múnich"/>
    <x v="0"/>
    <x v="17"/>
    <n v="4"/>
    <n v="222.62"/>
    <n v="890.48"/>
    <x v="7"/>
    <x v="1"/>
    <x v="71"/>
    <x v="0"/>
  </r>
  <r>
    <s v="ORD001621"/>
    <s v="Miguel Rodríguez"/>
    <s v="miguel.rodríguez@mail.com"/>
    <x v="2"/>
    <s v="Oporto"/>
    <x v="2"/>
    <x v="15"/>
    <n v="3"/>
    <n v="1143.56"/>
    <n v="3430.68"/>
    <x v="5"/>
    <x v="0"/>
    <x v="203"/>
    <x v="3"/>
  </r>
  <r>
    <s v="ORD001622"/>
    <s v="Carlos García"/>
    <s v="carlos.garcía@mail.com"/>
    <x v="2"/>
    <s v="Braga"/>
    <x v="3"/>
    <x v="18"/>
    <n v="5"/>
    <n v="846.61"/>
    <n v="4233.05"/>
    <x v="10"/>
    <x v="0"/>
    <x v="128"/>
    <x v="3"/>
  </r>
  <r>
    <s v="ORD001623"/>
    <s v="Lucía Sánchez"/>
    <s v="lucía.sánchez@mail.com"/>
    <x v="0"/>
    <s v="Barcelona"/>
    <x v="4"/>
    <x v="21"/>
    <n v="3"/>
    <n v="106.79"/>
    <n v="320.37"/>
    <x v="2"/>
    <x v="0"/>
    <x v="169"/>
    <x v="2"/>
  </r>
  <r>
    <s v="ORD001624"/>
    <s v="Javier Ramos"/>
    <s v="javier.ramos@mail.com"/>
    <x v="0"/>
    <s v="Madrid"/>
    <x v="2"/>
    <x v="10"/>
    <n v="3"/>
    <n v="228.77"/>
    <n v="686.31000000000006"/>
    <x v="2"/>
    <x v="1"/>
    <x v="14"/>
    <x v="4"/>
  </r>
  <r>
    <s v="ORD001625"/>
    <s v="Diego Torres"/>
    <s v="diego.torres@mail.com"/>
    <x v="3"/>
    <s v="Nápoles"/>
    <x v="2"/>
    <x v="3"/>
    <n v="1"/>
    <n v="1277.9000000000001"/>
    <n v="1277.9000000000001"/>
    <x v="11"/>
    <x v="0"/>
    <x v="484"/>
    <x v="1"/>
  </r>
  <r>
    <s v="ORD001626"/>
    <s v="Laura Rodríguez"/>
    <s v="laura.rodríguez@mail.com"/>
    <x v="2"/>
    <s v="Lisboa"/>
    <x v="0"/>
    <x v="17"/>
    <n v="4"/>
    <n v="657.36"/>
    <n v="2629.44"/>
    <x v="5"/>
    <x v="1"/>
    <x v="706"/>
    <x v="4"/>
  </r>
  <r>
    <s v="ORD001627"/>
    <s v="Irene Ruiz"/>
    <s v="irene.ruiz@mail.com"/>
    <x v="1"/>
    <s v="Berlín"/>
    <x v="3"/>
    <x v="18"/>
    <n v="2"/>
    <n v="127.89"/>
    <n v="255.78"/>
    <x v="3"/>
    <x v="1"/>
    <x v="478"/>
    <x v="4"/>
  </r>
  <r>
    <s v="ORD001628"/>
    <s v="Raúl Pérez"/>
    <s v="raúl.pérez@mail.com"/>
    <x v="3"/>
    <s v="Milán"/>
    <x v="3"/>
    <x v="5"/>
    <n v="4"/>
    <n v="858.94"/>
    <n v="3435.76"/>
    <x v="7"/>
    <x v="0"/>
    <x v="576"/>
    <x v="1"/>
  </r>
  <r>
    <s v="ORD001629"/>
    <s v="Carmen Alonso"/>
    <s v="carmen.alonso@mail.com"/>
    <x v="0"/>
    <s v="Madrid"/>
    <x v="3"/>
    <x v="18"/>
    <n v="2"/>
    <n v="1333.99"/>
    <n v="2667.98"/>
    <x v="2"/>
    <x v="1"/>
    <x v="17"/>
    <x v="2"/>
  </r>
  <r>
    <s v="ORD001630"/>
    <s v="Raúl Ruiz"/>
    <s v="raúl.ruiz@mail.com"/>
    <x v="2"/>
    <s v="Braga"/>
    <x v="1"/>
    <x v="1"/>
    <n v="4"/>
    <n v="278.67"/>
    <n v="1114.68"/>
    <x v="2"/>
    <x v="2"/>
    <x v="153"/>
    <x v="0"/>
  </r>
  <r>
    <s v="ORD001631"/>
    <s v="Javier Pérez"/>
    <s v="javier.pérez@mail.com"/>
    <x v="2"/>
    <s v="Oporto"/>
    <x v="4"/>
    <x v="21"/>
    <n v="1"/>
    <n v="1045.4000000000001"/>
    <n v="1045.4000000000001"/>
    <x v="2"/>
    <x v="1"/>
    <x v="212"/>
    <x v="3"/>
  </r>
  <r>
    <s v="ORD001632"/>
    <s v="Laura García"/>
    <s v="laura.garcía@mail.com"/>
    <x v="2"/>
    <s v="Oporto"/>
    <x v="2"/>
    <x v="19"/>
    <n v="2"/>
    <n v="1332.36"/>
    <n v="2664.72"/>
    <x v="11"/>
    <x v="1"/>
    <x v="572"/>
    <x v="3"/>
  </r>
  <r>
    <s v="ORD001633"/>
    <s v="Laura Fernández"/>
    <s v="laura.fernández@mail.com"/>
    <x v="0"/>
    <s v="Madrid"/>
    <x v="4"/>
    <x v="22"/>
    <n v="2"/>
    <n v="287.08"/>
    <n v="574.16"/>
    <x v="2"/>
    <x v="2"/>
    <x v="2"/>
    <x v="3"/>
  </r>
  <r>
    <s v="ORD001634"/>
    <s v="Laura Rodríguez"/>
    <s v="laura.rodríguez@mail.com"/>
    <x v="2"/>
    <s v="Oporto"/>
    <x v="2"/>
    <x v="15"/>
    <n v="4"/>
    <n v="450.14"/>
    <n v="1800.56"/>
    <x v="0"/>
    <x v="1"/>
    <x v="526"/>
    <x v="0"/>
  </r>
  <r>
    <s v="ORD001635"/>
    <s v="Carmen Ramos"/>
    <s v="carmen.ramos@mail.com"/>
    <x v="2"/>
    <s v="Oporto"/>
    <x v="1"/>
    <x v="1"/>
    <n v="4"/>
    <n v="688.46"/>
    <n v="2753.84"/>
    <x v="5"/>
    <x v="1"/>
    <x v="89"/>
    <x v="0"/>
  </r>
  <r>
    <s v="ORD001636"/>
    <s v="Diego Alonso"/>
    <s v="diego.alonso@mail.com"/>
    <x v="4"/>
    <s v="Lyon"/>
    <x v="2"/>
    <x v="10"/>
    <n v="5"/>
    <n v="244.35"/>
    <n v="1221.75"/>
    <x v="3"/>
    <x v="0"/>
    <x v="110"/>
    <x v="1"/>
  </r>
  <r>
    <s v="ORD001637"/>
    <s v="Sofía Navarro"/>
    <s v="sofía.navarro@mail.com"/>
    <x v="1"/>
    <s v="Múnich"/>
    <x v="1"/>
    <x v="8"/>
    <n v="5"/>
    <n v="420.86"/>
    <n v="2104.3000000000002"/>
    <x v="2"/>
    <x v="1"/>
    <x v="504"/>
    <x v="2"/>
  </r>
  <r>
    <s v="ORD001638"/>
    <s v="Laura Gómez"/>
    <s v="laura.gómez@mail.com"/>
    <x v="2"/>
    <s v="Lisboa"/>
    <x v="0"/>
    <x v="0"/>
    <n v="5"/>
    <n v="159.15"/>
    <n v="795.75"/>
    <x v="10"/>
    <x v="0"/>
    <x v="131"/>
    <x v="1"/>
  </r>
  <r>
    <s v="ORD001639"/>
    <s v="Lucía Sánchez"/>
    <s v="lucía.sánchez@mail.com"/>
    <x v="3"/>
    <s v="Milán"/>
    <x v="0"/>
    <x v="20"/>
    <n v="3"/>
    <n v="1050.18"/>
    <n v="3150.54"/>
    <x v="4"/>
    <x v="1"/>
    <x v="251"/>
    <x v="3"/>
  </r>
  <r>
    <s v="ORD001640"/>
    <s v="Sofía Vázquez"/>
    <s v="sofía.vázquez@mail.com"/>
    <x v="3"/>
    <s v="Nápoles"/>
    <x v="0"/>
    <x v="16"/>
    <n v="3"/>
    <n v="930.16"/>
    <n v="2790.48"/>
    <x v="10"/>
    <x v="1"/>
    <x v="707"/>
    <x v="1"/>
  </r>
  <r>
    <s v="ORD001641"/>
    <s v="Carlos Sánchez"/>
    <s v="carlos.sánchez@mail.com"/>
    <x v="1"/>
    <s v="Múnich"/>
    <x v="4"/>
    <x v="14"/>
    <n v="1"/>
    <n v="1261.48"/>
    <n v="1261.48"/>
    <x v="5"/>
    <x v="0"/>
    <x v="437"/>
    <x v="2"/>
  </r>
  <r>
    <s v="ORD001642"/>
    <s v="Luis Rodríguez"/>
    <s v="luis.rodríguez@mail.com"/>
    <x v="0"/>
    <s v="Madrid"/>
    <x v="2"/>
    <x v="3"/>
    <n v="4"/>
    <n v="624.88"/>
    <n v="2499.52"/>
    <x v="6"/>
    <x v="1"/>
    <x v="166"/>
    <x v="4"/>
  </r>
  <r>
    <s v="ORD001643"/>
    <s v="Raúl Ruiz"/>
    <s v="raúl.ruiz@mail.com"/>
    <x v="3"/>
    <s v="Nápoles"/>
    <x v="0"/>
    <x v="20"/>
    <n v="4"/>
    <n v="748.47"/>
    <n v="2993.88"/>
    <x v="0"/>
    <x v="1"/>
    <x v="708"/>
    <x v="2"/>
  </r>
  <r>
    <s v="ORD001644"/>
    <s v="Pablo Navarro"/>
    <s v="pablo.navarro@mail.com"/>
    <x v="2"/>
    <s v="Lisboa"/>
    <x v="3"/>
    <x v="4"/>
    <n v="1"/>
    <n v="65.94"/>
    <n v="65.94"/>
    <x v="11"/>
    <x v="0"/>
    <x v="442"/>
    <x v="2"/>
  </r>
  <r>
    <s v="ORD001645"/>
    <s v="Ana Martínez"/>
    <s v="ana.martínez@mail.com"/>
    <x v="3"/>
    <s v="Nápoles"/>
    <x v="4"/>
    <x v="23"/>
    <n v="2"/>
    <n v="341.9"/>
    <n v="683.8"/>
    <x v="9"/>
    <x v="1"/>
    <x v="705"/>
    <x v="3"/>
  </r>
  <r>
    <s v="ORD001646"/>
    <s v="Elena Ramos"/>
    <s v="elena.ramos@mail.com"/>
    <x v="2"/>
    <s v="Braga"/>
    <x v="3"/>
    <x v="18"/>
    <n v="1"/>
    <n v="84.95"/>
    <n v="84.95"/>
    <x v="3"/>
    <x v="0"/>
    <x v="535"/>
    <x v="1"/>
  </r>
  <r>
    <s v="ORD001647"/>
    <s v="Pablo Martínez"/>
    <s v="pablo.martínez@mail.com"/>
    <x v="4"/>
    <s v="Marsella"/>
    <x v="0"/>
    <x v="13"/>
    <n v="1"/>
    <n v="860.22"/>
    <n v="860.22"/>
    <x v="2"/>
    <x v="0"/>
    <x v="709"/>
    <x v="0"/>
  </r>
  <r>
    <s v="ORD001648"/>
    <s v="Carmen Ruiz"/>
    <s v="carmen.ruiz@mail.com"/>
    <x v="4"/>
    <s v="Lyon"/>
    <x v="0"/>
    <x v="16"/>
    <n v="2"/>
    <n v="917.88"/>
    <n v="1835.76"/>
    <x v="2"/>
    <x v="0"/>
    <x v="309"/>
    <x v="2"/>
  </r>
  <r>
    <s v="ORD001649"/>
    <s v="Sofía Fernández"/>
    <s v="sofía.fernández@mail.com"/>
    <x v="0"/>
    <s v="Madrid"/>
    <x v="2"/>
    <x v="15"/>
    <n v="1"/>
    <n v="684.13"/>
    <n v="684.13"/>
    <x v="2"/>
    <x v="2"/>
    <x v="436"/>
    <x v="3"/>
  </r>
  <r>
    <s v="ORD001650"/>
    <s v="Luis Pérez"/>
    <s v="luis.pérez@mail.com"/>
    <x v="2"/>
    <s v="Oporto"/>
    <x v="3"/>
    <x v="7"/>
    <n v="3"/>
    <n v="34.32"/>
    <n v="102.96000000000001"/>
    <x v="3"/>
    <x v="1"/>
    <x v="40"/>
    <x v="0"/>
  </r>
  <r>
    <s v="ORD001651"/>
    <s v="María Díaz"/>
    <s v="maría.díaz@mail.com"/>
    <x v="1"/>
    <s v="Múnich"/>
    <x v="0"/>
    <x v="20"/>
    <n v="3"/>
    <n v="1225.82"/>
    <n v="3677.46"/>
    <x v="9"/>
    <x v="1"/>
    <x v="523"/>
    <x v="3"/>
  </r>
  <r>
    <s v="ORD001652"/>
    <s v="Laura Vázquez"/>
    <s v="laura.vázquez@mail.com"/>
    <x v="1"/>
    <s v="Hamburgo"/>
    <x v="1"/>
    <x v="6"/>
    <n v="5"/>
    <n v="606.63"/>
    <n v="3033.15"/>
    <x v="4"/>
    <x v="0"/>
    <x v="670"/>
    <x v="1"/>
  </r>
  <r>
    <s v="ORD001653"/>
    <s v="Sofía Torres"/>
    <s v="sofía.torres@mail.com"/>
    <x v="1"/>
    <s v="Hamburgo"/>
    <x v="0"/>
    <x v="20"/>
    <n v="3"/>
    <n v="1148.47"/>
    <n v="3445.41"/>
    <x v="5"/>
    <x v="0"/>
    <x v="95"/>
    <x v="4"/>
  </r>
  <r>
    <s v="ORD001654"/>
    <s v="Pedro Gómez"/>
    <s v="pedro.gómez@mail.com"/>
    <x v="0"/>
    <s v="Valencia"/>
    <x v="0"/>
    <x v="13"/>
    <n v="3"/>
    <n v="1417.58"/>
    <n v="4252.74"/>
    <x v="1"/>
    <x v="1"/>
    <x v="237"/>
    <x v="2"/>
  </r>
  <r>
    <s v="ORD001655"/>
    <s v="Sofía Gómez"/>
    <s v="sofía.gómez@mail.com"/>
    <x v="0"/>
    <s v="Valencia"/>
    <x v="2"/>
    <x v="19"/>
    <n v="1"/>
    <n v="520.1"/>
    <n v="520.1"/>
    <x v="9"/>
    <x v="0"/>
    <x v="44"/>
    <x v="4"/>
  </r>
  <r>
    <s v="ORD001656"/>
    <s v="Miguel Díaz"/>
    <s v="miguel.díaz@mail.com"/>
    <x v="0"/>
    <s v="Sevilla"/>
    <x v="4"/>
    <x v="14"/>
    <n v="2"/>
    <n v="597.21"/>
    <n v="1194.42"/>
    <x v="1"/>
    <x v="1"/>
    <x v="685"/>
    <x v="4"/>
  </r>
  <r>
    <s v="ORD001657"/>
    <s v="Luis Ramos"/>
    <s v="luis.ramos@mail.com"/>
    <x v="1"/>
    <s v="Múnich"/>
    <x v="1"/>
    <x v="8"/>
    <n v="5"/>
    <n v="1419.12"/>
    <n v="7095.5999999999995"/>
    <x v="10"/>
    <x v="2"/>
    <x v="98"/>
    <x v="4"/>
  </r>
  <r>
    <s v="ORD001658"/>
    <s v="Luis Pérez"/>
    <s v="luis.pérez@mail.com"/>
    <x v="4"/>
    <s v="Lyon"/>
    <x v="4"/>
    <x v="14"/>
    <n v="2"/>
    <n v="1166.6600000000001"/>
    <n v="2333.3200000000002"/>
    <x v="7"/>
    <x v="0"/>
    <x v="299"/>
    <x v="2"/>
  </r>
  <r>
    <s v="ORD001659"/>
    <s v="Carlos Martínez"/>
    <s v="carlos.martínez@mail.com"/>
    <x v="4"/>
    <s v="Marsella"/>
    <x v="0"/>
    <x v="16"/>
    <n v="2"/>
    <n v="493.96"/>
    <n v="987.92"/>
    <x v="7"/>
    <x v="0"/>
    <x v="471"/>
    <x v="2"/>
  </r>
  <r>
    <s v="ORD001660"/>
    <s v="Elena Ramos"/>
    <s v="elena.ramos@mail.com"/>
    <x v="0"/>
    <s v="Valencia"/>
    <x v="0"/>
    <x v="16"/>
    <n v="1"/>
    <n v="578.34"/>
    <n v="578.34"/>
    <x v="7"/>
    <x v="0"/>
    <x v="471"/>
    <x v="4"/>
  </r>
  <r>
    <s v="ORD001661"/>
    <s v="Carlos García"/>
    <s v="carlos.garcía@mail.com"/>
    <x v="0"/>
    <s v="Barcelona"/>
    <x v="4"/>
    <x v="22"/>
    <n v="1"/>
    <n v="777.43"/>
    <n v="777.43"/>
    <x v="2"/>
    <x v="2"/>
    <x v="162"/>
    <x v="2"/>
  </r>
  <r>
    <s v="ORD001662"/>
    <s v="Elena López"/>
    <s v="elena.lópez@mail.com"/>
    <x v="4"/>
    <s v="Lyon"/>
    <x v="2"/>
    <x v="15"/>
    <n v="1"/>
    <n v="1280.7"/>
    <n v="1280.7"/>
    <x v="4"/>
    <x v="0"/>
    <x v="290"/>
    <x v="0"/>
  </r>
  <r>
    <s v="ORD001663"/>
    <s v="Ana Gómez"/>
    <s v="ana.gómez@mail.com"/>
    <x v="1"/>
    <s v="Berlín"/>
    <x v="0"/>
    <x v="20"/>
    <n v="2"/>
    <n v="548.91999999999996"/>
    <n v="1097.8399999999999"/>
    <x v="2"/>
    <x v="0"/>
    <x v="63"/>
    <x v="0"/>
  </r>
  <r>
    <s v="ORD001664"/>
    <s v="Laura Torres"/>
    <s v="laura.torres@mail.com"/>
    <x v="1"/>
    <s v="Hamburgo"/>
    <x v="1"/>
    <x v="6"/>
    <n v="2"/>
    <n v="1160.23"/>
    <n v="2320.46"/>
    <x v="11"/>
    <x v="1"/>
    <x v="588"/>
    <x v="3"/>
  </r>
  <r>
    <s v="ORD001665"/>
    <s v="Pedro Navarro"/>
    <s v="pedro.navarro@mail.com"/>
    <x v="4"/>
    <s v="París"/>
    <x v="4"/>
    <x v="22"/>
    <n v="5"/>
    <n v="126.3"/>
    <n v="631.5"/>
    <x v="6"/>
    <x v="0"/>
    <x v="43"/>
    <x v="2"/>
  </r>
  <r>
    <s v="ORD001666"/>
    <s v="Elena Ramos"/>
    <s v="elena.ramos@mail.com"/>
    <x v="4"/>
    <s v="Marsella"/>
    <x v="1"/>
    <x v="1"/>
    <n v="2"/>
    <n v="1135.6199999999999"/>
    <n v="2271.2399999999998"/>
    <x v="9"/>
    <x v="0"/>
    <x v="591"/>
    <x v="1"/>
  </r>
  <r>
    <s v="ORD001667"/>
    <s v="Raúl Rodríguez"/>
    <s v="raúl.rodríguez@mail.com"/>
    <x v="3"/>
    <s v="Nápoles"/>
    <x v="4"/>
    <x v="14"/>
    <n v="5"/>
    <n v="520.66"/>
    <n v="2603.2999999999997"/>
    <x v="9"/>
    <x v="0"/>
    <x v="574"/>
    <x v="1"/>
  </r>
  <r>
    <s v="ORD001668"/>
    <s v="Pedro Navarro"/>
    <s v="pedro.navarro@mail.com"/>
    <x v="1"/>
    <s v="Múnich"/>
    <x v="3"/>
    <x v="4"/>
    <n v="3"/>
    <n v="902.55"/>
    <n v="2707.6499999999996"/>
    <x v="3"/>
    <x v="0"/>
    <x v="605"/>
    <x v="2"/>
  </r>
  <r>
    <s v="ORD001669"/>
    <s v="María Ramos"/>
    <s v="maría.ramos@mail.com"/>
    <x v="3"/>
    <s v="Roma"/>
    <x v="2"/>
    <x v="3"/>
    <n v="3"/>
    <n v="1110.99"/>
    <n v="3332.9700000000003"/>
    <x v="10"/>
    <x v="2"/>
    <x v="681"/>
    <x v="0"/>
  </r>
  <r>
    <s v="ORD001670"/>
    <s v="Miguel Navarro"/>
    <s v="miguel.navarro@mail.com"/>
    <x v="1"/>
    <s v="Múnich"/>
    <x v="4"/>
    <x v="23"/>
    <n v="1"/>
    <n v="797.77"/>
    <n v="797.77"/>
    <x v="8"/>
    <x v="1"/>
    <x v="584"/>
    <x v="4"/>
  </r>
  <r>
    <s v="ORD001671"/>
    <s v="Luis Navarro"/>
    <s v="luis.navarro@mail.com"/>
    <x v="1"/>
    <s v="Berlín"/>
    <x v="0"/>
    <x v="17"/>
    <n v="5"/>
    <n v="302.55"/>
    <n v="1512.75"/>
    <x v="7"/>
    <x v="0"/>
    <x v="524"/>
    <x v="4"/>
  </r>
  <r>
    <s v="ORD001672"/>
    <s v="Carlos García"/>
    <s v="carlos.garcía@mail.com"/>
    <x v="4"/>
    <s v="París"/>
    <x v="1"/>
    <x v="6"/>
    <n v="1"/>
    <n v="490.22"/>
    <n v="490.22"/>
    <x v="8"/>
    <x v="0"/>
    <x v="710"/>
    <x v="1"/>
  </r>
  <r>
    <s v="ORD001673"/>
    <s v="Miguel Ramos"/>
    <s v="miguel.ramos@mail.com"/>
    <x v="1"/>
    <s v="Múnich"/>
    <x v="1"/>
    <x v="8"/>
    <n v="1"/>
    <n v="450.38"/>
    <n v="450.38"/>
    <x v="5"/>
    <x v="0"/>
    <x v="343"/>
    <x v="0"/>
  </r>
  <r>
    <s v="ORD001674"/>
    <s v="Diego Fernández"/>
    <s v="diego.fernández@mail.com"/>
    <x v="3"/>
    <s v="Nápoles"/>
    <x v="3"/>
    <x v="5"/>
    <n v="1"/>
    <n v="141.79"/>
    <n v="141.79"/>
    <x v="7"/>
    <x v="0"/>
    <x v="423"/>
    <x v="4"/>
  </r>
  <r>
    <s v="ORD001675"/>
    <s v="Javier Vázquez"/>
    <s v="javier.vázquez@mail.com"/>
    <x v="3"/>
    <s v="Roma"/>
    <x v="3"/>
    <x v="7"/>
    <n v="4"/>
    <n v="489.41"/>
    <n v="1957.64"/>
    <x v="4"/>
    <x v="1"/>
    <x v="711"/>
    <x v="2"/>
  </r>
  <r>
    <s v="ORD001676"/>
    <s v="Elena Fernández"/>
    <s v="elena.fernández@mail.com"/>
    <x v="2"/>
    <s v="Lisboa"/>
    <x v="4"/>
    <x v="21"/>
    <n v="3"/>
    <n v="229.18"/>
    <n v="687.54"/>
    <x v="5"/>
    <x v="1"/>
    <x v="549"/>
    <x v="2"/>
  </r>
  <r>
    <s v="ORD001677"/>
    <s v="Carmen Navarro"/>
    <s v="carmen.navarro@mail.com"/>
    <x v="0"/>
    <s v="Barcelona"/>
    <x v="0"/>
    <x v="17"/>
    <n v="1"/>
    <n v="720.98"/>
    <n v="720.98"/>
    <x v="9"/>
    <x v="0"/>
    <x v="420"/>
    <x v="3"/>
  </r>
  <r>
    <s v="ORD001678"/>
    <s v="Carlos Martínez"/>
    <s v="carlos.martínez@mail.com"/>
    <x v="4"/>
    <s v="Marsella"/>
    <x v="4"/>
    <x v="11"/>
    <n v="3"/>
    <n v="117.74"/>
    <n v="353.21999999999997"/>
    <x v="1"/>
    <x v="0"/>
    <x v="358"/>
    <x v="3"/>
  </r>
  <r>
    <s v="ORD001679"/>
    <s v="Diego Gómez"/>
    <s v="diego.gómez@mail.com"/>
    <x v="2"/>
    <s v="Braga"/>
    <x v="1"/>
    <x v="12"/>
    <n v="2"/>
    <n v="57.12"/>
    <n v="114.24"/>
    <x v="9"/>
    <x v="1"/>
    <x v="235"/>
    <x v="0"/>
  </r>
  <r>
    <s v="ORD001680"/>
    <s v="Miguel Fernández"/>
    <s v="miguel.fernández@mail.com"/>
    <x v="0"/>
    <s v="Valencia"/>
    <x v="3"/>
    <x v="18"/>
    <n v="5"/>
    <n v="792.12"/>
    <n v="3960.6"/>
    <x v="9"/>
    <x v="0"/>
    <x v="300"/>
    <x v="2"/>
  </r>
  <r>
    <s v="ORD001681"/>
    <s v="Luis Vázquez"/>
    <s v="luis.vázquez@mail.com"/>
    <x v="2"/>
    <s v="Braga"/>
    <x v="0"/>
    <x v="0"/>
    <n v="5"/>
    <n v="222.91"/>
    <n v="1114.55"/>
    <x v="8"/>
    <x v="0"/>
    <x v="109"/>
    <x v="0"/>
  </r>
  <r>
    <s v="ORD001682"/>
    <s v="Javier García"/>
    <s v="javier.garcía@mail.com"/>
    <x v="0"/>
    <s v="Madrid"/>
    <x v="3"/>
    <x v="5"/>
    <n v="3"/>
    <n v="367.16"/>
    <n v="1101.48"/>
    <x v="10"/>
    <x v="0"/>
    <x v="242"/>
    <x v="1"/>
  </r>
  <r>
    <s v="ORD001683"/>
    <s v="Pablo Navarro"/>
    <s v="pablo.navarro@mail.com"/>
    <x v="2"/>
    <s v="Oporto"/>
    <x v="0"/>
    <x v="20"/>
    <n v="5"/>
    <n v="222.23"/>
    <n v="1111.1499999999999"/>
    <x v="2"/>
    <x v="2"/>
    <x v="320"/>
    <x v="4"/>
  </r>
  <r>
    <s v="ORD001684"/>
    <s v="Sofía López"/>
    <s v="sofía.lópez@mail.com"/>
    <x v="2"/>
    <s v="Lisboa"/>
    <x v="3"/>
    <x v="4"/>
    <n v="5"/>
    <n v="1105.21"/>
    <n v="5526.05"/>
    <x v="1"/>
    <x v="0"/>
    <x v="287"/>
    <x v="4"/>
  </r>
  <r>
    <s v="ORD001685"/>
    <s v="Ana Vázquez"/>
    <s v="ana.vázquez@mail.com"/>
    <x v="3"/>
    <s v="Roma"/>
    <x v="0"/>
    <x v="16"/>
    <n v="5"/>
    <n v="1310.83"/>
    <n v="6554.15"/>
    <x v="4"/>
    <x v="1"/>
    <x v="373"/>
    <x v="2"/>
  </r>
  <r>
    <s v="ORD001686"/>
    <s v="Ana Martínez"/>
    <s v="ana.martínez@mail.com"/>
    <x v="3"/>
    <s v="Milán"/>
    <x v="1"/>
    <x v="2"/>
    <n v="2"/>
    <n v="1356.5"/>
    <n v="2713"/>
    <x v="4"/>
    <x v="0"/>
    <x v="463"/>
    <x v="2"/>
  </r>
  <r>
    <s v="ORD001687"/>
    <s v="Ana Ramos"/>
    <s v="ana.ramos@mail.com"/>
    <x v="1"/>
    <s v="Berlín"/>
    <x v="0"/>
    <x v="16"/>
    <n v="1"/>
    <n v="679.87"/>
    <n v="679.87"/>
    <x v="0"/>
    <x v="0"/>
    <x v="244"/>
    <x v="0"/>
  </r>
  <r>
    <s v="ORD001688"/>
    <s v="Raúl Vázquez"/>
    <s v="raúl.vázquez@mail.com"/>
    <x v="4"/>
    <s v="Marsella"/>
    <x v="3"/>
    <x v="7"/>
    <n v="1"/>
    <n v="929.89"/>
    <n v="929.89"/>
    <x v="0"/>
    <x v="1"/>
    <x v="232"/>
    <x v="2"/>
  </r>
  <r>
    <s v="ORD001689"/>
    <s v="Irene Torres"/>
    <s v="irene.torres@mail.com"/>
    <x v="0"/>
    <s v="Barcelona"/>
    <x v="2"/>
    <x v="9"/>
    <n v="3"/>
    <n v="909.35"/>
    <n v="2728.05"/>
    <x v="11"/>
    <x v="0"/>
    <x v="390"/>
    <x v="0"/>
  </r>
  <r>
    <s v="ORD001690"/>
    <s v="María Rodríguez"/>
    <s v="maría.rodríguez@mail.com"/>
    <x v="1"/>
    <s v="Múnich"/>
    <x v="1"/>
    <x v="2"/>
    <n v="4"/>
    <n v="425.98"/>
    <n v="1703.92"/>
    <x v="1"/>
    <x v="1"/>
    <x v="346"/>
    <x v="3"/>
  </r>
  <r>
    <s v="ORD001691"/>
    <s v="Irene Torres"/>
    <s v="irene.torres@mail.com"/>
    <x v="4"/>
    <s v="Marsella"/>
    <x v="2"/>
    <x v="3"/>
    <n v="5"/>
    <n v="1122.83"/>
    <n v="5614.15"/>
    <x v="4"/>
    <x v="0"/>
    <x v="712"/>
    <x v="1"/>
  </r>
  <r>
    <s v="ORD001692"/>
    <s v="Sofía Vázquez"/>
    <s v="sofía.vázquez@mail.com"/>
    <x v="2"/>
    <s v="Oporto"/>
    <x v="0"/>
    <x v="0"/>
    <n v="2"/>
    <n v="627.59"/>
    <n v="1255.18"/>
    <x v="10"/>
    <x v="1"/>
    <x v="656"/>
    <x v="3"/>
  </r>
  <r>
    <s v="ORD001693"/>
    <s v="Carlos Vázquez"/>
    <s v="carlos.vázquez@mail.com"/>
    <x v="1"/>
    <s v="Berlín"/>
    <x v="3"/>
    <x v="5"/>
    <n v="5"/>
    <n v="331.46"/>
    <n v="1657.3"/>
    <x v="3"/>
    <x v="1"/>
    <x v="575"/>
    <x v="4"/>
  </r>
  <r>
    <s v="ORD001694"/>
    <s v="Ana Gómez"/>
    <s v="ana.gómez@mail.com"/>
    <x v="1"/>
    <s v="Hamburgo"/>
    <x v="2"/>
    <x v="10"/>
    <n v="2"/>
    <n v="724.23"/>
    <n v="1448.46"/>
    <x v="11"/>
    <x v="0"/>
    <x v="592"/>
    <x v="1"/>
  </r>
  <r>
    <s v="ORD001695"/>
    <s v="Diego Torres"/>
    <s v="diego.torres@mail.com"/>
    <x v="4"/>
    <s v="Marsella"/>
    <x v="0"/>
    <x v="0"/>
    <n v="1"/>
    <n v="78.58"/>
    <n v="78.58"/>
    <x v="6"/>
    <x v="0"/>
    <x v="713"/>
    <x v="2"/>
  </r>
  <r>
    <s v="ORD001696"/>
    <s v="Lucía López"/>
    <s v="lucía.lópez@mail.com"/>
    <x v="3"/>
    <s v="Nápoles"/>
    <x v="0"/>
    <x v="17"/>
    <n v="1"/>
    <n v="126.04"/>
    <n v="126.04"/>
    <x v="4"/>
    <x v="1"/>
    <x v="427"/>
    <x v="3"/>
  </r>
  <r>
    <s v="ORD001697"/>
    <s v="Irene Navarro"/>
    <s v="irene.navarro@mail.com"/>
    <x v="3"/>
    <s v="Roma"/>
    <x v="2"/>
    <x v="19"/>
    <n v="4"/>
    <n v="859.13"/>
    <n v="3436.52"/>
    <x v="10"/>
    <x v="1"/>
    <x v="714"/>
    <x v="1"/>
  </r>
  <r>
    <s v="ORD001698"/>
    <s v="Carmen Alonso"/>
    <s v="carmen.alonso@mail.com"/>
    <x v="0"/>
    <s v="Barcelona"/>
    <x v="3"/>
    <x v="7"/>
    <n v="3"/>
    <n v="1471.35"/>
    <n v="4414.0499999999993"/>
    <x v="4"/>
    <x v="1"/>
    <x v="715"/>
    <x v="4"/>
  </r>
  <r>
    <s v="ORD001699"/>
    <s v="Irene Torres"/>
    <s v="irene.torres@mail.com"/>
    <x v="0"/>
    <s v="Sevilla"/>
    <x v="2"/>
    <x v="9"/>
    <n v="3"/>
    <n v="1285.5999999999999"/>
    <n v="3856.7999999999997"/>
    <x v="2"/>
    <x v="2"/>
    <x v="716"/>
    <x v="2"/>
  </r>
  <r>
    <s v="ORD001700"/>
    <s v="Laura Martínez"/>
    <s v="laura.martínez@mail.com"/>
    <x v="3"/>
    <s v="Nápoles"/>
    <x v="4"/>
    <x v="14"/>
    <n v="1"/>
    <n v="207.88"/>
    <n v="207.88"/>
    <x v="2"/>
    <x v="2"/>
    <x v="359"/>
    <x v="0"/>
  </r>
  <r>
    <s v="ORD001701"/>
    <s v="Elena Pérez"/>
    <s v="elena.pérez@mail.com"/>
    <x v="4"/>
    <s v="Marsella"/>
    <x v="1"/>
    <x v="8"/>
    <n v="1"/>
    <n v="148.94999999999999"/>
    <n v="148.94999999999999"/>
    <x v="6"/>
    <x v="0"/>
    <x v="582"/>
    <x v="0"/>
  </r>
  <r>
    <s v="ORD001702"/>
    <s v="Elena Martínez"/>
    <s v="elena.martínez@mail.com"/>
    <x v="4"/>
    <s v="Marsella"/>
    <x v="1"/>
    <x v="8"/>
    <n v="1"/>
    <n v="962.78"/>
    <n v="962.78"/>
    <x v="9"/>
    <x v="1"/>
    <x v="185"/>
    <x v="1"/>
  </r>
  <r>
    <s v="ORD001703"/>
    <s v="Luis Ramos"/>
    <s v="luis.ramos@mail.com"/>
    <x v="1"/>
    <s v="Múnich"/>
    <x v="0"/>
    <x v="17"/>
    <n v="4"/>
    <n v="16.309999999999999"/>
    <n v="65.239999999999995"/>
    <x v="3"/>
    <x v="1"/>
    <x v="717"/>
    <x v="1"/>
  </r>
  <r>
    <s v="ORD001704"/>
    <s v="María Sánchez"/>
    <s v="maría.sánchez@mail.com"/>
    <x v="4"/>
    <s v="Lyon"/>
    <x v="3"/>
    <x v="7"/>
    <n v="2"/>
    <n v="44.64"/>
    <n v="89.28"/>
    <x v="4"/>
    <x v="1"/>
    <x v="654"/>
    <x v="0"/>
  </r>
  <r>
    <s v="ORD001705"/>
    <s v="Ana Ramos"/>
    <s v="ana.ramos@mail.com"/>
    <x v="0"/>
    <s v="Barcelona"/>
    <x v="4"/>
    <x v="14"/>
    <n v="4"/>
    <n v="598.75"/>
    <n v="2395"/>
    <x v="5"/>
    <x v="0"/>
    <x v="437"/>
    <x v="4"/>
  </r>
  <r>
    <s v="ORD001706"/>
    <s v="Luis Rodríguez"/>
    <s v="luis.rodríguez@mail.com"/>
    <x v="3"/>
    <s v="Nápoles"/>
    <x v="4"/>
    <x v="22"/>
    <n v="3"/>
    <n v="942.2"/>
    <n v="2826.6000000000004"/>
    <x v="5"/>
    <x v="0"/>
    <x v="95"/>
    <x v="1"/>
  </r>
  <r>
    <s v="ORD001707"/>
    <s v="Carmen Navarro"/>
    <s v="carmen.navarro@mail.com"/>
    <x v="1"/>
    <s v="Hamburgo"/>
    <x v="1"/>
    <x v="2"/>
    <n v="1"/>
    <n v="796.9"/>
    <n v="796.9"/>
    <x v="7"/>
    <x v="0"/>
    <x v="524"/>
    <x v="4"/>
  </r>
  <r>
    <s v="ORD001708"/>
    <s v="María López"/>
    <s v="maría.lópez@mail.com"/>
    <x v="1"/>
    <s v="Berlín"/>
    <x v="3"/>
    <x v="18"/>
    <n v="3"/>
    <n v="1366.37"/>
    <n v="4099.1099999999997"/>
    <x v="10"/>
    <x v="1"/>
    <x v="466"/>
    <x v="1"/>
  </r>
  <r>
    <s v="ORD001709"/>
    <s v="Miguel Alonso"/>
    <s v="miguel.alonso@mail.com"/>
    <x v="3"/>
    <s v="Roma"/>
    <x v="3"/>
    <x v="7"/>
    <n v="5"/>
    <n v="1151.06"/>
    <n v="5755.2999999999993"/>
    <x v="3"/>
    <x v="1"/>
    <x v="125"/>
    <x v="3"/>
  </r>
  <r>
    <s v="ORD001710"/>
    <s v="Carlos Vázquez"/>
    <s v="carlos.vázquez@mail.com"/>
    <x v="1"/>
    <s v="Berlín"/>
    <x v="0"/>
    <x v="0"/>
    <n v="2"/>
    <n v="1402.43"/>
    <n v="2804.86"/>
    <x v="7"/>
    <x v="0"/>
    <x v="517"/>
    <x v="0"/>
  </r>
  <r>
    <s v="ORD001711"/>
    <s v="Elena Vázquez"/>
    <s v="elena.vázquez@mail.com"/>
    <x v="0"/>
    <s v="Valencia"/>
    <x v="1"/>
    <x v="8"/>
    <n v="3"/>
    <n v="744.26"/>
    <n v="2232.7799999999997"/>
    <x v="4"/>
    <x v="1"/>
    <x v="502"/>
    <x v="1"/>
  </r>
  <r>
    <s v="ORD001712"/>
    <s v="Javier Ruiz"/>
    <s v="javier.ruiz@mail.com"/>
    <x v="0"/>
    <s v="Bilbao"/>
    <x v="0"/>
    <x v="20"/>
    <n v="2"/>
    <n v="983.21"/>
    <n v="1966.42"/>
    <x v="7"/>
    <x v="0"/>
    <x v="168"/>
    <x v="1"/>
  </r>
  <r>
    <s v="ORD001713"/>
    <s v="Sofía Fernández"/>
    <s v="sofía.fernández@mail.com"/>
    <x v="0"/>
    <s v="Madrid"/>
    <x v="0"/>
    <x v="17"/>
    <n v="4"/>
    <n v="313.64999999999998"/>
    <n v="1254.5999999999999"/>
    <x v="10"/>
    <x v="0"/>
    <x v="718"/>
    <x v="1"/>
  </r>
  <r>
    <s v="ORD001714"/>
    <s v="Carlos Gómez"/>
    <s v="carlos.gómez@mail.com"/>
    <x v="1"/>
    <s v="Berlín"/>
    <x v="1"/>
    <x v="2"/>
    <n v="4"/>
    <n v="729.83"/>
    <n v="2919.32"/>
    <x v="5"/>
    <x v="1"/>
    <x v="509"/>
    <x v="2"/>
  </r>
  <r>
    <s v="ORD001715"/>
    <s v="Miguel Fernández"/>
    <s v="miguel.fernández@mail.com"/>
    <x v="1"/>
    <s v="Hamburgo"/>
    <x v="3"/>
    <x v="18"/>
    <n v="2"/>
    <n v="196.21"/>
    <n v="392.42"/>
    <x v="9"/>
    <x v="0"/>
    <x v="344"/>
    <x v="4"/>
  </r>
  <r>
    <s v="ORD001716"/>
    <s v="Raúl Díaz"/>
    <s v="raúl.díaz@mail.com"/>
    <x v="2"/>
    <s v="Braga"/>
    <x v="4"/>
    <x v="22"/>
    <n v="5"/>
    <n v="1300"/>
    <n v="6500"/>
    <x v="0"/>
    <x v="1"/>
    <x v="708"/>
    <x v="1"/>
  </r>
  <r>
    <s v="ORD001717"/>
    <s v="Lucía Rodríguez"/>
    <s v="lucía.rodríguez@mail.com"/>
    <x v="1"/>
    <s v="Múnich"/>
    <x v="0"/>
    <x v="0"/>
    <n v="5"/>
    <n v="327.35000000000002"/>
    <n v="1636.75"/>
    <x v="8"/>
    <x v="1"/>
    <x v="73"/>
    <x v="3"/>
  </r>
  <r>
    <s v="ORD001718"/>
    <s v="Lucía Gil"/>
    <s v="lucía.gil@mail.com"/>
    <x v="0"/>
    <s v="Valencia"/>
    <x v="0"/>
    <x v="20"/>
    <n v="4"/>
    <n v="131.12"/>
    <n v="524.48"/>
    <x v="6"/>
    <x v="1"/>
    <x v="573"/>
    <x v="1"/>
  </r>
  <r>
    <s v="ORD001719"/>
    <s v="Sofía Ruiz"/>
    <s v="sofía.ruiz@mail.com"/>
    <x v="2"/>
    <s v="Lisboa"/>
    <x v="3"/>
    <x v="15"/>
    <n v="1"/>
    <n v="122.87"/>
    <n v="122.87"/>
    <x v="6"/>
    <x v="1"/>
    <x v="719"/>
    <x v="3"/>
  </r>
  <r>
    <s v="ORD001720"/>
    <s v="Lucía Gil"/>
    <s v="lucía.gil@mail.com"/>
    <x v="0"/>
    <s v="Valencia"/>
    <x v="0"/>
    <x v="16"/>
    <n v="5"/>
    <n v="1034.5"/>
    <n v="5172.5"/>
    <x v="6"/>
    <x v="1"/>
    <x v="571"/>
    <x v="3"/>
  </r>
  <r>
    <s v="ORD001721"/>
    <s v="Diego Torres"/>
    <s v="diego.torres@mail.com"/>
    <x v="3"/>
    <s v="Milán"/>
    <x v="3"/>
    <x v="5"/>
    <n v="5"/>
    <n v="397.29"/>
    <n v="1986.45"/>
    <x v="7"/>
    <x v="0"/>
    <x v="524"/>
    <x v="4"/>
  </r>
  <r>
    <s v="ORD001722"/>
    <s v="Carlos Gil"/>
    <s v="carlos.gil@mail.com"/>
    <x v="3"/>
    <s v="Milán"/>
    <x v="2"/>
    <x v="15"/>
    <n v="2"/>
    <n v="303.12"/>
    <n v="606.24"/>
    <x v="0"/>
    <x v="1"/>
    <x v="39"/>
    <x v="0"/>
  </r>
  <r>
    <s v="ORD001723"/>
    <s v="María Martínez"/>
    <s v="maría.martínez@mail.com"/>
    <x v="2"/>
    <s v="Lisboa"/>
    <x v="3"/>
    <x v="7"/>
    <n v="3"/>
    <n v="245.24"/>
    <n v="735.72"/>
    <x v="7"/>
    <x v="0"/>
    <x v="720"/>
    <x v="3"/>
  </r>
  <r>
    <s v="ORD001724"/>
    <s v="Lucía Navarro"/>
    <s v="lucía.navarro@mail.com"/>
    <x v="4"/>
    <s v="Marsella"/>
    <x v="1"/>
    <x v="8"/>
    <n v="5"/>
    <n v="1442.13"/>
    <n v="7210.6500000000005"/>
    <x v="10"/>
    <x v="1"/>
    <x v="429"/>
    <x v="0"/>
  </r>
  <r>
    <s v="ORD001725"/>
    <s v="Laura Martínez"/>
    <s v="laura.martínez@mail.com"/>
    <x v="3"/>
    <s v="Milán"/>
    <x v="3"/>
    <x v="18"/>
    <n v="4"/>
    <n v="806.1"/>
    <n v="3224.4"/>
    <x v="4"/>
    <x v="1"/>
    <x v="254"/>
    <x v="2"/>
  </r>
  <r>
    <s v="ORD001726"/>
    <s v="Ana Torres"/>
    <s v="ana.torres@mail.com"/>
    <x v="4"/>
    <s v="París"/>
    <x v="0"/>
    <x v="17"/>
    <n v="1"/>
    <n v="370.23"/>
    <n v="370.23"/>
    <x v="10"/>
    <x v="2"/>
    <x v="183"/>
    <x v="0"/>
  </r>
  <r>
    <s v="ORD001727"/>
    <s v="Raúl Rodríguez"/>
    <s v="raúl.rodríguez@mail.com"/>
    <x v="1"/>
    <s v="Múnich"/>
    <x v="1"/>
    <x v="8"/>
    <n v="5"/>
    <n v="409.29"/>
    <n v="2046.45"/>
    <x v="6"/>
    <x v="1"/>
    <x v="10"/>
    <x v="1"/>
  </r>
  <r>
    <s v="ORD001728"/>
    <s v="Lucía Gómez"/>
    <s v="lucía.gómez@mail.com"/>
    <x v="4"/>
    <s v="Marsella"/>
    <x v="4"/>
    <x v="21"/>
    <n v="1"/>
    <n v="1044.32"/>
    <n v="1044.32"/>
    <x v="4"/>
    <x v="1"/>
    <x v="373"/>
    <x v="3"/>
  </r>
  <r>
    <s v="ORD001729"/>
    <s v="Raúl Navarro"/>
    <s v="raúl.navarro@mail.com"/>
    <x v="0"/>
    <s v="Madrid"/>
    <x v="4"/>
    <x v="14"/>
    <n v="4"/>
    <n v="1425.37"/>
    <n v="5701.48"/>
    <x v="2"/>
    <x v="1"/>
    <x v="22"/>
    <x v="0"/>
  </r>
  <r>
    <s v="ORD001730"/>
    <s v="Diego Díaz"/>
    <s v="diego.díaz@mail.com"/>
    <x v="2"/>
    <s v="Lisboa"/>
    <x v="2"/>
    <x v="9"/>
    <n v="5"/>
    <n v="96.13"/>
    <n v="480.65"/>
    <x v="0"/>
    <x v="1"/>
    <x v="335"/>
    <x v="4"/>
  </r>
  <r>
    <s v="ORD001731"/>
    <s v="María García"/>
    <s v="maría.garcía@mail.com"/>
    <x v="4"/>
    <s v="Marsella"/>
    <x v="2"/>
    <x v="19"/>
    <n v="2"/>
    <n v="43.54"/>
    <n v="87.08"/>
    <x v="4"/>
    <x v="1"/>
    <x v="715"/>
    <x v="4"/>
  </r>
  <r>
    <s v="ORD001732"/>
    <s v="Laura Ruiz"/>
    <s v="laura.ruiz@mail.com"/>
    <x v="1"/>
    <s v="Berlín"/>
    <x v="2"/>
    <x v="19"/>
    <n v="5"/>
    <n v="385.21"/>
    <n v="1926.05"/>
    <x v="0"/>
    <x v="1"/>
    <x v="407"/>
    <x v="3"/>
  </r>
  <r>
    <s v="ORD001733"/>
    <s v="Carlos Díaz"/>
    <s v="carlos.díaz@mail.com"/>
    <x v="2"/>
    <s v="Oporto"/>
    <x v="4"/>
    <x v="22"/>
    <n v="3"/>
    <n v="185.46"/>
    <n v="556.38"/>
    <x v="6"/>
    <x v="1"/>
    <x v="461"/>
    <x v="2"/>
  </r>
  <r>
    <s v="ORD001734"/>
    <s v="Sofía García"/>
    <s v="sofía.garcía@mail.com"/>
    <x v="1"/>
    <s v="Hamburgo"/>
    <x v="4"/>
    <x v="11"/>
    <n v="4"/>
    <n v="1402.53"/>
    <n v="5610.12"/>
    <x v="0"/>
    <x v="1"/>
    <x v="232"/>
    <x v="1"/>
  </r>
  <r>
    <s v="ORD001735"/>
    <s v="Miguel López"/>
    <s v="miguel.lópez@mail.com"/>
    <x v="2"/>
    <s v="Braga"/>
    <x v="3"/>
    <x v="18"/>
    <n v="3"/>
    <n v="351.74"/>
    <n v="1055.22"/>
    <x v="8"/>
    <x v="1"/>
    <x v="73"/>
    <x v="4"/>
  </r>
  <r>
    <s v="ORD001736"/>
    <s v="Carmen Gil"/>
    <s v="carmen.gil@mail.com"/>
    <x v="1"/>
    <s v="Berlín"/>
    <x v="2"/>
    <x v="19"/>
    <n v="2"/>
    <n v="1493.05"/>
    <n v="2986.1"/>
    <x v="4"/>
    <x v="1"/>
    <x v="133"/>
    <x v="3"/>
  </r>
  <r>
    <s v="ORD001737"/>
    <s v="Miguel Pérez"/>
    <s v="miguel.pérez@mail.com"/>
    <x v="3"/>
    <s v="Nápoles"/>
    <x v="3"/>
    <x v="7"/>
    <n v="4"/>
    <n v="564.16"/>
    <n v="2256.64"/>
    <x v="2"/>
    <x v="1"/>
    <x v="454"/>
    <x v="0"/>
  </r>
  <r>
    <s v="ORD001738"/>
    <s v="María Vázquez"/>
    <s v="maría.vázquez@mail.com"/>
    <x v="3"/>
    <s v="Roma"/>
    <x v="0"/>
    <x v="20"/>
    <n v="2"/>
    <n v="532.87"/>
    <n v="1065.74"/>
    <x v="10"/>
    <x v="0"/>
    <x v="157"/>
    <x v="3"/>
  </r>
  <r>
    <s v="ORD001739"/>
    <s v="Luis Rodríguez"/>
    <s v="luis.rodríguez@mail.com"/>
    <x v="1"/>
    <s v="Hamburgo"/>
    <x v="0"/>
    <x v="16"/>
    <n v="3"/>
    <n v="127.32"/>
    <n v="381.96"/>
    <x v="3"/>
    <x v="0"/>
    <x v="439"/>
    <x v="4"/>
  </r>
  <r>
    <s v="ORD001740"/>
    <s v="Carlos Alonso"/>
    <s v="carlos.alonso@mail.com"/>
    <x v="3"/>
    <s v="Milán"/>
    <x v="1"/>
    <x v="1"/>
    <n v="3"/>
    <n v="198.2"/>
    <n v="594.59999999999991"/>
    <x v="0"/>
    <x v="0"/>
    <x v="80"/>
    <x v="2"/>
  </r>
  <r>
    <s v="ORD001741"/>
    <s v="Pedro Martínez"/>
    <s v="pedro.martínez@mail.com"/>
    <x v="0"/>
    <s v="Sevilla"/>
    <x v="2"/>
    <x v="3"/>
    <n v="5"/>
    <n v="1192.0999999999999"/>
    <n v="5960.5"/>
    <x v="4"/>
    <x v="1"/>
    <x v="251"/>
    <x v="0"/>
  </r>
  <r>
    <s v="ORD001742"/>
    <s v="María Ruiz"/>
    <s v="maría.ruiz@mail.com"/>
    <x v="4"/>
    <s v="Lyon"/>
    <x v="2"/>
    <x v="15"/>
    <n v="5"/>
    <n v="1129.5999999999999"/>
    <n v="5648"/>
    <x v="2"/>
    <x v="1"/>
    <x v="22"/>
    <x v="2"/>
  </r>
  <r>
    <s v="ORD001743"/>
    <s v="Lucía Martínez"/>
    <s v="lucía.martínez@mail.com"/>
    <x v="2"/>
    <s v="Braga"/>
    <x v="0"/>
    <x v="17"/>
    <n v="1"/>
    <n v="837.06"/>
    <n v="837.06"/>
    <x v="5"/>
    <x v="1"/>
    <x v="721"/>
    <x v="0"/>
  </r>
  <r>
    <s v="ORD001744"/>
    <s v="Carlos Rodríguez"/>
    <s v="carlos.rodríguez@mail.com"/>
    <x v="3"/>
    <s v="Roma"/>
    <x v="2"/>
    <x v="15"/>
    <n v="2"/>
    <n v="1488.3"/>
    <n v="2976.6"/>
    <x v="10"/>
    <x v="1"/>
    <x v="100"/>
    <x v="3"/>
  </r>
  <r>
    <s v="ORD001745"/>
    <s v="Elena Torres"/>
    <s v="elena.torres@mail.com"/>
    <x v="0"/>
    <s v="Barcelona"/>
    <x v="1"/>
    <x v="2"/>
    <n v="1"/>
    <n v="1094.47"/>
    <n v="1094.47"/>
    <x v="4"/>
    <x v="1"/>
    <x v="472"/>
    <x v="2"/>
  </r>
  <r>
    <s v="ORD001746"/>
    <s v="Ana Fernández"/>
    <s v="ana.fernández@mail.com"/>
    <x v="4"/>
    <s v="Lyon"/>
    <x v="1"/>
    <x v="1"/>
    <n v="1"/>
    <n v="670.9"/>
    <n v="670.9"/>
    <x v="1"/>
    <x v="0"/>
    <x v="650"/>
    <x v="2"/>
  </r>
  <r>
    <s v="ORD001747"/>
    <s v="Lucía Ruiz"/>
    <s v="lucía.ruiz@mail.com"/>
    <x v="2"/>
    <s v="Lisboa"/>
    <x v="3"/>
    <x v="15"/>
    <n v="3"/>
    <n v="653.37"/>
    <n v="1960.1100000000001"/>
    <x v="2"/>
    <x v="1"/>
    <x v="504"/>
    <x v="1"/>
  </r>
  <r>
    <s v="ORD001748"/>
    <s v="Irene Pérez"/>
    <s v="irene.pérez@mail.com"/>
    <x v="0"/>
    <s v="Madrid"/>
    <x v="4"/>
    <x v="21"/>
    <n v="3"/>
    <n v="29.17"/>
    <n v="87.51"/>
    <x v="9"/>
    <x v="1"/>
    <x v="235"/>
    <x v="4"/>
  </r>
  <r>
    <s v="ORD001749"/>
    <s v="Ana Sánchez"/>
    <s v="ana.sánchez@mail.com"/>
    <x v="4"/>
    <s v="Lyon"/>
    <x v="1"/>
    <x v="8"/>
    <n v="4"/>
    <n v="550.94000000000005"/>
    <n v="2203.7600000000002"/>
    <x v="6"/>
    <x v="0"/>
    <x v="543"/>
    <x v="2"/>
  </r>
  <r>
    <s v="ORD001750"/>
    <s v="Javier Fernández"/>
    <s v="javier.fernández@mail.com"/>
    <x v="4"/>
    <s v="Marsella"/>
    <x v="1"/>
    <x v="8"/>
    <n v="2"/>
    <n v="666.76"/>
    <n v="1333.52"/>
    <x v="1"/>
    <x v="1"/>
    <x v="722"/>
    <x v="4"/>
  </r>
  <r>
    <s v="ORD001751"/>
    <s v="Diego Gil"/>
    <s v="diego.gil@mail.com"/>
    <x v="2"/>
    <s v="Oporto"/>
    <x v="0"/>
    <x v="16"/>
    <n v="3"/>
    <n v="602.30999999999995"/>
    <n v="1806.9299999999998"/>
    <x v="5"/>
    <x v="1"/>
    <x v="473"/>
    <x v="4"/>
  </r>
  <r>
    <s v="ORD001752"/>
    <s v="Lucía Gil"/>
    <s v="lucía.gil@mail.com"/>
    <x v="4"/>
    <s v="París"/>
    <x v="1"/>
    <x v="6"/>
    <n v="4"/>
    <n v="22.23"/>
    <n v="88.92"/>
    <x v="5"/>
    <x v="2"/>
    <x v="723"/>
    <x v="2"/>
  </r>
  <r>
    <s v="ORD001753"/>
    <s v="María Rodríguez"/>
    <s v="maría.rodríguez@mail.com"/>
    <x v="2"/>
    <s v="Lisboa"/>
    <x v="2"/>
    <x v="9"/>
    <n v="4"/>
    <n v="1423.7"/>
    <n v="5694.8"/>
    <x v="2"/>
    <x v="1"/>
    <x v="227"/>
    <x v="4"/>
  </r>
  <r>
    <s v="ORD001754"/>
    <s v="Miguel Rodríguez"/>
    <s v="miguel.rodríguez@mail.com"/>
    <x v="2"/>
    <s v="Oporto"/>
    <x v="2"/>
    <x v="19"/>
    <n v="3"/>
    <n v="808.83"/>
    <n v="2426.4900000000002"/>
    <x v="5"/>
    <x v="1"/>
    <x v="52"/>
    <x v="4"/>
  </r>
  <r>
    <s v="ORD001755"/>
    <s v="Ana Rodríguez"/>
    <s v="ana.rodríguez@mail.com"/>
    <x v="3"/>
    <s v="Nápoles"/>
    <x v="1"/>
    <x v="1"/>
    <n v="2"/>
    <n v="1020.16"/>
    <n v="2040.32"/>
    <x v="5"/>
    <x v="2"/>
    <x v="452"/>
    <x v="1"/>
  </r>
  <r>
    <s v="ORD001756"/>
    <s v="Carlos Gómez"/>
    <s v="carlos.gómez@mail.com"/>
    <x v="0"/>
    <s v="Sevilla"/>
    <x v="2"/>
    <x v="10"/>
    <n v="1"/>
    <n v="1057.49"/>
    <n v="1057.49"/>
    <x v="5"/>
    <x v="0"/>
    <x v="273"/>
    <x v="3"/>
  </r>
  <r>
    <s v="ORD001757"/>
    <s v="Pablo Navarro"/>
    <s v="pablo.navarro@mail.com"/>
    <x v="1"/>
    <s v="Hamburgo"/>
    <x v="1"/>
    <x v="1"/>
    <n v="4"/>
    <n v="692.22"/>
    <n v="2768.88"/>
    <x v="0"/>
    <x v="0"/>
    <x v="620"/>
    <x v="2"/>
  </r>
  <r>
    <s v="ORD001758"/>
    <s v="Javier García"/>
    <s v="javier.garcía@mail.com"/>
    <x v="4"/>
    <s v="Marsella"/>
    <x v="3"/>
    <x v="5"/>
    <n v="4"/>
    <n v="1348.16"/>
    <n v="5392.64"/>
    <x v="11"/>
    <x v="1"/>
    <x v="68"/>
    <x v="2"/>
  </r>
  <r>
    <s v="ORD001759"/>
    <s v="Raúl Vázquez"/>
    <s v="raúl.vázquez@mail.com"/>
    <x v="4"/>
    <s v="Lyon"/>
    <x v="0"/>
    <x v="17"/>
    <n v="3"/>
    <n v="454.18"/>
    <n v="1362.54"/>
    <x v="2"/>
    <x v="2"/>
    <x v="153"/>
    <x v="0"/>
  </r>
  <r>
    <s v="ORD001760"/>
    <s v="Sofía Pérez"/>
    <s v="sofía.pérez@mail.com"/>
    <x v="0"/>
    <s v="Barcelona"/>
    <x v="0"/>
    <x v="16"/>
    <n v="4"/>
    <n v="115.63"/>
    <n v="462.52"/>
    <x v="4"/>
    <x v="1"/>
    <x v="338"/>
    <x v="2"/>
  </r>
  <r>
    <s v="ORD001761"/>
    <s v="Lucía López"/>
    <s v="lucía.lópez@mail.com"/>
    <x v="3"/>
    <s v="Nápoles"/>
    <x v="3"/>
    <x v="15"/>
    <n v="3"/>
    <n v="471.47"/>
    <n v="1414.41"/>
    <x v="2"/>
    <x v="2"/>
    <x v="724"/>
    <x v="4"/>
  </r>
  <r>
    <s v="ORD001762"/>
    <s v="Raúl Ramos"/>
    <s v="raúl.ramos@mail.com"/>
    <x v="1"/>
    <s v="Múnich"/>
    <x v="4"/>
    <x v="14"/>
    <n v="4"/>
    <n v="1059.29"/>
    <n v="4237.16"/>
    <x v="2"/>
    <x v="2"/>
    <x v="406"/>
    <x v="2"/>
  </r>
  <r>
    <s v="ORD001763"/>
    <s v="Elena Gómez"/>
    <s v="elena.gómez@mail.com"/>
    <x v="4"/>
    <s v="Marsella"/>
    <x v="3"/>
    <x v="7"/>
    <n v="5"/>
    <n v="801.89"/>
    <n v="4009.45"/>
    <x v="6"/>
    <x v="1"/>
    <x v="725"/>
    <x v="2"/>
  </r>
  <r>
    <s v="ORD001764"/>
    <s v="Elena Gómez"/>
    <s v="elena.gómez@mail.com"/>
    <x v="3"/>
    <s v="Nápoles"/>
    <x v="4"/>
    <x v="23"/>
    <n v="5"/>
    <n v="1122.23"/>
    <n v="5611.15"/>
    <x v="4"/>
    <x v="1"/>
    <x v="373"/>
    <x v="3"/>
  </r>
  <r>
    <s v="ORD001765"/>
    <s v="Ana Gómez"/>
    <s v="ana.gómez@mail.com"/>
    <x v="3"/>
    <s v="Milán"/>
    <x v="0"/>
    <x v="17"/>
    <n v="2"/>
    <n v="1059.43"/>
    <n v="2118.86"/>
    <x v="4"/>
    <x v="1"/>
    <x v="58"/>
    <x v="4"/>
  </r>
  <r>
    <s v="ORD001766"/>
    <s v="Pedro Sánchez"/>
    <s v="pedro.sánchez@mail.com"/>
    <x v="3"/>
    <s v="Roma"/>
    <x v="3"/>
    <x v="18"/>
    <n v="4"/>
    <n v="509.97"/>
    <n v="2039.88"/>
    <x v="10"/>
    <x v="1"/>
    <x v="561"/>
    <x v="0"/>
  </r>
  <r>
    <s v="ORD001767"/>
    <s v="Pedro Torres"/>
    <s v="pedro.torres@mail.com"/>
    <x v="1"/>
    <s v="Múnich"/>
    <x v="2"/>
    <x v="19"/>
    <n v="2"/>
    <n v="1342.57"/>
    <n v="2685.14"/>
    <x v="0"/>
    <x v="0"/>
    <x v="313"/>
    <x v="1"/>
  </r>
  <r>
    <s v="ORD001768"/>
    <s v="Luis Rodríguez"/>
    <s v="luis.rodríguez@mail.com"/>
    <x v="0"/>
    <s v="Valencia"/>
    <x v="4"/>
    <x v="22"/>
    <n v="5"/>
    <n v="297.04000000000002"/>
    <n v="1485.2"/>
    <x v="1"/>
    <x v="1"/>
    <x v="282"/>
    <x v="1"/>
  </r>
  <r>
    <s v="ORD001769"/>
    <s v="Carlos Pérez"/>
    <s v="carlos.pérez@mail.com"/>
    <x v="4"/>
    <s v="Lyon"/>
    <x v="2"/>
    <x v="10"/>
    <n v="4"/>
    <n v="1251.28"/>
    <n v="5005.12"/>
    <x v="4"/>
    <x v="0"/>
    <x v="614"/>
    <x v="3"/>
  </r>
  <r>
    <s v="ORD001770"/>
    <s v="Luis Torres"/>
    <s v="luis.torres@mail.com"/>
    <x v="3"/>
    <s v="Nápoles"/>
    <x v="3"/>
    <x v="7"/>
    <n v="1"/>
    <n v="812.31"/>
    <n v="812.31"/>
    <x v="1"/>
    <x v="0"/>
    <x v="476"/>
    <x v="3"/>
  </r>
  <r>
    <s v="ORD001771"/>
    <s v="Carlos Vázquez"/>
    <s v="carlos.vázquez@mail.com"/>
    <x v="3"/>
    <s v="Milán"/>
    <x v="4"/>
    <x v="14"/>
    <n v="1"/>
    <n v="1114.81"/>
    <n v="1114.81"/>
    <x v="3"/>
    <x v="1"/>
    <x v="270"/>
    <x v="3"/>
  </r>
  <r>
    <s v="ORD001772"/>
    <s v="Raúl García"/>
    <s v="raúl.garcía@mail.com"/>
    <x v="0"/>
    <s v="Barcelona"/>
    <x v="1"/>
    <x v="6"/>
    <n v="4"/>
    <n v="532.19000000000005"/>
    <n v="2128.7600000000002"/>
    <x v="0"/>
    <x v="1"/>
    <x v="335"/>
    <x v="4"/>
  </r>
  <r>
    <s v="ORD001773"/>
    <s v="Raúl Gil"/>
    <s v="raúl.gil@mail.com"/>
    <x v="1"/>
    <s v="Berlín"/>
    <x v="0"/>
    <x v="0"/>
    <n v="2"/>
    <n v="1408.52"/>
    <n v="2817.04"/>
    <x v="10"/>
    <x v="0"/>
    <x v="726"/>
    <x v="3"/>
  </r>
  <r>
    <s v="ORD001774"/>
    <s v="Pablo Vázquez"/>
    <s v="pablo.vázquez@mail.com"/>
    <x v="0"/>
    <s v="Madrid"/>
    <x v="2"/>
    <x v="3"/>
    <n v="4"/>
    <n v="156.63999999999999"/>
    <n v="626.55999999999995"/>
    <x v="9"/>
    <x v="1"/>
    <x v="492"/>
    <x v="2"/>
  </r>
  <r>
    <s v="ORD001775"/>
    <s v="Miguel Torres"/>
    <s v="miguel.torres@mail.com"/>
    <x v="4"/>
    <s v="Lyon"/>
    <x v="4"/>
    <x v="21"/>
    <n v="1"/>
    <n v="922.96"/>
    <n v="922.96"/>
    <x v="7"/>
    <x v="0"/>
    <x v="165"/>
    <x v="2"/>
  </r>
  <r>
    <s v="ORD001776"/>
    <s v="Laura Navarro"/>
    <s v="laura.navarro@mail.com"/>
    <x v="2"/>
    <s v="Braga"/>
    <x v="4"/>
    <x v="11"/>
    <n v="3"/>
    <n v="163.62"/>
    <n v="490.86"/>
    <x v="11"/>
    <x v="1"/>
    <x v="588"/>
    <x v="3"/>
  </r>
  <r>
    <s v="ORD001777"/>
    <s v="Miguel Rodríguez"/>
    <s v="miguel.rodríguez@mail.com"/>
    <x v="0"/>
    <s v="Valencia"/>
    <x v="3"/>
    <x v="18"/>
    <n v="4"/>
    <n v="1239.1300000000001"/>
    <n v="4956.5200000000004"/>
    <x v="10"/>
    <x v="1"/>
    <x v="656"/>
    <x v="3"/>
  </r>
  <r>
    <s v="ORD001778"/>
    <s v="Carlos Ruiz"/>
    <s v="carlos.ruiz@mail.com"/>
    <x v="2"/>
    <s v="Oporto"/>
    <x v="1"/>
    <x v="8"/>
    <n v="3"/>
    <n v="1184.71"/>
    <n v="3554.13"/>
    <x v="3"/>
    <x v="0"/>
    <x v="364"/>
    <x v="0"/>
  </r>
  <r>
    <s v="ORD001779"/>
    <s v="Luis Vázquez"/>
    <s v="luis.vázquez@mail.com"/>
    <x v="4"/>
    <s v="París"/>
    <x v="2"/>
    <x v="19"/>
    <n v="2"/>
    <n v="69.92"/>
    <n v="139.84"/>
    <x v="9"/>
    <x v="0"/>
    <x v="574"/>
    <x v="2"/>
  </r>
  <r>
    <s v="ORD001780"/>
    <s v="María Pérez"/>
    <s v="maría.pérez@mail.com"/>
    <x v="1"/>
    <s v="Hamburgo"/>
    <x v="2"/>
    <x v="19"/>
    <n v="3"/>
    <n v="819.99"/>
    <n v="2459.9700000000003"/>
    <x v="0"/>
    <x v="0"/>
    <x v="521"/>
    <x v="3"/>
  </r>
  <r>
    <s v="ORD001781"/>
    <s v="Diego Navarro"/>
    <s v="diego.navarro@mail.com"/>
    <x v="2"/>
    <s v="Oporto"/>
    <x v="0"/>
    <x v="0"/>
    <n v="2"/>
    <n v="1162.4100000000001"/>
    <n v="2324.8200000000002"/>
    <x v="2"/>
    <x v="2"/>
    <x v="399"/>
    <x v="2"/>
  </r>
  <r>
    <s v="ORD001782"/>
    <s v="Luis Navarro"/>
    <s v="luis.navarro@mail.com"/>
    <x v="3"/>
    <s v="Milán"/>
    <x v="2"/>
    <x v="19"/>
    <n v="1"/>
    <n v="409.04"/>
    <n v="409.04"/>
    <x v="6"/>
    <x v="0"/>
    <x v="67"/>
    <x v="2"/>
  </r>
  <r>
    <s v="ORD001783"/>
    <s v="Lucía Ramos"/>
    <s v="lucía.ramos@mail.com"/>
    <x v="1"/>
    <s v="Múnich"/>
    <x v="4"/>
    <x v="14"/>
    <n v="5"/>
    <n v="960.8"/>
    <n v="4804"/>
    <x v="10"/>
    <x v="0"/>
    <x v="164"/>
    <x v="2"/>
  </r>
  <r>
    <s v="ORD001784"/>
    <s v="María Vázquez"/>
    <s v="maría.vázquez@mail.com"/>
    <x v="0"/>
    <s v="Barcelona"/>
    <x v="2"/>
    <x v="10"/>
    <n v="1"/>
    <n v="384.4"/>
    <n v="384.4"/>
    <x v="2"/>
    <x v="2"/>
    <x v="2"/>
    <x v="0"/>
  </r>
  <r>
    <s v="ORD001785"/>
    <s v="Sofía Gil"/>
    <s v="sofía.gil@mail.com"/>
    <x v="1"/>
    <s v="Hamburgo"/>
    <x v="4"/>
    <x v="22"/>
    <n v="4"/>
    <n v="1001.09"/>
    <n v="4004.36"/>
    <x v="6"/>
    <x v="1"/>
    <x v="86"/>
    <x v="2"/>
  </r>
  <r>
    <s v="ORD001786"/>
    <s v="Ana Alonso"/>
    <s v="ana.alonso@mail.com"/>
    <x v="2"/>
    <s v="Braga"/>
    <x v="2"/>
    <x v="3"/>
    <n v="4"/>
    <n v="388.57"/>
    <n v="1554.28"/>
    <x v="3"/>
    <x v="0"/>
    <x v="311"/>
    <x v="1"/>
  </r>
  <r>
    <s v="ORD001787"/>
    <s v="Miguel Díaz"/>
    <s v="miguel.díaz@mail.com"/>
    <x v="2"/>
    <s v="Lisboa"/>
    <x v="1"/>
    <x v="2"/>
    <n v="1"/>
    <n v="478.46"/>
    <n v="478.46"/>
    <x v="6"/>
    <x v="1"/>
    <x v="725"/>
    <x v="3"/>
  </r>
  <r>
    <s v="ORD001788"/>
    <s v="Elena Díaz"/>
    <s v="elena.díaz@mail.com"/>
    <x v="0"/>
    <s v="Madrid"/>
    <x v="1"/>
    <x v="8"/>
    <n v="2"/>
    <n v="1008.96"/>
    <n v="2017.92"/>
    <x v="10"/>
    <x v="1"/>
    <x v="727"/>
    <x v="4"/>
  </r>
  <r>
    <s v="ORD001789"/>
    <s v="Luis Sánchez"/>
    <s v="luis.sánchez@mail.com"/>
    <x v="2"/>
    <s v="Oporto"/>
    <x v="0"/>
    <x v="0"/>
    <n v="2"/>
    <n v="419.39"/>
    <n v="838.78"/>
    <x v="7"/>
    <x v="0"/>
    <x v="517"/>
    <x v="3"/>
  </r>
  <r>
    <s v="ORD001790"/>
    <s v="María Navarro"/>
    <s v="maría.navarro@mail.com"/>
    <x v="0"/>
    <s v="Barcelona"/>
    <x v="4"/>
    <x v="23"/>
    <n v="1"/>
    <n v="430.28"/>
    <n v="430.28"/>
    <x v="11"/>
    <x v="0"/>
    <x v="728"/>
    <x v="4"/>
  </r>
  <r>
    <s v="ORD001791"/>
    <s v="Pedro Pérez"/>
    <s v="pedro.pérez@mail.com"/>
    <x v="0"/>
    <s v="Bilbao"/>
    <x v="2"/>
    <x v="9"/>
    <n v="2"/>
    <n v="484.09"/>
    <n v="968.18"/>
    <x v="4"/>
    <x v="0"/>
    <x v="247"/>
    <x v="4"/>
  </r>
  <r>
    <s v="ORD001792"/>
    <s v="Irene Díaz"/>
    <s v="irene.díaz@mail.com"/>
    <x v="3"/>
    <s v="Roma"/>
    <x v="1"/>
    <x v="1"/>
    <n v="4"/>
    <n v="1255.23"/>
    <n v="5020.92"/>
    <x v="0"/>
    <x v="1"/>
    <x v="660"/>
    <x v="3"/>
  </r>
  <r>
    <s v="ORD001793"/>
    <s v="Miguel Sánchez"/>
    <s v="miguel.sánchez@mail.com"/>
    <x v="4"/>
    <s v="París"/>
    <x v="1"/>
    <x v="8"/>
    <n v="2"/>
    <n v="941.74"/>
    <n v="1883.48"/>
    <x v="7"/>
    <x v="0"/>
    <x v="653"/>
    <x v="3"/>
  </r>
  <r>
    <s v="ORD001794"/>
    <s v="Lucía Gil"/>
    <s v="lucía.gil@mail.com"/>
    <x v="0"/>
    <s v="Bilbao"/>
    <x v="4"/>
    <x v="22"/>
    <n v="5"/>
    <n v="99.01"/>
    <n v="495.05"/>
    <x v="6"/>
    <x v="0"/>
    <x v="543"/>
    <x v="4"/>
  </r>
  <r>
    <s v="ORD001795"/>
    <s v="Irene Gómez"/>
    <s v="irene.gómez@mail.com"/>
    <x v="3"/>
    <s v="Milán"/>
    <x v="2"/>
    <x v="15"/>
    <n v="5"/>
    <n v="947.28"/>
    <n v="4736.3999999999996"/>
    <x v="10"/>
    <x v="0"/>
    <x v="425"/>
    <x v="2"/>
  </r>
  <r>
    <s v="ORD001796"/>
    <s v="Elena García"/>
    <s v="elena.garcía@mail.com"/>
    <x v="1"/>
    <s v="Múnich"/>
    <x v="2"/>
    <x v="19"/>
    <n v="5"/>
    <n v="264.16000000000003"/>
    <n v="1320.8000000000002"/>
    <x v="2"/>
    <x v="1"/>
    <x v="546"/>
    <x v="2"/>
  </r>
  <r>
    <s v="ORD001797"/>
    <s v="Sofía Navarro"/>
    <s v="sofía.navarro@mail.com"/>
    <x v="2"/>
    <s v="Oporto"/>
    <x v="2"/>
    <x v="15"/>
    <n v="3"/>
    <n v="333.01"/>
    <n v="999.03"/>
    <x v="4"/>
    <x v="0"/>
    <x v="482"/>
    <x v="4"/>
  </r>
  <r>
    <s v="ORD001798"/>
    <s v="Raúl Fernández"/>
    <s v="raúl.fernández@mail.com"/>
    <x v="0"/>
    <s v="Barcelona"/>
    <x v="4"/>
    <x v="11"/>
    <n v="3"/>
    <n v="1127.44"/>
    <n v="3382.32"/>
    <x v="10"/>
    <x v="2"/>
    <x v="183"/>
    <x v="2"/>
  </r>
  <r>
    <s v="ORD001799"/>
    <s v="María Alonso"/>
    <s v="maría.alonso@mail.com"/>
    <x v="0"/>
    <s v="Sevilla"/>
    <x v="3"/>
    <x v="5"/>
    <n v="4"/>
    <n v="745.96"/>
    <n v="2983.84"/>
    <x v="2"/>
    <x v="0"/>
    <x v="190"/>
    <x v="3"/>
  </r>
  <r>
    <s v="ORD001800"/>
    <s v="Irene Martínez"/>
    <s v="irene.martínez@mail.com"/>
    <x v="3"/>
    <s v="Roma"/>
    <x v="3"/>
    <x v="7"/>
    <n v="5"/>
    <n v="1041.31"/>
    <n v="5206.5499999999993"/>
    <x v="6"/>
    <x v="0"/>
    <x v="285"/>
    <x v="2"/>
  </r>
  <r>
    <s v="ORD001801"/>
    <s v="Laura Torres"/>
    <s v="laura.torres@mail.com"/>
    <x v="4"/>
    <s v="Marsella"/>
    <x v="1"/>
    <x v="8"/>
    <n v="5"/>
    <n v="1024.24"/>
    <n v="5121.2"/>
    <x v="4"/>
    <x v="0"/>
    <x v="729"/>
    <x v="3"/>
  </r>
  <r>
    <s v="ORD001802"/>
    <s v="Javier Gil"/>
    <s v="javier.gil@mail.com"/>
    <x v="0"/>
    <s v="Bilbao"/>
    <x v="2"/>
    <x v="15"/>
    <n v="3"/>
    <n v="556.75"/>
    <n v="1670.25"/>
    <x v="2"/>
    <x v="0"/>
    <x v="16"/>
    <x v="0"/>
  </r>
  <r>
    <s v="ORD001803"/>
    <s v="Ana Gil"/>
    <s v="ana.gil@mail.com"/>
    <x v="1"/>
    <s v="Berlín"/>
    <x v="2"/>
    <x v="10"/>
    <n v="4"/>
    <n v="424.95"/>
    <n v="1699.8"/>
    <x v="5"/>
    <x v="1"/>
    <x v="513"/>
    <x v="2"/>
  </r>
  <r>
    <s v="ORD001804"/>
    <s v="Raúl Alonso"/>
    <s v="raúl.alonso@mail.com"/>
    <x v="1"/>
    <s v="Hamburgo"/>
    <x v="2"/>
    <x v="15"/>
    <n v="2"/>
    <n v="1446.51"/>
    <n v="2893.02"/>
    <x v="10"/>
    <x v="2"/>
    <x v="149"/>
    <x v="2"/>
  </r>
  <r>
    <s v="ORD001805"/>
    <s v="Carlos Sánchez"/>
    <s v="carlos.sánchez@mail.com"/>
    <x v="4"/>
    <s v="París"/>
    <x v="3"/>
    <x v="7"/>
    <n v="3"/>
    <n v="880.99"/>
    <n v="2642.9700000000003"/>
    <x v="8"/>
    <x v="1"/>
    <x v="12"/>
    <x v="0"/>
  </r>
  <r>
    <s v="ORD001806"/>
    <s v="Luis López"/>
    <s v="luis.lópez@mail.com"/>
    <x v="1"/>
    <s v="Berlín"/>
    <x v="1"/>
    <x v="6"/>
    <n v="2"/>
    <n v="287.45999999999998"/>
    <n v="574.91999999999996"/>
    <x v="8"/>
    <x v="1"/>
    <x v="210"/>
    <x v="0"/>
  </r>
  <r>
    <s v="ORD001807"/>
    <s v="Miguel Gil"/>
    <s v="miguel.gil@mail.com"/>
    <x v="4"/>
    <s v="Lyon"/>
    <x v="4"/>
    <x v="22"/>
    <n v="5"/>
    <n v="1212.6500000000001"/>
    <n v="6063.25"/>
    <x v="5"/>
    <x v="0"/>
    <x v="530"/>
    <x v="4"/>
  </r>
  <r>
    <s v="ORD001808"/>
    <s v="María García"/>
    <s v="maría.garcía@mail.com"/>
    <x v="4"/>
    <s v="París"/>
    <x v="0"/>
    <x v="17"/>
    <n v="4"/>
    <n v="1409.73"/>
    <n v="5638.92"/>
    <x v="4"/>
    <x v="1"/>
    <x v="711"/>
    <x v="2"/>
  </r>
  <r>
    <s v="ORD001809"/>
    <s v="Miguel Gómez"/>
    <s v="miguel.gómez@mail.com"/>
    <x v="2"/>
    <s v="Lisboa"/>
    <x v="0"/>
    <x v="17"/>
    <n v="1"/>
    <n v="1258.17"/>
    <n v="1258.17"/>
    <x v="3"/>
    <x v="1"/>
    <x v="125"/>
    <x v="4"/>
  </r>
  <r>
    <s v="ORD001810"/>
    <s v="Diego Vázquez"/>
    <s v="diego.vázquez@mail.com"/>
    <x v="4"/>
    <s v="Lyon"/>
    <x v="2"/>
    <x v="10"/>
    <n v="3"/>
    <n v="654.02"/>
    <n v="1962.06"/>
    <x v="1"/>
    <x v="0"/>
    <x v="19"/>
    <x v="1"/>
  </r>
  <r>
    <s v="ORD001811"/>
    <s v="Pedro Pérez"/>
    <s v="pedro.pérez@mail.com"/>
    <x v="1"/>
    <s v="Múnich"/>
    <x v="2"/>
    <x v="19"/>
    <n v="5"/>
    <n v="954.89"/>
    <n v="4774.45"/>
    <x v="3"/>
    <x v="1"/>
    <x v="301"/>
    <x v="0"/>
  </r>
  <r>
    <s v="ORD001812"/>
    <s v="Luis Díaz"/>
    <s v="luis.díaz@mail.com"/>
    <x v="4"/>
    <s v="París"/>
    <x v="2"/>
    <x v="3"/>
    <n v="1"/>
    <n v="546.22"/>
    <n v="546.22"/>
    <x v="11"/>
    <x v="0"/>
    <x v="592"/>
    <x v="1"/>
  </r>
  <r>
    <s v="ORD001813"/>
    <s v="Sofía Fernández"/>
    <s v="sofía.fernández@mail.com"/>
    <x v="2"/>
    <s v="Oporto"/>
    <x v="2"/>
    <x v="3"/>
    <n v="5"/>
    <n v="521.46"/>
    <n v="2607.3000000000002"/>
    <x v="11"/>
    <x v="1"/>
    <x v="559"/>
    <x v="1"/>
  </r>
  <r>
    <s v="ORD001814"/>
    <s v="Irene García"/>
    <s v="irene.garcía@mail.com"/>
    <x v="0"/>
    <s v="Barcelona"/>
    <x v="3"/>
    <x v="18"/>
    <n v="5"/>
    <n v="35.71"/>
    <n v="178.55"/>
    <x v="9"/>
    <x v="0"/>
    <x v="355"/>
    <x v="2"/>
  </r>
  <r>
    <s v="ORD001815"/>
    <s v="Diego Navarro"/>
    <s v="diego.navarro@mail.com"/>
    <x v="2"/>
    <s v="Lisboa"/>
    <x v="4"/>
    <x v="22"/>
    <n v="1"/>
    <n v="1227.04"/>
    <n v="1227.04"/>
    <x v="10"/>
    <x v="0"/>
    <x v="84"/>
    <x v="4"/>
  </r>
  <r>
    <s v="ORD001816"/>
    <s v="Diego Ramos"/>
    <s v="diego.ramos@mail.com"/>
    <x v="1"/>
    <s v="Hamburgo"/>
    <x v="4"/>
    <x v="14"/>
    <n v="4"/>
    <n v="1362.96"/>
    <n v="5451.84"/>
    <x v="11"/>
    <x v="1"/>
    <x v="378"/>
    <x v="1"/>
  </r>
  <r>
    <s v="ORD001817"/>
    <s v="Irene Sánchez"/>
    <s v="irene.sánchez@mail.com"/>
    <x v="4"/>
    <s v="Lyon"/>
    <x v="1"/>
    <x v="12"/>
    <n v="1"/>
    <n v="1038.44"/>
    <n v="1038.44"/>
    <x v="11"/>
    <x v="1"/>
    <x v="41"/>
    <x v="1"/>
  </r>
  <r>
    <s v="ORD001818"/>
    <s v="Irene López"/>
    <s v="irene.lópez@mail.com"/>
    <x v="4"/>
    <s v="París"/>
    <x v="2"/>
    <x v="3"/>
    <n v="4"/>
    <n v="1362.42"/>
    <n v="5449.68"/>
    <x v="11"/>
    <x v="1"/>
    <x v="572"/>
    <x v="1"/>
  </r>
  <r>
    <s v="ORD001819"/>
    <s v="Raúl Torres"/>
    <s v="raúl.torres@mail.com"/>
    <x v="1"/>
    <s v="Hamburgo"/>
    <x v="4"/>
    <x v="14"/>
    <n v="5"/>
    <n v="1204.3399999999999"/>
    <n v="6021.7"/>
    <x v="3"/>
    <x v="0"/>
    <x v="682"/>
    <x v="3"/>
  </r>
  <r>
    <s v="ORD001820"/>
    <s v="Pablo Sánchez"/>
    <s v="pablo.sánchez@mail.com"/>
    <x v="2"/>
    <s v="Lisboa"/>
    <x v="3"/>
    <x v="7"/>
    <n v="1"/>
    <n v="297.07"/>
    <n v="297.07"/>
    <x v="1"/>
    <x v="1"/>
    <x v="730"/>
    <x v="2"/>
  </r>
  <r>
    <s v="ORD001821"/>
    <s v="Carlos Ramos"/>
    <s v="carlos.ramos@mail.com"/>
    <x v="3"/>
    <s v="Roma"/>
    <x v="4"/>
    <x v="23"/>
    <n v="1"/>
    <n v="667.6"/>
    <n v="667.6"/>
    <x v="4"/>
    <x v="1"/>
    <x v="148"/>
    <x v="4"/>
  </r>
  <r>
    <s v="ORD001822"/>
    <s v="Elena Sánchez"/>
    <s v="elena.sánchez@mail.com"/>
    <x v="1"/>
    <s v="Berlín"/>
    <x v="3"/>
    <x v="4"/>
    <n v="2"/>
    <n v="764.34"/>
    <n v="1528.68"/>
    <x v="8"/>
    <x v="1"/>
    <x v="140"/>
    <x v="2"/>
  </r>
  <r>
    <s v="ORD001823"/>
    <s v="Irene Gómez"/>
    <s v="irene.gómez@mail.com"/>
    <x v="4"/>
    <s v="París"/>
    <x v="2"/>
    <x v="9"/>
    <n v="3"/>
    <n v="1265.83"/>
    <n v="3797.49"/>
    <x v="5"/>
    <x v="2"/>
    <x v="145"/>
    <x v="1"/>
  </r>
  <r>
    <s v="ORD001824"/>
    <s v="Lucía Ramos"/>
    <s v="lucía.ramos@mail.com"/>
    <x v="1"/>
    <s v="Hamburgo"/>
    <x v="2"/>
    <x v="10"/>
    <n v="2"/>
    <n v="1336.78"/>
    <n v="2673.56"/>
    <x v="8"/>
    <x v="1"/>
    <x v="210"/>
    <x v="0"/>
  </r>
  <r>
    <s v="ORD001825"/>
    <s v="Diego Ruiz"/>
    <s v="diego.ruiz@mail.com"/>
    <x v="1"/>
    <s v="Múnich"/>
    <x v="1"/>
    <x v="1"/>
    <n v="2"/>
    <n v="595.41"/>
    <n v="1190.82"/>
    <x v="1"/>
    <x v="1"/>
    <x v="392"/>
    <x v="4"/>
  </r>
  <r>
    <s v="ORD001826"/>
    <s v="María Gómez"/>
    <s v="maría.gómez@mail.com"/>
    <x v="4"/>
    <s v="Lyon"/>
    <x v="3"/>
    <x v="7"/>
    <n v="3"/>
    <n v="965.36"/>
    <n v="2896.08"/>
    <x v="3"/>
    <x v="0"/>
    <x v="605"/>
    <x v="3"/>
  </r>
  <r>
    <s v="ORD001827"/>
    <s v="Lucía Sánchez"/>
    <s v="lucía.sánchez@mail.com"/>
    <x v="2"/>
    <s v="Oporto"/>
    <x v="0"/>
    <x v="20"/>
    <n v="3"/>
    <n v="1314.35"/>
    <n v="3943.0499999999997"/>
    <x v="5"/>
    <x v="0"/>
    <x v="545"/>
    <x v="2"/>
  </r>
  <r>
    <s v="ORD001828"/>
    <s v="Luis Rodríguez"/>
    <s v="luis.rodríguez@mail.com"/>
    <x v="4"/>
    <s v="Lyon"/>
    <x v="0"/>
    <x v="16"/>
    <n v="4"/>
    <n v="426.94"/>
    <n v="1707.76"/>
    <x v="4"/>
    <x v="0"/>
    <x v="670"/>
    <x v="2"/>
  </r>
  <r>
    <s v="ORD001829"/>
    <s v="Miguel Gil"/>
    <s v="miguel.gil@mail.com"/>
    <x v="3"/>
    <s v="Nápoles"/>
    <x v="1"/>
    <x v="6"/>
    <n v="5"/>
    <n v="1448.69"/>
    <n v="7243.4500000000007"/>
    <x v="6"/>
    <x v="0"/>
    <x v="77"/>
    <x v="0"/>
  </r>
  <r>
    <s v="ORD001830"/>
    <s v="Carmen Rodríguez"/>
    <s v="carmen.rodríguez@mail.com"/>
    <x v="1"/>
    <s v="Hamburgo"/>
    <x v="3"/>
    <x v="18"/>
    <n v="5"/>
    <n v="1491.82"/>
    <n v="7459.0999999999995"/>
    <x v="0"/>
    <x v="0"/>
    <x v="533"/>
    <x v="1"/>
  </r>
  <r>
    <s v="ORD001831"/>
    <s v="Sofía Fernández"/>
    <s v="sofía.fernández@mail.com"/>
    <x v="2"/>
    <s v="Oporto"/>
    <x v="4"/>
    <x v="22"/>
    <n v="4"/>
    <n v="1124.93"/>
    <n v="4499.72"/>
    <x v="1"/>
    <x v="1"/>
    <x v="170"/>
    <x v="0"/>
  </r>
  <r>
    <s v="ORD001832"/>
    <s v="Miguel Martínez"/>
    <s v="miguel.martínez@mail.com"/>
    <x v="3"/>
    <s v="Nápoles"/>
    <x v="2"/>
    <x v="19"/>
    <n v="2"/>
    <n v="165.6"/>
    <n v="331.2"/>
    <x v="3"/>
    <x v="0"/>
    <x v="360"/>
    <x v="1"/>
  </r>
  <r>
    <s v="ORD001833"/>
    <s v="Carmen Fernández"/>
    <s v="carmen.fernández@mail.com"/>
    <x v="1"/>
    <s v="Múnich"/>
    <x v="3"/>
    <x v="5"/>
    <n v="5"/>
    <n v="917.26"/>
    <n v="4586.3"/>
    <x v="5"/>
    <x v="0"/>
    <x v="343"/>
    <x v="0"/>
  </r>
  <r>
    <s v="ORD001834"/>
    <s v="Pablo Martínez"/>
    <s v="pablo.martínez@mail.com"/>
    <x v="3"/>
    <s v="Nápoles"/>
    <x v="2"/>
    <x v="19"/>
    <n v="3"/>
    <n v="1218.6199999999999"/>
    <n v="3655.8599999999997"/>
    <x v="5"/>
    <x v="2"/>
    <x v="731"/>
    <x v="2"/>
  </r>
  <r>
    <s v="ORD001835"/>
    <s v="Irene Ruiz"/>
    <s v="irene.ruiz@mail.com"/>
    <x v="2"/>
    <s v="Braga"/>
    <x v="4"/>
    <x v="22"/>
    <n v="2"/>
    <n v="431.17"/>
    <n v="862.34"/>
    <x v="6"/>
    <x v="0"/>
    <x v="732"/>
    <x v="3"/>
  </r>
  <r>
    <s v="ORD001836"/>
    <s v="Lucía Sánchez"/>
    <s v="lucía.sánchez@mail.com"/>
    <x v="4"/>
    <s v="Lyon"/>
    <x v="2"/>
    <x v="3"/>
    <n v="2"/>
    <n v="1041.29"/>
    <n v="2082.58"/>
    <x v="8"/>
    <x v="1"/>
    <x v="38"/>
    <x v="1"/>
  </r>
  <r>
    <s v="ORD001837"/>
    <s v="Elena Martínez"/>
    <s v="elena.martínez@mail.com"/>
    <x v="4"/>
    <s v="Lyon"/>
    <x v="3"/>
    <x v="18"/>
    <n v="5"/>
    <n v="753.01"/>
    <n v="3765.05"/>
    <x v="5"/>
    <x v="1"/>
    <x v="305"/>
    <x v="2"/>
  </r>
  <r>
    <s v="ORD001838"/>
    <s v="Pablo García"/>
    <s v="pablo.garcía@mail.com"/>
    <x v="3"/>
    <s v="Milán"/>
    <x v="4"/>
    <x v="14"/>
    <n v="3"/>
    <n v="1041.17"/>
    <n v="3123.51"/>
    <x v="5"/>
    <x v="1"/>
    <x v="307"/>
    <x v="0"/>
  </r>
  <r>
    <s v="ORD001839"/>
    <s v="Irene Torres"/>
    <s v="irene.torres@mail.com"/>
    <x v="2"/>
    <s v="Lisboa"/>
    <x v="2"/>
    <x v="3"/>
    <n v="2"/>
    <n v="1116.1300000000001"/>
    <n v="2232.2600000000002"/>
    <x v="7"/>
    <x v="1"/>
    <x v="404"/>
    <x v="0"/>
  </r>
  <r>
    <s v="ORD001840"/>
    <s v="María Fernández"/>
    <s v="maría.fernández@mail.com"/>
    <x v="1"/>
    <s v="Múnich"/>
    <x v="2"/>
    <x v="9"/>
    <n v="5"/>
    <n v="193.63"/>
    <n v="968.15"/>
    <x v="2"/>
    <x v="0"/>
    <x v="462"/>
    <x v="3"/>
  </r>
  <r>
    <s v="ORD001841"/>
    <s v="Laura Ramos"/>
    <s v="laura.ramos@mail.com"/>
    <x v="0"/>
    <s v="Sevilla"/>
    <x v="4"/>
    <x v="14"/>
    <n v="2"/>
    <n v="36.520000000000003"/>
    <n v="73.040000000000006"/>
    <x v="2"/>
    <x v="0"/>
    <x v="198"/>
    <x v="3"/>
  </r>
  <r>
    <s v="ORD001842"/>
    <s v="Pablo Torres"/>
    <s v="pablo.torres@mail.com"/>
    <x v="1"/>
    <s v="Múnich"/>
    <x v="0"/>
    <x v="13"/>
    <n v="1"/>
    <n v="1262.6300000000001"/>
    <n v="1262.6300000000001"/>
    <x v="5"/>
    <x v="0"/>
    <x v="510"/>
    <x v="4"/>
  </r>
  <r>
    <s v="ORD001843"/>
    <s v="Lucía Gil"/>
    <s v="lucía.gil@mail.com"/>
    <x v="4"/>
    <s v="Marsella"/>
    <x v="3"/>
    <x v="18"/>
    <n v="5"/>
    <n v="1101.0999999999999"/>
    <n v="5505.5"/>
    <x v="0"/>
    <x v="0"/>
    <x v="733"/>
    <x v="3"/>
  </r>
  <r>
    <s v="ORD001844"/>
    <s v="Lucía Alonso"/>
    <s v="lucía.alonso@mail.com"/>
    <x v="1"/>
    <s v="Hamburgo"/>
    <x v="3"/>
    <x v="18"/>
    <n v="1"/>
    <n v="747.88"/>
    <n v="747.88"/>
    <x v="0"/>
    <x v="1"/>
    <x v="570"/>
    <x v="4"/>
  </r>
  <r>
    <s v="ORD001845"/>
    <s v="María Sánchez"/>
    <s v="maría.sánchez@mail.com"/>
    <x v="0"/>
    <s v="Madrid"/>
    <x v="0"/>
    <x v="17"/>
    <n v="5"/>
    <n v="1431"/>
    <n v="7155"/>
    <x v="7"/>
    <x v="1"/>
    <x v="228"/>
    <x v="3"/>
  </r>
  <r>
    <s v="ORD001846"/>
    <s v="Miguel Sánchez"/>
    <s v="miguel.sánchez@mail.com"/>
    <x v="2"/>
    <s v="Lisboa"/>
    <x v="1"/>
    <x v="1"/>
    <n v="5"/>
    <n v="1349.21"/>
    <n v="6746.05"/>
    <x v="8"/>
    <x v="0"/>
    <x v="388"/>
    <x v="3"/>
  </r>
  <r>
    <s v="ORD001847"/>
    <s v="Diego Navarro"/>
    <s v="diego.navarro@mail.com"/>
    <x v="2"/>
    <s v="Braga"/>
    <x v="4"/>
    <x v="21"/>
    <n v="5"/>
    <n v="308.8"/>
    <n v="1544"/>
    <x v="0"/>
    <x v="0"/>
    <x v="533"/>
    <x v="2"/>
  </r>
  <r>
    <s v="ORD001848"/>
    <s v="Pedro López"/>
    <s v="pedro.lópez@mail.com"/>
    <x v="0"/>
    <s v="Sevilla"/>
    <x v="2"/>
    <x v="9"/>
    <n v="2"/>
    <n v="1330.65"/>
    <n v="2661.3"/>
    <x v="8"/>
    <x v="1"/>
    <x v="604"/>
    <x v="3"/>
  </r>
  <r>
    <s v="ORD001849"/>
    <s v="Luis Gómez"/>
    <s v="luis.gómez@mail.com"/>
    <x v="1"/>
    <s v="Hamburgo"/>
    <x v="0"/>
    <x v="0"/>
    <n v="1"/>
    <n v="861.21"/>
    <n v="861.21"/>
    <x v="6"/>
    <x v="1"/>
    <x v="579"/>
    <x v="2"/>
  </r>
  <r>
    <s v="ORD001850"/>
    <s v="María Gil"/>
    <s v="maría.gil@mail.com"/>
    <x v="2"/>
    <s v="Oporto"/>
    <x v="3"/>
    <x v="7"/>
    <n v="1"/>
    <n v="256.89999999999998"/>
    <n v="256.89999999999998"/>
    <x v="3"/>
    <x v="0"/>
    <x v="271"/>
    <x v="1"/>
  </r>
  <r>
    <s v="ORD001851"/>
    <s v="Raúl Gómez"/>
    <s v="raúl.gómez@mail.com"/>
    <x v="0"/>
    <s v="Madrid"/>
    <x v="4"/>
    <x v="11"/>
    <n v="1"/>
    <n v="527.92999999999995"/>
    <n v="527.92999999999995"/>
    <x v="4"/>
    <x v="1"/>
    <x v="472"/>
    <x v="3"/>
  </r>
  <r>
    <s v="ORD001852"/>
    <s v="Elena Gómez"/>
    <s v="elena.gómez@mail.com"/>
    <x v="0"/>
    <s v="Bilbao"/>
    <x v="0"/>
    <x v="16"/>
    <n v="5"/>
    <n v="1039.94"/>
    <n v="5199.7000000000007"/>
    <x v="7"/>
    <x v="0"/>
    <x v="720"/>
    <x v="2"/>
  </r>
  <r>
    <s v="ORD001853"/>
    <s v="Miguel Pérez"/>
    <s v="miguel.pérez@mail.com"/>
    <x v="1"/>
    <s v="Hamburgo"/>
    <x v="4"/>
    <x v="14"/>
    <n v="5"/>
    <n v="1217.9000000000001"/>
    <n v="6089.5"/>
    <x v="6"/>
    <x v="0"/>
    <x v="26"/>
    <x v="0"/>
  </r>
  <r>
    <s v="ORD001854"/>
    <s v="Elena López"/>
    <s v="elena.lópez@mail.com"/>
    <x v="1"/>
    <s v="Berlín"/>
    <x v="4"/>
    <x v="22"/>
    <n v="2"/>
    <n v="464.79"/>
    <n v="929.58"/>
    <x v="4"/>
    <x v="0"/>
    <x v="435"/>
    <x v="4"/>
  </r>
  <r>
    <s v="ORD001855"/>
    <s v="Ana Sánchez"/>
    <s v="ana.sánchez@mail.com"/>
    <x v="4"/>
    <s v="París"/>
    <x v="2"/>
    <x v="19"/>
    <n v="5"/>
    <n v="845.09"/>
    <n v="4225.45"/>
    <x v="2"/>
    <x v="2"/>
    <x v="359"/>
    <x v="0"/>
  </r>
  <r>
    <s v="ORD001856"/>
    <s v="Elena Martínez"/>
    <s v="elena.martínez@mail.com"/>
    <x v="4"/>
    <s v="Marsella"/>
    <x v="2"/>
    <x v="9"/>
    <n v="1"/>
    <n v="771.02"/>
    <n v="771.02"/>
    <x v="11"/>
    <x v="0"/>
    <x v="112"/>
    <x v="1"/>
  </r>
  <r>
    <s v="ORD001857"/>
    <s v="Carmen López"/>
    <s v="carmen.lópez@mail.com"/>
    <x v="4"/>
    <s v="Marsella"/>
    <x v="2"/>
    <x v="9"/>
    <n v="3"/>
    <n v="723.58"/>
    <n v="2170.7400000000002"/>
    <x v="6"/>
    <x v="1"/>
    <x v="181"/>
    <x v="3"/>
  </r>
  <r>
    <s v="ORD001858"/>
    <s v="Pablo Navarro"/>
    <s v="pablo.navarro@mail.com"/>
    <x v="1"/>
    <s v="Hamburgo"/>
    <x v="1"/>
    <x v="6"/>
    <n v="4"/>
    <n v="1345.82"/>
    <n v="5383.28"/>
    <x v="5"/>
    <x v="2"/>
    <x v="269"/>
    <x v="0"/>
  </r>
  <r>
    <s v="ORD001859"/>
    <s v="Javier Alonso"/>
    <s v="javier.alonso@mail.com"/>
    <x v="2"/>
    <s v="Braga"/>
    <x v="1"/>
    <x v="2"/>
    <n v="1"/>
    <n v="596.95000000000005"/>
    <n v="596.95000000000005"/>
    <x v="10"/>
    <x v="0"/>
    <x v="242"/>
    <x v="1"/>
  </r>
  <r>
    <s v="ORD001860"/>
    <s v="Carlos Sánchez"/>
    <s v="carlos.sánchez@mail.com"/>
    <x v="4"/>
    <s v="París"/>
    <x v="2"/>
    <x v="3"/>
    <n v="2"/>
    <n v="968.25"/>
    <n v="1936.5"/>
    <x v="5"/>
    <x v="0"/>
    <x v="530"/>
    <x v="1"/>
  </r>
  <r>
    <s v="ORD001861"/>
    <s v="Elena Fernández"/>
    <s v="elena.fernández@mail.com"/>
    <x v="4"/>
    <s v="Lyon"/>
    <x v="3"/>
    <x v="4"/>
    <n v="4"/>
    <n v="1232.24"/>
    <n v="4928.96"/>
    <x v="7"/>
    <x v="0"/>
    <x v="628"/>
    <x v="3"/>
  </r>
  <r>
    <s v="ORD001862"/>
    <s v="Pablo Torres"/>
    <s v="pablo.torres@mail.com"/>
    <x v="3"/>
    <s v="Nápoles"/>
    <x v="0"/>
    <x v="13"/>
    <n v="4"/>
    <n v="806.31"/>
    <n v="3225.24"/>
    <x v="5"/>
    <x v="0"/>
    <x v="155"/>
    <x v="2"/>
  </r>
  <r>
    <s v="ORD001863"/>
    <s v="Luis Navarro"/>
    <s v="luis.navarro@mail.com"/>
    <x v="0"/>
    <s v="Valencia"/>
    <x v="1"/>
    <x v="1"/>
    <n v="5"/>
    <n v="682.05"/>
    <n v="3410.25"/>
    <x v="4"/>
    <x v="0"/>
    <x v="290"/>
    <x v="2"/>
  </r>
  <r>
    <s v="ORD001864"/>
    <s v="Luis Pérez"/>
    <s v="luis.pérez@mail.com"/>
    <x v="0"/>
    <s v="Madrid"/>
    <x v="2"/>
    <x v="19"/>
    <n v="2"/>
    <n v="370.67"/>
    <n v="741.34"/>
    <x v="6"/>
    <x v="0"/>
    <x v="734"/>
    <x v="0"/>
  </r>
  <r>
    <s v="ORD001865"/>
    <s v="Diego Martínez"/>
    <s v="diego.martínez@mail.com"/>
    <x v="0"/>
    <s v="Sevilla"/>
    <x v="1"/>
    <x v="1"/>
    <n v="1"/>
    <n v="1123.92"/>
    <n v="1123.92"/>
    <x v="10"/>
    <x v="0"/>
    <x v="37"/>
    <x v="4"/>
  </r>
  <r>
    <s v="ORD001866"/>
    <s v="María Gil"/>
    <s v="maría.gil@mail.com"/>
    <x v="4"/>
    <s v="París"/>
    <x v="0"/>
    <x v="17"/>
    <n v="2"/>
    <n v="1060.4100000000001"/>
    <n v="2120.8200000000002"/>
    <x v="2"/>
    <x v="2"/>
    <x v="196"/>
    <x v="2"/>
  </r>
  <r>
    <s v="ORD001867"/>
    <s v="Pedro Gómez"/>
    <s v="pedro.gómez@mail.com"/>
    <x v="2"/>
    <s v="Braga"/>
    <x v="2"/>
    <x v="19"/>
    <n v="1"/>
    <n v="1295.22"/>
    <n v="1295.22"/>
    <x v="10"/>
    <x v="2"/>
    <x v="599"/>
    <x v="2"/>
  </r>
  <r>
    <s v="ORD001868"/>
    <s v="Luis Ruiz"/>
    <s v="luis.ruiz@mail.com"/>
    <x v="0"/>
    <s v="Madrid"/>
    <x v="0"/>
    <x v="20"/>
    <n v="2"/>
    <n v="226.25"/>
    <n v="452.5"/>
    <x v="2"/>
    <x v="2"/>
    <x v="716"/>
    <x v="1"/>
  </r>
  <r>
    <s v="ORD001869"/>
    <s v="Sofía Martínez"/>
    <s v="sofía.martínez@mail.com"/>
    <x v="4"/>
    <s v="París"/>
    <x v="3"/>
    <x v="4"/>
    <n v="5"/>
    <n v="1407.97"/>
    <n v="7039.85"/>
    <x v="4"/>
    <x v="1"/>
    <x v="375"/>
    <x v="4"/>
  </r>
  <r>
    <s v="ORD001870"/>
    <s v="Luis Martínez"/>
    <s v="luis.martínez@mail.com"/>
    <x v="3"/>
    <s v="Milán"/>
    <x v="0"/>
    <x v="17"/>
    <n v="4"/>
    <n v="1449.53"/>
    <n v="5798.12"/>
    <x v="8"/>
    <x v="0"/>
    <x v="61"/>
    <x v="2"/>
  </r>
  <r>
    <s v="ORD001871"/>
    <s v="Irene Rodríguez"/>
    <s v="irene.rodríguez@mail.com"/>
    <x v="3"/>
    <s v="Nápoles"/>
    <x v="2"/>
    <x v="9"/>
    <n v="3"/>
    <n v="1486.46"/>
    <n v="4459.38"/>
    <x v="11"/>
    <x v="0"/>
    <x v="187"/>
    <x v="3"/>
  </r>
  <r>
    <s v="ORD001872"/>
    <s v="Luis Sánchez"/>
    <s v="luis.sánchez@mail.com"/>
    <x v="2"/>
    <s v="Lisboa"/>
    <x v="0"/>
    <x v="17"/>
    <n v="3"/>
    <n v="1316.87"/>
    <n v="3950.6099999999997"/>
    <x v="5"/>
    <x v="2"/>
    <x v="145"/>
    <x v="2"/>
  </r>
  <r>
    <s v="ORD001873"/>
    <s v="Lucía Vázquez"/>
    <s v="lucía.vázquez@mail.com"/>
    <x v="2"/>
    <s v="Braga"/>
    <x v="2"/>
    <x v="19"/>
    <n v="1"/>
    <n v="291"/>
    <n v="291"/>
    <x v="10"/>
    <x v="1"/>
    <x v="714"/>
    <x v="1"/>
  </r>
  <r>
    <s v="ORD001874"/>
    <s v="Carmen López"/>
    <s v="carmen.lópez@mail.com"/>
    <x v="0"/>
    <s v="Madrid"/>
    <x v="3"/>
    <x v="7"/>
    <n v="2"/>
    <n v="357.78"/>
    <n v="715.56"/>
    <x v="8"/>
    <x v="0"/>
    <x v="216"/>
    <x v="0"/>
  </r>
  <r>
    <s v="ORD001875"/>
    <s v="Lucía García"/>
    <s v="lucía.garcía@mail.com"/>
    <x v="0"/>
    <s v="Sevilla"/>
    <x v="3"/>
    <x v="4"/>
    <n v="1"/>
    <n v="575.39"/>
    <n v="575.39"/>
    <x v="7"/>
    <x v="0"/>
    <x v="720"/>
    <x v="1"/>
  </r>
  <r>
    <s v="ORD001876"/>
    <s v="Ana Gómez"/>
    <s v="ana.gómez@mail.com"/>
    <x v="2"/>
    <s v="Oporto"/>
    <x v="4"/>
    <x v="21"/>
    <n v="1"/>
    <n v="1466.27"/>
    <n v="1466.27"/>
    <x v="10"/>
    <x v="1"/>
    <x v="703"/>
    <x v="0"/>
  </r>
  <r>
    <s v="ORD001877"/>
    <s v="María Ruiz"/>
    <s v="maría.ruiz@mail.com"/>
    <x v="4"/>
    <s v="Marsella"/>
    <x v="0"/>
    <x v="20"/>
    <n v="1"/>
    <n v="1161.8599999999999"/>
    <n v="1161.8599999999999"/>
    <x v="9"/>
    <x v="0"/>
    <x v="142"/>
    <x v="4"/>
  </r>
  <r>
    <s v="ORD001878"/>
    <s v="Irene Ramos"/>
    <s v="irene.ramos@mail.com"/>
    <x v="3"/>
    <s v="Roma"/>
    <x v="4"/>
    <x v="22"/>
    <n v="5"/>
    <n v="967.33"/>
    <n v="4836.6500000000005"/>
    <x v="9"/>
    <x v="0"/>
    <x v="635"/>
    <x v="2"/>
  </r>
  <r>
    <s v="ORD001879"/>
    <s v="Pablo Alonso"/>
    <s v="pablo.alonso@mail.com"/>
    <x v="4"/>
    <s v="Lyon"/>
    <x v="2"/>
    <x v="10"/>
    <n v="1"/>
    <n v="573.71"/>
    <n v="573.71"/>
    <x v="5"/>
    <x v="0"/>
    <x v="583"/>
    <x v="0"/>
  </r>
  <r>
    <s v="ORD001880"/>
    <s v="Ana Rodríguez"/>
    <s v="ana.rodríguez@mail.com"/>
    <x v="1"/>
    <s v="Berlín"/>
    <x v="4"/>
    <x v="14"/>
    <n v="4"/>
    <n v="995.11"/>
    <n v="3980.44"/>
    <x v="8"/>
    <x v="0"/>
    <x v="66"/>
    <x v="0"/>
  </r>
  <r>
    <s v="ORD001881"/>
    <s v="María Navarro"/>
    <s v="maría.navarro@mail.com"/>
    <x v="1"/>
    <s v="Berlín"/>
    <x v="4"/>
    <x v="11"/>
    <n v="5"/>
    <n v="969.26"/>
    <n v="4846.3"/>
    <x v="2"/>
    <x v="1"/>
    <x v="17"/>
    <x v="0"/>
  </r>
  <r>
    <s v="ORD001882"/>
    <s v="Luis Pérez"/>
    <s v="luis.pérez@mail.com"/>
    <x v="2"/>
    <s v="Lisboa"/>
    <x v="4"/>
    <x v="11"/>
    <n v="5"/>
    <n v="386.1"/>
    <n v="1930.5"/>
    <x v="2"/>
    <x v="1"/>
    <x v="212"/>
    <x v="0"/>
  </r>
  <r>
    <s v="ORD001883"/>
    <s v="Lucía Gómez"/>
    <s v="lucía.gómez@mail.com"/>
    <x v="3"/>
    <s v="Milán"/>
    <x v="3"/>
    <x v="4"/>
    <n v="1"/>
    <n v="258.11"/>
    <n v="258.11"/>
    <x v="10"/>
    <x v="1"/>
    <x v="735"/>
    <x v="0"/>
  </r>
  <r>
    <s v="ORD001884"/>
    <s v="Irene Díaz"/>
    <s v="irene.díaz@mail.com"/>
    <x v="1"/>
    <s v="Hamburgo"/>
    <x v="3"/>
    <x v="4"/>
    <n v="4"/>
    <n v="267.93"/>
    <n v="1071.72"/>
    <x v="1"/>
    <x v="0"/>
    <x v="81"/>
    <x v="4"/>
  </r>
  <r>
    <s v="ORD001885"/>
    <s v="Diego Ruiz"/>
    <s v="diego.ruiz@mail.com"/>
    <x v="4"/>
    <s v="París"/>
    <x v="3"/>
    <x v="4"/>
    <n v="2"/>
    <n v="946.83"/>
    <n v="1893.66"/>
    <x v="5"/>
    <x v="1"/>
    <x v="736"/>
    <x v="1"/>
  </r>
  <r>
    <s v="ORD001886"/>
    <s v="Elena López"/>
    <s v="elena.lópez@mail.com"/>
    <x v="4"/>
    <s v="Marsella"/>
    <x v="2"/>
    <x v="3"/>
    <n v="1"/>
    <n v="329.42"/>
    <n v="329.42"/>
    <x v="5"/>
    <x v="0"/>
    <x v="365"/>
    <x v="0"/>
  </r>
  <r>
    <s v="ORD001887"/>
    <s v="Pablo Ruiz"/>
    <s v="pablo.ruiz@mail.com"/>
    <x v="2"/>
    <s v="Oporto"/>
    <x v="0"/>
    <x v="20"/>
    <n v="2"/>
    <n v="151.36000000000001"/>
    <n v="302.72000000000003"/>
    <x v="0"/>
    <x v="1"/>
    <x v="648"/>
    <x v="3"/>
  </r>
  <r>
    <s v="ORD001888"/>
    <s v="Diego Rodríguez"/>
    <s v="diego.rodríguez@mail.com"/>
    <x v="1"/>
    <s v="Berlín"/>
    <x v="0"/>
    <x v="13"/>
    <n v="5"/>
    <n v="713.36"/>
    <n v="3566.8"/>
    <x v="0"/>
    <x v="1"/>
    <x v="39"/>
    <x v="3"/>
  </r>
  <r>
    <s v="ORD001889"/>
    <s v="Diego Martínez"/>
    <s v="diego.martínez@mail.com"/>
    <x v="0"/>
    <s v="Barcelona"/>
    <x v="4"/>
    <x v="21"/>
    <n v="3"/>
    <n v="1146.25"/>
    <n v="3438.75"/>
    <x v="2"/>
    <x v="1"/>
    <x v="17"/>
    <x v="1"/>
  </r>
  <r>
    <s v="ORD001890"/>
    <s v="Miguel Alonso"/>
    <s v="miguel.alonso@mail.com"/>
    <x v="3"/>
    <s v="Nápoles"/>
    <x v="1"/>
    <x v="2"/>
    <n v="5"/>
    <n v="128.06"/>
    <n v="640.29999999999995"/>
    <x v="11"/>
    <x v="2"/>
    <x v="479"/>
    <x v="0"/>
  </r>
  <r>
    <s v="ORD001891"/>
    <s v="Ana Gómez"/>
    <s v="ana.gómez@mail.com"/>
    <x v="0"/>
    <s v="Bilbao"/>
    <x v="4"/>
    <x v="23"/>
    <n v="3"/>
    <n v="407.2"/>
    <n v="1221.5999999999999"/>
    <x v="2"/>
    <x v="1"/>
    <x v="17"/>
    <x v="1"/>
  </r>
  <r>
    <s v="ORD001892"/>
    <s v="Pablo Navarro"/>
    <s v="pablo.navarro@mail.com"/>
    <x v="3"/>
    <s v="Nápoles"/>
    <x v="0"/>
    <x v="0"/>
    <n v="5"/>
    <n v="775.62"/>
    <n v="3878.1"/>
    <x v="8"/>
    <x v="1"/>
    <x v="737"/>
    <x v="1"/>
  </r>
  <r>
    <s v="ORD001893"/>
    <s v="Ana López"/>
    <s v="ana.lópez@mail.com"/>
    <x v="0"/>
    <s v="Barcelona"/>
    <x v="0"/>
    <x v="17"/>
    <n v="3"/>
    <n v="135.05000000000001"/>
    <n v="405.15000000000003"/>
    <x v="2"/>
    <x v="0"/>
    <x v="117"/>
    <x v="2"/>
  </r>
  <r>
    <s v="ORD001894"/>
    <s v="Carlos Sánchez"/>
    <s v="carlos.sánchez@mail.com"/>
    <x v="0"/>
    <s v="Madrid"/>
    <x v="0"/>
    <x v="0"/>
    <n v="5"/>
    <n v="306.06"/>
    <n v="1530.3"/>
    <x v="10"/>
    <x v="0"/>
    <x v="738"/>
    <x v="1"/>
  </r>
  <r>
    <s v="ORD001895"/>
    <s v="María Sánchez"/>
    <s v="maría.sánchez@mail.com"/>
    <x v="4"/>
    <s v="Lyon"/>
    <x v="0"/>
    <x v="17"/>
    <n v="2"/>
    <n v="1318.59"/>
    <n v="2637.18"/>
    <x v="11"/>
    <x v="0"/>
    <x v="314"/>
    <x v="1"/>
  </r>
  <r>
    <s v="ORD001896"/>
    <s v="Laura Navarro"/>
    <s v="laura.navarro@mail.com"/>
    <x v="2"/>
    <s v="Braga"/>
    <x v="4"/>
    <x v="14"/>
    <n v="2"/>
    <n v="382.73"/>
    <n v="765.46"/>
    <x v="0"/>
    <x v="0"/>
    <x v="480"/>
    <x v="3"/>
  </r>
  <r>
    <s v="ORD001897"/>
    <s v="Laura Torres"/>
    <s v="laura.torres@mail.com"/>
    <x v="1"/>
    <s v="Múnich"/>
    <x v="2"/>
    <x v="9"/>
    <n v="3"/>
    <n v="927.95"/>
    <n v="2783.8500000000004"/>
    <x v="5"/>
    <x v="2"/>
    <x v="319"/>
    <x v="4"/>
  </r>
  <r>
    <s v="ORD001898"/>
    <s v="Luis Rodríguez"/>
    <s v="luis.rodríguez@mail.com"/>
    <x v="0"/>
    <s v="Madrid"/>
    <x v="3"/>
    <x v="15"/>
    <n v="2"/>
    <n v="770.5"/>
    <n v="1541"/>
    <x v="2"/>
    <x v="1"/>
    <x v="212"/>
    <x v="3"/>
  </r>
  <r>
    <s v="ORD001899"/>
    <s v="Javier García"/>
    <s v="javier.garcía@mail.com"/>
    <x v="4"/>
    <s v="Lyon"/>
    <x v="3"/>
    <x v="4"/>
    <n v="5"/>
    <n v="838.83"/>
    <n v="4194.1500000000005"/>
    <x v="10"/>
    <x v="1"/>
    <x v="739"/>
    <x v="2"/>
  </r>
  <r>
    <s v="ORD001900"/>
    <s v="María López"/>
    <s v="maría.lópez@mail.com"/>
    <x v="2"/>
    <s v="Oporto"/>
    <x v="0"/>
    <x v="16"/>
    <n v="1"/>
    <n v="839.82"/>
    <n v="839.82"/>
    <x v="5"/>
    <x v="1"/>
    <x v="295"/>
    <x v="3"/>
  </r>
  <r>
    <s v="ORD001901"/>
    <s v="Pedro Vázquez"/>
    <s v="pedro.vázquez@mail.com"/>
    <x v="2"/>
    <s v="Lisboa"/>
    <x v="1"/>
    <x v="1"/>
    <n v="2"/>
    <n v="1283.1099999999999"/>
    <n v="2566.2199999999998"/>
    <x v="2"/>
    <x v="0"/>
    <x v="74"/>
    <x v="1"/>
  </r>
  <r>
    <s v="ORD001902"/>
    <s v="Carmen Gómez"/>
    <s v="carmen.gómez@mail.com"/>
    <x v="3"/>
    <s v="Nápoles"/>
    <x v="0"/>
    <x v="13"/>
    <n v="2"/>
    <n v="1418.19"/>
    <n v="2836.38"/>
    <x v="0"/>
    <x v="0"/>
    <x v="230"/>
    <x v="2"/>
  </r>
  <r>
    <s v="ORD001903"/>
    <s v="Carlos López"/>
    <s v="carlos.lópez@mail.com"/>
    <x v="4"/>
    <s v="París"/>
    <x v="3"/>
    <x v="5"/>
    <n v="3"/>
    <n v="160.27000000000001"/>
    <n v="480.81000000000006"/>
    <x v="10"/>
    <x v="2"/>
    <x v="426"/>
    <x v="0"/>
  </r>
  <r>
    <s v="ORD001904"/>
    <s v="Luis Fernández"/>
    <s v="luis.fernández@mail.com"/>
    <x v="4"/>
    <s v="Marsella"/>
    <x v="1"/>
    <x v="2"/>
    <n v="4"/>
    <n v="903.8"/>
    <n v="3615.2"/>
    <x v="5"/>
    <x v="1"/>
    <x v="549"/>
    <x v="2"/>
  </r>
  <r>
    <s v="ORD001905"/>
    <s v="Lucía Ramos"/>
    <s v="lucía.ramos@mail.com"/>
    <x v="0"/>
    <s v="Madrid"/>
    <x v="1"/>
    <x v="12"/>
    <n v="4"/>
    <n v="637.08000000000004"/>
    <n v="2548.3200000000002"/>
    <x v="3"/>
    <x v="1"/>
    <x v="40"/>
    <x v="2"/>
  </r>
  <r>
    <s v="ORD001906"/>
    <s v="Carlos Ramos"/>
    <s v="carlos.ramos@mail.com"/>
    <x v="2"/>
    <s v="Lisboa"/>
    <x v="4"/>
    <x v="22"/>
    <n v="1"/>
    <n v="126.11"/>
    <n v="126.11"/>
    <x v="3"/>
    <x v="1"/>
    <x v="386"/>
    <x v="1"/>
  </r>
  <r>
    <s v="ORD001907"/>
    <s v="Carmen Torres"/>
    <s v="carmen.torres@mail.com"/>
    <x v="0"/>
    <s v="Madrid"/>
    <x v="3"/>
    <x v="5"/>
    <n v="4"/>
    <n v="1232.0899999999999"/>
    <n v="4928.3599999999997"/>
    <x v="2"/>
    <x v="0"/>
    <x v="569"/>
    <x v="0"/>
  </r>
  <r>
    <s v="ORD001908"/>
    <s v="Javier Ramos"/>
    <s v="javier.ramos@mail.com"/>
    <x v="0"/>
    <s v="Sevilla"/>
    <x v="3"/>
    <x v="5"/>
    <n v="2"/>
    <n v="215.75"/>
    <n v="431.5"/>
    <x v="1"/>
    <x v="0"/>
    <x v="358"/>
    <x v="2"/>
  </r>
  <r>
    <s v="ORD001909"/>
    <s v="Diego Martínez"/>
    <s v="diego.martínez@mail.com"/>
    <x v="0"/>
    <s v="Valencia"/>
    <x v="2"/>
    <x v="10"/>
    <n v="2"/>
    <n v="1314.2"/>
    <n v="2628.4"/>
    <x v="8"/>
    <x v="0"/>
    <x v="446"/>
    <x v="3"/>
  </r>
  <r>
    <s v="ORD001910"/>
    <s v="Irene Torres"/>
    <s v="irene.torres@mail.com"/>
    <x v="4"/>
    <s v="Marsella"/>
    <x v="0"/>
    <x v="20"/>
    <n v="5"/>
    <n v="176.84"/>
    <n v="884.2"/>
    <x v="2"/>
    <x v="2"/>
    <x v="196"/>
    <x v="3"/>
  </r>
  <r>
    <s v="ORD001911"/>
    <s v="Carlos Pérez"/>
    <s v="carlos.pérez@mail.com"/>
    <x v="4"/>
    <s v="París"/>
    <x v="2"/>
    <x v="9"/>
    <n v="2"/>
    <n v="663.13"/>
    <n v="1326.26"/>
    <x v="6"/>
    <x v="0"/>
    <x v="505"/>
    <x v="0"/>
  </r>
  <r>
    <s v="ORD001912"/>
    <s v="Diego López"/>
    <s v="diego.lópez@mail.com"/>
    <x v="0"/>
    <s v="Bilbao"/>
    <x v="3"/>
    <x v="18"/>
    <n v="3"/>
    <n v="1377.71"/>
    <n v="4133.13"/>
    <x v="1"/>
    <x v="1"/>
    <x v="602"/>
    <x v="1"/>
  </r>
  <r>
    <s v="ORD001913"/>
    <s v="Pedro López"/>
    <s v="pedro.lópez@mail.com"/>
    <x v="0"/>
    <s v="Barcelona"/>
    <x v="1"/>
    <x v="6"/>
    <n v="1"/>
    <n v="1122.6600000000001"/>
    <n v="1122.6600000000001"/>
    <x v="1"/>
    <x v="0"/>
    <x v="389"/>
    <x v="3"/>
  </r>
  <r>
    <s v="ORD001914"/>
    <s v="María Pérez"/>
    <s v="maría.pérez@mail.com"/>
    <x v="2"/>
    <s v="Braga"/>
    <x v="1"/>
    <x v="6"/>
    <n v="3"/>
    <n v="287.83999999999997"/>
    <n v="863.52"/>
    <x v="10"/>
    <x v="2"/>
    <x v="599"/>
    <x v="0"/>
  </r>
  <r>
    <s v="ORD001915"/>
    <s v="Carlos García"/>
    <s v="carlos.garcía@mail.com"/>
    <x v="2"/>
    <s v="Oporto"/>
    <x v="2"/>
    <x v="9"/>
    <n v="2"/>
    <n v="494.15"/>
    <n v="988.3"/>
    <x v="7"/>
    <x v="1"/>
    <x v="354"/>
    <x v="0"/>
  </r>
  <r>
    <s v="ORD001916"/>
    <s v="Laura Rodríguez"/>
    <s v="laura.rodríguez@mail.com"/>
    <x v="1"/>
    <s v="Múnich"/>
    <x v="1"/>
    <x v="8"/>
    <n v="3"/>
    <n v="1496.12"/>
    <n v="4488.3599999999997"/>
    <x v="6"/>
    <x v="0"/>
    <x v="77"/>
    <x v="3"/>
  </r>
  <r>
    <s v="ORD001917"/>
    <s v="Luis Ramos"/>
    <s v="luis.ramos@mail.com"/>
    <x v="4"/>
    <s v="Marsella"/>
    <x v="4"/>
    <x v="22"/>
    <n v="1"/>
    <n v="421.59"/>
    <n v="421.59"/>
    <x v="5"/>
    <x v="0"/>
    <x v="487"/>
    <x v="4"/>
  </r>
  <r>
    <s v="ORD001918"/>
    <s v="Carlos Rodríguez"/>
    <s v="carlos.rodríguez@mail.com"/>
    <x v="4"/>
    <s v="Lyon"/>
    <x v="2"/>
    <x v="9"/>
    <n v="3"/>
    <n v="917.15"/>
    <n v="2751.45"/>
    <x v="7"/>
    <x v="0"/>
    <x v="471"/>
    <x v="3"/>
  </r>
  <r>
    <s v="ORD001919"/>
    <s v="Javier Gómez"/>
    <s v="javier.gómez@mail.com"/>
    <x v="2"/>
    <s v="Lisboa"/>
    <x v="3"/>
    <x v="15"/>
    <n v="1"/>
    <n v="1292.19"/>
    <n v="1292.19"/>
    <x v="6"/>
    <x v="0"/>
    <x v="661"/>
    <x v="1"/>
  </r>
  <r>
    <s v="ORD001920"/>
    <s v="Laura Gómez"/>
    <s v="laura.gómez@mail.com"/>
    <x v="0"/>
    <s v="Barcelona"/>
    <x v="2"/>
    <x v="19"/>
    <n v="5"/>
    <n v="1248.82"/>
    <n v="6244.0999999999995"/>
    <x v="2"/>
    <x v="1"/>
    <x v="740"/>
    <x v="3"/>
  </r>
  <r>
    <s v="ORD001921"/>
    <s v="Sofía García"/>
    <s v="sofía.garcía@mail.com"/>
    <x v="0"/>
    <s v="Bilbao"/>
    <x v="2"/>
    <x v="15"/>
    <n v="1"/>
    <n v="763"/>
    <n v="763"/>
    <x v="1"/>
    <x v="1"/>
    <x v="493"/>
    <x v="0"/>
  </r>
  <r>
    <s v="ORD001922"/>
    <s v="Irene Rodríguez"/>
    <s v="irene.rodríguez@mail.com"/>
    <x v="0"/>
    <s v="Valencia"/>
    <x v="1"/>
    <x v="6"/>
    <n v="2"/>
    <n v="1476.63"/>
    <n v="2953.26"/>
    <x v="4"/>
    <x v="1"/>
    <x v="357"/>
    <x v="3"/>
  </r>
  <r>
    <s v="ORD001923"/>
    <s v="Pablo Ruiz"/>
    <s v="pablo.ruiz@mail.com"/>
    <x v="2"/>
    <s v="Lisboa"/>
    <x v="4"/>
    <x v="22"/>
    <n v="1"/>
    <n v="1435.38"/>
    <n v="1435.38"/>
    <x v="10"/>
    <x v="0"/>
    <x v="367"/>
    <x v="1"/>
  </r>
  <r>
    <s v="ORD001924"/>
    <s v="Irene Díaz"/>
    <s v="irene.díaz@mail.com"/>
    <x v="2"/>
    <s v="Braga"/>
    <x v="2"/>
    <x v="10"/>
    <n v="3"/>
    <n v="542.16"/>
    <n v="1626.48"/>
    <x v="5"/>
    <x v="0"/>
    <x v="246"/>
    <x v="4"/>
  </r>
  <r>
    <s v="ORD001925"/>
    <s v="Lucía Pérez"/>
    <s v="lucía.pérez@mail.com"/>
    <x v="4"/>
    <s v="París"/>
    <x v="4"/>
    <x v="14"/>
    <n v="1"/>
    <n v="1258.18"/>
    <n v="1258.18"/>
    <x v="10"/>
    <x v="1"/>
    <x v="741"/>
    <x v="2"/>
  </r>
  <r>
    <s v="ORD001926"/>
    <s v="María García"/>
    <s v="maría.garcía@mail.com"/>
    <x v="3"/>
    <s v="Roma"/>
    <x v="0"/>
    <x v="17"/>
    <n v="5"/>
    <n v="481.6"/>
    <n v="2408"/>
    <x v="0"/>
    <x v="0"/>
    <x v="29"/>
    <x v="2"/>
  </r>
  <r>
    <s v="ORD001927"/>
    <s v="Luis Martínez"/>
    <s v="luis.martínez@mail.com"/>
    <x v="3"/>
    <s v="Roma"/>
    <x v="1"/>
    <x v="6"/>
    <n v="5"/>
    <n v="624.79"/>
    <n v="3123.95"/>
    <x v="1"/>
    <x v="1"/>
    <x v="742"/>
    <x v="0"/>
  </r>
  <r>
    <s v="ORD001928"/>
    <s v="Luis Fernández"/>
    <s v="luis.fernández@mail.com"/>
    <x v="2"/>
    <s v="Lisboa"/>
    <x v="0"/>
    <x v="0"/>
    <n v="1"/>
    <n v="293.89999999999998"/>
    <n v="293.89999999999998"/>
    <x v="4"/>
    <x v="1"/>
    <x v="677"/>
    <x v="0"/>
  </r>
  <r>
    <s v="ORD001929"/>
    <s v="Ana Ramos"/>
    <s v="ana.ramos@mail.com"/>
    <x v="2"/>
    <s v="Oporto"/>
    <x v="4"/>
    <x v="22"/>
    <n v="2"/>
    <n v="952.8"/>
    <n v="1905.6"/>
    <x v="5"/>
    <x v="1"/>
    <x v="428"/>
    <x v="3"/>
  </r>
  <r>
    <s v="ORD001930"/>
    <s v="Elena García"/>
    <s v="elena.garcía@mail.com"/>
    <x v="2"/>
    <s v="Oporto"/>
    <x v="1"/>
    <x v="6"/>
    <n v="2"/>
    <n v="1154.46"/>
    <n v="2308.92"/>
    <x v="1"/>
    <x v="0"/>
    <x v="33"/>
    <x v="4"/>
  </r>
  <r>
    <s v="ORD001931"/>
    <s v="Elena Torres"/>
    <s v="elena.torres@mail.com"/>
    <x v="3"/>
    <s v="Roma"/>
    <x v="0"/>
    <x v="13"/>
    <n v="3"/>
    <n v="344.09"/>
    <n v="1032.27"/>
    <x v="2"/>
    <x v="1"/>
    <x v="14"/>
    <x v="1"/>
  </r>
  <r>
    <s v="ORD001932"/>
    <s v="Diego Pérez"/>
    <s v="diego.pérez@mail.com"/>
    <x v="3"/>
    <s v="Milán"/>
    <x v="1"/>
    <x v="8"/>
    <n v="4"/>
    <n v="222.91"/>
    <n v="891.64"/>
    <x v="2"/>
    <x v="2"/>
    <x v="154"/>
    <x v="4"/>
  </r>
  <r>
    <s v="ORD001933"/>
    <s v="Pedro Sánchez"/>
    <s v="pedro.sánchez@mail.com"/>
    <x v="3"/>
    <s v="Roma"/>
    <x v="2"/>
    <x v="9"/>
    <n v="1"/>
    <n v="1389.67"/>
    <n v="1389.67"/>
    <x v="3"/>
    <x v="1"/>
    <x v="603"/>
    <x v="0"/>
  </r>
  <r>
    <s v="ORD001934"/>
    <s v="Carmen Ruiz"/>
    <s v="carmen.ruiz@mail.com"/>
    <x v="3"/>
    <s v="Milán"/>
    <x v="4"/>
    <x v="22"/>
    <n v="1"/>
    <n v="855.59"/>
    <n v="855.59"/>
    <x v="0"/>
    <x v="0"/>
    <x v="676"/>
    <x v="4"/>
  </r>
  <r>
    <s v="ORD001935"/>
    <s v="Javier Gil"/>
    <s v="javier.gil@mail.com"/>
    <x v="3"/>
    <s v="Nápoles"/>
    <x v="1"/>
    <x v="12"/>
    <n v="1"/>
    <n v="752.84"/>
    <n v="752.84"/>
    <x v="3"/>
    <x v="1"/>
    <x v="743"/>
    <x v="0"/>
  </r>
  <r>
    <s v="ORD001936"/>
    <s v="Elena Vázquez"/>
    <s v="elena.vázquez@mail.com"/>
    <x v="2"/>
    <s v="Braga"/>
    <x v="1"/>
    <x v="2"/>
    <n v="3"/>
    <n v="747.55"/>
    <n v="2242.6499999999996"/>
    <x v="7"/>
    <x v="1"/>
    <x v="395"/>
    <x v="1"/>
  </r>
  <r>
    <s v="ORD001937"/>
    <s v="Ana Gil"/>
    <s v="ana.gil@mail.com"/>
    <x v="0"/>
    <s v="Sevilla"/>
    <x v="1"/>
    <x v="2"/>
    <n v="4"/>
    <n v="349.46"/>
    <n v="1397.84"/>
    <x v="0"/>
    <x v="1"/>
    <x v="660"/>
    <x v="3"/>
  </r>
  <r>
    <s v="ORD001938"/>
    <s v="Javier Torres"/>
    <s v="javier.torres@mail.com"/>
    <x v="3"/>
    <s v="Milán"/>
    <x v="2"/>
    <x v="15"/>
    <n v="1"/>
    <n v="282.35000000000002"/>
    <n v="282.35000000000002"/>
    <x v="7"/>
    <x v="0"/>
    <x v="62"/>
    <x v="4"/>
  </r>
  <r>
    <s v="ORD001939"/>
    <s v="María Pérez"/>
    <s v="maría.pérez@mail.com"/>
    <x v="3"/>
    <s v="Milán"/>
    <x v="1"/>
    <x v="8"/>
    <n v="3"/>
    <n v="994.97"/>
    <n v="2984.91"/>
    <x v="8"/>
    <x v="0"/>
    <x v="547"/>
    <x v="3"/>
  </r>
  <r>
    <s v="ORD001940"/>
    <s v="Diego García"/>
    <s v="diego.garcía@mail.com"/>
    <x v="4"/>
    <s v="Lyon"/>
    <x v="3"/>
    <x v="18"/>
    <n v="2"/>
    <n v="1200.71"/>
    <n v="2401.42"/>
    <x v="8"/>
    <x v="1"/>
    <x v="584"/>
    <x v="1"/>
  </r>
  <r>
    <s v="ORD001941"/>
    <s v="Diego Gómez"/>
    <s v="diego.gómez@mail.com"/>
    <x v="0"/>
    <s v="Barcelona"/>
    <x v="4"/>
    <x v="22"/>
    <n v="4"/>
    <n v="684.23"/>
    <n v="2736.92"/>
    <x v="0"/>
    <x v="0"/>
    <x v="688"/>
    <x v="3"/>
  </r>
  <r>
    <s v="ORD001942"/>
    <s v="Lucía Gil"/>
    <s v="lucía.gil@mail.com"/>
    <x v="0"/>
    <s v="Barcelona"/>
    <x v="2"/>
    <x v="19"/>
    <n v="5"/>
    <n v="572.96"/>
    <n v="2864.8"/>
    <x v="11"/>
    <x v="1"/>
    <x v="315"/>
    <x v="3"/>
  </r>
  <r>
    <s v="ORD001943"/>
    <s v="Pedro Torres"/>
    <s v="pedro.torres@mail.com"/>
    <x v="4"/>
    <s v="Lyon"/>
    <x v="4"/>
    <x v="23"/>
    <n v="3"/>
    <n v="1026.6500000000001"/>
    <n v="3079.9500000000003"/>
    <x v="11"/>
    <x v="0"/>
    <x v="447"/>
    <x v="3"/>
  </r>
  <r>
    <s v="ORD001944"/>
    <s v="Laura Pérez"/>
    <s v="laura.pérez@mail.com"/>
    <x v="4"/>
    <s v="Lyon"/>
    <x v="2"/>
    <x v="9"/>
    <n v="4"/>
    <n v="363.43"/>
    <n v="1453.72"/>
    <x v="11"/>
    <x v="1"/>
    <x v="177"/>
    <x v="2"/>
  </r>
  <r>
    <s v="ORD001945"/>
    <s v="Pedro Rodríguez"/>
    <s v="pedro.rodríguez@mail.com"/>
    <x v="2"/>
    <s v="Oporto"/>
    <x v="2"/>
    <x v="10"/>
    <n v="1"/>
    <n v="1313.39"/>
    <n v="1313.39"/>
    <x v="9"/>
    <x v="1"/>
    <x v="409"/>
    <x v="3"/>
  </r>
  <r>
    <s v="ORD001946"/>
    <s v="Diego Alonso"/>
    <s v="diego.alonso@mail.com"/>
    <x v="4"/>
    <s v="Marsella"/>
    <x v="4"/>
    <x v="22"/>
    <n v="5"/>
    <n v="315.48"/>
    <n v="1577.4"/>
    <x v="6"/>
    <x v="0"/>
    <x v="51"/>
    <x v="0"/>
  </r>
  <r>
    <s v="ORD001947"/>
    <s v="Raúl Martínez"/>
    <s v="raúl.martínez@mail.com"/>
    <x v="2"/>
    <s v="Lisboa"/>
    <x v="1"/>
    <x v="6"/>
    <n v="3"/>
    <n v="851.52"/>
    <n v="2554.56"/>
    <x v="9"/>
    <x v="1"/>
    <x v="642"/>
    <x v="1"/>
  </r>
  <r>
    <s v="ORD001948"/>
    <s v="Carmen García"/>
    <s v="carmen.garcía@mail.com"/>
    <x v="4"/>
    <s v="París"/>
    <x v="0"/>
    <x v="13"/>
    <n v="1"/>
    <n v="265.86"/>
    <n v="265.86"/>
    <x v="5"/>
    <x v="1"/>
    <x v="706"/>
    <x v="3"/>
  </r>
  <r>
    <s v="ORD001949"/>
    <s v="Elena Torres"/>
    <s v="elena.torres@mail.com"/>
    <x v="3"/>
    <s v="Roma"/>
    <x v="4"/>
    <x v="11"/>
    <n v="1"/>
    <n v="1028.27"/>
    <n v="1028.27"/>
    <x v="6"/>
    <x v="0"/>
    <x v="610"/>
    <x v="0"/>
  </r>
  <r>
    <s v="ORD001950"/>
    <s v="Sofía Ruiz"/>
    <s v="sofía.ruiz@mail.com"/>
    <x v="2"/>
    <s v="Lisboa"/>
    <x v="3"/>
    <x v="7"/>
    <n v="2"/>
    <n v="691.46"/>
    <n v="1382.92"/>
    <x v="7"/>
    <x v="0"/>
    <x v="744"/>
    <x v="0"/>
  </r>
  <r>
    <s v="ORD001951"/>
    <s v="Luis Pérez"/>
    <s v="luis.pérez@mail.com"/>
    <x v="1"/>
    <s v="Berlín"/>
    <x v="0"/>
    <x v="16"/>
    <n v="3"/>
    <n v="907.24"/>
    <n v="2721.7200000000003"/>
    <x v="5"/>
    <x v="1"/>
    <x v="440"/>
    <x v="1"/>
  </r>
  <r>
    <s v="ORD001952"/>
    <s v="Miguel Navarro"/>
    <s v="miguel.navarro@mail.com"/>
    <x v="4"/>
    <s v="Marsella"/>
    <x v="0"/>
    <x v="0"/>
    <n v="4"/>
    <n v="181.82"/>
    <n v="727.28"/>
    <x v="0"/>
    <x v="0"/>
    <x v="244"/>
    <x v="1"/>
  </r>
  <r>
    <s v="ORD001953"/>
    <s v="Lucía Navarro"/>
    <s v="lucía.navarro@mail.com"/>
    <x v="0"/>
    <s v="Valencia"/>
    <x v="3"/>
    <x v="7"/>
    <n v="2"/>
    <n v="1408.8"/>
    <n v="2817.6"/>
    <x v="11"/>
    <x v="1"/>
    <x v="378"/>
    <x v="3"/>
  </r>
  <r>
    <s v="ORD001954"/>
    <s v="Ana Gómez"/>
    <s v="ana.gómez@mail.com"/>
    <x v="2"/>
    <s v="Braga"/>
    <x v="3"/>
    <x v="4"/>
    <n v="1"/>
    <n v="880.7"/>
    <n v="880.7"/>
    <x v="9"/>
    <x v="1"/>
    <x v="185"/>
    <x v="0"/>
  </r>
  <r>
    <s v="ORD001955"/>
    <s v="Sofía Vázquez"/>
    <s v="sofía.vázquez@mail.com"/>
    <x v="4"/>
    <s v="París"/>
    <x v="1"/>
    <x v="12"/>
    <n v="1"/>
    <n v="323.14"/>
    <n v="323.14"/>
    <x v="5"/>
    <x v="0"/>
    <x v="219"/>
    <x v="2"/>
  </r>
  <r>
    <s v="ORD001956"/>
    <s v="Carlos Díaz"/>
    <s v="carlos.díaz@mail.com"/>
    <x v="3"/>
    <s v="Nápoles"/>
    <x v="1"/>
    <x v="6"/>
    <n v="5"/>
    <n v="986.52"/>
    <n v="4932.6000000000004"/>
    <x v="9"/>
    <x v="1"/>
    <x v="642"/>
    <x v="1"/>
  </r>
  <r>
    <s v="ORD001957"/>
    <s v="Diego López"/>
    <s v="diego.lópez@mail.com"/>
    <x v="3"/>
    <s v="Milán"/>
    <x v="3"/>
    <x v="7"/>
    <n v="4"/>
    <n v="1299.76"/>
    <n v="5199.04"/>
    <x v="10"/>
    <x v="0"/>
    <x v="745"/>
    <x v="3"/>
  </r>
  <r>
    <s v="ORD001958"/>
    <s v="Javier Gil"/>
    <s v="javier.gil@mail.com"/>
    <x v="3"/>
    <s v="Milán"/>
    <x v="4"/>
    <x v="21"/>
    <n v="3"/>
    <n v="250.75"/>
    <n v="752.25"/>
    <x v="2"/>
    <x v="2"/>
    <x v="154"/>
    <x v="1"/>
  </r>
  <r>
    <s v="ORD001959"/>
    <s v="Irene Fernández"/>
    <s v="irene.fernández@mail.com"/>
    <x v="1"/>
    <s v="Berlín"/>
    <x v="4"/>
    <x v="21"/>
    <n v="4"/>
    <n v="889.62"/>
    <n v="3558.48"/>
    <x v="11"/>
    <x v="1"/>
    <x v="572"/>
    <x v="1"/>
  </r>
  <r>
    <s v="ORD001960"/>
    <s v="Lucía Martínez"/>
    <s v="lucía.martínez@mail.com"/>
    <x v="4"/>
    <s v="Marsella"/>
    <x v="2"/>
    <x v="9"/>
    <n v="3"/>
    <n v="517.67999999999995"/>
    <n v="1553.04"/>
    <x v="4"/>
    <x v="0"/>
    <x v="290"/>
    <x v="0"/>
  </r>
  <r>
    <s v="ORD001961"/>
    <s v="Javier Torres"/>
    <s v="javier.torres@mail.com"/>
    <x v="2"/>
    <s v="Braga"/>
    <x v="4"/>
    <x v="23"/>
    <n v="2"/>
    <n v="883.86"/>
    <n v="1767.72"/>
    <x v="9"/>
    <x v="0"/>
    <x v="746"/>
    <x v="4"/>
  </r>
  <r>
    <s v="ORD001962"/>
    <s v="Pablo Rodríguez"/>
    <s v="pablo.rodríguez@mail.com"/>
    <x v="1"/>
    <s v="Berlín"/>
    <x v="1"/>
    <x v="2"/>
    <n v="1"/>
    <n v="643.1"/>
    <n v="643.1"/>
    <x v="8"/>
    <x v="0"/>
    <x v="710"/>
    <x v="2"/>
  </r>
  <r>
    <s v="ORD001963"/>
    <s v="Sofía Sánchez"/>
    <s v="sofía.sánchez@mail.com"/>
    <x v="2"/>
    <s v="Oporto"/>
    <x v="1"/>
    <x v="2"/>
    <n v="1"/>
    <n v="565.17999999999995"/>
    <n v="565.17999999999995"/>
    <x v="11"/>
    <x v="1"/>
    <x v="747"/>
    <x v="4"/>
  </r>
  <r>
    <s v="ORD001964"/>
    <s v="Miguel Fernández"/>
    <s v="miguel.fernández@mail.com"/>
    <x v="0"/>
    <s v="Barcelona"/>
    <x v="4"/>
    <x v="22"/>
    <n v="4"/>
    <n v="1131.9100000000001"/>
    <n v="4527.6400000000003"/>
    <x v="5"/>
    <x v="0"/>
    <x v="748"/>
    <x v="1"/>
  </r>
  <r>
    <s v="ORD001965"/>
    <s v="Ana Gil"/>
    <s v="ana.gil@mail.com"/>
    <x v="4"/>
    <s v="Lyon"/>
    <x v="3"/>
    <x v="4"/>
    <n v="3"/>
    <n v="585.79"/>
    <n v="1757.37"/>
    <x v="6"/>
    <x v="1"/>
    <x v="10"/>
    <x v="3"/>
  </r>
  <r>
    <s v="ORD001966"/>
    <s v="Carlos Rodríguez"/>
    <s v="carlos.rodríguez@mail.com"/>
    <x v="2"/>
    <s v="Lisboa"/>
    <x v="0"/>
    <x v="13"/>
    <n v="2"/>
    <n v="415.26"/>
    <n v="830.52"/>
    <x v="11"/>
    <x v="1"/>
    <x v="76"/>
    <x v="2"/>
  </r>
  <r>
    <s v="ORD001967"/>
    <s v="Carlos Gil"/>
    <s v="carlos.gil@mail.com"/>
    <x v="4"/>
    <s v="Marsella"/>
    <x v="3"/>
    <x v="18"/>
    <n v="1"/>
    <n v="443.72"/>
    <n v="443.72"/>
    <x v="10"/>
    <x v="1"/>
    <x v="749"/>
    <x v="0"/>
  </r>
  <r>
    <s v="ORD001968"/>
    <s v="Luis Vázquez"/>
    <s v="luis.vázquez@mail.com"/>
    <x v="1"/>
    <s v="Berlín"/>
    <x v="4"/>
    <x v="21"/>
    <n v="2"/>
    <n v="1192.05"/>
    <n v="2384.1"/>
    <x v="4"/>
    <x v="0"/>
    <x v="691"/>
    <x v="2"/>
  </r>
  <r>
    <s v="ORD001969"/>
    <s v="Sofía Gómez"/>
    <s v="sofía.gómez@mail.com"/>
    <x v="4"/>
    <s v="Lyon"/>
    <x v="4"/>
    <x v="11"/>
    <n v="3"/>
    <n v="1275.45"/>
    <n v="3826.3500000000004"/>
    <x v="10"/>
    <x v="0"/>
    <x v="164"/>
    <x v="4"/>
  </r>
  <r>
    <s v="ORD001970"/>
    <s v="Sofía Gil"/>
    <s v="sofía.gil@mail.com"/>
    <x v="4"/>
    <s v="París"/>
    <x v="2"/>
    <x v="3"/>
    <n v="1"/>
    <n v="1281.28"/>
    <n v="1281.28"/>
    <x v="11"/>
    <x v="1"/>
    <x v="315"/>
    <x v="3"/>
  </r>
  <r>
    <s v="ORD001971"/>
    <s v="Diego Vázquez"/>
    <s v="diego.vázquez@mail.com"/>
    <x v="2"/>
    <s v="Lisboa"/>
    <x v="2"/>
    <x v="19"/>
    <n v="3"/>
    <n v="576.82000000000005"/>
    <n v="1730.46"/>
    <x v="5"/>
    <x v="1"/>
    <x v="103"/>
    <x v="2"/>
  </r>
  <r>
    <s v="ORD001972"/>
    <s v="Carlos Ramos"/>
    <s v="carlos.ramos@mail.com"/>
    <x v="3"/>
    <s v="Milán"/>
    <x v="0"/>
    <x v="13"/>
    <n v="4"/>
    <n v="931.7"/>
    <n v="3726.8"/>
    <x v="7"/>
    <x v="0"/>
    <x v="62"/>
    <x v="1"/>
  </r>
  <r>
    <s v="ORD001973"/>
    <s v="Lucía Ramos"/>
    <s v="lucía.ramos@mail.com"/>
    <x v="1"/>
    <s v="Múnich"/>
    <x v="4"/>
    <x v="23"/>
    <n v="2"/>
    <n v="324.14999999999998"/>
    <n v="648.29999999999995"/>
    <x v="6"/>
    <x v="1"/>
    <x v="327"/>
    <x v="3"/>
  </r>
  <r>
    <s v="ORD001974"/>
    <s v="Elena Ruiz"/>
    <s v="elena.ruiz@mail.com"/>
    <x v="2"/>
    <s v="Braga"/>
    <x v="3"/>
    <x v="4"/>
    <n v="4"/>
    <n v="926.87"/>
    <n v="3707.48"/>
    <x v="0"/>
    <x v="0"/>
    <x v="264"/>
    <x v="2"/>
  </r>
  <r>
    <s v="ORD001975"/>
    <s v="Carlos Díaz"/>
    <s v="carlos.díaz@mail.com"/>
    <x v="2"/>
    <s v="Lisboa"/>
    <x v="2"/>
    <x v="9"/>
    <n v="4"/>
    <n v="1228.73"/>
    <n v="4914.92"/>
    <x v="2"/>
    <x v="1"/>
    <x v="562"/>
    <x v="4"/>
  </r>
  <r>
    <s v="ORD001976"/>
    <s v="Carmen Navarro"/>
    <s v="carmen.navarro@mail.com"/>
    <x v="3"/>
    <s v="Milán"/>
    <x v="1"/>
    <x v="8"/>
    <n v="1"/>
    <n v="762.39"/>
    <n v="762.39"/>
    <x v="4"/>
    <x v="1"/>
    <x v="750"/>
    <x v="4"/>
  </r>
  <r>
    <s v="ORD001977"/>
    <s v="Raúl Pérez"/>
    <s v="raúl.pérez@mail.com"/>
    <x v="4"/>
    <s v="Lyon"/>
    <x v="4"/>
    <x v="21"/>
    <n v="1"/>
    <n v="1450.64"/>
    <n v="1450.64"/>
    <x v="4"/>
    <x v="1"/>
    <x v="677"/>
    <x v="2"/>
  </r>
  <r>
    <s v="ORD001978"/>
    <s v="Laura Alonso"/>
    <s v="laura.alonso@mail.com"/>
    <x v="4"/>
    <s v="Lyon"/>
    <x v="4"/>
    <x v="14"/>
    <n v="5"/>
    <n v="609.46"/>
    <n v="3047.3"/>
    <x v="11"/>
    <x v="1"/>
    <x v="588"/>
    <x v="2"/>
  </r>
  <r>
    <s v="ORD001979"/>
    <s v="María Gil"/>
    <s v="maría.gil@mail.com"/>
    <x v="0"/>
    <s v="Sevilla"/>
    <x v="2"/>
    <x v="15"/>
    <n v="3"/>
    <n v="239.87"/>
    <n v="719.61"/>
    <x v="2"/>
    <x v="1"/>
    <x v="433"/>
    <x v="1"/>
  </r>
  <r>
    <s v="ORD001980"/>
    <s v="Raúl Pérez"/>
    <s v="raúl.pérez@mail.com"/>
    <x v="4"/>
    <s v="Marsella"/>
    <x v="1"/>
    <x v="1"/>
    <n v="2"/>
    <n v="355.13"/>
    <n v="710.26"/>
    <x v="0"/>
    <x v="0"/>
    <x v="751"/>
    <x v="3"/>
  </r>
  <r>
    <s v="ORD001981"/>
    <s v="Pablo Ramos"/>
    <s v="pablo.ramos@mail.com"/>
    <x v="4"/>
    <s v="Lyon"/>
    <x v="2"/>
    <x v="19"/>
    <n v="5"/>
    <n v="1448.22"/>
    <n v="7241.1"/>
    <x v="2"/>
    <x v="2"/>
    <x v="445"/>
    <x v="4"/>
  </r>
  <r>
    <s v="ORD001982"/>
    <s v="Elena Martínez"/>
    <s v="elena.martínez@mail.com"/>
    <x v="0"/>
    <s v="Valencia"/>
    <x v="1"/>
    <x v="1"/>
    <n v="4"/>
    <n v="1166.31"/>
    <n v="4665.24"/>
    <x v="9"/>
    <x v="1"/>
    <x v="492"/>
    <x v="1"/>
  </r>
  <r>
    <s v="ORD001983"/>
    <s v="Miguel Ruiz"/>
    <s v="miguel.ruiz@mail.com"/>
    <x v="4"/>
    <s v="París"/>
    <x v="2"/>
    <x v="15"/>
    <n v="1"/>
    <n v="462.79"/>
    <n v="462.79"/>
    <x v="0"/>
    <x v="1"/>
    <x v="304"/>
    <x v="4"/>
  </r>
  <r>
    <s v="ORD001984"/>
    <s v="Laura Martínez"/>
    <s v="laura.martínez@mail.com"/>
    <x v="4"/>
    <s v="Marsella"/>
    <x v="0"/>
    <x v="16"/>
    <n v="5"/>
    <n v="757.07"/>
    <n v="3785.3500000000004"/>
    <x v="0"/>
    <x v="0"/>
    <x v="108"/>
    <x v="0"/>
  </r>
  <r>
    <s v="ORD001985"/>
    <s v="Carmen Martínez"/>
    <s v="carmen.martínez@mail.com"/>
    <x v="0"/>
    <s v="Barcelona"/>
    <x v="2"/>
    <x v="9"/>
    <n v="3"/>
    <n v="438.61"/>
    <n v="1315.83"/>
    <x v="9"/>
    <x v="1"/>
    <x v="752"/>
    <x v="4"/>
  </r>
  <r>
    <s v="ORD001986"/>
    <s v="María Sánchez"/>
    <s v="maría.sánchez@mail.com"/>
    <x v="2"/>
    <s v="Oporto"/>
    <x v="1"/>
    <x v="8"/>
    <n v="2"/>
    <n v="1342.01"/>
    <n v="2684.02"/>
    <x v="10"/>
    <x v="2"/>
    <x v="83"/>
    <x v="2"/>
  </r>
  <r>
    <s v="ORD001987"/>
    <s v="Raúl Martínez"/>
    <s v="raúl.martínez@mail.com"/>
    <x v="4"/>
    <s v="Lyon"/>
    <x v="2"/>
    <x v="9"/>
    <n v="1"/>
    <n v="1260.1500000000001"/>
    <n v="1260.1500000000001"/>
    <x v="3"/>
    <x v="1"/>
    <x v="465"/>
    <x v="0"/>
  </r>
  <r>
    <s v="ORD001988"/>
    <s v="Lucía Díaz"/>
    <s v="lucía.díaz@mail.com"/>
    <x v="3"/>
    <s v="Milán"/>
    <x v="3"/>
    <x v="4"/>
    <n v="5"/>
    <n v="753.9"/>
    <n v="3769.5"/>
    <x v="6"/>
    <x v="1"/>
    <x v="160"/>
    <x v="2"/>
  </r>
  <r>
    <s v="ORD001989"/>
    <s v="Elena Gil"/>
    <s v="elena.gil@mail.com"/>
    <x v="4"/>
    <s v="Lyon"/>
    <x v="3"/>
    <x v="18"/>
    <n v="2"/>
    <n v="1324.92"/>
    <n v="2649.84"/>
    <x v="2"/>
    <x v="0"/>
    <x v="558"/>
    <x v="0"/>
  </r>
  <r>
    <s v="ORD001990"/>
    <s v="Javier Díaz"/>
    <s v="javier.díaz@mail.com"/>
    <x v="0"/>
    <s v="Valencia"/>
    <x v="1"/>
    <x v="1"/>
    <n v="5"/>
    <n v="1065.3699999999999"/>
    <n v="5326.8499999999995"/>
    <x v="7"/>
    <x v="1"/>
    <x v="275"/>
    <x v="4"/>
  </r>
  <r>
    <s v="ORD001991"/>
    <s v="Javier Navarro"/>
    <s v="javier.navarro@mail.com"/>
    <x v="1"/>
    <s v="Berlín"/>
    <x v="0"/>
    <x v="16"/>
    <n v="2"/>
    <n v="559.61"/>
    <n v="1119.22"/>
    <x v="7"/>
    <x v="0"/>
    <x v="356"/>
    <x v="3"/>
  </r>
  <r>
    <s v="ORD001992"/>
    <s v="Elena Gil"/>
    <s v="elena.gil@mail.com"/>
    <x v="4"/>
    <s v="Marsella"/>
    <x v="3"/>
    <x v="7"/>
    <n v="2"/>
    <n v="717.96"/>
    <n v="1435.92"/>
    <x v="8"/>
    <x v="1"/>
    <x v="387"/>
    <x v="2"/>
  </r>
  <r>
    <s v="ORD001993"/>
    <s v="Irene García"/>
    <s v="irene.garcía@mail.com"/>
    <x v="1"/>
    <s v="Berlín"/>
    <x v="2"/>
    <x v="19"/>
    <n v="2"/>
    <n v="937.01"/>
    <n v="1874.02"/>
    <x v="0"/>
    <x v="0"/>
    <x v="554"/>
    <x v="3"/>
  </r>
  <r>
    <s v="ORD001994"/>
    <s v="Carlos Rodríguez"/>
    <s v="carlos.rodríguez@mail.com"/>
    <x v="4"/>
    <s v="Lyon"/>
    <x v="0"/>
    <x v="13"/>
    <n v="4"/>
    <n v="694.6"/>
    <n v="2778.4"/>
    <x v="2"/>
    <x v="1"/>
    <x v="303"/>
    <x v="1"/>
  </r>
  <r>
    <s v="ORD001995"/>
    <s v="Miguel Díaz"/>
    <s v="miguel.díaz@mail.com"/>
    <x v="1"/>
    <s v="Hamburgo"/>
    <x v="0"/>
    <x v="0"/>
    <n v="5"/>
    <n v="907.43"/>
    <n v="4537.1499999999996"/>
    <x v="7"/>
    <x v="1"/>
    <x v="354"/>
    <x v="1"/>
  </r>
  <r>
    <s v="ORD001996"/>
    <s v="Miguel García"/>
    <s v="miguel.garcía@mail.com"/>
    <x v="2"/>
    <s v="Oporto"/>
    <x v="1"/>
    <x v="1"/>
    <n v="5"/>
    <n v="1127.3800000000001"/>
    <n v="5636.9000000000005"/>
    <x v="9"/>
    <x v="1"/>
    <x v="408"/>
    <x v="1"/>
  </r>
  <r>
    <s v="ORD001997"/>
    <s v="Sofía Sánchez"/>
    <s v="sofía.sánchez@mail.com"/>
    <x v="2"/>
    <s v="Oporto"/>
    <x v="0"/>
    <x v="20"/>
    <n v="4"/>
    <n v="1438.86"/>
    <n v="5755.44"/>
    <x v="7"/>
    <x v="0"/>
    <x v="326"/>
    <x v="4"/>
  </r>
  <r>
    <s v="ORD001998"/>
    <s v="Lucía Díaz"/>
    <s v="lucía.díaz@mail.com"/>
    <x v="2"/>
    <s v="Oporto"/>
    <x v="1"/>
    <x v="12"/>
    <n v="4"/>
    <n v="1151.3399999999999"/>
    <n v="4605.3599999999997"/>
    <x v="4"/>
    <x v="1"/>
    <x v="58"/>
    <x v="0"/>
  </r>
  <r>
    <s v="ORD001999"/>
    <s v="Raúl Pérez"/>
    <s v="raúl.pérez@mail.com"/>
    <x v="2"/>
    <s v="Braga"/>
    <x v="4"/>
    <x v="22"/>
    <n v="3"/>
    <n v="1182.57"/>
    <n v="3547.71"/>
    <x v="1"/>
    <x v="1"/>
    <x v="514"/>
    <x v="0"/>
  </r>
  <r>
    <s v="ORD002000"/>
    <s v="Diego Torres"/>
    <s v="diego.torres@mail.com"/>
    <x v="3"/>
    <s v="Nápoles"/>
    <x v="3"/>
    <x v="15"/>
    <n v="3"/>
    <n v="66.58"/>
    <n v="199.74"/>
    <x v="11"/>
    <x v="0"/>
    <x v="126"/>
    <x v="2"/>
  </r>
  <r>
    <s v="ORD002001"/>
    <s v="Elena Gómez"/>
    <s v="elena.gómez@mail.com"/>
    <x v="0"/>
    <s v="Bilbao"/>
    <x v="0"/>
    <x v="0"/>
    <n v="2"/>
    <n v="1070.68"/>
    <n v="2141.36"/>
    <x v="10"/>
    <x v="2"/>
    <x v="426"/>
    <x v="2"/>
  </r>
  <r>
    <s v="ORD002002"/>
    <s v="Sofía Díaz"/>
    <s v="sofía.díaz@mail.com"/>
    <x v="1"/>
    <s v="Múnich"/>
    <x v="4"/>
    <x v="11"/>
    <n v="5"/>
    <n v="478.38"/>
    <n v="2391.9"/>
    <x v="6"/>
    <x v="1"/>
    <x v="579"/>
    <x v="3"/>
  </r>
  <r>
    <s v="ORD002003"/>
    <s v="Carmen Martínez"/>
    <s v="carmen.martínez@mail.com"/>
    <x v="3"/>
    <s v="Nápoles"/>
    <x v="1"/>
    <x v="1"/>
    <n v="4"/>
    <n v="251.48"/>
    <n v="1005.92"/>
    <x v="11"/>
    <x v="1"/>
    <x v="268"/>
    <x v="2"/>
  </r>
  <r>
    <s v="ORD002004"/>
    <s v="Pedro Gómez"/>
    <s v="pedro.gómez@mail.com"/>
    <x v="4"/>
    <s v="Lyon"/>
    <x v="0"/>
    <x v="16"/>
    <n v="4"/>
    <n v="1089.8800000000001"/>
    <n v="4359.5200000000004"/>
    <x v="7"/>
    <x v="0"/>
    <x v="299"/>
    <x v="4"/>
  </r>
  <r>
    <s v="ORD002005"/>
    <s v="Ana Torres"/>
    <s v="ana.torres@mail.com"/>
    <x v="2"/>
    <s v="Braga"/>
    <x v="4"/>
    <x v="11"/>
    <n v="4"/>
    <n v="388.58"/>
    <n v="1554.32"/>
    <x v="2"/>
    <x v="2"/>
    <x v="153"/>
    <x v="1"/>
  </r>
  <r>
    <s v="ORD002006"/>
    <s v="Elena Martínez"/>
    <s v="elena.martínez@mail.com"/>
    <x v="2"/>
    <s v="Lisboa"/>
    <x v="3"/>
    <x v="5"/>
    <n v="2"/>
    <n v="1275.74"/>
    <n v="2551.48"/>
    <x v="6"/>
    <x v="0"/>
    <x v="331"/>
    <x v="3"/>
  </r>
  <r>
    <s v="ORD002007"/>
    <s v="Carlos Díaz"/>
    <s v="carlos.díaz@mail.com"/>
    <x v="2"/>
    <s v="Braga"/>
    <x v="2"/>
    <x v="10"/>
    <n v="2"/>
    <n v="867.61"/>
    <n v="1735.22"/>
    <x v="10"/>
    <x v="0"/>
    <x v="72"/>
    <x v="0"/>
  </r>
  <r>
    <s v="ORD002008"/>
    <s v="Lucía Vázquez"/>
    <s v="lucía.vázquez@mail.com"/>
    <x v="1"/>
    <s v="Múnich"/>
    <x v="0"/>
    <x v="0"/>
    <n v="2"/>
    <n v="415.35"/>
    <n v="830.7"/>
    <x v="1"/>
    <x v="1"/>
    <x v="209"/>
    <x v="0"/>
  </r>
  <r>
    <s v="ORD002009"/>
    <s v="Sofía Torres"/>
    <s v="sofía.torres@mail.com"/>
    <x v="3"/>
    <s v="Nápoles"/>
    <x v="0"/>
    <x v="0"/>
    <n v="5"/>
    <n v="1336.34"/>
    <n v="6681.7"/>
    <x v="10"/>
    <x v="2"/>
    <x v="753"/>
    <x v="0"/>
  </r>
  <r>
    <s v="ORD002010"/>
    <s v="Ana López"/>
    <s v="ana.lópez@mail.com"/>
    <x v="4"/>
    <s v="Marsella"/>
    <x v="2"/>
    <x v="19"/>
    <n v="4"/>
    <n v="906.38"/>
    <n v="3625.52"/>
    <x v="10"/>
    <x v="0"/>
    <x v="55"/>
    <x v="0"/>
  </r>
  <r>
    <s v="ORD002011"/>
    <s v="Carmen Ruiz"/>
    <s v="carmen.ruiz@mail.com"/>
    <x v="2"/>
    <s v="Oporto"/>
    <x v="1"/>
    <x v="6"/>
    <n v="2"/>
    <n v="202"/>
    <n v="404"/>
    <x v="1"/>
    <x v="0"/>
    <x v="754"/>
    <x v="4"/>
  </r>
  <r>
    <s v="ORD002012"/>
    <s v="Diego Pérez"/>
    <s v="diego.pérez@mail.com"/>
    <x v="0"/>
    <s v="Barcelona"/>
    <x v="2"/>
    <x v="9"/>
    <n v="3"/>
    <n v="65.06"/>
    <n v="195.18"/>
    <x v="11"/>
    <x v="0"/>
    <x v="755"/>
    <x v="0"/>
  </r>
  <r>
    <s v="ORD002013"/>
    <s v="Pablo Alonso"/>
    <s v="pablo.alonso@mail.com"/>
    <x v="2"/>
    <s v="Lisboa"/>
    <x v="2"/>
    <x v="3"/>
    <n v="1"/>
    <n v="224.69"/>
    <n v="224.69"/>
    <x v="7"/>
    <x v="0"/>
    <x v="517"/>
    <x v="2"/>
  </r>
  <r>
    <s v="ORD002014"/>
    <s v="Carmen Ramos"/>
    <s v="carmen.ramos@mail.com"/>
    <x v="1"/>
    <s v="Múnich"/>
    <x v="1"/>
    <x v="8"/>
    <n v="2"/>
    <n v="736.76"/>
    <n v="1473.52"/>
    <x v="6"/>
    <x v="1"/>
    <x v="612"/>
    <x v="0"/>
  </r>
  <r>
    <s v="ORD002015"/>
    <s v="Carlos Torres"/>
    <s v="carlos.torres@mail.com"/>
    <x v="3"/>
    <s v="Roma"/>
    <x v="1"/>
    <x v="6"/>
    <n v="4"/>
    <n v="747.41"/>
    <n v="2989.64"/>
    <x v="8"/>
    <x v="0"/>
    <x v="580"/>
    <x v="3"/>
  </r>
  <r>
    <s v="ORD002016"/>
    <s v="Ana Pérez"/>
    <s v="ana.pérez@mail.com"/>
    <x v="1"/>
    <s v="Múnich"/>
    <x v="2"/>
    <x v="3"/>
    <n v="3"/>
    <n v="1388.19"/>
    <n v="4164.57"/>
    <x v="1"/>
    <x v="1"/>
    <x v="106"/>
    <x v="3"/>
  </r>
  <r>
    <s v="ORD002017"/>
    <s v="Carmen Gómez"/>
    <s v="carmen.gómez@mail.com"/>
    <x v="1"/>
    <s v="Berlín"/>
    <x v="3"/>
    <x v="15"/>
    <n v="4"/>
    <n v="1306.75"/>
    <n v="5227"/>
    <x v="4"/>
    <x v="0"/>
    <x v="265"/>
    <x v="1"/>
  </r>
  <r>
    <s v="ORD002018"/>
    <s v="Ana Ramos"/>
    <s v="ana.ramos@mail.com"/>
    <x v="0"/>
    <s v="Barcelona"/>
    <x v="2"/>
    <x v="10"/>
    <n v="2"/>
    <n v="5.45"/>
    <n v="10.9"/>
    <x v="11"/>
    <x v="1"/>
    <x v="572"/>
    <x v="0"/>
  </r>
  <r>
    <s v="ORD002019"/>
    <s v="Irene Díaz"/>
    <s v="irene.díaz@mail.com"/>
    <x v="3"/>
    <s v="Milán"/>
    <x v="0"/>
    <x v="20"/>
    <n v="4"/>
    <n v="1322.01"/>
    <n v="5288.04"/>
    <x v="9"/>
    <x v="0"/>
    <x v="469"/>
    <x v="3"/>
  </r>
  <r>
    <s v="ORD002020"/>
    <s v="Lucía Navarro"/>
    <s v="lucía.navarro@mail.com"/>
    <x v="4"/>
    <s v="París"/>
    <x v="0"/>
    <x v="20"/>
    <n v="4"/>
    <n v="796.63"/>
    <n v="3186.52"/>
    <x v="11"/>
    <x v="1"/>
    <x v="189"/>
    <x v="0"/>
  </r>
  <r>
    <s v="ORD002021"/>
    <s v="Raúl Fernández"/>
    <s v="raúl.fernández@mail.com"/>
    <x v="3"/>
    <s v="Nápoles"/>
    <x v="3"/>
    <x v="7"/>
    <n v="2"/>
    <n v="276.58999999999997"/>
    <n v="553.17999999999995"/>
    <x v="2"/>
    <x v="2"/>
    <x v="756"/>
    <x v="3"/>
  </r>
  <r>
    <s v="ORD002022"/>
    <s v="Sofía Fernández"/>
    <s v="sofía.fernández@mail.com"/>
    <x v="1"/>
    <s v="Berlín"/>
    <x v="1"/>
    <x v="1"/>
    <n v="2"/>
    <n v="735.27"/>
    <n v="1470.54"/>
    <x v="9"/>
    <x v="0"/>
    <x v="746"/>
    <x v="4"/>
  </r>
  <r>
    <s v="ORD002023"/>
    <s v="Javier Ramos"/>
    <s v="javier.ramos@mail.com"/>
    <x v="1"/>
    <s v="Hamburgo"/>
    <x v="2"/>
    <x v="19"/>
    <n v="1"/>
    <n v="464.66"/>
    <n v="464.66"/>
    <x v="2"/>
    <x v="2"/>
    <x v="2"/>
    <x v="0"/>
  </r>
  <r>
    <s v="ORD002024"/>
    <s v="Irene Ramos"/>
    <s v="irene.ramos@mail.com"/>
    <x v="0"/>
    <s v="Barcelona"/>
    <x v="1"/>
    <x v="1"/>
    <n v="4"/>
    <n v="785.14"/>
    <n v="3140.56"/>
    <x v="9"/>
    <x v="1"/>
    <x v="204"/>
    <x v="3"/>
  </r>
  <r>
    <s v="ORD002025"/>
    <s v="Miguel Sánchez"/>
    <s v="miguel.sánchez@mail.com"/>
    <x v="1"/>
    <s v="Berlín"/>
    <x v="1"/>
    <x v="12"/>
    <n v="5"/>
    <n v="1200.78"/>
    <n v="6003.9"/>
    <x v="9"/>
    <x v="0"/>
    <x v="44"/>
    <x v="2"/>
  </r>
  <r>
    <s v="ORD002026"/>
    <s v="Carlos García"/>
    <s v="carlos.garcía@mail.com"/>
    <x v="2"/>
    <s v="Lisboa"/>
    <x v="4"/>
    <x v="14"/>
    <n v="4"/>
    <n v="306.56"/>
    <n v="1226.24"/>
    <x v="6"/>
    <x v="1"/>
    <x v="86"/>
    <x v="3"/>
  </r>
  <r>
    <s v="ORD002027"/>
    <s v="Pedro Sánchez"/>
    <s v="pedro.sánchez@mail.com"/>
    <x v="1"/>
    <s v="Berlín"/>
    <x v="1"/>
    <x v="2"/>
    <n v="2"/>
    <n v="468.89"/>
    <n v="937.78"/>
    <x v="11"/>
    <x v="1"/>
    <x v="68"/>
    <x v="4"/>
  </r>
  <r>
    <s v="ORD002028"/>
    <s v="Carmen Ruiz"/>
    <s v="carmen.ruiz@mail.com"/>
    <x v="0"/>
    <s v="Valencia"/>
    <x v="4"/>
    <x v="21"/>
    <n v="1"/>
    <n v="1454.45"/>
    <n v="1454.45"/>
    <x v="11"/>
    <x v="1"/>
    <x v="559"/>
    <x v="0"/>
  </r>
  <r>
    <s v="ORD002029"/>
    <s v="Raúl Ramos"/>
    <s v="raúl.ramos@mail.com"/>
    <x v="2"/>
    <s v="Oporto"/>
    <x v="3"/>
    <x v="15"/>
    <n v="5"/>
    <n v="879.48"/>
    <n v="4397.3999999999996"/>
    <x v="5"/>
    <x v="2"/>
    <x v="261"/>
    <x v="2"/>
  </r>
  <r>
    <s v="ORD002030"/>
    <s v="Pedro Rodríguez"/>
    <s v="pedro.rodríguez@mail.com"/>
    <x v="3"/>
    <s v="Nápoles"/>
    <x v="3"/>
    <x v="15"/>
    <n v="3"/>
    <n v="1006.99"/>
    <n v="3020.9700000000003"/>
    <x v="2"/>
    <x v="0"/>
    <x v="694"/>
    <x v="2"/>
  </r>
  <r>
    <s v="ORD002031"/>
    <s v="Irene Torres"/>
    <s v="irene.torres@mail.com"/>
    <x v="2"/>
    <s v="Oporto"/>
    <x v="3"/>
    <x v="5"/>
    <n v="3"/>
    <n v="12.81"/>
    <n v="38.43"/>
    <x v="11"/>
    <x v="1"/>
    <x v="432"/>
    <x v="4"/>
  </r>
  <r>
    <s v="ORD002032"/>
    <s v="Carlos García"/>
    <s v="carlos.garcía@mail.com"/>
    <x v="1"/>
    <s v="Múnich"/>
    <x v="2"/>
    <x v="3"/>
    <n v="2"/>
    <n v="18.79"/>
    <n v="37.58"/>
    <x v="9"/>
    <x v="1"/>
    <x v="276"/>
    <x v="3"/>
  </r>
  <r>
    <s v="ORD002033"/>
    <s v="Javier García"/>
    <s v="javier.garcía@mail.com"/>
    <x v="1"/>
    <s v="Berlín"/>
    <x v="4"/>
    <x v="14"/>
    <n v="1"/>
    <n v="185.02"/>
    <n v="185.02"/>
    <x v="8"/>
    <x v="0"/>
    <x v="47"/>
    <x v="0"/>
  </r>
  <r>
    <s v="ORD002034"/>
    <s v="Sofía Martínez"/>
    <s v="sofía.martínez@mail.com"/>
    <x v="4"/>
    <s v="París"/>
    <x v="4"/>
    <x v="11"/>
    <n v="3"/>
    <n v="113.81"/>
    <n v="341.43"/>
    <x v="9"/>
    <x v="0"/>
    <x v="469"/>
    <x v="4"/>
  </r>
  <r>
    <s v="ORD002035"/>
    <s v="Carmen Ramos"/>
    <s v="carmen.ramos@mail.com"/>
    <x v="4"/>
    <s v="París"/>
    <x v="3"/>
    <x v="5"/>
    <n v="2"/>
    <n v="1317.7"/>
    <n v="2635.4"/>
    <x v="1"/>
    <x v="1"/>
    <x v="85"/>
    <x v="2"/>
  </r>
  <r>
    <s v="ORD002036"/>
    <s v="Lucía Gil"/>
    <s v="lucía.gil@mail.com"/>
    <x v="3"/>
    <s v="Nápoles"/>
    <x v="4"/>
    <x v="11"/>
    <n v="3"/>
    <n v="994.35"/>
    <n v="2983.05"/>
    <x v="9"/>
    <x v="0"/>
    <x v="355"/>
    <x v="3"/>
  </r>
  <r>
    <s v="ORD002037"/>
    <s v="Irene García"/>
    <s v="irene.garcía@mail.com"/>
    <x v="4"/>
    <s v="Lyon"/>
    <x v="0"/>
    <x v="16"/>
    <n v="4"/>
    <n v="416.09"/>
    <n v="1664.36"/>
    <x v="0"/>
    <x v="1"/>
    <x v="486"/>
    <x v="2"/>
  </r>
  <r>
    <s v="ORD002038"/>
    <s v="Lucía López"/>
    <s v="lucía.lópez@mail.com"/>
    <x v="1"/>
    <s v="Hamburgo"/>
    <x v="2"/>
    <x v="3"/>
    <n v="4"/>
    <n v="405.91"/>
    <n v="1623.64"/>
    <x v="5"/>
    <x v="1"/>
    <x v="706"/>
    <x v="1"/>
  </r>
  <r>
    <s v="ORD002039"/>
    <s v="Raúl Gómez"/>
    <s v="raúl.gómez@mail.com"/>
    <x v="3"/>
    <s v="Nápoles"/>
    <x v="0"/>
    <x v="17"/>
    <n v="4"/>
    <n v="977.81"/>
    <n v="3911.24"/>
    <x v="10"/>
    <x v="0"/>
    <x v="157"/>
    <x v="3"/>
  </r>
  <r>
    <s v="ORD002040"/>
    <s v="Sofía Ramos"/>
    <s v="sofía.ramos@mail.com"/>
    <x v="1"/>
    <s v="Berlín"/>
    <x v="0"/>
    <x v="17"/>
    <n v="5"/>
    <n v="1198.57"/>
    <n v="5992.8499999999995"/>
    <x v="4"/>
    <x v="1"/>
    <x v="677"/>
    <x v="3"/>
  </r>
  <r>
    <s v="ORD002041"/>
    <s v="Elena Pérez"/>
    <s v="elena.pérez@mail.com"/>
    <x v="3"/>
    <s v="Nápoles"/>
    <x v="2"/>
    <x v="3"/>
    <n v="3"/>
    <n v="223.01"/>
    <n v="669.03"/>
    <x v="2"/>
    <x v="2"/>
    <x v="445"/>
    <x v="2"/>
  </r>
  <r>
    <s v="ORD002042"/>
    <s v="Carmen Gil"/>
    <s v="carmen.gil@mail.com"/>
    <x v="2"/>
    <s v="Lisboa"/>
    <x v="1"/>
    <x v="6"/>
    <n v="5"/>
    <n v="747.83"/>
    <n v="3739.15"/>
    <x v="9"/>
    <x v="1"/>
    <x v="702"/>
    <x v="0"/>
  </r>
  <r>
    <s v="ORD002043"/>
    <s v="Irene Ramos"/>
    <s v="irene.ramos@mail.com"/>
    <x v="3"/>
    <s v="Milán"/>
    <x v="3"/>
    <x v="5"/>
    <n v="1"/>
    <n v="1000.14"/>
    <n v="1000.14"/>
    <x v="11"/>
    <x v="0"/>
    <x v="728"/>
    <x v="4"/>
  </r>
  <r>
    <s v="ORD002044"/>
    <s v="Raúl Gil"/>
    <s v="raúl.gil@mail.com"/>
    <x v="4"/>
    <s v="Marsella"/>
    <x v="2"/>
    <x v="19"/>
    <n v="2"/>
    <n v="1059.5899999999999"/>
    <n v="2119.1799999999998"/>
    <x v="1"/>
    <x v="1"/>
    <x v="170"/>
    <x v="4"/>
  </r>
  <r>
    <s v="ORD002045"/>
    <s v="Carmen Martínez"/>
    <s v="carmen.martínez@mail.com"/>
    <x v="1"/>
    <s v="Berlín"/>
    <x v="2"/>
    <x v="19"/>
    <n v="5"/>
    <n v="751.25"/>
    <n v="3756.25"/>
    <x v="5"/>
    <x v="0"/>
    <x v="487"/>
    <x v="2"/>
  </r>
  <r>
    <s v="ORD002046"/>
    <s v="Miguel Fernández"/>
    <s v="miguel.fernández@mail.com"/>
    <x v="4"/>
    <s v="Lyon"/>
    <x v="1"/>
    <x v="2"/>
    <n v="3"/>
    <n v="114.68"/>
    <n v="344.04"/>
    <x v="0"/>
    <x v="0"/>
    <x v="757"/>
    <x v="3"/>
  </r>
  <r>
    <s v="ORD002047"/>
    <s v="María Pérez"/>
    <s v="maría.pérez@mail.com"/>
    <x v="1"/>
    <s v="Hamburgo"/>
    <x v="4"/>
    <x v="22"/>
    <n v="2"/>
    <n v="1014.88"/>
    <n v="2029.76"/>
    <x v="2"/>
    <x v="1"/>
    <x v="263"/>
    <x v="1"/>
  </r>
  <r>
    <s v="ORD002048"/>
    <s v="Irene García"/>
    <s v="irene.garcía@mail.com"/>
    <x v="4"/>
    <s v="París"/>
    <x v="1"/>
    <x v="12"/>
    <n v="4"/>
    <n v="188.96"/>
    <n v="755.84"/>
    <x v="7"/>
    <x v="0"/>
    <x v="524"/>
    <x v="4"/>
  </r>
  <r>
    <s v="ORD002049"/>
    <s v="Raúl Sánchez"/>
    <s v="raúl.sánchez@mail.com"/>
    <x v="2"/>
    <s v="Braga"/>
    <x v="3"/>
    <x v="5"/>
    <n v="2"/>
    <n v="1055.3900000000001"/>
    <n v="2110.7800000000002"/>
    <x v="4"/>
    <x v="0"/>
    <x v="614"/>
    <x v="4"/>
  </r>
  <r>
    <s v="ORD002050"/>
    <s v="Elena Martínez"/>
    <s v="elena.martínez@mail.com"/>
    <x v="0"/>
    <s v="Madrid"/>
    <x v="0"/>
    <x v="16"/>
    <n v="1"/>
    <n v="347.04"/>
    <n v="347.04"/>
    <x v="6"/>
    <x v="1"/>
    <x v="327"/>
    <x v="4"/>
  </r>
  <r>
    <s v="ORD002051"/>
    <s v="María García"/>
    <s v="maría.garcía@mail.com"/>
    <x v="2"/>
    <s v="Oporto"/>
    <x v="0"/>
    <x v="13"/>
    <n v="5"/>
    <n v="1199.67"/>
    <n v="5998.35"/>
    <x v="4"/>
    <x v="0"/>
    <x v="171"/>
    <x v="3"/>
  </r>
  <r>
    <s v="ORD002052"/>
    <s v="Carmen Pérez"/>
    <s v="carmen.pérez@mail.com"/>
    <x v="3"/>
    <s v="Milán"/>
    <x v="4"/>
    <x v="14"/>
    <n v="5"/>
    <n v="244.84"/>
    <n v="1224.2"/>
    <x v="6"/>
    <x v="0"/>
    <x v="111"/>
    <x v="1"/>
  </r>
  <r>
    <s v="ORD002053"/>
    <s v="Luis Díaz"/>
    <s v="luis.díaz@mail.com"/>
    <x v="2"/>
    <s v="Oporto"/>
    <x v="2"/>
    <x v="10"/>
    <n v="4"/>
    <n v="417.52"/>
    <n v="1670.08"/>
    <x v="2"/>
    <x v="1"/>
    <x v="4"/>
    <x v="2"/>
  </r>
  <r>
    <s v="ORD002054"/>
    <s v="Irene Rodríguez"/>
    <s v="irene.rodríguez@mail.com"/>
    <x v="1"/>
    <s v="Múnich"/>
    <x v="1"/>
    <x v="6"/>
    <n v="2"/>
    <n v="774.27"/>
    <n v="1548.54"/>
    <x v="2"/>
    <x v="2"/>
    <x v="436"/>
    <x v="2"/>
  </r>
  <r>
    <s v="ORD002055"/>
    <s v="Pedro Gómez"/>
    <s v="pedro.gómez@mail.com"/>
    <x v="4"/>
    <s v="Marsella"/>
    <x v="2"/>
    <x v="19"/>
    <n v="4"/>
    <n v="1217.8699999999999"/>
    <n v="4871.4799999999996"/>
    <x v="1"/>
    <x v="1"/>
    <x v="742"/>
    <x v="1"/>
  </r>
  <r>
    <s v="ORD002056"/>
    <s v="Miguel Fernández"/>
    <s v="miguel.fernández@mail.com"/>
    <x v="3"/>
    <s v="Milán"/>
    <x v="0"/>
    <x v="17"/>
    <n v="1"/>
    <n v="720.47"/>
    <n v="720.47"/>
    <x v="10"/>
    <x v="2"/>
    <x v="681"/>
    <x v="2"/>
  </r>
  <r>
    <s v="ORD002057"/>
    <s v="Luis Vázquez"/>
    <s v="luis.vázquez@mail.com"/>
    <x v="1"/>
    <s v="Hamburgo"/>
    <x v="1"/>
    <x v="2"/>
    <n v="3"/>
    <n v="1023.87"/>
    <n v="3071.61"/>
    <x v="3"/>
    <x v="0"/>
    <x v="50"/>
    <x v="3"/>
  </r>
  <r>
    <s v="ORD002058"/>
    <s v="Pablo Sánchez"/>
    <s v="pablo.sánchez@mail.com"/>
    <x v="1"/>
    <s v="Hamburgo"/>
    <x v="2"/>
    <x v="3"/>
    <n v="4"/>
    <n v="547.05999999999995"/>
    <n v="2188.2399999999998"/>
    <x v="3"/>
    <x v="0"/>
    <x v="535"/>
    <x v="1"/>
  </r>
  <r>
    <s v="ORD002059"/>
    <s v="Carlos Martínez"/>
    <s v="carlos.martínez@mail.com"/>
    <x v="0"/>
    <s v="Madrid"/>
    <x v="2"/>
    <x v="19"/>
    <n v="1"/>
    <n v="602.41"/>
    <n v="602.41"/>
    <x v="11"/>
    <x v="0"/>
    <x v="314"/>
    <x v="0"/>
  </r>
  <r>
    <s v="ORD002060"/>
    <s v="Carmen Torres"/>
    <s v="carmen.torres@mail.com"/>
    <x v="3"/>
    <s v="Milán"/>
    <x v="0"/>
    <x v="0"/>
    <n v="2"/>
    <n v="209.43"/>
    <n v="418.86"/>
    <x v="4"/>
    <x v="0"/>
    <x v="614"/>
    <x v="0"/>
  </r>
  <r>
    <s v="ORD002061"/>
    <s v="Irene Navarro"/>
    <s v="irene.navarro@mail.com"/>
    <x v="3"/>
    <s v="Milán"/>
    <x v="3"/>
    <x v="18"/>
    <n v="2"/>
    <n v="1485.17"/>
    <n v="2970.34"/>
    <x v="10"/>
    <x v="2"/>
    <x v="758"/>
    <x v="4"/>
  </r>
  <r>
    <s v="ORD002062"/>
    <s v="Pablo Rodríguez"/>
    <s v="pablo.rodríguez@mail.com"/>
    <x v="2"/>
    <s v="Lisboa"/>
    <x v="4"/>
    <x v="14"/>
    <n v="5"/>
    <n v="202.92"/>
    <n v="1014.5999999999999"/>
    <x v="1"/>
    <x v="0"/>
    <x v="636"/>
    <x v="1"/>
  </r>
  <r>
    <s v="ORD002063"/>
    <s v="Ana García"/>
    <s v="ana.garcía@mail.com"/>
    <x v="1"/>
    <s v="Múnich"/>
    <x v="3"/>
    <x v="18"/>
    <n v="3"/>
    <n v="25.56"/>
    <n v="76.679999999999993"/>
    <x v="11"/>
    <x v="0"/>
    <x v="759"/>
    <x v="3"/>
  </r>
  <r>
    <s v="ORD002064"/>
    <s v="María Martínez"/>
    <s v="maría.martínez@mail.com"/>
    <x v="2"/>
    <s v="Braga"/>
    <x v="0"/>
    <x v="16"/>
    <n v="4"/>
    <n v="763.92"/>
    <n v="3055.68"/>
    <x v="5"/>
    <x v="1"/>
    <x v="339"/>
    <x v="3"/>
  </r>
  <r>
    <s v="ORD002065"/>
    <s v="María Martínez"/>
    <s v="maría.martínez@mail.com"/>
    <x v="4"/>
    <s v="Marsella"/>
    <x v="2"/>
    <x v="9"/>
    <n v="4"/>
    <n v="199.58"/>
    <n v="798.32"/>
    <x v="5"/>
    <x v="1"/>
    <x v="339"/>
    <x v="4"/>
  </r>
  <r>
    <s v="ORD002066"/>
    <s v="Diego Martínez"/>
    <s v="diego.martínez@mail.com"/>
    <x v="2"/>
    <s v="Lisboa"/>
    <x v="4"/>
    <x v="22"/>
    <n v="1"/>
    <n v="1302.07"/>
    <n v="1302.07"/>
    <x v="5"/>
    <x v="1"/>
    <x v="105"/>
    <x v="4"/>
  </r>
  <r>
    <s v="ORD002067"/>
    <s v="Raúl Pérez"/>
    <s v="raúl.pérez@mail.com"/>
    <x v="2"/>
    <s v="Oporto"/>
    <x v="3"/>
    <x v="5"/>
    <n v="4"/>
    <n v="1000.6"/>
    <n v="4002.4"/>
    <x v="2"/>
    <x v="0"/>
    <x v="694"/>
    <x v="0"/>
  </r>
  <r>
    <s v="ORD002068"/>
    <s v="Sofía Martínez"/>
    <s v="sofía.martínez@mail.com"/>
    <x v="0"/>
    <s v="Valencia"/>
    <x v="0"/>
    <x v="13"/>
    <n v="4"/>
    <n v="827.11"/>
    <n v="3308.44"/>
    <x v="2"/>
    <x v="1"/>
    <x v="497"/>
    <x v="2"/>
  </r>
  <r>
    <s v="ORD002069"/>
    <s v="Elena López"/>
    <s v="elena.lópez@mail.com"/>
    <x v="4"/>
    <s v="París"/>
    <x v="2"/>
    <x v="15"/>
    <n v="3"/>
    <n v="1258.92"/>
    <n v="3776.76"/>
    <x v="4"/>
    <x v="1"/>
    <x v="677"/>
    <x v="4"/>
  </r>
  <r>
    <s v="ORD002070"/>
    <s v="Carlos Sánchez"/>
    <s v="carlos.sánchez@mail.com"/>
    <x v="3"/>
    <s v="Milán"/>
    <x v="4"/>
    <x v="22"/>
    <n v="5"/>
    <n v="248.83"/>
    <n v="1244.1500000000001"/>
    <x v="3"/>
    <x v="1"/>
    <x v="434"/>
    <x v="1"/>
  </r>
  <r>
    <s v="ORD002071"/>
    <s v="Miguel Ramos"/>
    <s v="miguel.ramos@mail.com"/>
    <x v="2"/>
    <s v="Oporto"/>
    <x v="1"/>
    <x v="8"/>
    <n v="2"/>
    <n v="874.49"/>
    <n v="1748.98"/>
    <x v="4"/>
    <x v="0"/>
    <x v="290"/>
    <x v="1"/>
  </r>
  <r>
    <s v="ORD002072"/>
    <s v="Pablo Ruiz"/>
    <s v="pablo.ruiz@mail.com"/>
    <x v="2"/>
    <s v="Braga"/>
    <x v="2"/>
    <x v="10"/>
    <n v="3"/>
    <n v="180.79"/>
    <n v="542.37"/>
    <x v="10"/>
    <x v="1"/>
    <x v="200"/>
    <x v="3"/>
  </r>
  <r>
    <s v="ORD002073"/>
    <s v="Laura Rodríguez"/>
    <s v="laura.rodríguez@mail.com"/>
    <x v="1"/>
    <s v="Berlín"/>
    <x v="4"/>
    <x v="22"/>
    <n v="1"/>
    <n v="554.33000000000004"/>
    <n v="554.33000000000004"/>
    <x v="2"/>
    <x v="0"/>
    <x v="558"/>
    <x v="3"/>
  </r>
  <r>
    <s v="ORD002074"/>
    <s v="Carlos Rodríguez"/>
    <s v="carlos.rodríguez@mail.com"/>
    <x v="2"/>
    <s v="Oporto"/>
    <x v="2"/>
    <x v="19"/>
    <n v="2"/>
    <n v="344.08"/>
    <n v="688.16"/>
    <x v="8"/>
    <x v="0"/>
    <x v="629"/>
    <x v="0"/>
  </r>
  <r>
    <s v="ORD002075"/>
    <s v="Carmen Ramos"/>
    <s v="carmen.ramos@mail.com"/>
    <x v="2"/>
    <s v="Lisboa"/>
    <x v="0"/>
    <x v="17"/>
    <n v="3"/>
    <n v="303.16000000000003"/>
    <n v="909.48"/>
    <x v="3"/>
    <x v="0"/>
    <x v="271"/>
    <x v="3"/>
  </r>
  <r>
    <s v="ORD002076"/>
    <s v="Carmen Sánchez"/>
    <s v="carmen.sánchez@mail.com"/>
    <x v="0"/>
    <s v="Valencia"/>
    <x v="3"/>
    <x v="7"/>
    <n v="3"/>
    <n v="1355.76"/>
    <n v="4067.2799999999997"/>
    <x v="9"/>
    <x v="0"/>
    <x v="238"/>
    <x v="0"/>
  </r>
  <r>
    <s v="ORD002077"/>
    <s v="Ana García"/>
    <s v="ana.garcía@mail.com"/>
    <x v="0"/>
    <s v="Barcelona"/>
    <x v="1"/>
    <x v="1"/>
    <n v="5"/>
    <n v="1151.3699999999999"/>
    <n v="5756.8499999999995"/>
    <x v="1"/>
    <x v="0"/>
    <x v="760"/>
    <x v="1"/>
  </r>
  <r>
    <s v="ORD002078"/>
    <s v="Pedro Alonso"/>
    <s v="pedro.alonso@mail.com"/>
    <x v="3"/>
    <s v="Milán"/>
    <x v="1"/>
    <x v="8"/>
    <n v="3"/>
    <n v="843.13"/>
    <n v="2529.39"/>
    <x v="0"/>
    <x v="0"/>
    <x v="174"/>
    <x v="3"/>
  </r>
  <r>
    <s v="ORD002079"/>
    <s v="Carlos Pérez"/>
    <s v="carlos.pérez@mail.com"/>
    <x v="4"/>
    <s v="Lyon"/>
    <x v="3"/>
    <x v="4"/>
    <n v="4"/>
    <n v="643.29"/>
    <n v="2573.16"/>
    <x v="2"/>
    <x v="1"/>
    <x v="123"/>
    <x v="3"/>
  </r>
  <r>
    <s v="ORD002080"/>
    <s v="Carlos Díaz"/>
    <s v="carlos.díaz@mail.com"/>
    <x v="1"/>
    <s v="Berlín"/>
    <x v="2"/>
    <x v="15"/>
    <n v="1"/>
    <n v="714.81"/>
    <n v="714.81"/>
    <x v="6"/>
    <x v="1"/>
    <x v="327"/>
    <x v="2"/>
  </r>
  <r>
    <s v="ORD002081"/>
    <s v="María Ruiz"/>
    <s v="maría.ruiz@mail.com"/>
    <x v="4"/>
    <s v="Marsella"/>
    <x v="1"/>
    <x v="6"/>
    <n v="3"/>
    <n v="81.84"/>
    <n v="245.52"/>
    <x v="11"/>
    <x v="1"/>
    <x v="658"/>
    <x v="4"/>
  </r>
  <r>
    <s v="ORD002082"/>
    <s v="Sofía Gómez"/>
    <s v="sofía.gómez@mail.com"/>
    <x v="0"/>
    <s v="Valencia"/>
    <x v="2"/>
    <x v="3"/>
    <n v="5"/>
    <n v="1273.18"/>
    <n v="6365.9000000000005"/>
    <x v="2"/>
    <x v="0"/>
    <x v="558"/>
    <x v="2"/>
  </r>
  <r>
    <s v="ORD002083"/>
    <s v="Miguel López"/>
    <s v="miguel.lópez@mail.com"/>
    <x v="2"/>
    <s v="Braga"/>
    <x v="1"/>
    <x v="6"/>
    <n v="4"/>
    <n v="1159.8"/>
    <n v="4639.2"/>
    <x v="1"/>
    <x v="1"/>
    <x v="392"/>
    <x v="0"/>
  </r>
  <r>
    <s v="ORD002084"/>
    <s v="María Navarro"/>
    <s v="maría.navarro@mail.com"/>
    <x v="2"/>
    <s v="Lisboa"/>
    <x v="0"/>
    <x v="0"/>
    <n v="2"/>
    <n v="1089.6300000000001"/>
    <n v="2179.2600000000002"/>
    <x v="4"/>
    <x v="1"/>
    <x v="677"/>
    <x v="1"/>
  </r>
  <r>
    <s v="ORD002085"/>
    <s v="Laura Díaz"/>
    <s v="laura.díaz@mail.com"/>
    <x v="0"/>
    <s v="Sevilla"/>
    <x v="4"/>
    <x v="22"/>
    <n v="4"/>
    <n v="18.829999999999998"/>
    <n v="75.319999999999993"/>
    <x v="2"/>
    <x v="0"/>
    <x v="761"/>
    <x v="1"/>
  </r>
  <r>
    <s v="ORD002086"/>
    <s v="Lucía Sánchez"/>
    <s v="lucía.sánchez@mail.com"/>
    <x v="0"/>
    <s v="Madrid"/>
    <x v="3"/>
    <x v="7"/>
    <n v="5"/>
    <n v="318.83"/>
    <n v="1594.1499999999999"/>
    <x v="0"/>
    <x v="0"/>
    <x v="264"/>
    <x v="4"/>
  </r>
  <r>
    <s v="ORD002087"/>
    <s v="Irene Gil"/>
    <s v="irene.gil@mail.com"/>
    <x v="2"/>
    <s v="Braga"/>
    <x v="4"/>
    <x v="23"/>
    <n v="1"/>
    <n v="769.32"/>
    <n v="769.32"/>
    <x v="10"/>
    <x v="2"/>
    <x v="681"/>
    <x v="1"/>
  </r>
  <r>
    <s v="ORD002088"/>
    <s v="Pedro Gómez"/>
    <s v="pedro.gómez@mail.com"/>
    <x v="3"/>
    <s v="Milán"/>
    <x v="2"/>
    <x v="10"/>
    <n v="2"/>
    <n v="1318.98"/>
    <n v="2637.96"/>
    <x v="8"/>
    <x v="1"/>
    <x v="415"/>
    <x v="3"/>
  </r>
  <r>
    <s v="ORD002089"/>
    <s v="Luis Rodríguez"/>
    <s v="luis.rodríguez@mail.com"/>
    <x v="1"/>
    <s v="Múnich"/>
    <x v="0"/>
    <x v="16"/>
    <n v="5"/>
    <n v="578.72"/>
    <n v="2893.6000000000004"/>
    <x v="4"/>
    <x v="1"/>
    <x v="587"/>
    <x v="4"/>
  </r>
  <r>
    <s v="ORD002090"/>
    <s v="Lucía Pérez"/>
    <s v="lucía.pérez@mail.com"/>
    <x v="3"/>
    <s v="Milán"/>
    <x v="0"/>
    <x v="17"/>
    <n v="3"/>
    <n v="907.96"/>
    <n v="2723.88"/>
    <x v="11"/>
    <x v="1"/>
    <x v="600"/>
    <x v="2"/>
  </r>
  <r>
    <s v="ORD002091"/>
    <s v="Raúl García"/>
    <s v="raúl.garcía@mail.com"/>
    <x v="4"/>
    <s v="París"/>
    <x v="2"/>
    <x v="19"/>
    <n v="4"/>
    <n v="64.73"/>
    <n v="258.92"/>
    <x v="10"/>
    <x v="1"/>
    <x v="561"/>
    <x v="3"/>
  </r>
  <r>
    <s v="ORD002092"/>
    <s v="Pedro Navarro"/>
    <s v="pedro.navarro@mail.com"/>
    <x v="2"/>
    <s v="Braga"/>
    <x v="3"/>
    <x v="15"/>
    <n v="3"/>
    <n v="245.26"/>
    <n v="735.78"/>
    <x v="0"/>
    <x v="1"/>
    <x v="708"/>
    <x v="2"/>
  </r>
  <r>
    <s v="ORD002093"/>
    <s v="Javier Sánchez"/>
    <s v="javier.sánchez@mail.com"/>
    <x v="1"/>
    <s v="Hamburgo"/>
    <x v="4"/>
    <x v="21"/>
    <n v="2"/>
    <n v="1292.05"/>
    <n v="2584.1"/>
    <x v="0"/>
    <x v="1"/>
    <x v="762"/>
    <x v="2"/>
  </r>
  <r>
    <s v="ORD002094"/>
    <s v="Luis Alonso"/>
    <s v="luis.alonso@mail.com"/>
    <x v="4"/>
    <s v="Marsella"/>
    <x v="4"/>
    <x v="22"/>
    <n v="1"/>
    <n v="949.52"/>
    <n v="949.52"/>
    <x v="11"/>
    <x v="0"/>
    <x v="447"/>
    <x v="1"/>
  </r>
  <r>
    <s v="ORD002095"/>
    <s v="Javier López"/>
    <s v="javier.lópez@mail.com"/>
    <x v="0"/>
    <s v="Barcelona"/>
    <x v="2"/>
    <x v="15"/>
    <n v="2"/>
    <n v="544.29"/>
    <n v="1088.58"/>
    <x v="7"/>
    <x v="0"/>
    <x v="362"/>
    <x v="4"/>
  </r>
  <r>
    <s v="ORD002096"/>
    <s v="Diego Navarro"/>
    <s v="diego.navarro@mail.com"/>
    <x v="0"/>
    <s v="Valencia"/>
    <x v="2"/>
    <x v="10"/>
    <n v="3"/>
    <n v="1068.6600000000001"/>
    <n v="3205.9800000000005"/>
    <x v="9"/>
    <x v="1"/>
    <x v="276"/>
    <x v="3"/>
  </r>
  <r>
    <s v="ORD002097"/>
    <s v="Pablo García"/>
    <s v="pablo.garcía@mail.com"/>
    <x v="2"/>
    <s v="Lisboa"/>
    <x v="2"/>
    <x v="19"/>
    <n v="3"/>
    <n v="980.47"/>
    <n v="2941.41"/>
    <x v="8"/>
    <x v="1"/>
    <x v="485"/>
    <x v="0"/>
  </r>
  <r>
    <s v="ORD002098"/>
    <s v="Irene Torres"/>
    <s v="irene.torres@mail.com"/>
    <x v="4"/>
    <s v="París"/>
    <x v="4"/>
    <x v="11"/>
    <n v="4"/>
    <n v="1311.87"/>
    <n v="5247.48"/>
    <x v="5"/>
    <x v="1"/>
    <x v="82"/>
    <x v="2"/>
  </r>
  <r>
    <s v="ORD002099"/>
    <s v="María López"/>
    <s v="maría.lópez@mail.com"/>
    <x v="2"/>
    <s v="Braga"/>
    <x v="0"/>
    <x v="20"/>
    <n v="1"/>
    <n v="1272.28"/>
    <n v="1272.28"/>
    <x v="0"/>
    <x v="0"/>
    <x v="751"/>
    <x v="2"/>
  </r>
  <r>
    <s v="ORD002100"/>
    <s v="Carlos Fernández"/>
    <s v="carlos.fernández@mail.com"/>
    <x v="1"/>
    <s v="Múnich"/>
    <x v="2"/>
    <x v="15"/>
    <n v="5"/>
    <n v="617.53"/>
    <n v="3087.6499999999996"/>
    <x v="6"/>
    <x v="1"/>
    <x v="181"/>
    <x v="3"/>
  </r>
  <r>
    <s v="ORD002101"/>
    <s v="Miguel Alonso"/>
    <s v="miguel.alonso@mail.com"/>
    <x v="0"/>
    <s v="Sevilla"/>
    <x v="2"/>
    <x v="9"/>
    <n v="3"/>
    <n v="431.5"/>
    <n v="1294.5"/>
    <x v="1"/>
    <x v="0"/>
    <x v="760"/>
    <x v="2"/>
  </r>
  <r>
    <s v="ORD002102"/>
    <s v="Raúl Rodríguez"/>
    <s v="raúl.rodríguez@mail.com"/>
    <x v="1"/>
    <s v="Hamburgo"/>
    <x v="2"/>
    <x v="3"/>
    <n v="1"/>
    <n v="854.07"/>
    <n v="854.07"/>
    <x v="9"/>
    <x v="1"/>
    <x v="276"/>
    <x v="2"/>
  </r>
  <r>
    <s v="ORD002103"/>
    <s v="Ana García"/>
    <s v="ana.garcía@mail.com"/>
    <x v="1"/>
    <s v="Berlín"/>
    <x v="0"/>
    <x v="0"/>
    <n v="1"/>
    <n v="1019.29"/>
    <n v="1019.29"/>
    <x v="11"/>
    <x v="1"/>
    <x v="747"/>
    <x v="1"/>
  </r>
  <r>
    <s v="ORD002104"/>
    <s v="Laura Pérez"/>
    <s v="laura.pérez@mail.com"/>
    <x v="1"/>
    <s v="Berlín"/>
    <x v="1"/>
    <x v="12"/>
    <n v="1"/>
    <n v="1265.8800000000001"/>
    <n v="1265.8800000000001"/>
    <x v="0"/>
    <x v="1"/>
    <x v="407"/>
    <x v="0"/>
  </r>
  <r>
    <s v="ORD002105"/>
    <s v="Carmen López"/>
    <s v="carmen.lópez@mail.com"/>
    <x v="4"/>
    <s v="Lyon"/>
    <x v="3"/>
    <x v="7"/>
    <n v="5"/>
    <n v="1040.71"/>
    <n v="5203.55"/>
    <x v="1"/>
    <x v="1"/>
    <x v="522"/>
    <x v="0"/>
  </r>
  <r>
    <s v="ORD002106"/>
    <s v="Carmen López"/>
    <s v="carmen.lópez@mail.com"/>
    <x v="2"/>
    <s v="Oporto"/>
    <x v="0"/>
    <x v="0"/>
    <n v="1"/>
    <n v="1060.58"/>
    <n v="1060.58"/>
    <x v="2"/>
    <x v="0"/>
    <x v="63"/>
    <x v="3"/>
  </r>
  <r>
    <s v="ORD002107"/>
    <s v="Raúl Martínez"/>
    <s v="raúl.martínez@mail.com"/>
    <x v="4"/>
    <s v="Marsella"/>
    <x v="3"/>
    <x v="18"/>
    <n v="4"/>
    <n v="248.63"/>
    <n v="994.52"/>
    <x v="10"/>
    <x v="1"/>
    <x v="200"/>
    <x v="4"/>
  </r>
  <r>
    <s v="ORD002108"/>
    <s v="Elena Rodríguez"/>
    <s v="elena.rodríguez@mail.com"/>
    <x v="0"/>
    <s v="Madrid"/>
    <x v="0"/>
    <x v="17"/>
    <n v="5"/>
    <n v="1334.25"/>
    <n v="6671.25"/>
    <x v="5"/>
    <x v="1"/>
    <x v="542"/>
    <x v="0"/>
  </r>
  <r>
    <s v="ORD002109"/>
    <s v="Pedro Gil"/>
    <s v="pedro.gil@mail.com"/>
    <x v="1"/>
    <s v="Hamburgo"/>
    <x v="3"/>
    <x v="15"/>
    <n v="2"/>
    <n v="797.24"/>
    <n v="1594.48"/>
    <x v="11"/>
    <x v="0"/>
    <x v="763"/>
    <x v="3"/>
  </r>
  <r>
    <s v="ORD002110"/>
    <s v="María Pérez"/>
    <s v="maría.pérez@mail.com"/>
    <x v="3"/>
    <s v="Milán"/>
    <x v="3"/>
    <x v="15"/>
    <n v="5"/>
    <n v="389.52"/>
    <n v="1947.6"/>
    <x v="4"/>
    <x v="1"/>
    <x v="58"/>
    <x v="4"/>
  </r>
  <r>
    <s v="ORD002111"/>
    <s v="Raúl Navarro"/>
    <s v="raúl.navarro@mail.com"/>
    <x v="1"/>
    <s v="Múnich"/>
    <x v="2"/>
    <x v="15"/>
    <n v="2"/>
    <n v="894.45"/>
    <n v="1788.9"/>
    <x v="5"/>
    <x v="2"/>
    <x v="383"/>
    <x v="2"/>
  </r>
  <r>
    <s v="ORD002112"/>
    <s v="Pedro Rodríguez"/>
    <s v="pedro.rodríguez@mail.com"/>
    <x v="4"/>
    <s v="París"/>
    <x v="4"/>
    <x v="22"/>
    <n v="2"/>
    <n v="1416.14"/>
    <n v="2832.28"/>
    <x v="10"/>
    <x v="1"/>
    <x v="656"/>
    <x v="2"/>
  </r>
  <r>
    <s v="ORD002113"/>
    <s v="Diego Gil"/>
    <s v="diego.gil@mail.com"/>
    <x v="4"/>
    <s v="Marsella"/>
    <x v="3"/>
    <x v="4"/>
    <n v="4"/>
    <n v="1184.8599999999999"/>
    <n v="4739.4399999999996"/>
    <x v="8"/>
    <x v="0"/>
    <x v="172"/>
    <x v="3"/>
  </r>
  <r>
    <s v="ORD002114"/>
    <s v="Raúl Vázquez"/>
    <s v="raúl.vázquez@mail.com"/>
    <x v="3"/>
    <s v="Nápoles"/>
    <x v="3"/>
    <x v="7"/>
    <n v="4"/>
    <n v="780.33"/>
    <n v="3121.32"/>
    <x v="1"/>
    <x v="0"/>
    <x v="764"/>
    <x v="4"/>
  </r>
  <r>
    <s v="ORD002115"/>
    <s v="Raúl Sánchez"/>
    <s v="raúl.sánchez@mail.com"/>
    <x v="1"/>
    <s v="Hamburgo"/>
    <x v="0"/>
    <x v="17"/>
    <n v="3"/>
    <n v="639.04999999999995"/>
    <n v="1917.1499999999999"/>
    <x v="10"/>
    <x v="2"/>
    <x v="101"/>
    <x v="0"/>
  </r>
  <r>
    <s v="ORD002116"/>
    <s v="Carlos Alonso"/>
    <s v="carlos.alonso@mail.com"/>
    <x v="2"/>
    <s v="Oporto"/>
    <x v="4"/>
    <x v="22"/>
    <n v="5"/>
    <n v="1306.4000000000001"/>
    <n v="6532"/>
    <x v="8"/>
    <x v="0"/>
    <x v="66"/>
    <x v="0"/>
  </r>
  <r>
    <s v="ORD002117"/>
    <s v="Sofía Fernández"/>
    <s v="sofía.fernández@mail.com"/>
    <x v="2"/>
    <s v="Oporto"/>
    <x v="1"/>
    <x v="6"/>
    <n v="2"/>
    <n v="781.92"/>
    <n v="1563.84"/>
    <x v="8"/>
    <x v="1"/>
    <x v="673"/>
    <x v="0"/>
  </r>
  <r>
    <s v="ORD002118"/>
    <s v="Carmen García"/>
    <s v="carmen.garcía@mail.com"/>
    <x v="2"/>
    <s v="Oporto"/>
    <x v="0"/>
    <x v="13"/>
    <n v="5"/>
    <n v="420.43"/>
    <n v="2102.15"/>
    <x v="7"/>
    <x v="1"/>
    <x v="412"/>
    <x v="3"/>
  </r>
  <r>
    <s v="ORD002119"/>
    <s v="Elena Gómez"/>
    <s v="elena.gómez@mail.com"/>
    <x v="4"/>
    <s v="Marsella"/>
    <x v="3"/>
    <x v="15"/>
    <n v="4"/>
    <n v="1033.02"/>
    <n v="4132.08"/>
    <x v="7"/>
    <x v="1"/>
    <x v="663"/>
    <x v="3"/>
  </r>
  <r>
    <s v="ORD002120"/>
    <s v="Raúl Torres"/>
    <s v="raúl.torres@mail.com"/>
    <x v="3"/>
    <s v="Milán"/>
    <x v="2"/>
    <x v="10"/>
    <n v="5"/>
    <n v="749.26"/>
    <n v="3746.3"/>
    <x v="2"/>
    <x v="0"/>
    <x v="234"/>
    <x v="1"/>
  </r>
  <r>
    <s v="ORD002121"/>
    <s v="Carlos García"/>
    <s v="carlos.garcía@mail.com"/>
    <x v="1"/>
    <s v="Berlín"/>
    <x v="0"/>
    <x v="16"/>
    <n v="4"/>
    <n v="239.16"/>
    <n v="956.64"/>
    <x v="11"/>
    <x v="1"/>
    <x v="765"/>
    <x v="2"/>
  </r>
  <r>
    <s v="ORD002122"/>
    <s v="Laura Gómez"/>
    <s v="laura.gómez@mail.com"/>
    <x v="4"/>
    <s v="Lyon"/>
    <x v="1"/>
    <x v="8"/>
    <n v="4"/>
    <n v="248.37"/>
    <n v="993.48"/>
    <x v="4"/>
    <x v="1"/>
    <x v="502"/>
    <x v="0"/>
  </r>
  <r>
    <s v="ORD002123"/>
    <s v="Javier Torres"/>
    <s v="javier.torres@mail.com"/>
    <x v="1"/>
    <s v="Hamburgo"/>
    <x v="1"/>
    <x v="12"/>
    <n v="4"/>
    <n v="1140.72"/>
    <n v="4562.88"/>
    <x v="10"/>
    <x v="1"/>
    <x v="459"/>
    <x v="3"/>
  </r>
  <r>
    <s v="ORD002124"/>
    <s v="Diego Navarro"/>
    <s v="diego.navarro@mail.com"/>
    <x v="2"/>
    <s v="Lisboa"/>
    <x v="3"/>
    <x v="18"/>
    <n v="2"/>
    <n v="255.71"/>
    <n v="511.42"/>
    <x v="6"/>
    <x v="1"/>
    <x v="152"/>
    <x v="4"/>
  </r>
  <r>
    <s v="ORD002125"/>
    <s v="Ana Alonso"/>
    <s v="ana.alonso@mail.com"/>
    <x v="2"/>
    <s v="Lisboa"/>
    <x v="4"/>
    <x v="21"/>
    <n v="4"/>
    <n v="349.53"/>
    <n v="1398.12"/>
    <x v="6"/>
    <x v="1"/>
    <x v="243"/>
    <x v="0"/>
  </r>
  <r>
    <s v="ORD002126"/>
    <s v="Carmen Pérez"/>
    <s v="carmen.pérez@mail.com"/>
    <x v="2"/>
    <s v="Lisboa"/>
    <x v="3"/>
    <x v="18"/>
    <n v="1"/>
    <n v="250.26"/>
    <n v="250.26"/>
    <x v="8"/>
    <x v="0"/>
    <x v="766"/>
    <x v="1"/>
  </r>
  <r>
    <s v="ORD002127"/>
    <s v="Laura Gómez"/>
    <s v="laura.gómez@mail.com"/>
    <x v="4"/>
    <s v="Lyon"/>
    <x v="0"/>
    <x v="17"/>
    <n v="3"/>
    <n v="1215.53"/>
    <n v="3646.59"/>
    <x v="0"/>
    <x v="0"/>
    <x v="767"/>
    <x v="4"/>
  </r>
  <r>
    <s v="ORD002128"/>
    <s v="Sofía Navarro"/>
    <s v="sofía.navarro@mail.com"/>
    <x v="1"/>
    <s v="Berlín"/>
    <x v="3"/>
    <x v="7"/>
    <n v="2"/>
    <n v="40.619999999999997"/>
    <n v="81.239999999999995"/>
    <x v="4"/>
    <x v="0"/>
    <x v="241"/>
    <x v="4"/>
  </r>
  <r>
    <s v="ORD002129"/>
    <s v="Laura Ramos"/>
    <s v="laura.ramos@mail.com"/>
    <x v="1"/>
    <s v="Hamburgo"/>
    <x v="1"/>
    <x v="12"/>
    <n v="4"/>
    <n v="408.13"/>
    <n v="1632.52"/>
    <x v="8"/>
    <x v="1"/>
    <x v="210"/>
    <x v="1"/>
  </r>
  <r>
    <s v="ORD002130"/>
    <s v="Miguel Vázquez"/>
    <s v="miguel.vázquez@mail.com"/>
    <x v="3"/>
    <s v="Nápoles"/>
    <x v="2"/>
    <x v="9"/>
    <n v="2"/>
    <n v="1044.78"/>
    <n v="2089.56"/>
    <x v="4"/>
    <x v="0"/>
    <x v="363"/>
    <x v="0"/>
  </r>
  <r>
    <s v="ORD002131"/>
    <s v="Lucía Ruiz"/>
    <s v="lucía.ruiz@mail.com"/>
    <x v="1"/>
    <s v="Múnich"/>
    <x v="0"/>
    <x v="20"/>
    <n v="4"/>
    <n v="92.46"/>
    <n v="369.84"/>
    <x v="1"/>
    <x v="0"/>
    <x v="19"/>
    <x v="1"/>
  </r>
  <r>
    <s v="ORD002132"/>
    <s v="Irene Pérez"/>
    <s v="irene.pérez@mail.com"/>
    <x v="1"/>
    <s v="Múnich"/>
    <x v="4"/>
    <x v="21"/>
    <n v="1"/>
    <n v="332.6"/>
    <n v="332.6"/>
    <x v="8"/>
    <x v="1"/>
    <x v="768"/>
    <x v="1"/>
  </r>
  <r>
    <s v="ORD002133"/>
    <s v="Raúl Torres"/>
    <s v="raúl.torres@mail.com"/>
    <x v="3"/>
    <s v="Nápoles"/>
    <x v="2"/>
    <x v="9"/>
    <n v="4"/>
    <n v="1263.45"/>
    <n v="5053.8"/>
    <x v="3"/>
    <x v="1"/>
    <x v="478"/>
    <x v="0"/>
  </r>
  <r>
    <s v="ORD002134"/>
    <s v="Raúl Torres"/>
    <s v="raúl.torres@mail.com"/>
    <x v="4"/>
    <s v="París"/>
    <x v="4"/>
    <x v="11"/>
    <n v="4"/>
    <n v="1441.12"/>
    <n v="5764.48"/>
    <x v="9"/>
    <x v="0"/>
    <x v="574"/>
    <x v="1"/>
  </r>
  <r>
    <s v="ORD002135"/>
    <s v="María Pérez"/>
    <s v="maría.pérez@mail.com"/>
    <x v="4"/>
    <s v="Lyon"/>
    <x v="4"/>
    <x v="22"/>
    <n v="1"/>
    <n v="1317.1"/>
    <n v="1317.1"/>
    <x v="8"/>
    <x v="1"/>
    <x v="539"/>
    <x v="0"/>
  </r>
  <r>
    <s v="ORD002136"/>
    <s v="Carmen Alonso"/>
    <s v="carmen.alonso@mail.com"/>
    <x v="1"/>
    <s v="Berlín"/>
    <x v="2"/>
    <x v="19"/>
    <n v="2"/>
    <n v="1448.78"/>
    <n v="2897.56"/>
    <x v="8"/>
    <x v="1"/>
    <x v="210"/>
    <x v="4"/>
  </r>
  <r>
    <s v="ORD002137"/>
    <s v="Sofía Navarro"/>
    <s v="sofía.navarro@mail.com"/>
    <x v="3"/>
    <s v="Nápoles"/>
    <x v="2"/>
    <x v="15"/>
    <n v="2"/>
    <n v="1056.75"/>
    <n v="2113.5"/>
    <x v="11"/>
    <x v="1"/>
    <x v="189"/>
    <x v="0"/>
  </r>
  <r>
    <s v="ORD002138"/>
    <s v="Elena Torres"/>
    <s v="elena.torres@mail.com"/>
    <x v="2"/>
    <s v="Braga"/>
    <x v="1"/>
    <x v="6"/>
    <n v="2"/>
    <n v="226.04"/>
    <n v="452.08"/>
    <x v="5"/>
    <x v="0"/>
    <x v="769"/>
    <x v="1"/>
  </r>
  <r>
    <s v="ORD002139"/>
    <s v="Ana Díaz"/>
    <s v="ana.díaz@mail.com"/>
    <x v="4"/>
    <s v="Marsella"/>
    <x v="0"/>
    <x v="17"/>
    <n v="3"/>
    <n v="1454.77"/>
    <n v="4364.3099999999995"/>
    <x v="11"/>
    <x v="1"/>
    <x v="696"/>
    <x v="4"/>
  </r>
  <r>
    <s v="ORD002140"/>
    <s v="María Torres"/>
    <s v="maría.torres@mail.com"/>
    <x v="1"/>
    <s v="Berlín"/>
    <x v="3"/>
    <x v="7"/>
    <n v="4"/>
    <n v="783.19"/>
    <n v="3132.76"/>
    <x v="5"/>
    <x v="1"/>
    <x v="736"/>
    <x v="0"/>
  </r>
  <r>
    <s v="ORD002141"/>
    <s v="Ana Rodríguez"/>
    <s v="ana.rodríguez@mail.com"/>
    <x v="2"/>
    <s v="Braga"/>
    <x v="0"/>
    <x v="0"/>
    <n v="3"/>
    <n v="317.41000000000003"/>
    <n v="952.23"/>
    <x v="7"/>
    <x v="1"/>
    <x v="75"/>
    <x v="1"/>
  </r>
  <r>
    <s v="ORD002142"/>
    <s v="Laura Martínez"/>
    <s v="laura.martínez@mail.com"/>
    <x v="2"/>
    <s v="Braga"/>
    <x v="2"/>
    <x v="10"/>
    <n v="1"/>
    <n v="1004.37"/>
    <n v="1004.37"/>
    <x v="3"/>
    <x v="1"/>
    <x v="270"/>
    <x v="1"/>
  </r>
  <r>
    <s v="ORD002143"/>
    <s v="Irene Ramos"/>
    <s v="irene.ramos@mail.com"/>
    <x v="1"/>
    <s v="Múnich"/>
    <x v="0"/>
    <x v="17"/>
    <n v="5"/>
    <n v="1178.6300000000001"/>
    <n v="5893.1500000000005"/>
    <x v="1"/>
    <x v="1"/>
    <x v="553"/>
    <x v="1"/>
  </r>
  <r>
    <s v="ORD002144"/>
    <s v="Lucía Navarro"/>
    <s v="lucía.navarro@mail.com"/>
    <x v="0"/>
    <s v="Barcelona"/>
    <x v="4"/>
    <x v="23"/>
    <n v="2"/>
    <n v="1375.65"/>
    <n v="2751.3"/>
    <x v="8"/>
    <x v="0"/>
    <x v="158"/>
    <x v="4"/>
  </r>
  <r>
    <s v="ORD002145"/>
    <s v="Carlos López"/>
    <s v="carlos.lópez@mail.com"/>
    <x v="4"/>
    <s v="Lyon"/>
    <x v="0"/>
    <x v="17"/>
    <n v="2"/>
    <n v="239.33"/>
    <n v="478.66"/>
    <x v="4"/>
    <x v="1"/>
    <x v="148"/>
    <x v="2"/>
  </r>
  <r>
    <s v="ORD002146"/>
    <s v="Elena Pérez"/>
    <s v="elena.pérez@mail.com"/>
    <x v="0"/>
    <s v="Valencia"/>
    <x v="1"/>
    <x v="12"/>
    <n v="3"/>
    <n v="1304"/>
    <n v="3912"/>
    <x v="6"/>
    <x v="0"/>
    <x v="675"/>
    <x v="0"/>
  </r>
  <r>
    <s v="ORD002147"/>
    <s v="Laura Martínez"/>
    <s v="laura.martínez@mail.com"/>
    <x v="4"/>
    <s v="Marsella"/>
    <x v="3"/>
    <x v="18"/>
    <n v="3"/>
    <n v="544.37"/>
    <n v="1633.1100000000001"/>
    <x v="4"/>
    <x v="0"/>
    <x v="597"/>
    <x v="4"/>
  </r>
  <r>
    <s v="ORD002148"/>
    <s v="Diego Rodríguez"/>
    <s v="diego.rodríguez@mail.com"/>
    <x v="3"/>
    <s v="Roma"/>
    <x v="0"/>
    <x v="20"/>
    <n v="3"/>
    <n v="486.29"/>
    <n v="1458.8700000000001"/>
    <x v="3"/>
    <x v="1"/>
    <x v="141"/>
    <x v="1"/>
  </r>
  <r>
    <s v="ORD002149"/>
    <s v="Carmen Fernández"/>
    <s v="carmen.fernández@mail.com"/>
    <x v="2"/>
    <s v="Braga"/>
    <x v="3"/>
    <x v="18"/>
    <n v="3"/>
    <n v="26.96"/>
    <n v="80.88"/>
    <x v="5"/>
    <x v="1"/>
    <x v="115"/>
    <x v="1"/>
  </r>
  <r>
    <s v="ORD002150"/>
    <s v="Pablo Ramos"/>
    <s v="pablo.ramos@mail.com"/>
    <x v="0"/>
    <s v="Bilbao"/>
    <x v="2"/>
    <x v="3"/>
    <n v="2"/>
    <n v="992"/>
    <n v="1984"/>
    <x v="7"/>
    <x v="0"/>
    <x v="322"/>
    <x v="3"/>
  </r>
  <r>
    <s v="ORD002151"/>
    <s v="Luis Ramos"/>
    <s v="luis.ramos@mail.com"/>
    <x v="0"/>
    <s v="Madrid"/>
    <x v="1"/>
    <x v="8"/>
    <n v="1"/>
    <n v="380.5"/>
    <n v="380.5"/>
    <x v="3"/>
    <x v="1"/>
    <x v="603"/>
    <x v="1"/>
  </r>
  <r>
    <s v="ORD002152"/>
    <s v="Miguel Pérez"/>
    <s v="miguel.pérez@mail.com"/>
    <x v="1"/>
    <s v="Hamburgo"/>
    <x v="1"/>
    <x v="2"/>
    <n v="1"/>
    <n v="975"/>
    <n v="975"/>
    <x v="10"/>
    <x v="0"/>
    <x v="393"/>
    <x v="2"/>
  </r>
  <r>
    <s v="ORD002153"/>
    <s v="Raúl Pérez"/>
    <s v="raúl.pérez@mail.com"/>
    <x v="2"/>
    <s v="Lisboa"/>
    <x v="0"/>
    <x v="16"/>
    <n v="4"/>
    <n v="83.47"/>
    <n v="333.88"/>
    <x v="5"/>
    <x v="0"/>
    <x v="371"/>
    <x v="4"/>
  </r>
  <r>
    <s v="ORD002154"/>
    <s v="Pablo García"/>
    <s v="pablo.garcía@mail.com"/>
    <x v="2"/>
    <s v="Braga"/>
    <x v="2"/>
    <x v="9"/>
    <n v="1"/>
    <n v="1499.17"/>
    <n v="1499.17"/>
    <x v="6"/>
    <x v="1"/>
    <x v="589"/>
    <x v="1"/>
  </r>
  <r>
    <s v="ORD002155"/>
    <s v="Raúl Ruiz"/>
    <s v="raúl.ruiz@mail.com"/>
    <x v="2"/>
    <s v="Braga"/>
    <x v="3"/>
    <x v="15"/>
    <n v="4"/>
    <n v="1259.05"/>
    <n v="5036.2"/>
    <x v="11"/>
    <x v="1"/>
    <x v="770"/>
    <x v="1"/>
  </r>
  <r>
    <s v="ORD002156"/>
    <s v="Irene Martínez"/>
    <s v="irene.martínez@mail.com"/>
    <x v="2"/>
    <s v="Oporto"/>
    <x v="0"/>
    <x v="17"/>
    <n v="2"/>
    <n v="516.98"/>
    <n v="1033.96"/>
    <x v="1"/>
    <x v="0"/>
    <x v="317"/>
    <x v="4"/>
  </r>
  <r>
    <s v="ORD002157"/>
    <s v="Carlos Ramos"/>
    <s v="carlos.ramos@mail.com"/>
    <x v="3"/>
    <s v="Nápoles"/>
    <x v="0"/>
    <x v="20"/>
    <n v="3"/>
    <n v="194.3"/>
    <n v="582.90000000000009"/>
    <x v="11"/>
    <x v="1"/>
    <x v="624"/>
    <x v="0"/>
  </r>
  <r>
    <s v="ORD002158"/>
    <s v="Elena López"/>
    <s v="elena.lópez@mail.com"/>
    <x v="1"/>
    <s v="Berlín"/>
    <x v="4"/>
    <x v="22"/>
    <n v="4"/>
    <n v="1032.18"/>
    <n v="4128.72"/>
    <x v="5"/>
    <x v="0"/>
    <x v="437"/>
    <x v="2"/>
  </r>
  <r>
    <s v="ORD002159"/>
    <s v="Elena Ramos"/>
    <s v="elena.ramos@mail.com"/>
    <x v="3"/>
    <s v="Milán"/>
    <x v="2"/>
    <x v="9"/>
    <n v="2"/>
    <n v="1243.9100000000001"/>
    <n v="2487.8200000000002"/>
    <x v="0"/>
    <x v="1"/>
    <x v="486"/>
    <x v="0"/>
  </r>
  <r>
    <s v="ORD002160"/>
    <s v="Carmen Rodríguez"/>
    <s v="carmen.rodríguez@mail.com"/>
    <x v="2"/>
    <s v="Braga"/>
    <x v="1"/>
    <x v="1"/>
    <n v="3"/>
    <n v="545.07000000000005"/>
    <n v="1635.21"/>
    <x v="11"/>
    <x v="0"/>
    <x v="314"/>
    <x v="1"/>
  </r>
  <r>
    <s v="ORD002161"/>
    <s v="Carmen Vázquez"/>
    <s v="carmen.vázquez@mail.com"/>
    <x v="0"/>
    <s v="Madrid"/>
    <x v="1"/>
    <x v="6"/>
    <n v="5"/>
    <n v="613.97"/>
    <n v="3069.8500000000004"/>
    <x v="9"/>
    <x v="1"/>
    <x v="536"/>
    <x v="4"/>
  </r>
  <r>
    <s v="ORD002162"/>
    <s v="Irene Pérez"/>
    <s v="irene.pérez@mail.com"/>
    <x v="3"/>
    <s v="Roma"/>
    <x v="2"/>
    <x v="19"/>
    <n v="3"/>
    <n v="49.85"/>
    <n v="149.55000000000001"/>
    <x v="1"/>
    <x v="1"/>
    <x v="191"/>
    <x v="2"/>
  </r>
  <r>
    <s v="ORD002163"/>
    <s v="Pablo Navarro"/>
    <s v="pablo.navarro@mail.com"/>
    <x v="2"/>
    <s v="Braga"/>
    <x v="0"/>
    <x v="20"/>
    <n v="1"/>
    <n v="185.3"/>
    <n v="185.3"/>
    <x v="6"/>
    <x v="1"/>
    <x v="86"/>
    <x v="2"/>
  </r>
  <r>
    <s v="ORD002164"/>
    <s v="María Rodríguez"/>
    <s v="maría.rodríguez@mail.com"/>
    <x v="4"/>
    <s v="Lyon"/>
    <x v="0"/>
    <x v="20"/>
    <n v="4"/>
    <n v="1324.79"/>
    <n v="5299.16"/>
    <x v="6"/>
    <x v="1"/>
    <x v="573"/>
    <x v="3"/>
  </r>
  <r>
    <s v="ORD002165"/>
    <s v="Carmen Fernández"/>
    <s v="carmen.fernández@mail.com"/>
    <x v="3"/>
    <s v="Roma"/>
    <x v="4"/>
    <x v="21"/>
    <n v="4"/>
    <n v="1024.74"/>
    <n v="4098.96"/>
    <x v="11"/>
    <x v="0"/>
    <x v="369"/>
    <x v="3"/>
  </r>
  <r>
    <s v="ORD002166"/>
    <s v="Ana Navarro"/>
    <s v="ana.navarro@mail.com"/>
    <x v="4"/>
    <s v="Marsella"/>
    <x v="1"/>
    <x v="8"/>
    <n v="4"/>
    <n v="522.70000000000005"/>
    <n v="2090.8000000000002"/>
    <x v="2"/>
    <x v="0"/>
    <x v="13"/>
    <x v="4"/>
  </r>
  <r>
    <s v="ORD002167"/>
    <s v="Pedro Ruiz"/>
    <s v="pedro.ruiz@mail.com"/>
    <x v="0"/>
    <s v="Sevilla"/>
    <x v="4"/>
    <x v="23"/>
    <n v="3"/>
    <n v="1460.14"/>
    <n v="4380.42"/>
    <x v="4"/>
    <x v="1"/>
    <x v="502"/>
    <x v="1"/>
  </r>
  <r>
    <s v="ORD002168"/>
    <s v="Ana Ruiz"/>
    <s v="ana.ruiz@mail.com"/>
    <x v="3"/>
    <s v="Milán"/>
    <x v="4"/>
    <x v="11"/>
    <n v="4"/>
    <n v="876.69"/>
    <n v="3506.76"/>
    <x v="6"/>
    <x v="1"/>
    <x v="327"/>
    <x v="1"/>
  </r>
  <r>
    <s v="ORD002169"/>
    <s v="Diego Martínez"/>
    <s v="diego.martínez@mail.com"/>
    <x v="3"/>
    <s v="Nápoles"/>
    <x v="1"/>
    <x v="6"/>
    <n v="1"/>
    <n v="310.83999999999997"/>
    <n v="310.83999999999997"/>
    <x v="2"/>
    <x v="2"/>
    <x v="619"/>
    <x v="2"/>
  </r>
  <r>
    <s v="ORD002170"/>
    <s v="Luis Vázquez"/>
    <s v="luis.vázquez@mail.com"/>
    <x v="2"/>
    <s v="Lisboa"/>
    <x v="4"/>
    <x v="11"/>
    <n v="1"/>
    <n v="158.83000000000001"/>
    <n v="158.83000000000001"/>
    <x v="8"/>
    <x v="0"/>
    <x v="47"/>
    <x v="3"/>
  </r>
  <r>
    <s v="ORD002171"/>
    <s v="Ana Torres"/>
    <s v="ana.torres@mail.com"/>
    <x v="2"/>
    <s v="Oporto"/>
    <x v="1"/>
    <x v="6"/>
    <n v="4"/>
    <n v="727.82"/>
    <n v="2911.28"/>
    <x v="3"/>
    <x v="0"/>
    <x v="364"/>
    <x v="1"/>
  </r>
  <r>
    <s v="ORD002172"/>
    <s v="Javier Gil"/>
    <s v="javier.gil@mail.com"/>
    <x v="3"/>
    <s v="Milán"/>
    <x v="3"/>
    <x v="4"/>
    <n v="4"/>
    <n v="1270.8900000000001"/>
    <n v="5083.5600000000004"/>
    <x v="3"/>
    <x v="0"/>
    <x v="192"/>
    <x v="4"/>
  </r>
  <r>
    <s v="ORD002173"/>
    <s v="Diego Sánchez"/>
    <s v="diego.sánchez@mail.com"/>
    <x v="1"/>
    <s v="Hamburgo"/>
    <x v="4"/>
    <x v="22"/>
    <n v="1"/>
    <n v="477.43"/>
    <n v="477.43"/>
    <x v="11"/>
    <x v="0"/>
    <x v="447"/>
    <x v="4"/>
  </r>
  <r>
    <s v="ORD002174"/>
    <s v="Miguel Ruiz"/>
    <s v="miguel.ruiz@mail.com"/>
    <x v="0"/>
    <s v="Madrid"/>
    <x v="1"/>
    <x v="2"/>
    <n v="1"/>
    <n v="1453.62"/>
    <n v="1453.62"/>
    <x v="6"/>
    <x v="0"/>
    <x v="771"/>
    <x v="0"/>
  </r>
  <r>
    <s v="ORD002175"/>
    <s v="Pedro Fernández"/>
    <s v="pedro.fernández@mail.com"/>
    <x v="0"/>
    <s v="Valencia"/>
    <x v="0"/>
    <x v="13"/>
    <n v="3"/>
    <n v="984.02"/>
    <n v="2952.06"/>
    <x v="4"/>
    <x v="1"/>
    <x v="677"/>
    <x v="2"/>
  </r>
  <r>
    <s v="ORD002176"/>
    <s v="Miguel Torres"/>
    <s v="miguel.torres@mail.com"/>
    <x v="3"/>
    <s v="Milán"/>
    <x v="0"/>
    <x v="0"/>
    <n v="5"/>
    <n v="447.2"/>
    <n v="2236"/>
    <x v="6"/>
    <x v="0"/>
    <x v="285"/>
    <x v="0"/>
  </r>
  <r>
    <s v="ORD002177"/>
    <s v="Raúl Díaz"/>
    <s v="raúl.díaz@mail.com"/>
    <x v="3"/>
    <s v="Roma"/>
    <x v="0"/>
    <x v="20"/>
    <n v="4"/>
    <n v="440.28"/>
    <n v="1761.12"/>
    <x v="11"/>
    <x v="0"/>
    <x v="519"/>
    <x v="4"/>
  </r>
  <r>
    <s v="ORD002178"/>
    <s v="Pedro Alonso"/>
    <s v="pedro.alonso@mail.com"/>
    <x v="4"/>
    <s v="Marsella"/>
    <x v="4"/>
    <x v="21"/>
    <n v="5"/>
    <n v="1003.53"/>
    <n v="5017.6499999999996"/>
    <x v="9"/>
    <x v="0"/>
    <x v="300"/>
    <x v="2"/>
  </r>
  <r>
    <s v="ORD002179"/>
    <s v="Sofía Díaz"/>
    <s v="sofía.díaz@mail.com"/>
    <x v="3"/>
    <s v="Nápoles"/>
    <x v="4"/>
    <x v="23"/>
    <n v="5"/>
    <n v="401.73"/>
    <n v="2008.65"/>
    <x v="11"/>
    <x v="0"/>
    <x v="112"/>
    <x v="2"/>
  </r>
  <r>
    <s v="ORD002180"/>
    <s v="Laura Gil"/>
    <s v="laura.gil@mail.com"/>
    <x v="2"/>
    <s v="Oporto"/>
    <x v="4"/>
    <x v="14"/>
    <n v="3"/>
    <n v="1304.3699999999999"/>
    <n v="3913.1099999999997"/>
    <x v="1"/>
    <x v="1"/>
    <x v="722"/>
    <x v="3"/>
  </r>
  <r>
    <s v="ORD002181"/>
    <s v="Laura Fernández"/>
    <s v="laura.fernández@mail.com"/>
    <x v="3"/>
    <s v="Roma"/>
    <x v="0"/>
    <x v="16"/>
    <n v="5"/>
    <n v="1192.28"/>
    <n v="5961.4"/>
    <x v="6"/>
    <x v="0"/>
    <x v="414"/>
    <x v="1"/>
  </r>
  <r>
    <s v="ORD002182"/>
    <s v="Irene Gómez"/>
    <s v="irene.gómez@mail.com"/>
    <x v="3"/>
    <s v="Milán"/>
    <x v="0"/>
    <x v="16"/>
    <n v="2"/>
    <n v="946.03"/>
    <n v="1892.06"/>
    <x v="6"/>
    <x v="1"/>
    <x v="579"/>
    <x v="4"/>
  </r>
  <r>
    <s v="ORD002183"/>
    <s v="Irene Ramos"/>
    <s v="irene.ramos@mail.com"/>
    <x v="4"/>
    <s v="Marsella"/>
    <x v="1"/>
    <x v="6"/>
    <n v="3"/>
    <n v="353.82"/>
    <n v="1061.46"/>
    <x v="9"/>
    <x v="0"/>
    <x v="355"/>
    <x v="3"/>
  </r>
  <r>
    <s v="ORD002184"/>
    <s v="Carlos Gil"/>
    <s v="carlos.gil@mail.com"/>
    <x v="3"/>
    <s v="Milán"/>
    <x v="4"/>
    <x v="22"/>
    <n v="2"/>
    <n v="334.8"/>
    <n v="669.6"/>
    <x v="6"/>
    <x v="1"/>
    <x v="243"/>
    <x v="3"/>
  </r>
  <r>
    <s v="ORD002185"/>
    <s v="Irene Díaz"/>
    <s v="irene.díaz@mail.com"/>
    <x v="3"/>
    <s v="Roma"/>
    <x v="3"/>
    <x v="4"/>
    <n v="1"/>
    <n v="273.82"/>
    <n v="273.82"/>
    <x v="5"/>
    <x v="1"/>
    <x v="499"/>
    <x v="0"/>
  </r>
  <r>
    <s v="ORD002186"/>
    <s v="Carlos Sánchez"/>
    <s v="carlos.sánchez@mail.com"/>
    <x v="4"/>
    <s v="París"/>
    <x v="2"/>
    <x v="15"/>
    <n v="5"/>
    <n v="255.33"/>
    <n v="1276.6500000000001"/>
    <x v="11"/>
    <x v="0"/>
    <x v="592"/>
    <x v="2"/>
  </r>
  <r>
    <s v="ORD002187"/>
    <s v="Lucía Vázquez"/>
    <s v="lucía.vázquez@mail.com"/>
    <x v="4"/>
    <s v="París"/>
    <x v="3"/>
    <x v="5"/>
    <n v="5"/>
    <n v="499.81"/>
    <n v="2499.0500000000002"/>
    <x v="5"/>
    <x v="0"/>
    <x v="530"/>
    <x v="4"/>
  </r>
  <r>
    <s v="ORD002188"/>
    <s v="Luis López"/>
    <s v="luis.lópez@mail.com"/>
    <x v="0"/>
    <s v="Valencia"/>
    <x v="2"/>
    <x v="10"/>
    <n v="4"/>
    <n v="1003.21"/>
    <n v="4012.84"/>
    <x v="9"/>
    <x v="0"/>
    <x v="469"/>
    <x v="0"/>
  </r>
  <r>
    <s v="ORD002189"/>
    <s v="Sofía Fernández"/>
    <s v="sofía.fernández@mail.com"/>
    <x v="0"/>
    <s v="Sevilla"/>
    <x v="2"/>
    <x v="19"/>
    <n v="3"/>
    <n v="734.3"/>
    <n v="2202.8999999999996"/>
    <x v="1"/>
    <x v="1"/>
    <x v="209"/>
    <x v="0"/>
  </r>
  <r>
    <s v="ORD002190"/>
    <s v="Luis Fernández"/>
    <s v="luis.fernández@mail.com"/>
    <x v="4"/>
    <s v="París"/>
    <x v="0"/>
    <x v="13"/>
    <n v="1"/>
    <n v="727.24"/>
    <n v="727.24"/>
    <x v="2"/>
    <x v="2"/>
    <x v="645"/>
    <x v="4"/>
  </r>
  <r>
    <s v="ORD002191"/>
    <s v="Miguel Ramos"/>
    <s v="miguel.ramos@mail.com"/>
    <x v="4"/>
    <s v="Lyon"/>
    <x v="1"/>
    <x v="1"/>
    <n v="3"/>
    <n v="880.84"/>
    <n v="2642.52"/>
    <x v="4"/>
    <x v="1"/>
    <x v="715"/>
    <x v="0"/>
  </r>
  <r>
    <s v="ORD002192"/>
    <s v="Pablo Fernández"/>
    <s v="pablo.fernández@mail.com"/>
    <x v="2"/>
    <s v="Lisboa"/>
    <x v="4"/>
    <x v="14"/>
    <n v="1"/>
    <n v="1392.53"/>
    <n v="1392.53"/>
    <x v="5"/>
    <x v="2"/>
    <x v="145"/>
    <x v="2"/>
  </r>
  <r>
    <s v="ORD002193"/>
    <s v="Raúl Navarro"/>
    <s v="raúl.navarro@mail.com"/>
    <x v="1"/>
    <s v="Berlín"/>
    <x v="1"/>
    <x v="2"/>
    <n v="4"/>
    <n v="600.15"/>
    <n v="2400.6"/>
    <x v="2"/>
    <x v="1"/>
    <x v="227"/>
    <x v="1"/>
  </r>
  <r>
    <s v="ORD002194"/>
    <s v="Javier Díaz"/>
    <s v="javier.díaz@mail.com"/>
    <x v="2"/>
    <s v="Oporto"/>
    <x v="2"/>
    <x v="3"/>
    <n v="5"/>
    <n v="156.6"/>
    <n v="783"/>
    <x v="3"/>
    <x v="1"/>
    <x v="603"/>
    <x v="0"/>
  </r>
  <r>
    <s v="ORD002195"/>
    <s v="María Díaz"/>
    <s v="maría.díaz@mail.com"/>
    <x v="4"/>
    <s v="Marsella"/>
    <x v="2"/>
    <x v="19"/>
    <n v="2"/>
    <n v="1384.97"/>
    <n v="2769.94"/>
    <x v="11"/>
    <x v="1"/>
    <x v="41"/>
    <x v="0"/>
  </r>
  <r>
    <s v="ORD002196"/>
    <s v="Javier Martínez"/>
    <s v="javier.martínez@mail.com"/>
    <x v="1"/>
    <s v="Múnich"/>
    <x v="4"/>
    <x v="14"/>
    <n v="5"/>
    <n v="123.56"/>
    <n v="617.79999999999995"/>
    <x v="7"/>
    <x v="0"/>
    <x v="540"/>
    <x v="1"/>
  </r>
  <r>
    <s v="ORD002197"/>
    <s v="Luis Martínez"/>
    <s v="luis.martínez@mail.com"/>
    <x v="1"/>
    <s v="Múnich"/>
    <x v="2"/>
    <x v="10"/>
    <n v="2"/>
    <n v="144.97999999999999"/>
    <n v="289.95999999999998"/>
    <x v="2"/>
    <x v="2"/>
    <x v="153"/>
    <x v="4"/>
  </r>
  <r>
    <s v="ORD002198"/>
    <s v="Carlos Ramos"/>
    <s v="carlos.ramos@mail.com"/>
    <x v="0"/>
    <s v="Bilbao"/>
    <x v="3"/>
    <x v="7"/>
    <n v="4"/>
    <n v="725.95"/>
    <n v="2903.8"/>
    <x v="3"/>
    <x v="1"/>
    <x v="301"/>
    <x v="2"/>
  </r>
  <r>
    <s v="ORD002199"/>
    <s v="Elena Ramos"/>
    <s v="elena.ramos@mail.com"/>
    <x v="1"/>
    <s v="Múnich"/>
    <x v="2"/>
    <x v="10"/>
    <n v="3"/>
    <n v="118.42"/>
    <n v="355.26"/>
    <x v="3"/>
    <x v="0"/>
    <x v="110"/>
    <x v="1"/>
  </r>
  <r>
    <s v="ORD002200"/>
    <s v="Diego Pérez"/>
    <s v="diego.pérez@mail.com"/>
    <x v="2"/>
    <s v="Braga"/>
    <x v="3"/>
    <x v="5"/>
    <n v="5"/>
    <n v="495.43"/>
    <n v="2477.15"/>
    <x v="0"/>
    <x v="0"/>
    <x v="620"/>
    <x v="1"/>
  </r>
  <r>
    <s v="ORD002201"/>
    <s v="Carmen Fernández"/>
    <s v="carmen.fernández@mail.com"/>
    <x v="1"/>
    <s v="Múnich"/>
    <x v="1"/>
    <x v="8"/>
    <n v="1"/>
    <n v="624.54999999999995"/>
    <n v="624.54999999999995"/>
    <x v="4"/>
    <x v="0"/>
    <x v="670"/>
    <x v="4"/>
  </r>
  <r>
    <s v="ORD002202"/>
    <s v="Pedro López"/>
    <s v="pedro.lópez@mail.com"/>
    <x v="1"/>
    <s v="Hamburgo"/>
    <x v="4"/>
    <x v="21"/>
    <n v="3"/>
    <n v="267.89"/>
    <n v="803.67"/>
    <x v="0"/>
    <x v="0"/>
    <x v="480"/>
    <x v="0"/>
  </r>
  <r>
    <s v="ORD002203"/>
    <s v="Miguel Ruiz"/>
    <s v="miguel.ruiz@mail.com"/>
    <x v="4"/>
    <s v="París"/>
    <x v="2"/>
    <x v="3"/>
    <n v="1"/>
    <n v="681.34"/>
    <n v="681.34"/>
    <x v="7"/>
    <x v="1"/>
    <x v="11"/>
    <x v="2"/>
  </r>
  <r>
    <s v="ORD002204"/>
    <s v="Pedro Díaz"/>
    <s v="pedro.díaz@mail.com"/>
    <x v="1"/>
    <s v="Hamburgo"/>
    <x v="1"/>
    <x v="2"/>
    <n v="2"/>
    <n v="527.05999999999995"/>
    <n v="1054.1199999999999"/>
    <x v="3"/>
    <x v="1"/>
    <x v="92"/>
    <x v="2"/>
  </r>
  <r>
    <s v="ORD002205"/>
    <s v="Carmen Fernández"/>
    <s v="carmen.fernández@mail.com"/>
    <x v="1"/>
    <s v="Múnich"/>
    <x v="3"/>
    <x v="18"/>
    <n v="1"/>
    <n v="280.08999999999997"/>
    <n v="280.08999999999997"/>
    <x v="8"/>
    <x v="1"/>
    <x v="539"/>
    <x v="4"/>
  </r>
  <r>
    <s v="ORD002206"/>
    <s v="Elena Navarro"/>
    <s v="elena.navarro@mail.com"/>
    <x v="3"/>
    <s v="Milán"/>
    <x v="3"/>
    <x v="18"/>
    <n v="2"/>
    <n v="123.05"/>
    <n v="246.1"/>
    <x v="8"/>
    <x v="0"/>
    <x v="109"/>
    <x v="4"/>
  </r>
  <r>
    <s v="ORD002207"/>
    <s v="Irene Pérez"/>
    <s v="irene.pérez@mail.com"/>
    <x v="0"/>
    <s v="Valencia"/>
    <x v="2"/>
    <x v="10"/>
    <n v="5"/>
    <n v="1273.42"/>
    <n v="6367.1"/>
    <x v="11"/>
    <x v="0"/>
    <x v="112"/>
    <x v="1"/>
  </r>
  <r>
    <s v="ORD002208"/>
    <s v="Ana López"/>
    <s v="ana.lópez@mail.com"/>
    <x v="1"/>
    <s v="Múnich"/>
    <x v="2"/>
    <x v="10"/>
    <n v="3"/>
    <n v="47.1"/>
    <n v="141.30000000000001"/>
    <x v="2"/>
    <x v="2"/>
    <x v="153"/>
    <x v="3"/>
  </r>
  <r>
    <s v="ORD002209"/>
    <s v="Javier Ramos"/>
    <s v="javier.ramos@mail.com"/>
    <x v="2"/>
    <s v="Braga"/>
    <x v="2"/>
    <x v="19"/>
    <n v="3"/>
    <n v="146.29"/>
    <n v="438.87"/>
    <x v="11"/>
    <x v="1"/>
    <x v="572"/>
    <x v="1"/>
  </r>
  <r>
    <s v="ORD002210"/>
    <s v="Carmen Gómez"/>
    <s v="carmen.gómez@mail.com"/>
    <x v="2"/>
    <s v="Braga"/>
    <x v="0"/>
    <x v="17"/>
    <n v="5"/>
    <n v="574.6"/>
    <n v="2873"/>
    <x v="2"/>
    <x v="2"/>
    <x v="359"/>
    <x v="3"/>
  </r>
  <r>
    <s v="ORD002211"/>
    <s v="Diego Gómez"/>
    <s v="diego.gómez@mail.com"/>
    <x v="3"/>
    <s v="Nápoles"/>
    <x v="4"/>
    <x v="21"/>
    <n v="4"/>
    <n v="1484.63"/>
    <n v="5938.52"/>
    <x v="5"/>
    <x v="1"/>
    <x v="499"/>
    <x v="1"/>
  </r>
  <r>
    <s v="ORD002212"/>
    <s v="Pedro Ramos"/>
    <s v="pedro.ramos@mail.com"/>
    <x v="1"/>
    <s v="Hamburgo"/>
    <x v="4"/>
    <x v="14"/>
    <n v="2"/>
    <n v="903.39"/>
    <n v="1806.78"/>
    <x v="10"/>
    <x v="0"/>
    <x v="186"/>
    <x v="1"/>
  </r>
  <r>
    <s v="ORD002213"/>
    <s v="Lucía Díaz"/>
    <s v="lucía.díaz@mail.com"/>
    <x v="1"/>
    <s v="Múnich"/>
    <x v="3"/>
    <x v="15"/>
    <n v="2"/>
    <n v="921.89"/>
    <n v="1843.78"/>
    <x v="5"/>
    <x v="0"/>
    <x v="680"/>
    <x v="3"/>
  </r>
  <r>
    <s v="ORD002214"/>
    <s v="Irene Gil"/>
    <s v="irene.gil@mail.com"/>
    <x v="0"/>
    <s v="Valencia"/>
    <x v="4"/>
    <x v="14"/>
    <n v="3"/>
    <n v="1420.6"/>
    <n v="4261.7999999999993"/>
    <x v="2"/>
    <x v="0"/>
    <x v="190"/>
    <x v="3"/>
  </r>
  <r>
    <s v="ORD002215"/>
    <s v="Pedro Ramos"/>
    <s v="pedro.ramos@mail.com"/>
    <x v="2"/>
    <s v="Oporto"/>
    <x v="0"/>
    <x v="13"/>
    <n v="3"/>
    <n v="1276.8499999999999"/>
    <n v="3830.5499999999997"/>
    <x v="5"/>
    <x v="2"/>
    <x v="222"/>
    <x v="2"/>
  </r>
  <r>
    <s v="ORD002216"/>
    <s v="Lucía Gómez"/>
    <s v="lucía.gómez@mail.com"/>
    <x v="2"/>
    <s v="Oporto"/>
    <x v="4"/>
    <x v="22"/>
    <n v="3"/>
    <n v="1362.93"/>
    <n v="4088.79"/>
    <x v="11"/>
    <x v="0"/>
    <x v="458"/>
    <x v="0"/>
  </r>
  <r>
    <s v="ORD002217"/>
    <s v="Pablo Díaz"/>
    <s v="pablo.díaz@mail.com"/>
    <x v="1"/>
    <s v="Hamburgo"/>
    <x v="0"/>
    <x v="20"/>
    <n v="3"/>
    <n v="286.51"/>
    <n v="859.53"/>
    <x v="0"/>
    <x v="1"/>
    <x v="9"/>
    <x v="0"/>
  </r>
  <r>
    <s v="ORD002218"/>
    <s v="Ana Gil"/>
    <s v="ana.gil@mail.com"/>
    <x v="2"/>
    <s v="Oporto"/>
    <x v="0"/>
    <x v="17"/>
    <n v="1"/>
    <n v="329.05"/>
    <n v="329.05"/>
    <x v="0"/>
    <x v="1"/>
    <x v="772"/>
    <x v="3"/>
  </r>
  <r>
    <s v="ORD002219"/>
    <s v="Diego Ruiz"/>
    <s v="diego.ruiz@mail.com"/>
    <x v="2"/>
    <s v="Lisboa"/>
    <x v="2"/>
    <x v="3"/>
    <n v="5"/>
    <n v="635.14"/>
    <n v="3175.7"/>
    <x v="11"/>
    <x v="0"/>
    <x v="773"/>
    <x v="0"/>
  </r>
  <r>
    <s v="ORD002220"/>
    <s v="Laura Navarro"/>
    <s v="laura.navarro@mail.com"/>
    <x v="3"/>
    <s v="Nápoles"/>
    <x v="1"/>
    <x v="2"/>
    <n v="4"/>
    <n v="94.91"/>
    <n v="379.64"/>
    <x v="1"/>
    <x v="1"/>
    <x v="191"/>
    <x v="3"/>
  </r>
  <r>
    <s v="ORD002221"/>
    <s v="Miguel Torres"/>
    <s v="miguel.torres@mail.com"/>
    <x v="0"/>
    <s v="Valencia"/>
    <x v="2"/>
    <x v="10"/>
    <n v="4"/>
    <n v="708.47"/>
    <n v="2833.88"/>
    <x v="10"/>
    <x v="2"/>
    <x v="640"/>
    <x v="0"/>
  </r>
  <r>
    <s v="ORD002222"/>
    <s v="Pedro García"/>
    <s v="pedro.garcía@mail.com"/>
    <x v="1"/>
    <s v="Berlín"/>
    <x v="0"/>
    <x v="13"/>
    <n v="1"/>
    <n v="1239.1500000000001"/>
    <n v="1239.1500000000001"/>
    <x v="4"/>
    <x v="0"/>
    <x v="24"/>
    <x v="0"/>
  </r>
  <r>
    <s v="ORD002223"/>
    <s v="María Martínez"/>
    <s v="maría.martínez@mail.com"/>
    <x v="2"/>
    <s v="Oporto"/>
    <x v="2"/>
    <x v="9"/>
    <n v="3"/>
    <n v="766.01"/>
    <n v="2298.0299999999997"/>
    <x v="8"/>
    <x v="1"/>
    <x v="687"/>
    <x v="4"/>
  </r>
  <r>
    <s v="ORD002224"/>
    <s v="Elena Ruiz"/>
    <s v="elena.ruiz@mail.com"/>
    <x v="3"/>
    <s v="Roma"/>
    <x v="1"/>
    <x v="8"/>
    <n v="4"/>
    <n v="612.23"/>
    <n v="2448.92"/>
    <x v="2"/>
    <x v="2"/>
    <x v="274"/>
    <x v="0"/>
  </r>
  <r>
    <s v="ORD002225"/>
    <s v="Carlos Pérez"/>
    <s v="carlos.pérez@mail.com"/>
    <x v="3"/>
    <s v="Nápoles"/>
    <x v="2"/>
    <x v="10"/>
    <n v="2"/>
    <n v="954.46"/>
    <n v="1908.92"/>
    <x v="1"/>
    <x v="1"/>
    <x v="514"/>
    <x v="2"/>
  </r>
  <r>
    <s v="ORD002226"/>
    <s v="Laura Fernández"/>
    <s v="laura.fernández@mail.com"/>
    <x v="3"/>
    <s v="Milán"/>
    <x v="4"/>
    <x v="14"/>
    <n v="5"/>
    <n v="78.98"/>
    <n v="394.90000000000003"/>
    <x v="8"/>
    <x v="1"/>
    <x v="604"/>
    <x v="2"/>
  </r>
  <r>
    <s v="ORD002227"/>
    <s v="Ana Sánchez"/>
    <s v="ana.sánchez@mail.com"/>
    <x v="2"/>
    <s v="Oporto"/>
    <x v="0"/>
    <x v="16"/>
    <n v="4"/>
    <n v="1447.15"/>
    <n v="5788.6"/>
    <x v="3"/>
    <x v="0"/>
    <x v="364"/>
    <x v="2"/>
  </r>
  <r>
    <s v="ORD002228"/>
    <s v="Carlos Gil"/>
    <s v="carlos.gil@mail.com"/>
    <x v="1"/>
    <s v="Múnich"/>
    <x v="1"/>
    <x v="8"/>
    <n v="4"/>
    <n v="320.73"/>
    <n v="1282.92"/>
    <x v="3"/>
    <x v="1"/>
    <x v="99"/>
    <x v="0"/>
  </r>
  <r>
    <s v="ORD002229"/>
    <s v="Lucía Alonso"/>
    <s v="lucía.alonso@mail.com"/>
    <x v="0"/>
    <s v="Madrid"/>
    <x v="2"/>
    <x v="3"/>
    <n v="4"/>
    <n v="81.22"/>
    <n v="324.88"/>
    <x v="6"/>
    <x v="0"/>
    <x v="774"/>
    <x v="3"/>
  </r>
  <r>
    <s v="ORD002230"/>
    <s v="Lucía Navarro"/>
    <s v="lucía.navarro@mail.com"/>
    <x v="4"/>
    <s v="Lyon"/>
    <x v="0"/>
    <x v="17"/>
    <n v="4"/>
    <n v="873.27"/>
    <n v="3493.08"/>
    <x v="6"/>
    <x v="0"/>
    <x v="51"/>
    <x v="2"/>
  </r>
  <r>
    <s v="ORD002231"/>
    <s v="Carmen Ramos"/>
    <s v="carmen.ramos@mail.com"/>
    <x v="3"/>
    <s v="Roma"/>
    <x v="4"/>
    <x v="22"/>
    <n v="1"/>
    <n v="71.52"/>
    <n v="71.52"/>
    <x v="0"/>
    <x v="0"/>
    <x v="767"/>
    <x v="3"/>
  </r>
  <r>
    <s v="ORD002232"/>
    <s v="Pedro Martínez"/>
    <s v="pedro.martínez@mail.com"/>
    <x v="0"/>
    <s v="Sevilla"/>
    <x v="2"/>
    <x v="9"/>
    <n v="2"/>
    <n v="270.23"/>
    <n v="540.46"/>
    <x v="6"/>
    <x v="0"/>
    <x v="582"/>
    <x v="4"/>
  </r>
  <r>
    <s v="ORD002233"/>
    <s v="Elena Martínez"/>
    <s v="elena.martínez@mail.com"/>
    <x v="2"/>
    <s v="Oporto"/>
    <x v="2"/>
    <x v="10"/>
    <n v="1"/>
    <n v="25.43"/>
    <n v="25.43"/>
    <x v="11"/>
    <x v="1"/>
    <x v="572"/>
    <x v="2"/>
  </r>
  <r>
    <s v="ORD002234"/>
    <s v="Lucía Ramos"/>
    <s v="lucía.ramos@mail.com"/>
    <x v="3"/>
    <s v="Nápoles"/>
    <x v="1"/>
    <x v="1"/>
    <n v="5"/>
    <n v="257.89"/>
    <n v="1289.4499999999998"/>
    <x v="11"/>
    <x v="1"/>
    <x v="68"/>
    <x v="3"/>
  </r>
  <r>
    <s v="ORD002235"/>
    <s v="Elena Ruiz"/>
    <s v="elena.ruiz@mail.com"/>
    <x v="2"/>
    <s v="Lisboa"/>
    <x v="2"/>
    <x v="15"/>
    <n v="5"/>
    <n v="707.14"/>
    <n v="3535.7"/>
    <x v="4"/>
    <x v="1"/>
    <x v="251"/>
    <x v="2"/>
  </r>
  <r>
    <s v="ORD002236"/>
    <s v="Diego Ruiz"/>
    <s v="diego.ruiz@mail.com"/>
    <x v="1"/>
    <s v="Múnich"/>
    <x v="0"/>
    <x v="17"/>
    <n v="1"/>
    <n v="473.05"/>
    <n v="473.05"/>
    <x v="5"/>
    <x v="0"/>
    <x v="273"/>
    <x v="1"/>
  </r>
  <r>
    <s v="ORD002237"/>
    <s v="Lucía Torres"/>
    <s v="lucía.torres@mail.com"/>
    <x v="3"/>
    <s v="Nápoles"/>
    <x v="1"/>
    <x v="1"/>
    <n v="4"/>
    <n v="1223.3800000000001"/>
    <n v="4893.5200000000004"/>
    <x v="8"/>
    <x v="1"/>
    <x v="210"/>
    <x v="2"/>
  </r>
  <r>
    <s v="ORD002238"/>
    <s v="Lucía Díaz"/>
    <s v="lucía.díaz@mail.com"/>
    <x v="0"/>
    <s v="Barcelona"/>
    <x v="3"/>
    <x v="7"/>
    <n v="2"/>
    <n v="1493.93"/>
    <n v="2987.86"/>
    <x v="9"/>
    <x v="0"/>
    <x v="44"/>
    <x v="2"/>
  </r>
  <r>
    <s v="ORD002239"/>
    <s v="Raúl Pérez"/>
    <s v="raúl.pérez@mail.com"/>
    <x v="0"/>
    <s v="Madrid"/>
    <x v="0"/>
    <x v="20"/>
    <n v="4"/>
    <n v="1058.9000000000001"/>
    <n v="4235.6000000000004"/>
    <x v="8"/>
    <x v="0"/>
    <x v="286"/>
    <x v="1"/>
  </r>
  <r>
    <s v="ORD002240"/>
    <s v="María Díaz"/>
    <s v="maría.díaz@mail.com"/>
    <x v="3"/>
    <s v="Nápoles"/>
    <x v="1"/>
    <x v="8"/>
    <n v="2"/>
    <n v="380.42"/>
    <n v="760.84"/>
    <x v="5"/>
    <x v="1"/>
    <x v="736"/>
    <x v="4"/>
  </r>
  <r>
    <s v="ORD002241"/>
    <s v="Ana Ramos"/>
    <s v="ana.ramos@mail.com"/>
    <x v="1"/>
    <s v="Hamburgo"/>
    <x v="3"/>
    <x v="5"/>
    <n v="5"/>
    <n v="1391.24"/>
    <n v="6956.2"/>
    <x v="7"/>
    <x v="0"/>
    <x v="438"/>
    <x v="2"/>
  </r>
  <r>
    <s v="ORD002242"/>
    <s v="Raúl Alonso"/>
    <s v="raúl.alonso@mail.com"/>
    <x v="3"/>
    <s v="Milán"/>
    <x v="1"/>
    <x v="2"/>
    <n v="2"/>
    <n v="796.7"/>
    <n v="1593.4"/>
    <x v="8"/>
    <x v="1"/>
    <x v="775"/>
    <x v="2"/>
  </r>
  <r>
    <s v="ORD002243"/>
    <s v="Diego Sánchez"/>
    <s v="diego.sánchez@mail.com"/>
    <x v="3"/>
    <s v="Roma"/>
    <x v="0"/>
    <x v="17"/>
    <n v="4"/>
    <n v="287.49"/>
    <n v="1149.96"/>
    <x v="8"/>
    <x v="0"/>
    <x v="202"/>
    <x v="0"/>
  </r>
  <r>
    <s v="ORD002244"/>
    <s v="Carlos Torres"/>
    <s v="carlos.torres@mail.com"/>
    <x v="0"/>
    <s v="Barcelona"/>
    <x v="4"/>
    <x v="21"/>
    <n v="1"/>
    <n v="772.77"/>
    <n v="772.77"/>
    <x v="6"/>
    <x v="1"/>
    <x v="612"/>
    <x v="0"/>
  </r>
  <r>
    <s v="ORD002245"/>
    <s v="Diego Ramos"/>
    <s v="diego.ramos@mail.com"/>
    <x v="2"/>
    <s v="Oporto"/>
    <x v="1"/>
    <x v="12"/>
    <n v="5"/>
    <n v="241.46"/>
    <n v="1207.3"/>
    <x v="1"/>
    <x v="0"/>
    <x v="308"/>
    <x v="3"/>
  </r>
  <r>
    <s v="ORD002246"/>
    <s v="Laura Sánchez"/>
    <s v="laura.sánchez@mail.com"/>
    <x v="3"/>
    <s v="Nápoles"/>
    <x v="1"/>
    <x v="1"/>
    <n v="3"/>
    <n v="1345.9"/>
    <n v="4037.7000000000003"/>
    <x v="10"/>
    <x v="2"/>
    <x v="374"/>
    <x v="1"/>
  </r>
  <r>
    <s v="ORD002247"/>
    <s v="Diego Pérez"/>
    <s v="diego.pérez@mail.com"/>
    <x v="2"/>
    <s v="Lisboa"/>
    <x v="0"/>
    <x v="13"/>
    <n v="1"/>
    <n v="1317.39"/>
    <n v="1317.39"/>
    <x v="2"/>
    <x v="0"/>
    <x v="558"/>
    <x v="4"/>
  </r>
  <r>
    <s v="ORD002248"/>
    <s v="Irene Torres"/>
    <s v="irene.torres@mail.com"/>
    <x v="2"/>
    <s v="Oporto"/>
    <x v="0"/>
    <x v="13"/>
    <n v="3"/>
    <n v="931.17"/>
    <n v="2793.5099999999998"/>
    <x v="2"/>
    <x v="2"/>
    <x v="577"/>
    <x v="4"/>
  </r>
  <r>
    <s v="ORD002249"/>
    <s v="Ana Torres"/>
    <s v="ana.torres@mail.com"/>
    <x v="2"/>
    <s v="Braga"/>
    <x v="3"/>
    <x v="4"/>
    <n v="2"/>
    <n v="309.57"/>
    <n v="619.14"/>
    <x v="9"/>
    <x v="0"/>
    <x v="574"/>
    <x v="2"/>
  </r>
  <r>
    <s v="ORD002250"/>
    <s v="Diego Díaz"/>
    <s v="diego.díaz@mail.com"/>
    <x v="4"/>
    <s v="Marsella"/>
    <x v="4"/>
    <x v="23"/>
    <n v="3"/>
    <n v="53.33"/>
    <n v="159.99"/>
    <x v="9"/>
    <x v="1"/>
    <x v="146"/>
    <x v="4"/>
  </r>
  <r>
    <s v="ORD002251"/>
    <s v="Carlos Vázquez"/>
    <s v="carlos.vázquez@mail.com"/>
    <x v="4"/>
    <s v="Lyon"/>
    <x v="1"/>
    <x v="12"/>
    <n v="1"/>
    <n v="837.53"/>
    <n v="837.53"/>
    <x v="2"/>
    <x v="1"/>
    <x v="667"/>
    <x v="4"/>
  </r>
  <r>
    <s v="ORD002252"/>
    <s v="Pedro Rodríguez"/>
    <s v="pedro.rodríguez@mail.com"/>
    <x v="1"/>
    <s v="Hamburgo"/>
    <x v="3"/>
    <x v="18"/>
    <n v="4"/>
    <n v="1425.66"/>
    <n v="5702.64"/>
    <x v="1"/>
    <x v="1"/>
    <x v="553"/>
    <x v="0"/>
  </r>
  <r>
    <s v="ORD002253"/>
    <s v="Ana Ruiz"/>
    <s v="ana.ruiz@mail.com"/>
    <x v="2"/>
    <s v="Oporto"/>
    <x v="0"/>
    <x v="16"/>
    <n v="5"/>
    <n v="921.65"/>
    <n v="4608.25"/>
    <x v="6"/>
    <x v="1"/>
    <x v="665"/>
    <x v="4"/>
  </r>
  <r>
    <s v="ORD002254"/>
    <s v="Raúl Sánchez"/>
    <s v="raúl.sánchez@mail.com"/>
    <x v="2"/>
    <s v="Lisboa"/>
    <x v="0"/>
    <x v="13"/>
    <n v="1"/>
    <n v="464.04"/>
    <n v="464.04"/>
    <x v="10"/>
    <x v="2"/>
    <x v="396"/>
    <x v="1"/>
  </r>
  <r>
    <s v="ORD002255"/>
    <s v="Elena Gil"/>
    <s v="elena.gil@mail.com"/>
    <x v="3"/>
    <s v="Milán"/>
    <x v="1"/>
    <x v="1"/>
    <n v="3"/>
    <n v="1013.35"/>
    <n v="3040.05"/>
    <x v="3"/>
    <x v="1"/>
    <x v="221"/>
    <x v="4"/>
  </r>
  <r>
    <s v="ORD002256"/>
    <s v="Carlos Gil"/>
    <s v="carlos.gil@mail.com"/>
    <x v="4"/>
    <s v="Marsella"/>
    <x v="0"/>
    <x v="13"/>
    <n v="1"/>
    <n v="809.52"/>
    <n v="809.52"/>
    <x v="0"/>
    <x v="0"/>
    <x v="767"/>
    <x v="1"/>
  </r>
  <r>
    <s v="ORD002257"/>
    <s v="Javier López"/>
    <s v="javier.lópez@mail.com"/>
    <x v="2"/>
    <s v="Oporto"/>
    <x v="1"/>
    <x v="8"/>
    <n v="1"/>
    <n v="574.91999999999996"/>
    <n v="574.91999999999996"/>
    <x v="7"/>
    <x v="1"/>
    <x v="342"/>
    <x v="4"/>
  </r>
  <r>
    <s v="ORD002258"/>
    <s v="Irene Fernández"/>
    <s v="irene.fernández@mail.com"/>
    <x v="2"/>
    <s v="Lisboa"/>
    <x v="3"/>
    <x v="7"/>
    <n v="2"/>
    <n v="501.41"/>
    <n v="1002.82"/>
    <x v="0"/>
    <x v="0"/>
    <x v="521"/>
    <x v="2"/>
  </r>
  <r>
    <s v="ORD002259"/>
    <s v="Sofía Fernández"/>
    <s v="sofía.fernández@mail.com"/>
    <x v="1"/>
    <s v="Múnich"/>
    <x v="3"/>
    <x v="15"/>
    <n v="2"/>
    <n v="1331.81"/>
    <n v="2663.62"/>
    <x v="9"/>
    <x v="0"/>
    <x v="353"/>
    <x v="3"/>
  </r>
  <r>
    <s v="ORD002260"/>
    <s v="Ana Navarro"/>
    <s v="ana.navarro@mail.com"/>
    <x v="2"/>
    <s v="Lisboa"/>
    <x v="3"/>
    <x v="15"/>
    <n v="1"/>
    <n v="678.34"/>
    <n v="678.34"/>
    <x v="9"/>
    <x v="0"/>
    <x v="206"/>
    <x v="3"/>
  </r>
  <r>
    <s v="ORD002261"/>
    <s v="Ana Navarro"/>
    <s v="ana.navarro@mail.com"/>
    <x v="2"/>
    <s v="Oporto"/>
    <x v="3"/>
    <x v="4"/>
    <n v="4"/>
    <n v="439.91"/>
    <n v="1759.64"/>
    <x v="0"/>
    <x v="0"/>
    <x v="676"/>
    <x v="4"/>
  </r>
  <r>
    <s v="ORD002262"/>
    <s v="Miguel Fernández"/>
    <s v="miguel.fernández@mail.com"/>
    <x v="4"/>
    <s v="París"/>
    <x v="4"/>
    <x v="23"/>
    <n v="3"/>
    <n v="688.55"/>
    <n v="2065.6499999999996"/>
    <x v="10"/>
    <x v="1"/>
    <x v="531"/>
    <x v="2"/>
  </r>
  <r>
    <s v="ORD002263"/>
    <s v="Irene Ramos"/>
    <s v="irene.ramos@mail.com"/>
    <x v="3"/>
    <s v="Milán"/>
    <x v="2"/>
    <x v="9"/>
    <n v="2"/>
    <n v="1259.8699999999999"/>
    <n v="2519.7399999999998"/>
    <x v="3"/>
    <x v="0"/>
    <x v="360"/>
    <x v="2"/>
  </r>
  <r>
    <s v="ORD002264"/>
    <s v="Pedro Rodríguez"/>
    <s v="pedro.rodríguez@mail.com"/>
    <x v="4"/>
    <s v="París"/>
    <x v="3"/>
    <x v="18"/>
    <n v="1"/>
    <n v="522.1"/>
    <n v="522.1"/>
    <x v="0"/>
    <x v="1"/>
    <x v="335"/>
    <x v="2"/>
  </r>
  <r>
    <s v="ORD002265"/>
    <s v="Pablo Fernández"/>
    <s v="pablo.fernández@mail.com"/>
    <x v="1"/>
    <s v="Múnich"/>
    <x v="2"/>
    <x v="3"/>
    <n v="1"/>
    <n v="731.55"/>
    <n v="731.55"/>
    <x v="1"/>
    <x v="1"/>
    <x v="170"/>
    <x v="2"/>
  </r>
  <r>
    <s v="ORD002266"/>
    <s v="Carmen Fernández"/>
    <s v="carmen.fernández@mail.com"/>
    <x v="0"/>
    <s v="Valencia"/>
    <x v="0"/>
    <x v="20"/>
    <n v="5"/>
    <n v="401.61"/>
    <n v="2008.0500000000002"/>
    <x v="1"/>
    <x v="1"/>
    <x v="106"/>
    <x v="1"/>
  </r>
  <r>
    <s v="ORD002267"/>
    <s v="Laura García"/>
    <s v="laura.garcía@mail.com"/>
    <x v="3"/>
    <s v="Roma"/>
    <x v="0"/>
    <x v="17"/>
    <n v="1"/>
    <n v="605.55999999999995"/>
    <n v="605.55999999999995"/>
    <x v="3"/>
    <x v="0"/>
    <x v="3"/>
    <x v="4"/>
  </r>
  <r>
    <s v="ORD002268"/>
    <s v="Carmen Rodríguez"/>
    <s v="carmen.rodríguez@mail.com"/>
    <x v="2"/>
    <s v="Lisboa"/>
    <x v="1"/>
    <x v="12"/>
    <n v="2"/>
    <n v="50.38"/>
    <n v="100.76"/>
    <x v="5"/>
    <x v="0"/>
    <x v="219"/>
    <x v="0"/>
  </r>
  <r>
    <s v="ORD002269"/>
    <s v="Raúl Torres"/>
    <s v="raúl.torres@mail.com"/>
    <x v="2"/>
    <s v="Braga"/>
    <x v="2"/>
    <x v="15"/>
    <n v="5"/>
    <n v="1171.6600000000001"/>
    <n v="5858.3"/>
    <x v="6"/>
    <x v="1"/>
    <x v="152"/>
    <x v="3"/>
  </r>
  <r>
    <s v="ORD002270"/>
    <s v="Diego López"/>
    <s v="diego.lópez@mail.com"/>
    <x v="3"/>
    <s v="Milán"/>
    <x v="2"/>
    <x v="3"/>
    <n v="2"/>
    <n v="692.25"/>
    <n v="1384.5"/>
    <x v="10"/>
    <x v="0"/>
    <x v="367"/>
    <x v="2"/>
  </r>
  <r>
    <s v="ORD002271"/>
    <s v="María Gómez"/>
    <s v="maría.gómez@mail.com"/>
    <x v="4"/>
    <s v="París"/>
    <x v="3"/>
    <x v="4"/>
    <n v="3"/>
    <n v="1449.97"/>
    <n v="4349.91"/>
    <x v="4"/>
    <x v="1"/>
    <x v="375"/>
    <x v="4"/>
  </r>
  <r>
    <s v="ORD002272"/>
    <s v="Diego Pérez"/>
    <s v="diego.pérez@mail.com"/>
    <x v="3"/>
    <s v="Nápoles"/>
    <x v="1"/>
    <x v="8"/>
    <n v="1"/>
    <n v="1303.8399999999999"/>
    <n v="1303.8399999999999"/>
    <x v="1"/>
    <x v="0"/>
    <x v="81"/>
    <x v="3"/>
  </r>
  <r>
    <s v="ORD002273"/>
    <s v="Pablo García"/>
    <s v="pablo.garcía@mail.com"/>
    <x v="2"/>
    <s v="Lisboa"/>
    <x v="0"/>
    <x v="0"/>
    <n v="4"/>
    <n v="279.81"/>
    <n v="1119.24"/>
    <x v="10"/>
    <x v="0"/>
    <x v="393"/>
    <x v="0"/>
  </r>
  <r>
    <s v="ORD002274"/>
    <s v="Elena Vázquez"/>
    <s v="elena.vázquez@mail.com"/>
    <x v="3"/>
    <s v="Nápoles"/>
    <x v="4"/>
    <x v="14"/>
    <n v="4"/>
    <n v="22.82"/>
    <n v="91.28"/>
    <x v="8"/>
    <x v="0"/>
    <x v="668"/>
    <x v="3"/>
  </r>
  <r>
    <s v="ORD002275"/>
    <s v="Laura Pérez"/>
    <s v="laura.pérez@mail.com"/>
    <x v="1"/>
    <s v="Berlín"/>
    <x v="1"/>
    <x v="2"/>
    <n v="1"/>
    <n v="793.9"/>
    <n v="793.9"/>
    <x v="2"/>
    <x v="0"/>
    <x v="761"/>
    <x v="2"/>
  </r>
  <r>
    <s v="ORD002276"/>
    <s v="Carlos Fernández"/>
    <s v="carlos.fernández@mail.com"/>
    <x v="3"/>
    <s v="Milán"/>
    <x v="1"/>
    <x v="1"/>
    <n v="4"/>
    <n v="1380.37"/>
    <n v="5521.48"/>
    <x v="9"/>
    <x v="0"/>
    <x v="57"/>
    <x v="0"/>
  </r>
  <r>
    <s v="ORD002277"/>
    <s v="Elena Ramos"/>
    <s v="elena.ramos@mail.com"/>
    <x v="4"/>
    <s v="Marsella"/>
    <x v="0"/>
    <x v="17"/>
    <n v="1"/>
    <n v="518.17999999999995"/>
    <n v="518.17999999999995"/>
    <x v="7"/>
    <x v="1"/>
    <x v="674"/>
    <x v="1"/>
  </r>
  <r>
    <s v="ORD002278"/>
    <s v="Elena Torres"/>
    <s v="elena.torres@mail.com"/>
    <x v="3"/>
    <s v="Nápoles"/>
    <x v="4"/>
    <x v="21"/>
    <n v="2"/>
    <n v="510.52"/>
    <n v="1021.04"/>
    <x v="1"/>
    <x v="1"/>
    <x v="685"/>
    <x v="0"/>
  </r>
  <r>
    <s v="ORD002279"/>
    <s v="Raúl Rodríguez"/>
    <s v="raúl.rodríguez@mail.com"/>
    <x v="0"/>
    <s v="Sevilla"/>
    <x v="1"/>
    <x v="12"/>
    <n v="1"/>
    <n v="1328.65"/>
    <n v="1328.65"/>
    <x v="4"/>
    <x v="1"/>
    <x v="677"/>
    <x v="4"/>
  </r>
  <r>
    <s v="ORD002280"/>
    <s v="Irene Vázquez"/>
    <s v="irene.vázquez@mail.com"/>
    <x v="3"/>
    <s v="Milán"/>
    <x v="0"/>
    <x v="20"/>
    <n v="2"/>
    <n v="285.92"/>
    <n v="571.84"/>
    <x v="10"/>
    <x v="2"/>
    <x v="644"/>
    <x v="1"/>
  </r>
  <r>
    <s v="ORD002281"/>
    <s v="Luis Vázquez"/>
    <s v="luis.vázquez@mail.com"/>
    <x v="1"/>
    <s v="Hamburgo"/>
    <x v="4"/>
    <x v="14"/>
    <n v="5"/>
    <n v="1220.75"/>
    <n v="6103.75"/>
    <x v="7"/>
    <x v="0"/>
    <x v="385"/>
    <x v="2"/>
  </r>
  <r>
    <s v="ORD002282"/>
    <s v="Raúl García"/>
    <s v="raúl.garcía@mail.com"/>
    <x v="3"/>
    <s v="Roma"/>
    <x v="1"/>
    <x v="1"/>
    <n v="5"/>
    <n v="1033.27"/>
    <n v="5166.3500000000004"/>
    <x v="6"/>
    <x v="1"/>
    <x v="27"/>
    <x v="1"/>
  </r>
  <r>
    <s v="ORD002283"/>
    <s v="Javier Alonso"/>
    <s v="javier.alonso@mail.com"/>
    <x v="3"/>
    <s v="Nápoles"/>
    <x v="2"/>
    <x v="19"/>
    <n v="3"/>
    <n v="716.35"/>
    <n v="2149.0500000000002"/>
    <x v="4"/>
    <x v="0"/>
    <x v="416"/>
    <x v="1"/>
  </r>
  <r>
    <s v="ORD002284"/>
    <s v="Ana Alonso"/>
    <s v="ana.alonso@mail.com"/>
    <x v="3"/>
    <s v="Roma"/>
    <x v="3"/>
    <x v="18"/>
    <n v="2"/>
    <n v="492.47"/>
    <n v="984.94"/>
    <x v="6"/>
    <x v="0"/>
    <x v="285"/>
    <x v="0"/>
  </r>
  <r>
    <s v="ORD002285"/>
    <s v="Elena García"/>
    <s v="elena.garcía@mail.com"/>
    <x v="2"/>
    <s v="Braga"/>
    <x v="0"/>
    <x v="13"/>
    <n v="5"/>
    <n v="1005.97"/>
    <n v="5029.8500000000004"/>
    <x v="7"/>
    <x v="1"/>
    <x v="11"/>
    <x v="0"/>
  </r>
  <r>
    <s v="ORD002286"/>
    <s v="Carmen Torres"/>
    <s v="carmen.torres@mail.com"/>
    <x v="1"/>
    <s v="Berlín"/>
    <x v="2"/>
    <x v="9"/>
    <n v="3"/>
    <n v="1223.69"/>
    <n v="3671.07"/>
    <x v="3"/>
    <x v="0"/>
    <x v="605"/>
    <x v="2"/>
  </r>
  <r>
    <s v="ORD002287"/>
    <s v="Diego Gómez"/>
    <s v="diego.gómez@mail.com"/>
    <x v="2"/>
    <s v="Braga"/>
    <x v="4"/>
    <x v="22"/>
    <n v="5"/>
    <n v="370.32"/>
    <n v="1851.6"/>
    <x v="4"/>
    <x v="0"/>
    <x v="171"/>
    <x v="1"/>
  </r>
  <r>
    <s v="ORD002288"/>
    <s v="Miguel Díaz"/>
    <s v="miguel.díaz@mail.com"/>
    <x v="1"/>
    <s v="Berlín"/>
    <x v="2"/>
    <x v="19"/>
    <n v="5"/>
    <n v="1414.63"/>
    <n v="7073.1500000000005"/>
    <x v="8"/>
    <x v="1"/>
    <x v="775"/>
    <x v="1"/>
  </r>
  <r>
    <s v="ORD002289"/>
    <s v="Raúl Alonso"/>
    <s v="raúl.alonso@mail.com"/>
    <x v="1"/>
    <s v="Hamburgo"/>
    <x v="4"/>
    <x v="21"/>
    <n v="3"/>
    <n v="1468.27"/>
    <n v="4404.8099999999995"/>
    <x v="5"/>
    <x v="1"/>
    <x v="103"/>
    <x v="3"/>
  </r>
  <r>
    <s v="ORD002290"/>
    <s v="Javier Rodríguez"/>
    <s v="javier.rodríguez@mail.com"/>
    <x v="3"/>
    <s v="Milán"/>
    <x v="1"/>
    <x v="6"/>
    <n v="2"/>
    <n v="1322.49"/>
    <n v="2644.98"/>
    <x v="4"/>
    <x v="1"/>
    <x v="689"/>
    <x v="0"/>
  </r>
  <r>
    <s v="ORD002291"/>
    <s v="Ana Gil"/>
    <s v="ana.gil@mail.com"/>
    <x v="0"/>
    <s v="Bilbao"/>
    <x v="2"/>
    <x v="10"/>
    <n v="2"/>
    <n v="38.01"/>
    <n v="76.02"/>
    <x v="4"/>
    <x v="1"/>
    <x v="280"/>
    <x v="3"/>
  </r>
  <r>
    <s v="ORD002292"/>
    <s v="Irene Sánchez"/>
    <s v="irene.sánchez@mail.com"/>
    <x v="3"/>
    <s v="Nápoles"/>
    <x v="1"/>
    <x v="2"/>
    <n v="4"/>
    <n v="23.21"/>
    <n v="92.84"/>
    <x v="1"/>
    <x v="1"/>
    <x v="776"/>
    <x v="4"/>
  </r>
  <r>
    <s v="ORD002293"/>
    <s v="Pablo Gil"/>
    <s v="pablo.gil@mail.com"/>
    <x v="0"/>
    <s v="Bilbao"/>
    <x v="4"/>
    <x v="14"/>
    <n v="4"/>
    <n v="489.44"/>
    <n v="1957.76"/>
    <x v="1"/>
    <x v="1"/>
    <x v="493"/>
    <x v="2"/>
  </r>
  <r>
    <s v="ORD002294"/>
    <s v="Laura García"/>
    <s v="laura.garcía@mail.com"/>
    <x v="2"/>
    <s v="Lisboa"/>
    <x v="4"/>
    <x v="14"/>
    <n v="5"/>
    <n v="59.45"/>
    <n v="297.25"/>
    <x v="8"/>
    <x v="0"/>
    <x v="547"/>
    <x v="1"/>
  </r>
  <r>
    <s v="ORD002295"/>
    <s v="Pablo Navarro"/>
    <s v="pablo.navarro@mail.com"/>
    <x v="1"/>
    <s v="Berlín"/>
    <x v="4"/>
    <x v="14"/>
    <n v="5"/>
    <n v="548.79999999999995"/>
    <n v="2744"/>
    <x v="6"/>
    <x v="0"/>
    <x v="771"/>
    <x v="0"/>
  </r>
  <r>
    <s v="ORD002296"/>
    <s v="Miguel Ramos"/>
    <s v="miguel.ramos@mail.com"/>
    <x v="4"/>
    <s v="París"/>
    <x v="3"/>
    <x v="4"/>
    <n v="5"/>
    <n v="833.13"/>
    <n v="4165.6499999999996"/>
    <x v="5"/>
    <x v="2"/>
    <x v="96"/>
    <x v="4"/>
  </r>
  <r>
    <s v="ORD002297"/>
    <s v="Elena Torres"/>
    <s v="elena.torres@mail.com"/>
    <x v="3"/>
    <s v="Milán"/>
    <x v="3"/>
    <x v="5"/>
    <n v="4"/>
    <n v="465.59"/>
    <n v="1862.36"/>
    <x v="8"/>
    <x v="1"/>
    <x v="318"/>
    <x v="0"/>
  </r>
  <r>
    <s v="ORD002298"/>
    <s v="Elena Ramos"/>
    <s v="elena.ramos@mail.com"/>
    <x v="3"/>
    <s v="Nápoles"/>
    <x v="2"/>
    <x v="10"/>
    <n v="1"/>
    <n v="40.869999999999997"/>
    <n v="40.869999999999997"/>
    <x v="10"/>
    <x v="1"/>
    <x v="556"/>
    <x v="2"/>
  </r>
  <r>
    <s v="ORD002299"/>
    <s v="Diego Navarro"/>
    <s v="diego.navarro@mail.com"/>
    <x v="4"/>
    <s v="Lyon"/>
    <x v="2"/>
    <x v="15"/>
    <n v="4"/>
    <n v="33.18"/>
    <n v="132.72"/>
    <x v="5"/>
    <x v="2"/>
    <x v="233"/>
    <x v="4"/>
  </r>
  <r>
    <s v="ORD002300"/>
    <s v="Carmen Fernández"/>
    <s v="carmen.fernández@mail.com"/>
    <x v="3"/>
    <s v="Milán"/>
    <x v="2"/>
    <x v="15"/>
    <n v="1"/>
    <n v="435.43"/>
    <n v="435.43"/>
    <x v="10"/>
    <x v="0"/>
    <x v="164"/>
    <x v="1"/>
  </r>
  <r>
    <s v="ORD002301"/>
    <s v="Carlos Pérez"/>
    <s v="carlos.pérez@mail.com"/>
    <x v="0"/>
    <s v="Valencia"/>
    <x v="4"/>
    <x v="21"/>
    <n v="2"/>
    <n v="1192.6600000000001"/>
    <n v="2385.3200000000002"/>
    <x v="11"/>
    <x v="1"/>
    <x v="214"/>
    <x v="2"/>
  </r>
  <r>
    <s v="ORD002302"/>
    <s v="Carlos Navarro"/>
    <s v="carlos.navarro@mail.com"/>
    <x v="3"/>
    <s v="Nápoles"/>
    <x v="3"/>
    <x v="18"/>
    <n v="3"/>
    <n v="391.97"/>
    <n v="1175.9100000000001"/>
    <x v="3"/>
    <x v="0"/>
    <x v="224"/>
    <x v="4"/>
  </r>
  <r>
    <s v="ORD002303"/>
    <s v="Sofía López"/>
    <s v="sofía.lópez@mail.com"/>
    <x v="2"/>
    <s v="Oporto"/>
    <x v="0"/>
    <x v="13"/>
    <n v="4"/>
    <n v="679.27"/>
    <n v="2717.08"/>
    <x v="5"/>
    <x v="0"/>
    <x v="95"/>
    <x v="0"/>
  </r>
  <r>
    <s v="ORD002304"/>
    <s v="Elena López"/>
    <s v="elena.lópez@mail.com"/>
    <x v="0"/>
    <s v="Madrid"/>
    <x v="3"/>
    <x v="18"/>
    <n v="4"/>
    <n v="477.36"/>
    <n v="1909.44"/>
    <x v="7"/>
    <x v="0"/>
    <x v="91"/>
    <x v="4"/>
  </r>
  <r>
    <s v="ORD002305"/>
    <s v="María Gil"/>
    <s v="maría.gil@mail.com"/>
    <x v="4"/>
    <s v="Lyon"/>
    <x v="3"/>
    <x v="15"/>
    <n v="4"/>
    <n v="57.68"/>
    <n v="230.72"/>
    <x v="0"/>
    <x v="0"/>
    <x v="733"/>
    <x v="2"/>
  </r>
  <r>
    <s v="ORD002306"/>
    <s v="Laura Gil"/>
    <s v="laura.gil@mail.com"/>
    <x v="3"/>
    <s v="Milán"/>
    <x v="2"/>
    <x v="9"/>
    <n v="5"/>
    <n v="628.55999999999995"/>
    <n v="3142.7999999999997"/>
    <x v="0"/>
    <x v="0"/>
    <x v="488"/>
    <x v="0"/>
  </r>
  <r>
    <s v="ORD002307"/>
    <s v="Irene Navarro"/>
    <s v="irene.navarro@mail.com"/>
    <x v="3"/>
    <s v="Nápoles"/>
    <x v="4"/>
    <x v="11"/>
    <n v="1"/>
    <n v="171.15"/>
    <n v="171.15"/>
    <x v="10"/>
    <x v="2"/>
    <x v="101"/>
    <x v="3"/>
  </r>
  <r>
    <s v="ORD002308"/>
    <s v="Laura López"/>
    <s v="laura.lópez@mail.com"/>
    <x v="3"/>
    <s v="Roma"/>
    <x v="0"/>
    <x v="0"/>
    <n v="5"/>
    <n v="141.54"/>
    <n v="707.69999999999993"/>
    <x v="9"/>
    <x v="0"/>
    <x v="355"/>
    <x v="3"/>
  </r>
  <r>
    <s v="ORD002309"/>
    <s v="Carmen Ramos"/>
    <s v="carmen.ramos@mail.com"/>
    <x v="1"/>
    <s v="Hamburgo"/>
    <x v="4"/>
    <x v="14"/>
    <n v="1"/>
    <n v="1281.76"/>
    <n v="1281.76"/>
    <x v="4"/>
    <x v="0"/>
    <x v="24"/>
    <x v="3"/>
  </r>
  <r>
    <s v="ORD002310"/>
    <s v="Miguel Rodríguez"/>
    <s v="miguel.rodríguez@mail.com"/>
    <x v="3"/>
    <s v="Milán"/>
    <x v="3"/>
    <x v="4"/>
    <n v="4"/>
    <n v="1338.5"/>
    <n v="5354"/>
    <x v="11"/>
    <x v="0"/>
    <x v="120"/>
    <x v="0"/>
  </r>
  <r>
    <s v="ORD002311"/>
    <s v="Pablo Martínez"/>
    <s v="pablo.martínez@mail.com"/>
    <x v="3"/>
    <s v="Milán"/>
    <x v="2"/>
    <x v="10"/>
    <n v="3"/>
    <n v="1360.66"/>
    <n v="4081.9800000000005"/>
    <x v="2"/>
    <x v="0"/>
    <x v="569"/>
    <x v="1"/>
  </r>
  <r>
    <s v="ORD002312"/>
    <s v="Javier Pérez"/>
    <s v="javier.pérez@mail.com"/>
    <x v="4"/>
    <s v="Lyon"/>
    <x v="3"/>
    <x v="4"/>
    <n v="5"/>
    <n v="245.66"/>
    <n v="1228.3"/>
    <x v="10"/>
    <x v="2"/>
    <x v="98"/>
    <x v="2"/>
  </r>
  <r>
    <s v="ORD002313"/>
    <s v="Laura Fernández"/>
    <s v="laura.fernández@mail.com"/>
    <x v="1"/>
    <s v="Hamburgo"/>
    <x v="4"/>
    <x v="21"/>
    <n v="2"/>
    <n v="137.11000000000001"/>
    <n v="274.22000000000003"/>
    <x v="2"/>
    <x v="0"/>
    <x v="132"/>
    <x v="1"/>
  </r>
  <r>
    <s v="ORD002314"/>
    <s v="Javier Navarro"/>
    <s v="javier.navarro@mail.com"/>
    <x v="0"/>
    <s v="Bilbao"/>
    <x v="0"/>
    <x v="17"/>
    <n v="4"/>
    <n v="914.32"/>
    <n v="3657.28"/>
    <x v="9"/>
    <x v="1"/>
    <x v="507"/>
    <x v="2"/>
  </r>
  <r>
    <s v="ORD002315"/>
    <s v="Diego López"/>
    <s v="diego.lópez@mail.com"/>
    <x v="2"/>
    <s v="Braga"/>
    <x v="1"/>
    <x v="6"/>
    <n v="4"/>
    <n v="1095.0999999999999"/>
    <n v="4380.3999999999996"/>
    <x v="6"/>
    <x v="1"/>
    <x v="243"/>
    <x v="0"/>
  </r>
  <r>
    <s v="ORD002316"/>
    <s v="Carlos García"/>
    <s v="carlos.garcía@mail.com"/>
    <x v="0"/>
    <s v="Madrid"/>
    <x v="2"/>
    <x v="3"/>
    <n v="3"/>
    <n v="867.55"/>
    <n v="2602.6499999999996"/>
    <x v="0"/>
    <x v="1"/>
    <x v="708"/>
    <x v="0"/>
  </r>
  <r>
    <s v="ORD002317"/>
    <s v="María Martínez"/>
    <s v="maría.martínez@mail.com"/>
    <x v="4"/>
    <s v="París"/>
    <x v="3"/>
    <x v="4"/>
    <n v="2"/>
    <n v="1408.53"/>
    <n v="2817.06"/>
    <x v="2"/>
    <x v="1"/>
    <x v="263"/>
    <x v="1"/>
  </r>
  <r>
    <s v="ORD002318"/>
    <s v="Irene Vázquez"/>
    <s v="irene.vázquez@mail.com"/>
    <x v="0"/>
    <s v="Valencia"/>
    <x v="0"/>
    <x v="17"/>
    <n v="4"/>
    <n v="1299.25"/>
    <n v="5197"/>
    <x v="2"/>
    <x v="0"/>
    <x v="777"/>
    <x v="0"/>
  </r>
  <r>
    <s v="ORD002319"/>
    <s v="Javier García"/>
    <s v="javier.garcía@mail.com"/>
    <x v="2"/>
    <s v="Braga"/>
    <x v="2"/>
    <x v="9"/>
    <n v="5"/>
    <n v="145.79"/>
    <n v="728.94999999999993"/>
    <x v="11"/>
    <x v="0"/>
    <x v="518"/>
    <x v="0"/>
  </r>
  <r>
    <s v="ORD002320"/>
    <s v="Elena Ramos"/>
    <s v="elena.ramos@mail.com"/>
    <x v="4"/>
    <s v="Marsella"/>
    <x v="2"/>
    <x v="10"/>
    <n v="4"/>
    <n v="297.01"/>
    <n v="1188.04"/>
    <x v="2"/>
    <x v="0"/>
    <x v="309"/>
    <x v="3"/>
  </r>
  <r>
    <s v="ORD002321"/>
    <s v="María López"/>
    <s v="maría.lópez@mail.com"/>
    <x v="1"/>
    <s v="Berlín"/>
    <x v="1"/>
    <x v="8"/>
    <n v="2"/>
    <n v="635.5"/>
    <n v="1271"/>
    <x v="4"/>
    <x v="1"/>
    <x v="633"/>
    <x v="4"/>
  </r>
  <r>
    <s v="ORD002322"/>
    <s v="Lucía Sánchez"/>
    <s v="lucía.sánchez@mail.com"/>
    <x v="1"/>
    <s v="Múnich"/>
    <x v="1"/>
    <x v="6"/>
    <n v="3"/>
    <n v="667.57"/>
    <n v="2002.71"/>
    <x v="8"/>
    <x v="1"/>
    <x v="604"/>
    <x v="3"/>
  </r>
  <r>
    <s v="ORD002323"/>
    <s v="Miguel Sánchez"/>
    <s v="miguel.sánchez@mail.com"/>
    <x v="1"/>
    <s v="Berlín"/>
    <x v="1"/>
    <x v="8"/>
    <n v="5"/>
    <n v="169.1"/>
    <n v="845.5"/>
    <x v="1"/>
    <x v="0"/>
    <x v="598"/>
    <x v="3"/>
  </r>
  <r>
    <s v="ORD002324"/>
    <s v="Irene Pérez"/>
    <s v="irene.pérez@mail.com"/>
    <x v="0"/>
    <s v="Bilbao"/>
    <x v="2"/>
    <x v="19"/>
    <n v="4"/>
    <n v="1388.47"/>
    <n v="5553.88"/>
    <x v="4"/>
    <x v="1"/>
    <x v="427"/>
    <x v="0"/>
  </r>
  <r>
    <s v="ORD002325"/>
    <s v="Irene Rodríguez"/>
    <s v="irene.rodríguez@mail.com"/>
    <x v="0"/>
    <s v="Madrid"/>
    <x v="0"/>
    <x v="20"/>
    <n v="4"/>
    <n v="414.44"/>
    <n v="1657.76"/>
    <x v="9"/>
    <x v="1"/>
    <x v="424"/>
    <x v="2"/>
  </r>
  <r>
    <s v="ORD002326"/>
    <s v="Miguel Pérez"/>
    <s v="miguel.pérez@mail.com"/>
    <x v="0"/>
    <s v="Sevilla"/>
    <x v="3"/>
    <x v="4"/>
    <n v="4"/>
    <n v="1217.46"/>
    <n v="4869.84"/>
    <x v="1"/>
    <x v="0"/>
    <x v="477"/>
    <x v="3"/>
  </r>
  <r>
    <s v="ORD002327"/>
    <s v="Pedro Pérez"/>
    <s v="pedro.pérez@mail.com"/>
    <x v="1"/>
    <s v="Múnich"/>
    <x v="0"/>
    <x v="20"/>
    <n v="5"/>
    <n v="627.34"/>
    <n v="3136.7000000000003"/>
    <x v="0"/>
    <x v="0"/>
    <x v="608"/>
    <x v="0"/>
  </r>
  <r>
    <s v="ORD002328"/>
    <s v="Elena Rodríguez"/>
    <s v="elena.rodríguez@mail.com"/>
    <x v="0"/>
    <s v="Valencia"/>
    <x v="1"/>
    <x v="12"/>
    <n v="1"/>
    <n v="803.96"/>
    <n v="803.96"/>
    <x v="11"/>
    <x v="0"/>
    <x v="112"/>
    <x v="3"/>
  </r>
  <r>
    <s v="ORD002329"/>
    <s v="María Rodríguez"/>
    <s v="maría.rodríguez@mail.com"/>
    <x v="1"/>
    <s v="Múnich"/>
    <x v="4"/>
    <x v="23"/>
    <n v="5"/>
    <n v="721.61"/>
    <n v="3608.05"/>
    <x v="2"/>
    <x v="2"/>
    <x v="274"/>
    <x v="0"/>
  </r>
  <r>
    <s v="ORD002330"/>
    <s v="Carmen Vázquez"/>
    <s v="carmen.vázquez@mail.com"/>
    <x v="2"/>
    <s v="Braga"/>
    <x v="0"/>
    <x v="16"/>
    <n v="4"/>
    <n v="279.22000000000003"/>
    <n v="1116.8800000000001"/>
    <x v="7"/>
    <x v="1"/>
    <x v="239"/>
    <x v="3"/>
  </r>
  <r>
    <s v="ORD002331"/>
    <s v="Javier Fernández"/>
    <s v="javier.fernández@mail.com"/>
    <x v="4"/>
    <s v="Marsella"/>
    <x v="1"/>
    <x v="12"/>
    <n v="4"/>
    <n v="1158.48"/>
    <n v="4633.92"/>
    <x v="3"/>
    <x v="0"/>
    <x v="666"/>
    <x v="4"/>
  </r>
  <r>
    <s v="ORD002332"/>
    <s v="Miguel Fernández"/>
    <s v="miguel.fernández@mail.com"/>
    <x v="1"/>
    <s v="Múnich"/>
    <x v="2"/>
    <x v="10"/>
    <n v="5"/>
    <n v="884.64"/>
    <n v="4423.2"/>
    <x v="3"/>
    <x v="1"/>
    <x v="421"/>
    <x v="3"/>
  </r>
  <r>
    <s v="ORD002333"/>
    <s v="Pedro Ruiz"/>
    <s v="pedro.ruiz@mail.com"/>
    <x v="0"/>
    <s v="Sevilla"/>
    <x v="0"/>
    <x v="17"/>
    <n v="3"/>
    <n v="721.16"/>
    <n v="2163.48"/>
    <x v="2"/>
    <x v="2"/>
    <x v="716"/>
    <x v="0"/>
  </r>
  <r>
    <s v="ORD002334"/>
    <s v="Pedro Alonso"/>
    <s v="pedro.alonso@mail.com"/>
    <x v="0"/>
    <s v="Madrid"/>
    <x v="0"/>
    <x v="16"/>
    <n v="2"/>
    <n v="838.88"/>
    <n v="1677.76"/>
    <x v="8"/>
    <x v="1"/>
    <x v="604"/>
    <x v="1"/>
  </r>
  <r>
    <s v="ORD002335"/>
    <s v="Carlos Alonso"/>
    <s v="carlos.alonso@mail.com"/>
    <x v="2"/>
    <s v="Braga"/>
    <x v="4"/>
    <x v="22"/>
    <n v="3"/>
    <n v="958.32"/>
    <n v="2874.96"/>
    <x v="5"/>
    <x v="1"/>
    <x v="366"/>
    <x v="4"/>
  </r>
  <r>
    <s v="ORD002336"/>
    <s v="Luis Rodríguez"/>
    <s v="luis.rodríguez@mail.com"/>
    <x v="0"/>
    <s v="Barcelona"/>
    <x v="0"/>
    <x v="13"/>
    <n v="4"/>
    <n v="1198.71"/>
    <n v="4794.84"/>
    <x v="4"/>
    <x v="1"/>
    <x v="472"/>
    <x v="0"/>
  </r>
  <r>
    <s v="ORD002337"/>
    <s v="Elena Sánchez"/>
    <s v="elena.sánchez@mail.com"/>
    <x v="4"/>
    <s v="Marsella"/>
    <x v="1"/>
    <x v="1"/>
    <n v="5"/>
    <n v="560.21"/>
    <n v="2801.05"/>
    <x v="4"/>
    <x v="1"/>
    <x v="197"/>
    <x v="3"/>
  </r>
  <r>
    <s v="ORD002338"/>
    <s v="Laura Ruiz"/>
    <s v="laura.ruiz@mail.com"/>
    <x v="1"/>
    <s v="Hamburgo"/>
    <x v="0"/>
    <x v="20"/>
    <n v="1"/>
    <n v="910.02"/>
    <n v="910.02"/>
    <x v="2"/>
    <x v="2"/>
    <x v="724"/>
    <x v="0"/>
  </r>
  <r>
    <s v="ORD002339"/>
    <s v="Sofía Ramos"/>
    <s v="sofía.ramos@mail.com"/>
    <x v="1"/>
    <s v="Hamburgo"/>
    <x v="3"/>
    <x v="15"/>
    <n v="1"/>
    <n v="1029.55"/>
    <n v="1029.55"/>
    <x v="5"/>
    <x v="2"/>
    <x v="255"/>
    <x v="2"/>
  </r>
  <r>
    <s v="ORD002340"/>
    <s v="Sofía Navarro"/>
    <s v="sofía.navarro@mail.com"/>
    <x v="0"/>
    <s v="Madrid"/>
    <x v="1"/>
    <x v="2"/>
    <n v="1"/>
    <n v="1430.63"/>
    <n v="1430.63"/>
    <x v="0"/>
    <x v="1"/>
    <x v="778"/>
    <x v="3"/>
  </r>
  <r>
    <s v="ORD002341"/>
    <s v="Raúl Navarro"/>
    <s v="raúl.navarro@mail.com"/>
    <x v="3"/>
    <s v="Nápoles"/>
    <x v="0"/>
    <x v="16"/>
    <n v="5"/>
    <n v="1012.23"/>
    <n v="5061.1499999999996"/>
    <x v="4"/>
    <x v="1"/>
    <x v="375"/>
    <x v="2"/>
  </r>
  <r>
    <s v="ORD002342"/>
    <s v="Raúl Martínez"/>
    <s v="raúl.martínez@mail.com"/>
    <x v="2"/>
    <s v="Lisboa"/>
    <x v="4"/>
    <x v="14"/>
    <n v="2"/>
    <n v="443.96"/>
    <n v="887.92"/>
    <x v="0"/>
    <x v="0"/>
    <x v="108"/>
    <x v="0"/>
  </r>
  <r>
    <s v="ORD002343"/>
    <s v="Carmen Alonso"/>
    <s v="carmen.alonso@mail.com"/>
    <x v="1"/>
    <s v="Hamburgo"/>
    <x v="3"/>
    <x v="15"/>
    <n v="1"/>
    <n v="601.42999999999995"/>
    <n v="601.42999999999995"/>
    <x v="6"/>
    <x v="0"/>
    <x v="285"/>
    <x v="0"/>
  </r>
  <r>
    <s v="ORD002344"/>
    <s v="Sofía Ruiz"/>
    <s v="sofía.ruiz@mail.com"/>
    <x v="0"/>
    <s v="Madrid"/>
    <x v="2"/>
    <x v="10"/>
    <n v="3"/>
    <n v="207.72"/>
    <n v="623.16"/>
    <x v="5"/>
    <x v="2"/>
    <x v="222"/>
    <x v="4"/>
  </r>
  <r>
    <s v="ORD002345"/>
    <s v="Diego Rodríguez"/>
    <s v="diego.rodríguez@mail.com"/>
    <x v="4"/>
    <s v="París"/>
    <x v="2"/>
    <x v="9"/>
    <n v="3"/>
    <n v="824.82"/>
    <n v="2474.46"/>
    <x v="6"/>
    <x v="0"/>
    <x v="279"/>
    <x v="4"/>
  </r>
  <r>
    <s v="ORD002346"/>
    <s v="Sofía García"/>
    <s v="sofía.garcía@mail.com"/>
    <x v="4"/>
    <s v="París"/>
    <x v="1"/>
    <x v="12"/>
    <n v="1"/>
    <n v="6.2"/>
    <n v="6.2"/>
    <x v="0"/>
    <x v="1"/>
    <x v="570"/>
    <x v="2"/>
  </r>
  <r>
    <s v="ORD002347"/>
    <s v="Miguel Martínez"/>
    <s v="miguel.martínez@mail.com"/>
    <x v="2"/>
    <s v="Braga"/>
    <x v="3"/>
    <x v="4"/>
    <n v="4"/>
    <n v="186.16"/>
    <n v="744.64"/>
    <x v="10"/>
    <x v="2"/>
    <x v="345"/>
    <x v="3"/>
  </r>
  <r>
    <s v="ORD002348"/>
    <s v="Pedro Torres"/>
    <s v="pedro.torres@mail.com"/>
    <x v="3"/>
    <s v="Nápoles"/>
    <x v="0"/>
    <x v="17"/>
    <n v="3"/>
    <n v="11.01"/>
    <n v="33.03"/>
    <x v="8"/>
    <x v="1"/>
    <x v="539"/>
    <x v="3"/>
  </r>
  <r>
    <s v="ORD002349"/>
    <s v="Pedro Rodríguez"/>
    <s v="pedro.rodríguez@mail.com"/>
    <x v="3"/>
    <s v="Milán"/>
    <x v="2"/>
    <x v="19"/>
    <n v="1"/>
    <n v="353.82"/>
    <n v="353.82"/>
    <x v="2"/>
    <x v="1"/>
    <x v="349"/>
    <x v="1"/>
  </r>
  <r>
    <s v="ORD002350"/>
    <s v="Laura Rodríguez"/>
    <s v="laura.rodríguez@mail.com"/>
    <x v="1"/>
    <s v="Berlín"/>
    <x v="4"/>
    <x v="21"/>
    <n v="5"/>
    <n v="1083.49"/>
    <n v="5417.45"/>
    <x v="3"/>
    <x v="1"/>
    <x v="495"/>
    <x v="0"/>
  </r>
  <r>
    <s v="ORD002351"/>
    <s v="Laura Rodríguez"/>
    <s v="laura.rodríguez@mail.com"/>
    <x v="2"/>
    <s v="Oporto"/>
    <x v="0"/>
    <x v="0"/>
    <n v="3"/>
    <n v="652.05999999999995"/>
    <n v="1956.1799999999998"/>
    <x v="4"/>
    <x v="0"/>
    <x v="617"/>
    <x v="4"/>
  </r>
  <r>
    <s v="ORD002352"/>
    <s v="Pablo Gómez"/>
    <s v="pablo.gómez@mail.com"/>
    <x v="1"/>
    <s v="Hamburgo"/>
    <x v="2"/>
    <x v="3"/>
    <n v="4"/>
    <n v="677.34"/>
    <n v="2709.36"/>
    <x v="5"/>
    <x v="0"/>
    <x v="95"/>
    <x v="0"/>
  </r>
  <r>
    <s v="ORD002353"/>
    <s v="Javier Gil"/>
    <s v="javier.gil@mail.com"/>
    <x v="0"/>
    <s v="Barcelona"/>
    <x v="2"/>
    <x v="15"/>
    <n v="1"/>
    <n v="440.33"/>
    <n v="440.33"/>
    <x v="5"/>
    <x v="0"/>
    <x v="510"/>
    <x v="2"/>
  </r>
  <r>
    <s v="ORD002354"/>
    <s v="Sofía López"/>
    <s v="sofía.lópez@mail.com"/>
    <x v="4"/>
    <s v="París"/>
    <x v="0"/>
    <x v="0"/>
    <n v="4"/>
    <n v="1293.03"/>
    <n v="5172.12"/>
    <x v="9"/>
    <x v="0"/>
    <x v="42"/>
    <x v="1"/>
  </r>
  <r>
    <s v="ORD002355"/>
    <s v="Sofía Pérez"/>
    <s v="sofía.pérez@mail.com"/>
    <x v="1"/>
    <s v="Hamburgo"/>
    <x v="1"/>
    <x v="12"/>
    <n v="3"/>
    <n v="1273.71"/>
    <n v="3821.13"/>
    <x v="10"/>
    <x v="2"/>
    <x v="396"/>
    <x v="4"/>
  </r>
  <r>
    <s v="ORD002356"/>
    <s v="María Torres"/>
    <s v="maría.torres@mail.com"/>
    <x v="1"/>
    <s v="Hamburgo"/>
    <x v="4"/>
    <x v="21"/>
    <n v="1"/>
    <n v="933.74"/>
    <n v="933.74"/>
    <x v="0"/>
    <x v="0"/>
    <x v="733"/>
    <x v="2"/>
  </r>
  <r>
    <s v="ORD002357"/>
    <s v="Lucía Ruiz"/>
    <s v="lucía.ruiz@mail.com"/>
    <x v="1"/>
    <s v="Múnich"/>
    <x v="0"/>
    <x v="20"/>
    <n v="2"/>
    <n v="1220.53"/>
    <n v="2441.06"/>
    <x v="5"/>
    <x v="0"/>
    <x v="680"/>
    <x v="3"/>
  </r>
  <r>
    <s v="ORD002358"/>
    <s v="Carlos Gil"/>
    <s v="carlos.gil@mail.com"/>
    <x v="3"/>
    <s v="Nápoles"/>
    <x v="2"/>
    <x v="3"/>
    <n v="5"/>
    <n v="1142.33"/>
    <n v="5711.65"/>
    <x v="6"/>
    <x v="0"/>
    <x v="779"/>
    <x v="3"/>
  </r>
  <r>
    <s v="ORD002359"/>
    <s v="Diego Navarro"/>
    <s v="diego.navarro@mail.com"/>
    <x v="4"/>
    <s v="Lyon"/>
    <x v="3"/>
    <x v="18"/>
    <n v="1"/>
    <n v="792.35"/>
    <n v="792.35"/>
    <x v="10"/>
    <x v="1"/>
    <x v="503"/>
    <x v="0"/>
  </r>
  <r>
    <s v="ORD002360"/>
    <s v="Luis Gil"/>
    <s v="luis.gil@mail.com"/>
    <x v="0"/>
    <s v="Bilbao"/>
    <x v="3"/>
    <x v="4"/>
    <n v="2"/>
    <n v="1060.76"/>
    <n v="2121.52"/>
    <x v="1"/>
    <x v="1"/>
    <x v="553"/>
    <x v="2"/>
  </r>
  <r>
    <s v="ORD002361"/>
    <s v="Pedro López"/>
    <s v="pedro.lópez@mail.com"/>
    <x v="2"/>
    <s v="Braga"/>
    <x v="1"/>
    <x v="2"/>
    <n v="5"/>
    <n v="1166.78"/>
    <n v="5833.9"/>
    <x v="11"/>
    <x v="0"/>
    <x v="369"/>
    <x v="2"/>
  </r>
  <r>
    <s v="ORD002362"/>
    <s v="Luis Martínez"/>
    <s v="luis.martínez@mail.com"/>
    <x v="4"/>
    <s v="Marsella"/>
    <x v="1"/>
    <x v="2"/>
    <n v="1"/>
    <n v="59.63"/>
    <n v="59.63"/>
    <x v="3"/>
    <x v="1"/>
    <x v="301"/>
    <x v="1"/>
  </r>
  <r>
    <s v="ORD002363"/>
    <s v="Carlos Ramos"/>
    <s v="carlos.ramos@mail.com"/>
    <x v="3"/>
    <s v="Nápoles"/>
    <x v="1"/>
    <x v="6"/>
    <n v="4"/>
    <n v="316.77"/>
    <n v="1267.08"/>
    <x v="3"/>
    <x v="0"/>
    <x v="655"/>
    <x v="3"/>
  </r>
  <r>
    <s v="ORD002364"/>
    <s v="Carmen Sánchez"/>
    <s v="carmen.sánchez@mail.com"/>
    <x v="3"/>
    <s v="Nápoles"/>
    <x v="0"/>
    <x v="20"/>
    <n v="2"/>
    <n v="905.23"/>
    <n v="1810.46"/>
    <x v="10"/>
    <x v="1"/>
    <x v="780"/>
    <x v="4"/>
  </r>
  <r>
    <s v="ORD002365"/>
    <s v="Carlos Díaz"/>
    <s v="carlos.díaz@mail.com"/>
    <x v="1"/>
    <s v="Múnich"/>
    <x v="0"/>
    <x v="0"/>
    <n v="1"/>
    <n v="1153.3499999999999"/>
    <n v="1153.3499999999999"/>
    <x v="4"/>
    <x v="1"/>
    <x v="587"/>
    <x v="2"/>
  </r>
  <r>
    <s v="ORD002366"/>
    <s v="Irene Navarro"/>
    <s v="irene.navarro@mail.com"/>
    <x v="1"/>
    <s v="Berlín"/>
    <x v="2"/>
    <x v="9"/>
    <n v="5"/>
    <n v="784.86"/>
    <n v="3924.3"/>
    <x v="6"/>
    <x v="1"/>
    <x v="166"/>
    <x v="0"/>
  </r>
  <r>
    <s v="ORD002367"/>
    <s v="Laura Navarro"/>
    <s v="laura.navarro@mail.com"/>
    <x v="1"/>
    <s v="Múnich"/>
    <x v="2"/>
    <x v="10"/>
    <n v="5"/>
    <n v="221.87"/>
    <n v="1109.3499999999999"/>
    <x v="5"/>
    <x v="1"/>
    <x v="82"/>
    <x v="0"/>
  </r>
  <r>
    <s v="ORD002368"/>
    <s v="Pablo García"/>
    <s v="pablo.garcía@mail.com"/>
    <x v="3"/>
    <s v="Milán"/>
    <x v="1"/>
    <x v="1"/>
    <n v="3"/>
    <n v="704.43"/>
    <n v="2113.29"/>
    <x v="0"/>
    <x v="0"/>
    <x v="114"/>
    <x v="1"/>
  </r>
  <r>
    <s v="ORD002369"/>
    <s v="Elena Rodríguez"/>
    <s v="elena.rodríguez@mail.com"/>
    <x v="2"/>
    <s v="Oporto"/>
    <x v="1"/>
    <x v="12"/>
    <n v="2"/>
    <n v="1276.94"/>
    <n v="2553.88"/>
    <x v="10"/>
    <x v="0"/>
    <x v="391"/>
    <x v="1"/>
  </r>
  <r>
    <s v="ORD002370"/>
    <s v="Pablo Pérez"/>
    <s v="pablo.pérez@mail.com"/>
    <x v="3"/>
    <s v="Nápoles"/>
    <x v="2"/>
    <x v="3"/>
    <n v="3"/>
    <n v="12.48"/>
    <n v="37.44"/>
    <x v="11"/>
    <x v="1"/>
    <x v="600"/>
    <x v="2"/>
  </r>
  <r>
    <s v="ORD002371"/>
    <s v="Pedro Ruiz"/>
    <s v="pedro.ruiz@mail.com"/>
    <x v="0"/>
    <s v="Barcelona"/>
    <x v="3"/>
    <x v="4"/>
    <n v="2"/>
    <n v="1350.68"/>
    <n v="2701.36"/>
    <x v="6"/>
    <x v="0"/>
    <x v="771"/>
    <x v="0"/>
  </r>
  <r>
    <s v="ORD002372"/>
    <s v="Miguel Pérez"/>
    <s v="miguel.pérez@mail.com"/>
    <x v="0"/>
    <s v="Barcelona"/>
    <x v="2"/>
    <x v="10"/>
    <n v="4"/>
    <n v="827.33"/>
    <n v="3309.32"/>
    <x v="5"/>
    <x v="2"/>
    <x v="723"/>
    <x v="2"/>
  </r>
  <r>
    <s v="ORD002373"/>
    <s v="Carmen López"/>
    <s v="carmen.lópez@mail.com"/>
    <x v="0"/>
    <s v="Barcelona"/>
    <x v="4"/>
    <x v="22"/>
    <n v="4"/>
    <n v="671"/>
    <n v="2684"/>
    <x v="0"/>
    <x v="0"/>
    <x v="80"/>
    <x v="0"/>
  </r>
  <r>
    <s v="ORD002374"/>
    <s v="Pedro Torres"/>
    <s v="pedro.torres@mail.com"/>
    <x v="3"/>
    <s v="Nápoles"/>
    <x v="4"/>
    <x v="23"/>
    <n v="1"/>
    <n v="678"/>
    <n v="678"/>
    <x v="3"/>
    <x v="1"/>
    <x v="36"/>
    <x v="4"/>
  </r>
  <r>
    <s v="ORD002375"/>
    <s v="Raúl Alonso"/>
    <s v="raúl.alonso@mail.com"/>
    <x v="3"/>
    <s v="Nápoles"/>
    <x v="1"/>
    <x v="2"/>
    <n v="2"/>
    <n v="390.34"/>
    <n v="780.68"/>
    <x v="8"/>
    <x v="0"/>
    <x v="766"/>
    <x v="3"/>
  </r>
  <r>
    <s v="ORD002376"/>
    <s v="Raúl Alonso"/>
    <s v="raúl.alonso@mail.com"/>
    <x v="4"/>
    <s v="Lyon"/>
    <x v="4"/>
    <x v="22"/>
    <n v="4"/>
    <n v="609.53"/>
    <n v="2438.12"/>
    <x v="6"/>
    <x v="1"/>
    <x v="453"/>
    <x v="4"/>
  </r>
  <r>
    <s v="ORD002377"/>
    <s v="Raúl Vázquez"/>
    <s v="raúl.vázquez@mail.com"/>
    <x v="1"/>
    <s v="Berlín"/>
    <x v="1"/>
    <x v="2"/>
    <n v="2"/>
    <n v="776.82"/>
    <n v="1553.64"/>
    <x v="7"/>
    <x v="1"/>
    <x v="11"/>
    <x v="1"/>
  </r>
  <r>
    <s v="ORD002378"/>
    <s v="Laura Navarro"/>
    <s v="laura.navarro@mail.com"/>
    <x v="4"/>
    <s v="París"/>
    <x v="3"/>
    <x v="5"/>
    <n v="5"/>
    <n v="445.85"/>
    <n v="2229.25"/>
    <x v="10"/>
    <x v="1"/>
    <x v="707"/>
    <x v="4"/>
  </r>
  <r>
    <s v="ORD002379"/>
    <s v="Pablo Navarro"/>
    <s v="pablo.navarro@mail.com"/>
    <x v="0"/>
    <s v="Sevilla"/>
    <x v="2"/>
    <x v="15"/>
    <n v="5"/>
    <n v="1419.94"/>
    <n v="7099.7000000000007"/>
    <x v="6"/>
    <x v="1"/>
    <x v="243"/>
    <x v="3"/>
  </r>
  <r>
    <s v="ORD002380"/>
    <s v="Carmen Torres"/>
    <s v="carmen.torres@mail.com"/>
    <x v="3"/>
    <s v="Milán"/>
    <x v="1"/>
    <x v="12"/>
    <n v="2"/>
    <n v="694.15"/>
    <n v="1388.3"/>
    <x v="9"/>
    <x v="1"/>
    <x v="705"/>
    <x v="3"/>
  </r>
  <r>
    <s v="ORD002381"/>
    <s v="Irene Navarro"/>
    <s v="irene.navarro@mail.com"/>
    <x v="4"/>
    <s v="Lyon"/>
    <x v="2"/>
    <x v="19"/>
    <n v="3"/>
    <n v="321.77999999999997"/>
    <n v="965.33999999999992"/>
    <x v="0"/>
    <x v="0"/>
    <x v="620"/>
    <x v="4"/>
  </r>
  <r>
    <s v="ORD002382"/>
    <s v="Carlos Fernández"/>
    <s v="carlos.fernández@mail.com"/>
    <x v="4"/>
    <s v="París"/>
    <x v="3"/>
    <x v="15"/>
    <n v="1"/>
    <n v="143.26"/>
    <n v="143.26"/>
    <x v="5"/>
    <x v="2"/>
    <x v="231"/>
    <x v="2"/>
  </r>
  <r>
    <s v="ORD002383"/>
    <s v="Javier López"/>
    <s v="javier.lópez@mail.com"/>
    <x v="2"/>
    <s v="Braga"/>
    <x v="4"/>
    <x v="22"/>
    <n v="5"/>
    <n v="1393.36"/>
    <n v="6966.7999999999993"/>
    <x v="9"/>
    <x v="0"/>
    <x v="147"/>
    <x v="2"/>
  </r>
  <r>
    <s v="ORD002384"/>
    <s v="Carmen Sánchez"/>
    <s v="carmen.sánchez@mail.com"/>
    <x v="4"/>
    <s v="Marsella"/>
    <x v="2"/>
    <x v="10"/>
    <n v="5"/>
    <n v="746.12"/>
    <n v="3730.6"/>
    <x v="2"/>
    <x v="0"/>
    <x v="117"/>
    <x v="0"/>
  </r>
  <r>
    <s v="ORD002385"/>
    <s v="Irene Rodríguez"/>
    <s v="irene.rodríguez@mail.com"/>
    <x v="3"/>
    <s v="Milán"/>
    <x v="0"/>
    <x v="0"/>
    <n v="1"/>
    <n v="43.94"/>
    <n v="43.94"/>
    <x v="4"/>
    <x v="1"/>
    <x v="373"/>
    <x v="1"/>
  </r>
  <r>
    <s v="ORD002386"/>
    <s v="Sofía Ramos"/>
    <s v="sofía.ramos@mail.com"/>
    <x v="4"/>
    <s v="Marsella"/>
    <x v="4"/>
    <x v="23"/>
    <n v="2"/>
    <n v="49.64"/>
    <n v="99.28"/>
    <x v="2"/>
    <x v="2"/>
    <x v="724"/>
    <x v="1"/>
  </r>
  <r>
    <s v="ORD002387"/>
    <s v="Laura Díaz"/>
    <s v="laura.díaz@mail.com"/>
    <x v="2"/>
    <s v="Oporto"/>
    <x v="3"/>
    <x v="4"/>
    <n v="3"/>
    <n v="1316.73"/>
    <n v="3950.19"/>
    <x v="3"/>
    <x v="0"/>
    <x v="439"/>
    <x v="2"/>
  </r>
  <r>
    <s v="ORD002388"/>
    <s v="Pablo Vázquez"/>
    <s v="pablo.vázquez@mail.com"/>
    <x v="4"/>
    <s v="París"/>
    <x v="4"/>
    <x v="23"/>
    <n v="1"/>
    <n v="1319.13"/>
    <n v="1319.13"/>
    <x v="2"/>
    <x v="2"/>
    <x v="781"/>
    <x v="1"/>
  </r>
  <r>
    <s v="ORD002389"/>
    <s v="María Díaz"/>
    <s v="maría.díaz@mail.com"/>
    <x v="3"/>
    <s v="Milán"/>
    <x v="0"/>
    <x v="0"/>
    <n v="3"/>
    <n v="552.23"/>
    <n v="1656.69"/>
    <x v="9"/>
    <x v="1"/>
    <x v="492"/>
    <x v="2"/>
  </r>
  <r>
    <s v="ORD002390"/>
    <s v="Pedro Gómez"/>
    <s v="pedro.gómez@mail.com"/>
    <x v="3"/>
    <s v="Roma"/>
    <x v="3"/>
    <x v="7"/>
    <n v="2"/>
    <n v="435.51"/>
    <n v="871.02"/>
    <x v="1"/>
    <x v="0"/>
    <x v="695"/>
    <x v="1"/>
  </r>
  <r>
    <s v="ORD002391"/>
    <s v="Diego Sánchez"/>
    <s v="diego.sánchez@mail.com"/>
    <x v="1"/>
    <s v="Berlín"/>
    <x v="2"/>
    <x v="3"/>
    <n v="2"/>
    <n v="738.97"/>
    <n v="1477.94"/>
    <x v="5"/>
    <x v="1"/>
    <x v="440"/>
    <x v="4"/>
  </r>
  <r>
    <s v="ORD002392"/>
    <s v="Javier Díaz"/>
    <s v="javier.díaz@mail.com"/>
    <x v="1"/>
    <s v="Berlín"/>
    <x v="2"/>
    <x v="3"/>
    <n v="3"/>
    <n v="623.07000000000005"/>
    <n v="1869.21"/>
    <x v="1"/>
    <x v="0"/>
    <x v="695"/>
    <x v="0"/>
  </r>
  <r>
    <s v="ORD002393"/>
    <s v="María Martínez"/>
    <s v="maría.martínez@mail.com"/>
    <x v="0"/>
    <s v="Barcelona"/>
    <x v="4"/>
    <x v="21"/>
    <n v="5"/>
    <n v="408.79"/>
    <n v="2043.95"/>
    <x v="11"/>
    <x v="0"/>
    <x v="519"/>
    <x v="1"/>
  </r>
  <r>
    <s v="ORD002394"/>
    <s v="Elena Martínez"/>
    <s v="elena.martínez@mail.com"/>
    <x v="3"/>
    <s v="Roma"/>
    <x v="4"/>
    <x v="11"/>
    <n v="1"/>
    <n v="50.83"/>
    <n v="50.83"/>
    <x v="3"/>
    <x v="0"/>
    <x v="532"/>
    <x v="4"/>
  </r>
  <r>
    <s v="ORD002395"/>
    <s v="Ana Pérez"/>
    <s v="ana.pérez@mail.com"/>
    <x v="4"/>
    <s v="París"/>
    <x v="0"/>
    <x v="16"/>
    <n v="1"/>
    <n v="219.71"/>
    <n v="219.71"/>
    <x v="2"/>
    <x v="1"/>
    <x v="263"/>
    <x v="2"/>
  </r>
  <r>
    <s v="ORD002396"/>
    <s v="Elena Gil"/>
    <s v="elena.gil@mail.com"/>
    <x v="4"/>
    <s v="París"/>
    <x v="3"/>
    <x v="4"/>
    <n v="4"/>
    <n v="1139.92"/>
    <n v="4559.68"/>
    <x v="5"/>
    <x v="1"/>
    <x v="82"/>
    <x v="2"/>
  </r>
  <r>
    <s v="ORD002397"/>
    <s v="Irene Navarro"/>
    <s v="irene.navarro@mail.com"/>
    <x v="4"/>
    <s v="Marsella"/>
    <x v="4"/>
    <x v="21"/>
    <n v="3"/>
    <n v="961.45"/>
    <n v="2884.3500000000004"/>
    <x v="10"/>
    <x v="2"/>
    <x v="345"/>
    <x v="1"/>
  </r>
  <r>
    <s v="ORD002398"/>
    <s v="Miguel Sánchez"/>
    <s v="miguel.sánchez@mail.com"/>
    <x v="1"/>
    <s v="Berlín"/>
    <x v="2"/>
    <x v="9"/>
    <n v="1"/>
    <n v="822.48"/>
    <n v="822.48"/>
    <x v="4"/>
    <x v="1"/>
    <x v="357"/>
    <x v="3"/>
  </r>
  <r>
    <s v="ORD002399"/>
    <s v="María Alonso"/>
    <s v="maría.alonso@mail.com"/>
    <x v="3"/>
    <s v="Milán"/>
    <x v="0"/>
    <x v="20"/>
    <n v="1"/>
    <n v="381.55"/>
    <n v="381.55"/>
    <x v="3"/>
    <x v="0"/>
    <x v="621"/>
    <x v="2"/>
  </r>
  <r>
    <s v="ORD002400"/>
    <s v="Pablo Fernández"/>
    <s v="pablo.fernández@mail.com"/>
    <x v="1"/>
    <s v="Múnich"/>
    <x v="0"/>
    <x v="17"/>
    <n v="2"/>
    <n v="209.24"/>
    <n v="418.48"/>
    <x v="4"/>
    <x v="1"/>
    <x v="197"/>
    <x v="4"/>
  </r>
  <r>
    <s v="ORD002401"/>
    <s v="Luis Gómez"/>
    <s v="luis.gómez@mail.com"/>
    <x v="1"/>
    <s v="Berlín"/>
    <x v="4"/>
    <x v="22"/>
    <n v="2"/>
    <n v="1235.8399999999999"/>
    <n v="2471.6799999999998"/>
    <x v="10"/>
    <x v="0"/>
    <x v="131"/>
    <x v="4"/>
  </r>
  <r>
    <s v="ORD002402"/>
    <s v="Raúl Torres"/>
    <s v="raúl.torres@mail.com"/>
    <x v="3"/>
    <s v="Nápoles"/>
    <x v="0"/>
    <x v="17"/>
    <n v="3"/>
    <n v="239.11"/>
    <n v="717.33"/>
    <x v="11"/>
    <x v="1"/>
    <x v="378"/>
    <x v="2"/>
  </r>
  <r>
    <s v="ORD002403"/>
    <s v="Elena García"/>
    <s v="elena.garcía@mail.com"/>
    <x v="1"/>
    <s v="Berlín"/>
    <x v="0"/>
    <x v="16"/>
    <n v="3"/>
    <n v="753.11"/>
    <n v="2259.33"/>
    <x v="8"/>
    <x v="0"/>
    <x v="46"/>
    <x v="0"/>
  </r>
  <r>
    <s v="ORD002404"/>
    <s v="Ana Pérez"/>
    <s v="ana.pérez@mail.com"/>
    <x v="0"/>
    <s v="Sevilla"/>
    <x v="4"/>
    <x v="11"/>
    <n v="5"/>
    <n v="1059.44"/>
    <n v="5297.2000000000007"/>
    <x v="5"/>
    <x v="1"/>
    <x v="473"/>
    <x v="3"/>
  </r>
  <r>
    <s v="ORD002405"/>
    <s v="María Sánchez"/>
    <s v="maría.sánchez@mail.com"/>
    <x v="4"/>
    <s v="Lyon"/>
    <x v="0"/>
    <x v="20"/>
    <n v="3"/>
    <n v="416.81"/>
    <n v="1250.43"/>
    <x v="0"/>
    <x v="1"/>
    <x v="778"/>
    <x v="2"/>
  </r>
  <r>
    <s v="ORD002406"/>
    <s v="Pablo Fernández"/>
    <s v="pablo.fernández@mail.com"/>
    <x v="2"/>
    <s v="Lisboa"/>
    <x v="4"/>
    <x v="21"/>
    <n v="3"/>
    <n v="387.31"/>
    <n v="1161.93"/>
    <x v="5"/>
    <x v="0"/>
    <x v="87"/>
    <x v="4"/>
  </r>
  <r>
    <s v="ORD002407"/>
    <s v="Pablo López"/>
    <s v="pablo.lópez@mail.com"/>
    <x v="2"/>
    <s v="Lisboa"/>
    <x v="0"/>
    <x v="0"/>
    <n v="2"/>
    <n v="778.71"/>
    <n v="1557.42"/>
    <x v="4"/>
    <x v="1"/>
    <x v="357"/>
    <x v="3"/>
  </r>
  <r>
    <s v="ORD002408"/>
    <s v="Diego Gil"/>
    <s v="diego.gil@mail.com"/>
    <x v="2"/>
    <s v="Oporto"/>
    <x v="3"/>
    <x v="15"/>
    <n v="1"/>
    <n v="589.24"/>
    <n v="589.24"/>
    <x v="5"/>
    <x v="2"/>
    <x v="731"/>
    <x v="0"/>
  </r>
  <r>
    <s v="ORD002409"/>
    <s v="Ana Pérez"/>
    <s v="ana.pérez@mail.com"/>
    <x v="0"/>
    <s v="Barcelona"/>
    <x v="1"/>
    <x v="12"/>
    <n v="3"/>
    <n v="956.96"/>
    <n v="2870.88"/>
    <x v="5"/>
    <x v="1"/>
    <x v="130"/>
    <x v="4"/>
  </r>
  <r>
    <s v="ORD002410"/>
    <s v="Ana García"/>
    <s v="ana.garcía@mail.com"/>
    <x v="0"/>
    <s v="Bilbao"/>
    <x v="0"/>
    <x v="0"/>
    <n v="4"/>
    <n v="1127.21"/>
    <n v="4508.84"/>
    <x v="9"/>
    <x v="1"/>
    <x v="413"/>
    <x v="0"/>
  </r>
  <r>
    <s v="ORD002411"/>
    <s v="Pablo Alonso"/>
    <s v="pablo.alonso@mail.com"/>
    <x v="0"/>
    <s v="Valencia"/>
    <x v="4"/>
    <x v="11"/>
    <n v="4"/>
    <n v="1296.17"/>
    <n v="5184.68"/>
    <x v="4"/>
    <x v="1"/>
    <x v="148"/>
    <x v="4"/>
  </r>
  <r>
    <s v="ORD002412"/>
    <s v="María López"/>
    <s v="maría.lópez@mail.com"/>
    <x v="4"/>
    <s v="París"/>
    <x v="1"/>
    <x v="12"/>
    <n v="4"/>
    <n v="697.28"/>
    <n v="2789.12"/>
    <x v="10"/>
    <x v="1"/>
    <x v="782"/>
    <x v="4"/>
  </r>
  <r>
    <s v="ORD002413"/>
    <s v="Pedro García"/>
    <s v="pedro.garcía@mail.com"/>
    <x v="3"/>
    <s v="Milán"/>
    <x v="0"/>
    <x v="17"/>
    <n v="4"/>
    <n v="755.08"/>
    <n v="3020.32"/>
    <x v="10"/>
    <x v="0"/>
    <x v="618"/>
    <x v="3"/>
  </r>
  <r>
    <s v="ORD002414"/>
    <s v="María Ramos"/>
    <s v="maría.ramos@mail.com"/>
    <x v="1"/>
    <s v="Hamburgo"/>
    <x v="2"/>
    <x v="3"/>
    <n v="4"/>
    <n v="1429.44"/>
    <n v="5717.76"/>
    <x v="3"/>
    <x v="0"/>
    <x v="596"/>
    <x v="1"/>
  </r>
  <r>
    <s v="ORD002415"/>
    <s v="Ana Ruiz"/>
    <s v="ana.ruiz@mail.com"/>
    <x v="0"/>
    <s v="Bilbao"/>
    <x v="2"/>
    <x v="3"/>
    <n v="1"/>
    <n v="851.78"/>
    <n v="851.78"/>
    <x v="4"/>
    <x v="1"/>
    <x v="351"/>
    <x v="0"/>
  </r>
  <r>
    <s v="ORD002416"/>
    <s v="Ana Fernández"/>
    <s v="ana.fernández@mail.com"/>
    <x v="0"/>
    <s v="Madrid"/>
    <x v="2"/>
    <x v="10"/>
    <n v="1"/>
    <n v="1006.28"/>
    <n v="1006.28"/>
    <x v="11"/>
    <x v="0"/>
    <x v="699"/>
    <x v="3"/>
  </r>
  <r>
    <s v="ORD002417"/>
    <s v="Raúl García"/>
    <s v="raúl.garcía@mail.com"/>
    <x v="0"/>
    <s v="Sevilla"/>
    <x v="2"/>
    <x v="19"/>
    <n v="2"/>
    <n v="897.59"/>
    <n v="1795.18"/>
    <x v="9"/>
    <x v="1"/>
    <x v="701"/>
    <x v="0"/>
  </r>
  <r>
    <s v="ORD002418"/>
    <s v="Laura Torres"/>
    <s v="laura.torres@mail.com"/>
    <x v="1"/>
    <s v="Múnich"/>
    <x v="3"/>
    <x v="7"/>
    <n v="5"/>
    <n v="362.77"/>
    <n v="1813.85"/>
    <x v="8"/>
    <x v="1"/>
    <x v="450"/>
    <x v="0"/>
  </r>
  <r>
    <s v="ORD002419"/>
    <s v="María García"/>
    <s v="maría.garcía@mail.com"/>
    <x v="0"/>
    <s v="Barcelona"/>
    <x v="3"/>
    <x v="5"/>
    <n v="3"/>
    <n v="1190.1199999999999"/>
    <n v="3570.3599999999997"/>
    <x v="1"/>
    <x v="1"/>
    <x v="253"/>
    <x v="2"/>
  </r>
  <r>
    <s v="ORD002420"/>
    <s v="Javier López"/>
    <s v="javier.lópez@mail.com"/>
    <x v="2"/>
    <s v="Lisboa"/>
    <x v="4"/>
    <x v="14"/>
    <n v="4"/>
    <n v="529.71"/>
    <n v="2118.84"/>
    <x v="5"/>
    <x v="1"/>
    <x v="89"/>
    <x v="3"/>
  </r>
  <r>
    <s v="ORD002421"/>
    <s v="Miguel Alonso"/>
    <s v="miguel.alonso@mail.com"/>
    <x v="4"/>
    <s v="Marsella"/>
    <x v="1"/>
    <x v="6"/>
    <n v="4"/>
    <n v="578.64"/>
    <n v="2314.56"/>
    <x v="10"/>
    <x v="0"/>
    <x v="289"/>
    <x v="4"/>
  </r>
  <r>
    <s v="ORD002422"/>
    <s v="Carlos Gil"/>
    <s v="carlos.gil@mail.com"/>
    <x v="2"/>
    <s v="Braga"/>
    <x v="4"/>
    <x v="23"/>
    <n v="4"/>
    <n v="1441.21"/>
    <n v="5764.84"/>
    <x v="7"/>
    <x v="1"/>
    <x v="56"/>
    <x v="0"/>
  </r>
  <r>
    <s v="ORD002423"/>
    <s v="Pedro Gil"/>
    <s v="pedro.gil@mail.com"/>
    <x v="0"/>
    <s v="Sevilla"/>
    <x v="2"/>
    <x v="19"/>
    <n v="4"/>
    <n v="860.49"/>
    <n v="3441.96"/>
    <x v="5"/>
    <x v="1"/>
    <x v="736"/>
    <x v="4"/>
  </r>
  <r>
    <s v="ORD002424"/>
    <s v="Ana Martínez"/>
    <s v="ana.martínez@mail.com"/>
    <x v="4"/>
    <s v="Lyon"/>
    <x v="0"/>
    <x v="0"/>
    <n v="1"/>
    <n v="1043.31"/>
    <n v="1043.31"/>
    <x v="0"/>
    <x v="1"/>
    <x v="229"/>
    <x v="0"/>
  </r>
  <r>
    <s v="ORD002425"/>
    <s v="Carmen Torres"/>
    <s v="carmen.torres@mail.com"/>
    <x v="3"/>
    <s v="Nápoles"/>
    <x v="3"/>
    <x v="15"/>
    <n v="1"/>
    <n v="103.63"/>
    <n v="103.63"/>
    <x v="4"/>
    <x v="1"/>
    <x v="294"/>
    <x v="3"/>
  </r>
  <r>
    <s v="ORD002426"/>
    <s v="Laura Ramos"/>
    <s v="laura.ramos@mail.com"/>
    <x v="1"/>
    <s v="Múnich"/>
    <x v="3"/>
    <x v="4"/>
    <n v="5"/>
    <n v="1240.3"/>
    <n v="6201.5"/>
    <x v="2"/>
    <x v="0"/>
    <x v="13"/>
    <x v="1"/>
  </r>
  <r>
    <s v="ORD002427"/>
    <s v="Raúl Alonso"/>
    <s v="raúl.alonso@mail.com"/>
    <x v="1"/>
    <s v="Hamburgo"/>
    <x v="2"/>
    <x v="9"/>
    <n v="4"/>
    <n v="648.53"/>
    <n v="2594.12"/>
    <x v="7"/>
    <x v="0"/>
    <x v="168"/>
    <x v="1"/>
  </r>
  <r>
    <s v="ORD002428"/>
    <s v="Sofía Pérez"/>
    <s v="sofía.pérez@mail.com"/>
    <x v="4"/>
    <s v="Marsella"/>
    <x v="0"/>
    <x v="16"/>
    <n v="5"/>
    <n v="1053.6500000000001"/>
    <n v="5268.25"/>
    <x v="5"/>
    <x v="2"/>
    <x v="783"/>
    <x v="4"/>
  </r>
  <r>
    <s v="ORD002429"/>
    <s v="Pedro Ramos"/>
    <s v="pedro.ramos@mail.com"/>
    <x v="3"/>
    <s v="Nápoles"/>
    <x v="2"/>
    <x v="15"/>
    <n v="1"/>
    <n v="632.86"/>
    <n v="632.86"/>
    <x v="7"/>
    <x v="0"/>
    <x v="62"/>
    <x v="0"/>
  </r>
  <r>
    <s v="ORD002430"/>
    <s v="Raúl López"/>
    <s v="raúl.lópez@mail.com"/>
    <x v="0"/>
    <s v="Madrid"/>
    <x v="2"/>
    <x v="3"/>
    <n v="1"/>
    <n v="1322.52"/>
    <n v="1322.52"/>
    <x v="3"/>
    <x v="0"/>
    <x v="50"/>
    <x v="2"/>
  </r>
  <r>
    <s v="ORD002431"/>
    <s v="Pablo García"/>
    <s v="pablo.garcía@mail.com"/>
    <x v="4"/>
    <s v="Lyon"/>
    <x v="0"/>
    <x v="20"/>
    <n v="4"/>
    <n v="1003.53"/>
    <n v="4014.12"/>
    <x v="7"/>
    <x v="0"/>
    <x v="91"/>
    <x v="1"/>
  </r>
  <r>
    <s v="ORD002432"/>
    <s v="Raúl Alonso"/>
    <s v="raúl.alonso@mail.com"/>
    <x v="2"/>
    <s v="Lisboa"/>
    <x v="1"/>
    <x v="2"/>
    <n v="1"/>
    <n v="883.17"/>
    <n v="883.17"/>
    <x v="2"/>
    <x v="2"/>
    <x v="724"/>
    <x v="1"/>
  </r>
  <r>
    <s v="ORD002433"/>
    <s v="Pablo Vázquez"/>
    <s v="pablo.vázquez@mail.com"/>
    <x v="4"/>
    <s v="París"/>
    <x v="2"/>
    <x v="15"/>
    <n v="2"/>
    <n v="395.68"/>
    <n v="791.36"/>
    <x v="8"/>
    <x v="1"/>
    <x v="297"/>
    <x v="1"/>
  </r>
  <r>
    <s v="ORD002434"/>
    <s v="Luis García"/>
    <s v="luis.garcía@mail.com"/>
    <x v="0"/>
    <s v="Valencia"/>
    <x v="4"/>
    <x v="23"/>
    <n v="5"/>
    <n v="768.44"/>
    <n v="3842.2000000000003"/>
    <x v="8"/>
    <x v="0"/>
    <x v="286"/>
    <x v="0"/>
  </r>
  <r>
    <s v="ORD002435"/>
    <s v="Miguel Navarro"/>
    <s v="miguel.navarro@mail.com"/>
    <x v="2"/>
    <s v="Oporto"/>
    <x v="1"/>
    <x v="2"/>
    <n v="5"/>
    <n v="56.12"/>
    <n v="280.59999999999997"/>
    <x v="5"/>
    <x v="1"/>
    <x v="105"/>
    <x v="1"/>
  </r>
  <r>
    <s v="ORD002436"/>
    <s v="Pablo Alonso"/>
    <s v="pablo.alonso@mail.com"/>
    <x v="0"/>
    <s v="Barcelona"/>
    <x v="2"/>
    <x v="9"/>
    <n v="5"/>
    <n v="1065.9100000000001"/>
    <n v="5329.55"/>
    <x v="6"/>
    <x v="1"/>
    <x v="422"/>
    <x v="4"/>
  </r>
  <r>
    <s v="ORD002437"/>
    <s v="Carmen Díaz"/>
    <s v="carmen.díaz@mail.com"/>
    <x v="2"/>
    <s v="Braga"/>
    <x v="4"/>
    <x v="22"/>
    <n v="5"/>
    <n v="337.32"/>
    <n v="1686.6"/>
    <x v="2"/>
    <x v="0"/>
    <x v="63"/>
    <x v="2"/>
  </r>
  <r>
    <s v="ORD002438"/>
    <s v="Irene Ruiz"/>
    <s v="irene.ruiz@mail.com"/>
    <x v="3"/>
    <s v="Nápoles"/>
    <x v="2"/>
    <x v="9"/>
    <n v="4"/>
    <n v="59.19"/>
    <n v="236.76"/>
    <x v="5"/>
    <x v="0"/>
    <x v="417"/>
    <x v="4"/>
  </r>
  <r>
    <s v="ORD002439"/>
    <s v="Miguel García"/>
    <s v="miguel.garcía@mail.com"/>
    <x v="1"/>
    <s v="Berlín"/>
    <x v="3"/>
    <x v="7"/>
    <n v="4"/>
    <n v="1090.3"/>
    <n v="4361.2"/>
    <x v="0"/>
    <x v="0"/>
    <x v="174"/>
    <x v="3"/>
  </r>
  <r>
    <s v="ORD002440"/>
    <s v="Raúl Sánchez"/>
    <s v="raúl.sánchez@mail.com"/>
    <x v="3"/>
    <s v="Roma"/>
    <x v="4"/>
    <x v="11"/>
    <n v="5"/>
    <n v="1046.8599999999999"/>
    <n v="5234.2999999999993"/>
    <x v="2"/>
    <x v="1"/>
    <x v="32"/>
    <x v="2"/>
  </r>
  <r>
    <s v="ORD002441"/>
    <s v="Irene Rodríguez"/>
    <s v="irene.rodríguez@mail.com"/>
    <x v="0"/>
    <s v="Madrid"/>
    <x v="0"/>
    <x v="20"/>
    <n v="1"/>
    <n v="1484.92"/>
    <n v="1484.92"/>
    <x v="11"/>
    <x v="0"/>
    <x v="441"/>
    <x v="1"/>
  </r>
  <r>
    <s v="ORD002442"/>
    <s v="Carlos Gómez"/>
    <s v="carlos.gómez@mail.com"/>
    <x v="0"/>
    <s v="Sevilla"/>
    <x v="2"/>
    <x v="3"/>
    <n v="4"/>
    <n v="1359.17"/>
    <n v="5436.68"/>
    <x v="5"/>
    <x v="1"/>
    <x v="52"/>
    <x v="2"/>
  </r>
  <r>
    <s v="ORD002443"/>
    <s v="Pedro Ramos"/>
    <s v="pedro.ramos@mail.com"/>
    <x v="2"/>
    <s v="Lisboa"/>
    <x v="0"/>
    <x v="16"/>
    <n v="1"/>
    <n v="1360.81"/>
    <n v="1360.81"/>
    <x v="5"/>
    <x v="0"/>
    <x v="449"/>
    <x v="1"/>
  </r>
  <r>
    <s v="ORD002444"/>
    <s v="Javier Navarro"/>
    <s v="javier.navarro@mail.com"/>
    <x v="2"/>
    <s v="Oporto"/>
    <x v="1"/>
    <x v="2"/>
    <n v="3"/>
    <n v="434.92"/>
    <n v="1304.76"/>
    <x v="11"/>
    <x v="0"/>
    <x v="458"/>
    <x v="2"/>
  </r>
  <r>
    <s v="ORD002445"/>
    <s v="Ana Ramos"/>
    <s v="ana.ramos@mail.com"/>
    <x v="4"/>
    <s v="París"/>
    <x v="3"/>
    <x v="7"/>
    <n v="5"/>
    <n v="42.02"/>
    <n v="210.10000000000002"/>
    <x v="7"/>
    <x v="0"/>
    <x v="423"/>
    <x v="4"/>
  </r>
  <r>
    <s v="ORD002446"/>
    <s v="Laura Díaz"/>
    <s v="laura.díaz@mail.com"/>
    <x v="0"/>
    <s v="Barcelona"/>
    <x v="2"/>
    <x v="19"/>
    <n v="2"/>
    <n v="595.33000000000004"/>
    <n v="1190.6600000000001"/>
    <x v="7"/>
    <x v="1"/>
    <x v="23"/>
    <x v="1"/>
  </r>
  <r>
    <s v="ORD002447"/>
    <s v="Lucía Vázquez"/>
    <s v="lucía.vázquez@mail.com"/>
    <x v="2"/>
    <s v="Oporto"/>
    <x v="1"/>
    <x v="6"/>
    <n v="1"/>
    <n v="332.71"/>
    <n v="332.71"/>
    <x v="4"/>
    <x v="0"/>
    <x v="482"/>
    <x v="2"/>
  </r>
  <r>
    <s v="ORD002448"/>
    <s v="Irene López"/>
    <s v="irene.lópez@mail.com"/>
    <x v="0"/>
    <s v="Barcelona"/>
    <x v="1"/>
    <x v="2"/>
    <n v="2"/>
    <n v="1472.61"/>
    <n v="2945.22"/>
    <x v="2"/>
    <x v="0"/>
    <x v="761"/>
    <x v="0"/>
  </r>
  <r>
    <s v="ORD002449"/>
    <s v="Raúl Fernández"/>
    <s v="raúl.fernández@mail.com"/>
    <x v="1"/>
    <s v="Múnich"/>
    <x v="4"/>
    <x v="22"/>
    <n v="4"/>
    <n v="498.3"/>
    <n v="1993.2"/>
    <x v="3"/>
    <x v="1"/>
    <x v="36"/>
    <x v="3"/>
  </r>
  <r>
    <s v="ORD002450"/>
    <s v="Carlos Gómez"/>
    <s v="carlos.gómez@mail.com"/>
    <x v="4"/>
    <s v="París"/>
    <x v="4"/>
    <x v="22"/>
    <n v="4"/>
    <n v="731.14"/>
    <n v="2924.56"/>
    <x v="7"/>
    <x v="1"/>
    <x v="404"/>
    <x v="0"/>
  </r>
  <r>
    <s v="ORD002451"/>
    <s v="Laura Ruiz"/>
    <s v="laura.ruiz@mail.com"/>
    <x v="3"/>
    <s v="Milán"/>
    <x v="0"/>
    <x v="13"/>
    <n v="2"/>
    <n v="1397.24"/>
    <n v="2794.48"/>
    <x v="4"/>
    <x v="1"/>
    <x v="348"/>
    <x v="1"/>
  </r>
  <r>
    <s v="ORD002452"/>
    <s v="Pablo Martínez"/>
    <s v="pablo.martínez@mail.com"/>
    <x v="0"/>
    <s v="Madrid"/>
    <x v="2"/>
    <x v="10"/>
    <n v="2"/>
    <n v="825.84"/>
    <n v="1651.68"/>
    <x v="7"/>
    <x v="1"/>
    <x v="11"/>
    <x v="3"/>
  </r>
  <r>
    <s v="ORD002453"/>
    <s v="Pablo Sánchez"/>
    <s v="pablo.sánchez@mail.com"/>
    <x v="2"/>
    <s v="Lisboa"/>
    <x v="3"/>
    <x v="15"/>
    <n v="3"/>
    <n v="1439.32"/>
    <n v="4317.96"/>
    <x v="6"/>
    <x v="0"/>
    <x v="771"/>
    <x v="0"/>
  </r>
  <r>
    <s v="ORD002454"/>
    <s v="Pablo Navarro"/>
    <s v="pablo.navarro@mail.com"/>
    <x v="4"/>
    <s v="Marsella"/>
    <x v="2"/>
    <x v="19"/>
    <n v="5"/>
    <n v="1109.3900000000001"/>
    <n v="5546.9500000000007"/>
    <x v="7"/>
    <x v="0"/>
    <x v="91"/>
    <x v="1"/>
  </r>
  <r>
    <s v="ORD002455"/>
    <s v="Elena Rodríguez"/>
    <s v="elena.rodríguez@mail.com"/>
    <x v="0"/>
    <s v="Valencia"/>
    <x v="0"/>
    <x v="16"/>
    <n v="1"/>
    <n v="244.96"/>
    <n v="244.96"/>
    <x v="0"/>
    <x v="1"/>
    <x v="368"/>
    <x v="4"/>
  </r>
  <r>
    <s v="ORD002456"/>
    <s v="Pedro López"/>
    <s v="pedro.lópez@mail.com"/>
    <x v="0"/>
    <s v="Bilbao"/>
    <x v="4"/>
    <x v="14"/>
    <n v="3"/>
    <n v="1186.57"/>
    <n v="3559.71"/>
    <x v="11"/>
    <x v="0"/>
    <x v="590"/>
    <x v="4"/>
  </r>
  <r>
    <s v="ORD002457"/>
    <s v="Pablo Ruiz"/>
    <s v="pablo.ruiz@mail.com"/>
    <x v="0"/>
    <s v="Madrid"/>
    <x v="0"/>
    <x v="20"/>
    <n v="4"/>
    <n v="1416.94"/>
    <n v="5667.76"/>
    <x v="9"/>
    <x v="1"/>
    <x v="523"/>
    <x v="3"/>
  </r>
  <r>
    <s v="ORD002458"/>
    <s v="Pablo Vázquez"/>
    <s v="pablo.vázquez@mail.com"/>
    <x v="0"/>
    <s v="Bilbao"/>
    <x v="0"/>
    <x v="16"/>
    <n v="5"/>
    <n v="137.96"/>
    <n v="689.80000000000007"/>
    <x v="1"/>
    <x v="1"/>
    <x v="1"/>
    <x v="2"/>
  </r>
  <r>
    <s v="ORD002459"/>
    <s v="Laura García"/>
    <s v="laura.garcía@mail.com"/>
    <x v="4"/>
    <s v="Marsella"/>
    <x v="2"/>
    <x v="19"/>
    <n v="4"/>
    <n v="1059.1300000000001"/>
    <n v="4236.5200000000004"/>
    <x v="4"/>
    <x v="0"/>
    <x v="564"/>
    <x v="1"/>
  </r>
  <r>
    <s v="ORD002460"/>
    <s v="Carmen Vázquez"/>
    <s v="carmen.vázquez@mail.com"/>
    <x v="0"/>
    <s v="Madrid"/>
    <x v="1"/>
    <x v="6"/>
    <n v="3"/>
    <n v="888.54"/>
    <n v="2665.62"/>
    <x v="10"/>
    <x v="0"/>
    <x v="186"/>
    <x v="4"/>
  </r>
  <r>
    <s v="ORD002461"/>
    <s v="Carmen López"/>
    <s v="carmen.lópez@mail.com"/>
    <x v="3"/>
    <s v="Milán"/>
    <x v="4"/>
    <x v="21"/>
    <n v="1"/>
    <n v="808.99"/>
    <n v="808.99"/>
    <x v="6"/>
    <x v="1"/>
    <x v="719"/>
    <x v="4"/>
  </r>
  <r>
    <s v="ORD002462"/>
    <s v="Luis Sánchez"/>
    <s v="luis.sánchez@mail.com"/>
    <x v="2"/>
    <s v="Braga"/>
    <x v="2"/>
    <x v="15"/>
    <n v="3"/>
    <n v="307.83"/>
    <n v="923.49"/>
    <x v="7"/>
    <x v="1"/>
    <x v="64"/>
    <x v="4"/>
  </r>
  <r>
    <s v="ORD002463"/>
    <s v="Ana Vázquez"/>
    <s v="ana.vázquez@mail.com"/>
    <x v="4"/>
    <s v="Marsella"/>
    <x v="1"/>
    <x v="2"/>
    <n v="2"/>
    <n v="504.21"/>
    <n v="1008.42"/>
    <x v="3"/>
    <x v="0"/>
    <x v="784"/>
    <x v="1"/>
  </r>
  <r>
    <s v="ORD002464"/>
    <s v="Ana Ramos"/>
    <s v="ana.ramos@mail.com"/>
    <x v="2"/>
    <s v="Oporto"/>
    <x v="2"/>
    <x v="10"/>
    <n v="1"/>
    <n v="391.15"/>
    <n v="391.15"/>
    <x v="4"/>
    <x v="0"/>
    <x v="460"/>
    <x v="1"/>
  </r>
  <r>
    <s v="ORD002465"/>
    <s v="María Fernández"/>
    <s v="maría.fernández@mail.com"/>
    <x v="3"/>
    <s v="Roma"/>
    <x v="1"/>
    <x v="1"/>
    <n v="4"/>
    <n v="372.68"/>
    <n v="1490.72"/>
    <x v="7"/>
    <x v="1"/>
    <x v="674"/>
    <x v="1"/>
  </r>
  <r>
    <s v="ORD002466"/>
    <s v="Carlos Fernández"/>
    <s v="carlos.fernández@mail.com"/>
    <x v="1"/>
    <s v="Hamburgo"/>
    <x v="0"/>
    <x v="20"/>
    <n v="2"/>
    <n v="1290.22"/>
    <n v="2580.44"/>
    <x v="10"/>
    <x v="1"/>
    <x v="785"/>
    <x v="0"/>
  </r>
  <r>
    <s v="ORD002467"/>
    <s v="Ana Pérez"/>
    <s v="ana.pérez@mail.com"/>
    <x v="1"/>
    <s v="Hamburgo"/>
    <x v="1"/>
    <x v="8"/>
    <n v="2"/>
    <n v="1221.07"/>
    <n v="2442.14"/>
    <x v="5"/>
    <x v="1"/>
    <x v="721"/>
    <x v="1"/>
  </r>
  <r>
    <s v="ORD002468"/>
    <s v="Diego López"/>
    <s v="diego.lópez@mail.com"/>
    <x v="0"/>
    <s v="Barcelona"/>
    <x v="0"/>
    <x v="0"/>
    <n v="5"/>
    <n v="1040.22"/>
    <n v="5201.1000000000004"/>
    <x v="10"/>
    <x v="1"/>
    <x v="578"/>
    <x v="1"/>
  </r>
  <r>
    <s v="ORD002469"/>
    <s v="Laura Gil"/>
    <s v="laura.gil@mail.com"/>
    <x v="2"/>
    <s v="Braga"/>
    <x v="2"/>
    <x v="9"/>
    <n v="4"/>
    <n v="227.48"/>
    <n v="909.92"/>
    <x v="10"/>
    <x v="2"/>
    <x v="758"/>
    <x v="0"/>
  </r>
  <r>
    <s v="ORD002470"/>
    <s v="Lucía Torres"/>
    <s v="lucía.torres@mail.com"/>
    <x v="1"/>
    <s v="Berlín"/>
    <x v="1"/>
    <x v="12"/>
    <n v="5"/>
    <n v="627.26"/>
    <n v="3136.3"/>
    <x v="5"/>
    <x v="1"/>
    <x v="8"/>
    <x v="0"/>
  </r>
  <r>
    <s v="ORD002471"/>
    <s v="Javier Gil"/>
    <s v="javier.gil@mail.com"/>
    <x v="4"/>
    <s v="Lyon"/>
    <x v="4"/>
    <x v="22"/>
    <n v="1"/>
    <n v="110.68"/>
    <n v="110.68"/>
    <x v="2"/>
    <x v="0"/>
    <x v="558"/>
    <x v="4"/>
  </r>
  <r>
    <s v="ORD002472"/>
    <s v="Carlos Rodríguez"/>
    <s v="carlos.rodríguez@mail.com"/>
    <x v="0"/>
    <s v="Bilbao"/>
    <x v="1"/>
    <x v="8"/>
    <n v="2"/>
    <n v="122.06"/>
    <n v="244.12"/>
    <x v="3"/>
    <x v="1"/>
    <x v="465"/>
    <x v="0"/>
  </r>
  <r>
    <s v="ORD002473"/>
    <s v="Irene López"/>
    <s v="irene.lópez@mail.com"/>
    <x v="3"/>
    <s v="Milán"/>
    <x v="4"/>
    <x v="11"/>
    <n v="1"/>
    <n v="808.47"/>
    <n v="808.47"/>
    <x v="11"/>
    <x v="0"/>
    <x v="458"/>
    <x v="3"/>
  </r>
  <r>
    <s v="ORD002474"/>
    <s v="Lucía Sánchez"/>
    <s v="lucía.sánchez@mail.com"/>
    <x v="1"/>
    <s v="Múnich"/>
    <x v="0"/>
    <x v="0"/>
    <n v="3"/>
    <n v="431.31"/>
    <n v="1293.93"/>
    <x v="2"/>
    <x v="1"/>
    <x v="454"/>
    <x v="4"/>
  </r>
  <r>
    <s v="ORD002475"/>
    <s v="Javier Sánchez"/>
    <s v="javier.sánchez@mail.com"/>
    <x v="3"/>
    <s v="Nápoles"/>
    <x v="1"/>
    <x v="8"/>
    <n v="3"/>
    <n v="457.58"/>
    <n v="1372.74"/>
    <x v="0"/>
    <x v="1"/>
    <x v="468"/>
    <x v="1"/>
  </r>
  <r>
    <s v="ORD002476"/>
    <s v="Raúl Pérez"/>
    <s v="raúl.pérez@mail.com"/>
    <x v="1"/>
    <s v="Hamburgo"/>
    <x v="1"/>
    <x v="6"/>
    <n v="4"/>
    <n v="86.76"/>
    <n v="347.04"/>
    <x v="1"/>
    <x v="0"/>
    <x v="623"/>
    <x v="3"/>
  </r>
  <r>
    <s v="ORD002477"/>
    <s v="Pedro López"/>
    <s v="pedro.lópez@mail.com"/>
    <x v="1"/>
    <s v="Múnich"/>
    <x v="4"/>
    <x v="14"/>
    <n v="5"/>
    <n v="372.42"/>
    <n v="1862.1000000000001"/>
    <x v="2"/>
    <x v="1"/>
    <x v="22"/>
    <x v="1"/>
  </r>
  <r>
    <s v="ORD002478"/>
    <s v="Elena Navarro"/>
    <s v="elena.navarro@mail.com"/>
    <x v="0"/>
    <s v="Barcelona"/>
    <x v="0"/>
    <x v="20"/>
    <n v="5"/>
    <n v="1448.68"/>
    <n v="7243.4000000000005"/>
    <x v="7"/>
    <x v="0"/>
    <x v="641"/>
    <x v="3"/>
  </r>
  <r>
    <s v="ORD002479"/>
    <s v="Carlos Díaz"/>
    <s v="carlos.díaz@mail.com"/>
    <x v="1"/>
    <s v="Berlín"/>
    <x v="1"/>
    <x v="6"/>
    <n v="2"/>
    <n v="1367.57"/>
    <n v="2735.14"/>
    <x v="8"/>
    <x v="0"/>
    <x v="139"/>
    <x v="4"/>
  </r>
  <r>
    <s v="ORD002480"/>
    <s v="Laura Sánchez"/>
    <s v="laura.sánchez@mail.com"/>
    <x v="2"/>
    <s v="Oporto"/>
    <x v="1"/>
    <x v="6"/>
    <n v="1"/>
    <n v="1066.4000000000001"/>
    <n v="1066.4000000000001"/>
    <x v="11"/>
    <x v="1"/>
    <x v="382"/>
    <x v="4"/>
  </r>
  <r>
    <s v="ORD002481"/>
    <s v="Lucía Díaz"/>
    <s v="lucía.díaz@mail.com"/>
    <x v="0"/>
    <s v="Barcelona"/>
    <x v="3"/>
    <x v="4"/>
    <n v="5"/>
    <n v="469.66"/>
    <n v="2348.3000000000002"/>
    <x v="11"/>
    <x v="1"/>
    <x v="272"/>
    <x v="4"/>
  </r>
  <r>
    <s v="ORD002482"/>
    <s v="Laura López"/>
    <s v="laura.lópez@mail.com"/>
    <x v="0"/>
    <s v="Valencia"/>
    <x v="3"/>
    <x v="7"/>
    <n v="1"/>
    <n v="907.19"/>
    <n v="907.19"/>
    <x v="7"/>
    <x v="1"/>
    <x v="512"/>
    <x v="3"/>
  </r>
  <r>
    <s v="ORD002483"/>
    <s v="Carlos Pérez"/>
    <s v="carlos.pérez@mail.com"/>
    <x v="1"/>
    <s v="Hamburgo"/>
    <x v="0"/>
    <x v="17"/>
    <n v="2"/>
    <n v="1484.54"/>
    <n v="2969.08"/>
    <x v="11"/>
    <x v="1"/>
    <x v="121"/>
    <x v="2"/>
  </r>
  <r>
    <s v="ORD002484"/>
    <s v="Javier Vázquez"/>
    <s v="javier.vázquez@mail.com"/>
    <x v="3"/>
    <s v="Milán"/>
    <x v="2"/>
    <x v="10"/>
    <n v="1"/>
    <n v="1402.81"/>
    <n v="1402.81"/>
    <x v="10"/>
    <x v="0"/>
    <x v="786"/>
    <x v="1"/>
  </r>
  <r>
    <s v="ORD002485"/>
    <s v="Lucía Díaz"/>
    <s v="lucía.díaz@mail.com"/>
    <x v="3"/>
    <s v="Roma"/>
    <x v="4"/>
    <x v="11"/>
    <n v="4"/>
    <n v="45.63"/>
    <n v="182.52"/>
    <x v="4"/>
    <x v="0"/>
    <x v="241"/>
    <x v="4"/>
  </r>
  <r>
    <s v="ORD002486"/>
    <s v="Elena Alonso"/>
    <s v="elena.alonso@mail.com"/>
    <x v="2"/>
    <s v="Lisboa"/>
    <x v="3"/>
    <x v="5"/>
    <n v="1"/>
    <n v="1097.79"/>
    <n v="1097.79"/>
    <x v="7"/>
    <x v="0"/>
    <x v="423"/>
    <x v="2"/>
  </r>
  <r>
    <s v="ORD002487"/>
    <s v="Irene Martínez"/>
    <s v="irene.martínez@mail.com"/>
    <x v="0"/>
    <s v="Madrid"/>
    <x v="3"/>
    <x v="4"/>
    <n v="4"/>
    <n v="1424.4"/>
    <n v="5697.6"/>
    <x v="4"/>
    <x v="0"/>
    <x v="363"/>
    <x v="2"/>
  </r>
  <r>
    <s v="ORD002488"/>
    <s v="Lucía Torres"/>
    <s v="lucía.torres@mail.com"/>
    <x v="0"/>
    <s v="Sevilla"/>
    <x v="0"/>
    <x v="16"/>
    <n v="3"/>
    <n v="699.86"/>
    <n v="2099.58"/>
    <x v="5"/>
    <x v="0"/>
    <x v="324"/>
    <x v="0"/>
  </r>
  <r>
    <s v="ORD002489"/>
    <s v="Ana Gómez"/>
    <s v="ana.gómez@mail.com"/>
    <x v="3"/>
    <s v="Roma"/>
    <x v="2"/>
    <x v="15"/>
    <n v="1"/>
    <n v="1112.95"/>
    <n v="1112.95"/>
    <x v="8"/>
    <x v="0"/>
    <x v="158"/>
    <x v="1"/>
  </r>
  <r>
    <s v="ORD002490"/>
    <s v="Luis Pérez"/>
    <s v="luis.pérez@mail.com"/>
    <x v="0"/>
    <s v="Valencia"/>
    <x v="2"/>
    <x v="19"/>
    <n v="4"/>
    <n v="1316.65"/>
    <n v="5266.6"/>
    <x v="1"/>
    <x v="1"/>
    <x v="392"/>
    <x v="3"/>
  </r>
  <r>
    <s v="ORD002491"/>
    <s v="Laura Sánchez"/>
    <s v="laura.sánchez@mail.com"/>
    <x v="4"/>
    <s v="Lyon"/>
    <x v="1"/>
    <x v="2"/>
    <n v="4"/>
    <n v="1187.08"/>
    <n v="4748.32"/>
    <x v="5"/>
    <x v="2"/>
    <x v="787"/>
    <x v="3"/>
  </r>
  <r>
    <s v="ORD002492"/>
    <s v="Ana Díaz"/>
    <s v="ana.díaz@mail.com"/>
    <x v="0"/>
    <s v="Madrid"/>
    <x v="4"/>
    <x v="21"/>
    <n v="5"/>
    <n v="82.48"/>
    <n v="412.40000000000003"/>
    <x v="3"/>
    <x v="1"/>
    <x v="402"/>
    <x v="4"/>
  </r>
  <r>
    <s v="ORD002493"/>
    <s v="Diego Alonso"/>
    <s v="diego.alonso@mail.com"/>
    <x v="4"/>
    <s v="Marsella"/>
    <x v="3"/>
    <x v="18"/>
    <n v="1"/>
    <n v="119.78"/>
    <n v="119.78"/>
    <x v="5"/>
    <x v="2"/>
    <x v="45"/>
    <x v="2"/>
  </r>
  <r>
    <s v="ORD002494"/>
    <s v="Elena Martínez"/>
    <s v="elena.martínez@mail.com"/>
    <x v="0"/>
    <s v="Bilbao"/>
    <x v="0"/>
    <x v="13"/>
    <n v="3"/>
    <n v="694.7"/>
    <n v="2084.1000000000004"/>
    <x v="7"/>
    <x v="1"/>
    <x v="412"/>
    <x v="1"/>
  </r>
  <r>
    <s v="ORD002495"/>
    <s v="Diego Alonso"/>
    <s v="diego.alonso@mail.com"/>
    <x v="1"/>
    <s v="Múnich"/>
    <x v="4"/>
    <x v="21"/>
    <n v="4"/>
    <n v="1052.6199999999999"/>
    <n v="4210.4799999999996"/>
    <x v="0"/>
    <x v="0"/>
    <x v="405"/>
    <x v="4"/>
  </r>
  <r>
    <s v="ORD002496"/>
    <s v="Miguel Alonso"/>
    <s v="miguel.alonso@mail.com"/>
    <x v="3"/>
    <s v="Roma"/>
    <x v="1"/>
    <x v="2"/>
    <n v="4"/>
    <n v="769.93"/>
    <n v="3079.72"/>
    <x v="2"/>
    <x v="2"/>
    <x v="156"/>
    <x v="2"/>
  </r>
  <r>
    <s v="ORD002497"/>
    <s v="Diego Gil"/>
    <s v="diego.gil@mail.com"/>
    <x v="2"/>
    <s v="Oporto"/>
    <x v="0"/>
    <x v="17"/>
    <n v="2"/>
    <n v="1348.11"/>
    <n v="2696.22"/>
    <x v="0"/>
    <x v="0"/>
    <x v="688"/>
    <x v="3"/>
  </r>
  <r>
    <s v="ORD002498"/>
    <s v="Carlos Torres"/>
    <s v="carlos.torres@mail.com"/>
    <x v="0"/>
    <s v="Sevilla"/>
    <x v="2"/>
    <x v="3"/>
    <n v="1"/>
    <n v="814.06"/>
    <n v="814.06"/>
    <x v="7"/>
    <x v="0"/>
    <x v="326"/>
    <x v="2"/>
  </r>
  <r>
    <s v="ORD002499"/>
    <s v="Elena Sánchez"/>
    <s v="elena.sánchez@mail.com"/>
    <x v="2"/>
    <s v="Oporto"/>
    <x v="1"/>
    <x v="8"/>
    <n v="4"/>
    <n v="1478"/>
    <n v="5912"/>
    <x v="4"/>
    <x v="0"/>
    <x v="159"/>
    <x v="2"/>
  </r>
  <r>
    <s v="ORD002500"/>
    <s v="Diego Ruiz"/>
    <s v="diego.ruiz@mail.com"/>
    <x v="4"/>
    <s v="París"/>
    <x v="1"/>
    <x v="8"/>
    <n v="2"/>
    <n v="1092.1199999999999"/>
    <n v="2184.2399999999998"/>
    <x v="8"/>
    <x v="0"/>
    <x v="4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5B1C5-4311-4098-BB89-8F662CC40F52}" name="Análisis por product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bre de producto">
  <location ref="G103:I12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5">
        <item x="1"/>
        <item x="16"/>
        <item x="5"/>
        <item x="4"/>
        <item x="14"/>
        <item x="2"/>
        <item x="0"/>
        <item x="19"/>
        <item x="3"/>
        <item x="22"/>
        <item x="11"/>
        <item x="7"/>
        <item x="23"/>
        <item x="12"/>
        <item x="6"/>
        <item x="18"/>
        <item x="21"/>
        <item x="9"/>
        <item x="13"/>
        <item x="8"/>
        <item x="17"/>
        <item x="20"/>
        <item x="10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dataField="1" numFmtId="44" showAll="0"/>
    <pivotField showAll="0"/>
    <pivotField showAll="0"/>
    <pivotField showAll="0"/>
    <pivotField showAll="0"/>
  </pivotFields>
  <rowFields count="1">
    <field x="6"/>
  </rowFields>
  <rowItems count="25">
    <i>
      <x v="12"/>
    </i>
    <i>
      <x v="10"/>
    </i>
    <i>
      <x v="2"/>
    </i>
    <i>
      <x v="18"/>
    </i>
    <i>
      <x v="5"/>
    </i>
    <i>
      <x v="11"/>
    </i>
    <i>
      <x/>
    </i>
    <i>
      <x v="8"/>
    </i>
    <i>
      <x v="13"/>
    </i>
    <i>
      <x v="15"/>
    </i>
    <i>
      <x v="3"/>
    </i>
    <i>
      <x v="1"/>
    </i>
    <i>
      <x v="17"/>
    </i>
    <i>
      <x v="21"/>
    </i>
    <i>
      <x v="16"/>
    </i>
    <i>
      <x v="6"/>
    </i>
    <i>
      <x v="7"/>
    </i>
    <i>
      <x v="19"/>
    </i>
    <i>
      <x v="14"/>
    </i>
    <i>
      <x v="22"/>
    </i>
    <i>
      <x v="9"/>
    </i>
    <i>
      <x v="4"/>
    </i>
    <i>
      <x v="20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de productos" fld="6" subtotal="count" baseField="0" baseItem="0"/>
    <dataField name="Ventas por producto" fld="9" baseField="0" baseItem="0"/>
  </dataFields>
  <formats count="1">
    <format dxfId="7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46BAC-02B7-4CFF-88B6-C7F208DFC52D}" name="Estado del pedid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Estado del pedidoetas de fila">
  <location ref="G52:H58" firstHeaderRow="1" firstDataRow="1" firstDataCol="1"/>
  <pivotFields count="14">
    <pivotField dataField="1" showAll="0"/>
    <pivotField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44" showAll="0"/>
    <pivotField numFmtId="44" showAll="0"/>
    <pivotField showAll="0">
      <items count="13">
        <item x="5"/>
        <item x="2"/>
        <item x="10"/>
        <item x="11"/>
        <item x="8"/>
        <item x="7"/>
        <item x="3"/>
        <item x="9"/>
        <item x="4"/>
        <item x="6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name="Estado del pedido" axis="axisRow" showAll="0">
      <items count="6">
        <item x="1"/>
        <item x="2"/>
        <item x="4"/>
        <item x="3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edidos" fld="0" subtotal="count" baseField="0" baseItem="0"/>
  </dataFields>
  <formats count="7"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field="13" type="button" dataOnly="0" labelOnly="1" outline="0" axis="axisRow" fieldPosition="0"/>
    </format>
    <format dxfId="44">
      <pivotArea dataOnly="0" labelOnly="1" fieldPosition="0">
        <references count="1">
          <reference field="13" count="0"/>
        </references>
      </pivotArea>
    </format>
    <format dxfId="43">
      <pivotArea dataOnly="0" labelOnly="1" grandRow="1" outline="0" fieldPosition="0"/>
    </format>
    <format dxfId="42">
      <pivotArea collapsedLevelsAreSubtotals="1" fieldPosition="0">
        <references count="1">
          <reference field="13" count="1">
            <x v="1"/>
          </reference>
        </references>
      </pivotArea>
    </format>
    <format dxfId="41">
      <pivotArea dataOnly="0" labelOnly="1" fieldPosition="0">
        <references count="1">
          <reference field="13" count="1">
            <x v="1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F0A73-C792-4D95-A6AF-66AC38A98AB9}" name="Ventas por me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mes">
  <location ref="G32:H45" firstHeaderRow="1" firstDataRow="1" firstDataCol="1"/>
  <pivotFields count="14">
    <pivotField showAll="0"/>
    <pivotField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44" showAll="0"/>
    <pivotField dataField="1" numFmtId="44" showAll="0"/>
    <pivotField axis="axisRow" showAll="0">
      <items count="13">
        <item x="5"/>
        <item x="2"/>
        <item x="10"/>
        <item x="11"/>
        <item x="8"/>
        <item x="7"/>
        <item x="3"/>
        <item x="9"/>
        <item x="4"/>
        <item x="6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6">
        <item x="1"/>
        <item x="2"/>
        <item x="4"/>
        <item x="3"/>
        <item x="0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Ventas" fld="9" baseField="0" baseItem="0" numFmtId="44"/>
  </dataFields>
  <formats count="8"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field="10" type="button" dataOnly="0" labelOnly="1" outline="0" axis="axisRow" fieldPosition="0"/>
    </format>
    <format dxfId="51">
      <pivotArea dataOnly="0" labelOnly="1" fieldPosition="0">
        <references count="1">
          <reference field="10" count="0"/>
        </references>
      </pivotArea>
    </format>
    <format dxfId="50">
      <pivotArea dataOnly="0" labelOnly="1" grandRow="1" outline="0" fieldPosition="0"/>
    </format>
    <format dxfId="49">
      <pivotArea collapsedLevelsAreSubtotals="1" fieldPosition="0">
        <references count="1">
          <reference field="10" count="1">
            <x v="0"/>
          </reference>
        </references>
      </pivotArea>
    </format>
    <format dxfId="48">
      <pivotArea dataOnly="0" labelOnly="1" fieldPosition="0">
        <references count="1">
          <reference field="10" count="1">
            <x v="0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CA6C1-956C-45F6-BD5A-5957C7D0EEE5}" name="Ventas por categoria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Categoría">
  <location ref="G21:H27" firstHeaderRow="1" firstDataRow="1" firstDataCol="1"/>
  <pivotFields count="14">
    <pivotField showAll="0"/>
    <pivotField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/>
    <pivotField name="Categoría"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44" showAll="0"/>
    <pivotField dataField="1" numFmtId="44" showAll="0"/>
    <pivotField showAll="0">
      <items count="13">
        <item x="5"/>
        <item x="2"/>
        <item x="10"/>
        <item x="11"/>
        <item x="8"/>
        <item x="7"/>
        <item x="3"/>
        <item x="9"/>
        <item x="4"/>
        <item x="6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6">
        <item x="1"/>
        <item x="2"/>
        <item x="4"/>
        <item x="3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entas" fld="9" baseField="0" baseItem="0" numFmtId="44"/>
  </dataFields>
  <formats count="8"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field="5" type="button" dataOnly="0" labelOnly="1" outline="0" axis="axisRow" fieldPosition="0"/>
    </format>
    <format dxfId="59">
      <pivotArea dataOnly="0" labelOnly="1" fieldPosition="0">
        <references count="1">
          <reference field="5" count="0"/>
        </references>
      </pivotArea>
    </format>
    <format dxfId="58">
      <pivotArea dataOnly="0" labelOnly="1" grandRow="1" outline="0" fieldPosition="0"/>
    </format>
    <format dxfId="57">
      <pivotArea collapsedLevelsAreSubtotals="1" fieldPosition="0">
        <references count="1">
          <reference field="5" count="1">
            <x v="1"/>
          </reference>
        </references>
      </pivotArea>
    </format>
    <format dxfId="56">
      <pivotArea dataOnly="0" labelOnly="1" fieldPosition="0">
        <references count="1">
          <reference field="5" count="1">
            <x v="1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C7D70-F387-44EB-B33D-E888EC839BC2}" name="Ventas por pai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País">
  <location ref="G6:H12" firstHeaderRow="1" firstDataRow="1" firstDataCol="1"/>
  <pivotFields count="14">
    <pivotField showAll="0"/>
    <pivotField showAll="0"/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44" showAll="0"/>
    <pivotField dataField="1" numFmtId="44" showAll="0"/>
    <pivotField showAll="0">
      <items count="13">
        <item x="5"/>
        <item x="2"/>
        <item x="10"/>
        <item x="11"/>
        <item x="8"/>
        <item x="7"/>
        <item x="3"/>
        <item x="9"/>
        <item x="4"/>
        <item x="6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6">
        <item x="1"/>
        <item x="2"/>
        <item x="4"/>
        <item x="3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entas" fld="9" baseField="0" baseItem="0" numFmtId="44"/>
  </dataFields>
  <formats count="8"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field="3" type="button" dataOnly="0" labelOnly="1" outline="0" axis="axisRow" fieldPosition="0"/>
    </format>
    <format dxfId="67">
      <pivotArea dataOnly="0" labelOnly="1" fieldPosition="0">
        <references count="1">
          <reference field="3" count="0"/>
        </references>
      </pivotArea>
    </format>
    <format dxfId="66">
      <pivotArea dataOnly="0" labelOnly="1" grandRow="1" outline="0" fieldPosition="0"/>
    </format>
    <format dxfId="65">
      <pivotArea collapsedLevelsAreSubtotals="1" fieldPosition="0">
        <references count="1">
          <reference field="3" count="1">
            <x v="0"/>
          </reference>
        </references>
      </pivotArea>
    </format>
    <format dxfId="64">
      <pivotArea dataOnly="0" labelOnly="1" fieldPosition="0">
        <references count="1">
          <reference field="3" count="1">
            <x v="0"/>
          </reference>
        </references>
      </pivotArea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3CD96-778C-40FE-9B6C-6FEF20ACD88E}" name="Evolución de venta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 rowHeaderCaption="Fecha">
  <location ref="G66:H98" firstHeaderRow="1" firstDataRow="1" firstDataCol="1"/>
  <pivotFields count="14">
    <pivotField showAll="0"/>
    <pivotField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44" showAll="0"/>
    <pivotField dataField="1" numFmtId="44" showAll="0"/>
    <pivotField axis="axisRow" showAll="0">
      <items count="13">
        <item x="5"/>
        <item x="2"/>
        <item x="10"/>
        <item x="11"/>
        <item x="8"/>
        <item x="7"/>
        <item x="3"/>
        <item x="9"/>
        <item x="4"/>
        <item x="6"/>
        <item x="0"/>
        <item x="1"/>
        <item t="default"/>
      </items>
    </pivotField>
    <pivotField name="Fecha" axis="axisRow" showAll="0">
      <items count="4">
        <item x="1"/>
        <item x="0"/>
        <item x="2"/>
        <item t="default"/>
      </items>
    </pivotField>
    <pivotField showAll="0">
      <items count="789">
        <item x="706"/>
        <item x="103"/>
        <item x="542"/>
        <item x="130"/>
        <item x="256"/>
        <item x="305"/>
        <item x="307"/>
        <item x="295"/>
        <item x="339"/>
        <item x="513"/>
        <item x="549"/>
        <item x="473"/>
        <item x="52"/>
        <item x="516"/>
        <item x="527"/>
        <item x="440"/>
        <item x="89"/>
        <item x="544"/>
        <item x="82"/>
        <item x="8"/>
        <item x="736"/>
        <item x="105"/>
        <item x="721"/>
        <item x="292"/>
        <item x="115"/>
        <item x="499"/>
        <item x="366"/>
        <item x="509"/>
        <item x="483"/>
        <item x="428"/>
        <item x="581"/>
        <item x="562"/>
        <item x="22"/>
        <item x="236"/>
        <item x="433"/>
        <item x="497"/>
        <item x="490"/>
        <item x="182"/>
        <item x="14"/>
        <item x="28"/>
        <item x="263"/>
        <item x="448"/>
        <item x="643"/>
        <item x="667"/>
        <item x="692"/>
        <item x="303"/>
        <item x="349"/>
        <item x="4"/>
        <item x="454"/>
        <item x="546"/>
        <item x="32"/>
        <item x="740"/>
        <item x="129"/>
        <item x="698"/>
        <item x="123"/>
        <item x="212"/>
        <item x="504"/>
        <item x="609"/>
        <item x="17"/>
        <item x="227"/>
        <item x="780"/>
        <item x="245"/>
        <item x="100"/>
        <item x="656"/>
        <item x="466"/>
        <item x="741"/>
        <item x="611"/>
        <item x="180"/>
        <item x="381"/>
        <item x="288"/>
        <item x="782"/>
        <item x="785"/>
        <item x="735"/>
        <item x="503"/>
        <item x="470"/>
        <item x="578"/>
        <item x="703"/>
        <item x="707"/>
        <item x="739"/>
        <item x="429"/>
        <item x="556"/>
        <item x="561"/>
        <item x="48"/>
        <item x="200"/>
        <item x="632"/>
        <item x="714"/>
        <item x="749"/>
        <item x="531"/>
        <item x="459"/>
        <item x="464"/>
        <item x="727"/>
        <item x="207"/>
        <item x="770"/>
        <item x="315"/>
        <item x="690"/>
        <item x="214"/>
        <item x="41"/>
        <item x="376"/>
        <item x="378"/>
        <item x="272"/>
        <item x="678"/>
        <item x="572"/>
        <item x="747"/>
        <item x="600"/>
        <item x="658"/>
        <item x="151"/>
        <item x="684"/>
        <item x="177"/>
        <item x="382"/>
        <item x="696"/>
        <item x="765"/>
        <item x="432"/>
        <item x="624"/>
        <item x="559"/>
        <item x="76"/>
        <item x="377"/>
        <item x="588"/>
        <item x="268"/>
        <item x="68"/>
        <item x="121"/>
        <item x="189"/>
        <item x="124"/>
        <item x="65"/>
        <item x="584"/>
        <item x="604"/>
        <item x="563"/>
        <item x="318"/>
        <item x="687"/>
        <item x="415"/>
        <item x="12"/>
        <item x="281"/>
        <item x="140"/>
        <item x="474"/>
        <item x="551"/>
        <item x="107"/>
        <item x="297"/>
        <item x="218"/>
        <item x="485"/>
        <item x="768"/>
        <item x="450"/>
        <item x="387"/>
        <item x="38"/>
        <item x="210"/>
        <item x="298"/>
        <item x="673"/>
        <item x="539"/>
        <item x="775"/>
        <item x="73"/>
        <item x="737"/>
        <item x="144"/>
        <item x="663"/>
        <item x="11"/>
        <item x="651"/>
        <item x="228"/>
        <item x="328"/>
        <item x="64"/>
        <item x="275"/>
        <item x="637"/>
        <item x="97"/>
        <item x="75"/>
        <item x="567"/>
        <item x="512"/>
        <item x="211"/>
        <item x="467"/>
        <item x="537"/>
        <item x="395"/>
        <item x="342"/>
        <item x="30"/>
        <item x="56"/>
        <item x="239"/>
        <item x="354"/>
        <item x="23"/>
        <item x="412"/>
        <item x="631"/>
        <item x="404"/>
        <item x="257"/>
        <item x="71"/>
        <item x="674"/>
        <item x="223"/>
        <item x="184"/>
        <item x="434"/>
        <item x="402"/>
        <item x="743"/>
        <item x="125"/>
        <item x="179"/>
        <item x="575"/>
        <item x="630"/>
        <item x="221"/>
        <item x="704"/>
        <item x="270"/>
        <item x="386"/>
        <item x="99"/>
        <item x="301"/>
        <item x="92"/>
        <item x="90"/>
        <item x="141"/>
        <item x="495"/>
        <item x="325"/>
        <item x="601"/>
        <item x="421"/>
        <item x="36"/>
        <item x="465"/>
        <item x="478"/>
        <item x="278"/>
        <item x="717"/>
        <item x="40"/>
        <item x="520"/>
        <item x="60"/>
        <item x="603"/>
        <item x="606"/>
        <item x="507"/>
        <item x="500"/>
        <item x="642"/>
        <item x="457"/>
        <item x="702"/>
        <item x="408"/>
        <item x="701"/>
        <item x="195"/>
        <item x="185"/>
        <item x="752"/>
        <item x="492"/>
        <item x="536"/>
        <item x="215"/>
        <item x="523"/>
        <item x="276"/>
        <item x="525"/>
        <item x="20"/>
        <item x="104"/>
        <item x="146"/>
        <item x="409"/>
        <item x="418"/>
        <item x="413"/>
        <item x="475"/>
        <item x="226"/>
        <item x="235"/>
        <item x="705"/>
        <item x="204"/>
        <item x="424"/>
        <item x="427"/>
        <item x="689"/>
        <item x="148"/>
        <item x="338"/>
        <item x="375"/>
        <item x="251"/>
        <item x="7"/>
        <item x="373"/>
        <item x="280"/>
        <item x="351"/>
        <item x="633"/>
        <item x="348"/>
        <item x="294"/>
        <item x="138"/>
        <item x="502"/>
        <item x="654"/>
        <item x="249"/>
        <item x="254"/>
        <item x="58"/>
        <item x="715"/>
        <item x="133"/>
        <item x="357"/>
        <item x="677"/>
        <item x="711"/>
        <item x="501"/>
        <item x="220"/>
        <item x="587"/>
        <item x="472"/>
        <item x="750"/>
        <item x="197"/>
        <item x="411"/>
        <item x="102"/>
        <item x="160"/>
        <item x="647"/>
        <item x="665"/>
        <item x="152"/>
        <item x="573"/>
        <item x="461"/>
        <item x="719"/>
        <item x="725"/>
        <item x="327"/>
        <item x="86"/>
        <item x="166"/>
        <item x="593"/>
        <item x="10"/>
        <item x="181"/>
        <item x="422"/>
        <item x="579"/>
        <item x="330"/>
        <item x="589"/>
        <item x="453"/>
        <item x="649"/>
        <item x="243"/>
        <item x="201"/>
        <item x="27"/>
        <item x="612"/>
        <item x="571"/>
        <item x="53"/>
        <item x="772"/>
        <item x="430"/>
        <item x="648"/>
        <item x="686"/>
        <item x="672"/>
        <item x="570"/>
        <item x="555"/>
        <item x="526"/>
        <item x="9"/>
        <item x="304"/>
        <item x="347"/>
        <item x="486"/>
        <item x="259"/>
        <item x="708"/>
        <item x="229"/>
        <item x="660"/>
        <item x="368"/>
        <item x="39"/>
        <item x="335"/>
        <item x="778"/>
        <item x="534"/>
        <item x="498"/>
        <item x="337"/>
        <item x="594"/>
        <item x="762"/>
        <item x="232"/>
        <item x="407"/>
        <item x="401"/>
        <item x="176"/>
        <item x="468"/>
        <item x="392"/>
        <item x="170"/>
        <item x="685"/>
        <item x="209"/>
        <item x="1"/>
        <item x="616"/>
        <item x="410"/>
        <item x="553"/>
        <item x="522"/>
        <item x="54"/>
        <item x="384"/>
        <item x="602"/>
        <item x="730"/>
        <item x="514"/>
        <item x="191"/>
        <item x="380"/>
        <item x="106"/>
        <item x="346"/>
        <item x="394"/>
        <item x="742"/>
        <item x="481"/>
        <item x="237"/>
        <item x="776"/>
        <item x="722"/>
        <item x="282"/>
        <item x="493"/>
        <item x="85"/>
        <item x="253"/>
        <item x="302"/>
        <item x="95"/>
        <item x="538"/>
        <item x="267"/>
        <item x="583"/>
        <item x="87"/>
        <item x="530"/>
        <item x="417"/>
        <item x="203"/>
        <item x="449"/>
        <item x="246"/>
        <item x="219"/>
        <item x="487"/>
        <item x="332"/>
        <item x="437"/>
        <item x="586"/>
        <item x="365"/>
        <item x="769"/>
        <item x="341"/>
        <item x="273"/>
        <item x="371"/>
        <item x="21"/>
        <item x="748"/>
        <item x="510"/>
        <item x="155"/>
        <item x="545"/>
        <item x="680"/>
        <item x="343"/>
        <item x="293"/>
        <item x="324"/>
        <item x="15"/>
        <item x="169"/>
        <item x="462"/>
        <item x="69"/>
        <item x="132"/>
        <item x="558"/>
        <item x="777"/>
        <item x="16"/>
        <item x="13"/>
        <item x="309"/>
        <item x="74"/>
        <item x="569"/>
        <item x="63"/>
        <item x="709"/>
        <item x="761"/>
        <item x="552"/>
        <item x="260"/>
        <item x="316"/>
        <item x="190"/>
        <item x="198"/>
        <item x="234"/>
        <item x="217"/>
        <item x="694"/>
        <item x="323"/>
        <item x="248"/>
        <item x="116"/>
        <item x="5"/>
        <item x="117"/>
        <item x="455"/>
        <item x="157"/>
        <item x="398"/>
        <item x="289"/>
        <item x="718"/>
        <item x="786"/>
        <item x="164"/>
        <item x="59"/>
        <item x="352"/>
        <item x="84"/>
        <item x="738"/>
        <item x="72"/>
        <item x="262"/>
        <item x="745"/>
        <item x="726"/>
        <item x="391"/>
        <item x="242"/>
        <item x="367"/>
        <item x="489"/>
        <item x="425"/>
        <item x="55"/>
        <item x="186"/>
        <item x="697"/>
        <item x="618"/>
        <item x="128"/>
        <item x="37"/>
        <item x="131"/>
        <item x="136"/>
        <item x="529"/>
        <item x="393"/>
        <item x="763"/>
        <item x="334"/>
        <item x="590"/>
        <item x="755"/>
        <item x="441"/>
        <item x="518"/>
        <item x="699"/>
        <item x="442"/>
        <item x="773"/>
        <item x="120"/>
        <item x="447"/>
        <item x="369"/>
        <item x="277"/>
        <item x="458"/>
        <item x="314"/>
        <item x="519"/>
        <item x="266"/>
        <item x="112"/>
        <item x="728"/>
        <item x="592"/>
        <item x="126"/>
        <item x="759"/>
        <item x="94"/>
        <item x="390"/>
        <item x="511"/>
        <item x="506"/>
        <item x="484"/>
        <item x="187"/>
        <item x="548"/>
        <item x="172"/>
        <item x="634"/>
        <item x="47"/>
        <item x="46"/>
        <item x="388"/>
        <item x="161"/>
        <item x="629"/>
        <item x="61"/>
        <item x="456"/>
        <item x="139"/>
        <item x="710"/>
        <item x="766"/>
        <item x="66"/>
        <item x="134"/>
        <item x="286"/>
        <item x="671"/>
        <item x="240"/>
        <item x="88"/>
        <item x="446"/>
        <item x="109"/>
        <item x="547"/>
        <item x="580"/>
        <item x="639"/>
        <item x="163"/>
        <item x="202"/>
        <item x="216"/>
        <item x="668"/>
        <item x="158"/>
        <item x="168"/>
        <item x="299"/>
        <item x="720"/>
        <item x="385"/>
        <item x="91"/>
        <item x="557"/>
        <item x="653"/>
        <item x="628"/>
        <item x="423"/>
        <item x="165"/>
        <item x="517"/>
        <item x="326"/>
        <item x="641"/>
        <item x="471"/>
        <item x="524"/>
        <item x="93"/>
        <item x="540"/>
        <item x="35"/>
        <item x="322"/>
        <item x="744"/>
        <item x="62"/>
        <item x="350"/>
        <item x="356"/>
        <item x="79"/>
        <item x="118"/>
        <item x="438"/>
        <item x="362"/>
        <item x="576"/>
        <item x="135"/>
        <item x="78"/>
        <item x="364"/>
        <item x="306"/>
        <item x="784"/>
        <item x="535"/>
        <item x="666"/>
        <item x="31"/>
        <item x="403"/>
        <item x="532"/>
        <item x="3"/>
        <item x="50"/>
        <item x="333"/>
        <item x="321"/>
        <item x="621"/>
        <item x="193"/>
        <item x="655"/>
        <item x="360"/>
        <item x="439"/>
        <item x="638"/>
        <item x="370"/>
        <item x="311"/>
        <item x="550"/>
        <item x="605"/>
        <item x="110"/>
        <item x="224"/>
        <item x="192"/>
        <item x="271"/>
        <item x="682"/>
        <item x="596"/>
        <item x="238"/>
        <item x="205"/>
        <item x="147"/>
        <item x="49"/>
        <item x="508"/>
        <item x="574"/>
        <item x="451"/>
        <item x="167"/>
        <item x="469"/>
        <item x="57"/>
        <item x="344"/>
        <item x="150"/>
        <item x="420"/>
        <item x="206"/>
        <item x="300"/>
        <item x="657"/>
        <item x="142"/>
        <item x="353"/>
        <item x="635"/>
        <item x="355"/>
        <item x="746"/>
        <item x="44"/>
        <item x="70"/>
        <item x="625"/>
        <item x="213"/>
        <item x="541"/>
        <item x="591"/>
        <item x="258"/>
        <item x="42"/>
        <item x="482"/>
        <item x="416"/>
        <item x="25"/>
        <item x="528"/>
        <item x="435"/>
        <item x="565"/>
        <item x="159"/>
        <item x="463"/>
        <item x="178"/>
        <item x="460"/>
        <item x="241"/>
        <item x="171"/>
        <item x="265"/>
        <item x="564"/>
        <item x="617"/>
        <item x="691"/>
        <item x="290"/>
        <item x="597"/>
        <item x="712"/>
        <item x="340"/>
        <item x="363"/>
        <item x="24"/>
        <item x="729"/>
        <item x="670"/>
        <item x="614"/>
        <item x="247"/>
        <item x="515"/>
        <item x="669"/>
        <item x="582"/>
        <item x="679"/>
        <item x="77"/>
        <item x="664"/>
        <item x="51"/>
        <item x="610"/>
        <item x="779"/>
        <item x="331"/>
        <item x="283"/>
        <item x="414"/>
        <item x="734"/>
        <item x="26"/>
        <item x="505"/>
        <item x="543"/>
        <item x="67"/>
        <item x="208"/>
        <item x="732"/>
        <item x="279"/>
        <item x="285"/>
        <item x="774"/>
        <item x="713"/>
        <item x="661"/>
        <item x="43"/>
        <item x="397"/>
        <item x="771"/>
        <item x="111"/>
        <item x="675"/>
        <item x="751"/>
        <item x="733"/>
        <item x="405"/>
        <item x="6"/>
        <item x="496"/>
        <item x="585"/>
        <item x="533"/>
        <item x="620"/>
        <item x="194"/>
        <item x="114"/>
        <item x="554"/>
        <item x="607"/>
        <item x="174"/>
        <item x="688"/>
        <item x="244"/>
        <item x="230"/>
        <item x="0"/>
        <item x="767"/>
        <item x="80"/>
        <item x="108"/>
        <item x="488"/>
        <item x="521"/>
        <item x="313"/>
        <item x="264"/>
        <item x="676"/>
        <item x="757"/>
        <item x="29"/>
        <item x="480"/>
        <item x="225"/>
        <item x="608"/>
        <item x="358"/>
        <item x="33"/>
        <item x="622"/>
        <item x="19"/>
        <item x="287"/>
        <item x="659"/>
        <item x="476"/>
        <item x="491"/>
        <item x="308"/>
        <item x="623"/>
        <item x="760"/>
        <item x="764"/>
        <item x="598"/>
        <item x="754"/>
        <item x="626"/>
        <item x="34"/>
        <item x="173"/>
        <item x="389"/>
        <item x="81"/>
        <item x="477"/>
        <item x="650"/>
        <item x="636"/>
        <item x="595"/>
        <item x="695"/>
        <item x="400"/>
        <item x="137"/>
        <item x="379"/>
        <item x="317"/>
        <item x="560"/>
        <item x="444"/>
        <item x="269"/>
        <item x="613"/>
        <item x="143"/>
        <item x="452"/>
        <item x="652"/>
        <item x="566"/>
        <item x="731"/>
        <item x="787"/>
        <item x="255"/>
        <item x="284"/>
        <item x="18"/>
        <item x="494"/>
        <item x="310"/>
        <item x="233"/>
        <item x="231"/>
        <item x="783"/>
        <item x="175"/>
        <item x="45"/>
        <item x="319"/>
        <item x="372"/>
        <item x="700"/>
        <item x="383"/>
        <item x="96"/>
        <item x="443"/>
        <item x="145"/>
        <item x="431"/>
        <item x="188"/>
        <item x="723"/>
        <item x="222"/>
        <item x="261"/>
        <item x="361"/>
        <item x="127"/>
        <item x="724"/>
        <item x="645"/>
        <item x="154"/>
        <item x="153"/>
        <item x="162"/>
        <item x="781"/>
        <item x="419"/>
        <item x="122"/>
        <item x="716"/>
        <item x="756"/>
        <item x="2"/>
        <item x="296"/>
        <item x="406"/>
        <item x="399"/>
        <item x="329"/>
        <item x="359"/>
        <item x="577"/>
        <item x="436"/>
        <item x="320"/>
        <item x="156"/>
        <item x="274"/>
        <item x="646"/>
        <item x="336"/>
        <item x="619"/>
        <item x="445"/>
        <item x="196"/>
        <item x="753"/>
        <item x="396"/>
        <item x="662"/>
        <item x="681"/>
        <item x="113"/>
        <item x="640"/>
        <item x="252"/>
        <item x="291"/>
        <item x="149"/>
        <item x="101"/>
        <item x="83"/>
        <item x="374"/>
        <item x="615"/>
        <item x="644"/>
        <item x="312"/>
        <item x="183"/>
        <item x="627"/>
        <item x="345"/>
        <item x="199"/>
        <item x="758"/>
        <item x="98"/>
        <item x="119"/>
        <item x="683"/>
        <item x="426"/>
        <item x="693"/>
        <item x="599"/>
        <item x="568"/>
        <item x="250"/>
        <item x="479"/>
        <item t="default"/>
      </items>
    </pivotField>
    <pivotField showAll="0">
      <items count="6">
        <item x="1"/>
        <item x="2"/>
        <item x="4"/>
        <item x="3"/>
        <item x="0"/>
        <item t="default"/>
      </items>
    </pivotField>
  </pivotFields>
  <rowFields count="2">
    <field x="11"/>
    <field x="10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Ventas" fld="9" baseField="0" baseItem="0" numFmtId="44"/>
  </dataFields>
  <formats count="2">
    <format dxfId="73">
      <pivotArea dataOnly="0" labelOnly="1" outline="0" axis="axisValues" fieldPosition="0"/>
    </format>
    <format dxfId="72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0A4CB-DF65-41EE-A023-84665BDF7A15}" name="Productos con peores venta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bre de producto">
  <location ref="L105:N11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25">
        <item x="1"/>
        <item x="16"/>
        <item x="5"/>
        <item x="4"/>
        <item x="14"/>
        <item x="2"/>
        <item x="0"/>
        <item x="19"/>
        <item x="3"/>
        <item x="22"/>
        <item x="11"/>
        <item x="7"/>
        <item x="23"/>
        <item x="12"/>
        <item x="6"/>
        <item x="18"/>
        <item x="21"/>
        <item x="9"/>
        <item x="13"/>
        <item x="8"/>
        <item x="17"/>
        <item x="20"/>
        <item x="10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dataField="1" numFmtId="44" showAll="0"/>
    <pivotField showAll="0"/>
    <pivotField showAll="0"/>
    <pivotField showAll="0"/>
    <pivotField showAll="0"/>
  </pivotFields>
  <rowFields count="1">
    <field x="6"/>
  </rowFields>
  <rowItems count="13">
    <i>
      <x v="1"/>
    </i>
    <i>
      <x v="15"/>
    </i>
    <i>
      <x v="3"/>
    </i>
    <i>
      <x v="13"/>
    </i>
    <i>
      <x/>
    </i>
    <i>
      <x v="8"/>
    </i>
    <i>
      <x v="11"/>
    </i>
    <i>
      <x v="5"/>
    </i>
    <i>
      <x v="18"/>
    </i>
    <i>
      <x v="2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de productos" fld="6" subtotal="count" baseField="0" baseItem="0"/>
    <dataField name="Ventas por producto" fld="9" baseField="0" baseItem="0"/>
  </dataFields>
  <formats count="1">
    <format dxfId="4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Medium6" showRowHeaders="1" showColHeaders="1" showRowStripes="0" showColStripes="0" showLastColumn="1"/>
  <filters count="1">
    <filter fld="6" type="count" evalOrder="-1" id="1" iMeasureFld="0">
      <autoFilter ref="A1">
        <filterColumn colId="0">
          <top10 top="0" val="12" filterVal="1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43D71-AA18-4471-B241-7EBC6DBA4322}" name="Productos con mejores venta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bre de producto">
  <location ref="H105:J11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25">
        <item x="1"/>
        <item x="16"/>
        <item x="5"/>
        <item x="4"/>
        <item x="14"/>
        <item x="2"/>
        <item x="0"/>
        <item x="19"/>
        <item x="3"/>
        <item x="22"/>
        <item x="11"/>
        <item x="7"/>
        <item x="23"/>
        <item x="12"/>
        <item x="6"/>
        <item x="18"/>
        <item x="21"/>
        <item x="9"/>
        <item x="13"/>
        <item x="8"/>
        <item x="17"/>
        <item x="20"/>
        <item x="10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dataField="1" numFmtId="44" showAll="0"/>
    <pivotField showAll="0"/>
    <pivotField showAll="0"/>
    <pivotField showAll="0"/>
    <pivotField showAll="0"/>
  </pivotFields>
  <rowFields count="1">
    <field x="6"/>
  </rowFields>
  <rowItems count="13">
    <i>
      <x v="23"/>
    </i>
    <i>
      <x v="20"/>
    </i>
    <i>
      <x v="4"/>
    </i>
    <i>
      <x v="9"/>
    </i>
    <i>
      <x v="22"/>
    </i>
    <i>
      <x v="14"/>
    </i>
    <i>
      <x v="19"/>
    </i>
    <i>
      <x v="6"/>
    </i>
    <i>
      <x v="7"/>
    </i>
    <i>
      <x v="16"/>
    </i>
    <i>
      <x v="21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de productos" fld="6" subtotal="count" baseField="0" baseItem="0"/>
    <dataField name="Ventas por producto" fld="9" baseField="0" baseItem="0"/>
  </dataFields>
  <formats count="1">
    <format dxfId="5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Medium5" showRowHeaders="1" showColHeaders="1" showRowStripes="0" showColStripes="0" showLastColumn="1"/>
  <filters count="1">
    <filter fld="6" type="count" evalOrder="-1" id="1" iMeasureFld="0">
      <autoFilter ref="A1">
        <filterColumn colId="0">
          <top10 val="12" filterVal="1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6677B-8BB7-4C05-99DB-E2E7F1CA88E8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bre de producto">
  <location ref="D105:F130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5">
        <item x="1"/>
        <item x="16"/>
        <item x="5"/>
        <item x="4"/>
        <item x="14"/>
        <item x="2"/>
        <item x="0"/>
        <item x="19"/>
        <item x="3"/>
        <item x="22"/>
        <item x="11"/>
        <item x="7"/>
        <item x="23"/>
        <item x="12"/>
        <item x="6"/>
        <item x="18"/>
        <item x="21"/>
        <item x="9"/>
        <item x="13"/>
        <item x="8"/>
        <item x="17"/>
        <item x="20"/>
        <item x="10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dataField="1" numFmtId="44" showAll="0"/>
    <pivotField showAll="0"/>
    <pivotField showAll="0"/>
    <pivotField showAll="0"/>
    <pivotField showAll="0"/>
  </pivotFields>
  <rowFields count="1">
    <field x="6"/>
  </rowFields>
  <rowItems count="25">
    <i>
      <x v="23"/>
    </i>
    <i>
      <x v="20"/>
    </i>
    <i>
      <x v="4"/>
    </i>
    <i>
      <x v="9"/>
    </i>
    <i>
      <x v="22"/>
    </i>
    <i>
      <x v="14"/>
    </i>
    <i>
      <x v="19"/>
    </i>
    <i>
      <x v="6"/>
    </i>
    <i>
      <x v="16"/>
    </i>
    <i>
      <x v="7"/>
    </i>
    <i>
      <x v="21"/>
    </i>
    <i>
      <x v="17"/>
    </i>
    <i>
      <x v="3"/>
    </i>
    <i>
      <x v="1"/>
    </i>
    <i>
      <x v="15"/>
    </i>
    <i>
      <x v="13"/>
    </i>
    <i>
      <x v="8"/>
    </i>
    <i>
      <x/>
    </i>
    <i>
      <x v="11"/>
    </i>
    <i>
      <x v="5"/>
    </i>
    <i>
      <x v="18"/>
    </i>
    <i>
      <x v="2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de productos" fld="6" subtotal="count" baseField="0" baseItem="0"/>
    <dataField name="Ventas por producto" fld="9" baseField="0" baseItem="0"/>
  </dataFields>
  <formats count="1">
    <format dxfId="6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0F9A1-88FD-41EE-9AE1-DD3371639D13}" name="Ventas por me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mes">
  <location ref="G32:H45" firstHeaderRow="1" firstDataRow="1" firstDataCol="1"/>
  <pivotFields count="14">
    <pivotField showAll="0"/>
    <pivotField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44" showAll="0"/>
    <pivotField dataField="1" numFmtId="44" showAll="0"/>
    <pivotField axis="axisRow" showAll="0">
      <items count="13">
        <item x="5"/>
        <item x="2"/>
        <item x="10"/>
        <item x="11"/>
        <item x="8"/>
        <item x="7"/>
        <item x="3"/>
        <item x="9"/>
        <item x="4"/>
        <item x="6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6">
        <item x="1"/>
        <item x="2"/>
        <item x="4"/>
        <item x="3"/>
        <item x="0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Ventas" fld="9" baseField="0" baseItem="0" numFmtId="44"/>
  </dataFields>
  <formats count="8"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field="10" type="button" dataOnly="0" labelOnly="1" outline="0" axis="axisRow" fieldPosition="0"/>
    </format>
    <format dxfId="11">
      <pivotArea dataOnly="0" labelOnly="1" fieldPosition="0">
        <references count="1">
          <reference field="10" count="0"/>
        </references>
      </pivotArea>
    </format>
    <format dxfId="10">
      <pivotArea dataOnly="0" labelOnly="1" grandRow="1" outline="0" fieldPosition="0"/>
    </format>
    <format dxfId="9">
      <pivotArea collapsedLevelsAreSubtotals="1" fieldPosition="0">
        <references count="1">
          <reference field="10" count="1">
            <x v="0"/>
          </reference>
        </references>
      </pivotArea>
    </format>
    <format dxfId="8">
      <pivotArea dataOnly="0" labelOnly="1" fieldPosition="0">
        <references count="1">
          <reference field="10" count="1">
            <x v="0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08B38-F1E2-4F15-BE73-479041BCE2ED}" name="Estado del pedid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Estado del pedidoetas de fila">
  <location ref="G52:H58" firstHeaderRow="1" firstDataRow="1" firstDataCol="1"/>
  <pivotFields count="14">
    <pivotField dataField="1" showAll="0"/>
    <pivotField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44" showAll="0"/>
    <pivotField numFmtId="44" showAll="0"/>
    <pivotField showAll="0">
      <items count="13">
        <item x="5"/>
        <item x="2"/>
        <item x="10"/>
        <item x="11"/>
        <item x="8"/>
        <item x="7"/>
        <item x="3"/>
        <item x="9"/>
        <item x="4"/>
        <item x="6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name="Estado del pedido" axis="axisRow" showAll="0">
      <items count="6">
        <item x="1"/>
        <item x="2"/>
        <item x="4"/>
        <item x="3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edidos" fld="0" subtotal="count" baseField="0" baseItem="0"/>
  </dataFields>
  <formats count="7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field="13" type="button" dataOnly="0" labelOnly="1" outline="0" axis="axisRow" fieldPosition="0"/>
    </format>
    <format dxfId="19">
      <pivotArea dataOnly="0" labelOnly="1" fieldPosition="0">
        <references count="1">
          <reference field="13" count="0"/>
        </references>
      </pivotArea>
    </format>
    <format dxfId="18">
      <pivotArea dataOnly="0" labelOnly="1" grandRow="1" outline="0" fieldPosition="0"/>
    </format>
    <format dxfId="17">
      <pivotArea collapsedLevelsAreSubtotals="1" fieldPosition="0">
        <references count="1">
          <reference field="13" count="1">
            <x v="1"/>
          </reference>
        </references>
      </pivotArea>
    </format>
    <format dxfId="16">
      <pivotArea dataOnly="0" labelOnly="1" fieldPosition="0">
        <references count="1">
          <reference field="13" count="1">
            <x v="1"/>
          </reference>
        </references>
      </pivotArea>
    </format>
  </formats>
  <chartFormats count="1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43E5F-E404-4254-9B81-516A90EB1322}" name="Evolución de venta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Fecha">
  <location ref="G66:H98" firstHeaderRow="1" firstDataRow="1" firstDataCol="1"/>
  <pivotFields count="14">
    <pivotField showAll="0"/>
    <pivotField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44" showAll="0"/>
    <pivotField dataField="1" numFmtId="44" showAll="0"/>
    <pivotField axis="axisRow" showAll="0">
      <items count="13">
        <item x="5"/>
        <item x="2"/>
        <item x="10"/>
        <item x="11"/>
        <item x="8"/>
        <item x="7"/>
        <item x="3"/>
        <item x="9"/>
        <item x="4"/>
        <item x="6"/>
        <item x="0"/>
        <item x="1"/>
        <item t="default"/>
      </items>
    </pivotField>
    <pivotField name="Fecha" axis="axisRow" showAll="0">
      <items count="4">
        <item x="1"/>
        <item x="0"/>
        <item x="2"/>
        <item t="default"/>
      </items>
    </pivotField>
    <pivotField showAll="0">
      <items count="789">
        <item x="706"/>
        <item x="103"/>
        <item x="542"/>
        <item x="130"/>
        <item x="256"/>
        <item x="305"/>
        <item x="307"/>
        <item x="295"/>
        <item x="339"/>
        <item x="513"/>
        <item x="549"/>
        <item x="473"/>
        <item x="52"/>
        <item x="516"/>
        <item x="527"/>
        <item x="440"/>
        <item x="89"/>
        <item x="544"/>
        <item x="82"/>
        <item x="8"/>
        <item x="736"/>
        <item x="105"/>
        <item x="721"/>
        <item x="292"/>
        <item x="115"/>
        <item x="499"/>
        <item x="366"/>
        <item x="509"/>
        <item x="483"/>
        <item x="428"/>
        <item x="581"/>
        <item x="562"/>
        <item x="22"/>
        <item x="236"/>
        <item x="433"/>
        <item x="497"/>
        <item x="490"/>
        <item x="182"/>
        <item x="14"/>
        <item x="28"/>
        <item x="263"/>
        <item x="448"/>
        <item x="643"/>
        <item x="667"/>
        <item x="692"/>
        <item x="303"/>
        <item x="349"/>
        <item x="4"/>
        <item x="454"/>
        <item x="546"/>
        <item x="32"/>
        <item x="740"/>
        <item x="129"/>
        <item x="698"/>
        <item x="123"/>
        <item x="212"/>
        <item x="504"/>
        <item x="609"/>
        <item x="17"/>
        <item x="227"/>
        <item x="780"/>
        <item x="245"/>
        <item x="100"/>
        <item x="656"/>
        <item x="466"/>
        <item x="741"/>
        <item x="611"/>
        <item x="180"/>
        <item x="381"/>
        <item x="288"/>
        <item x="782"/>
        <item x="785"/>
        <item x="735"/>
        <item x="503"/>
        <item x="470"/>
        <item x="578"/>
        <item x="703"/>
        <item x="707"/>
        <item x="739"/>
        <item x="429"/>
        <item x="556"/>
        <item x="561"/>
        <item x="48"/>
        <item x="200"/>
        <item x="632"/>
        <item x="714"/>
        <item x="749"/>
        <item x="531"/>
        <item x="459"/>
        <item x="464"/>
        <item x="727"/>
        <item x="207"/>
        <item x="770"/>
        <item x="315"/>
        <item x="690"/>
        <item x="214"/>
        <item x="41"/>
        <item x="376"/>
        <item x="378"/>
        <item x="272"/>
        <item x="678"/>
        <item x="572"/>
        <item x="747"/>
        <item x="600"/>
        <item x="658"/>
        <item x="151"/>
        <item x="684"/>
        <item x="177"/>
        <item x="382"/>
        <item x="696"/>
        <item x="765"/>
        <item x="432"/>
        <item x="624"/>
        <item x="559"/>
        <item x="76"/>
        <item x="377"/>
        <item x="588"/>
        <item x="268"/>
        <item x="68"/>
        <item x="121"/>
        <item x="189"/>
        <item x="124"/>
        <item x="65"/>
        <item x="584"/>
        <item x="604"/>
        <item x="563"/>
        <item x="318"/>
        <item x="687"/>
        <item x="415"/>
        <item x="12"/>
        <item x="281"/>
        <item x="140"/>
        <item x="474"/>
        <item x="551"/>
        <item x="107"/>
        <item x="297"/>
        <item x="218"/>
        <item x="485"/>
        <item x="768"/>
        <item x="450"/>
        <item x="387"/>
        <item x="38"/>
        <item x="210"/>
        <item x="298"/>
        <item x="673"/>
        <item x="539"/>
        <item x="775"/>
        <item x="73"/>
        <item x="737"/>
        <item x="144"/>
        <item x="663"/>
        <item x="11"/>
        <item x="651"/>
        <item x="228"/>
        <item x="328"/>
        <item x="64"/>
        <item x="275"/>
        <item x="637"/>
        <item x="97"/>
        <item x="75"/>
        <item x="567"/>
        <item x="512"/>
        <item x="211"/>
        <item x="467"/>
        <item x="537"/>
        <item x="395"/>
        <item x="342"/>
        <item x="30"/>
        <item x="56"/>
        <item x="239"/>
        <item x="354"/>
        <item x="23"/>
        <item x="412"/>
        <item x="631"/>
        <item x="404"/>
        <item x="257"/>
        <item x="71"/>
        <item x="674"/>
        <item x="223"/>
        <item x="184"/>
        <item x="434"/>
        <item x="402"/>
        <item x="743"/>
        <item x="125"/>
        <item x="179"/>
        <item x="575"/>
        <item x="630"/>
        <item x="221"/>
        <item x="704"/>
        <item x="270"/>
        <item x="386"/>
        <item x="99"/>
        <item x="301"/>
        <item x="92"/>
        <item x="90"/>
        <item x="141"/>
        <item x="495"/>
        <item x="325"/>
        <item x="601"/>
        <item x="421"/>
        <item x="36"/>
        <item x="465"/>
        <item x="478"/>
        <item x="278"/>
        <item x="717"/>
        <item x="40"/>
        <item x="520"/>
        <item x="60"/>
        <item x="603"/>
        <item x="606"/>
        <item x="507"/>
        <item x="500"/>
        <item x="642"/>
        <item x="457"/>
        <item x="702"/>
        <item x="408"/>
        <item x="701"/>
        <item x="195"/>
        <item x="185"/>
        <item x="752"/>
        <item x="492"/>
        <item x="536"/>
        <item x="215"/>
        <item x="523"/>
        <item x="276"/>
        <item x="525"/>
        <item x="20"/>
        <item x="104"/>
        <item x="146"/>
        <item x="409"/>
        <item x="418"/>
        <item x="413"/>
        <item x="475"/>
        <item x="226"/>
        <item x="235"/>
        <item x="705"/>
        <item x="204"/>
        <item x="424"/>
        <item x="427"/>
        <item x="689"/>
        <item x="148"/>
        <item x="338"/>
        <item x="375"/>
        <item x="251"/>
        <item x="7"/>
        <item x="373"/>
        <item x="280"/>
        <item x="351"/>
        <item x="633"/>
        <item x="348"/>
        <item x="294"/>
        <item x="138"/>
        <item x="502"/>
        <item x="654"/>
        <item x="249"/>
        <item x="254"/>
        <item x="58"/>
        <item x="715"/>
        <item x="133"/>
        <item x="357"/>
        <item x="677"/>
        <item x="711"/>
        <item x="501"/>
        <item x="220"/>
        <item x="587"/>
        <item x="472"/>
        <item x="750"/>
        <item x="197"/>
        <item x="411"/>
        <item x="102"/>
        <item x="160"/>
        <item x="647"/>
        <item x="665"/>
        <item x="152"/>
        <item x="573"/>
        <item x="461"/>
        <item x="719"/>
        <item x="725"/>
        <item x="327"/>
        <item x="86"/>
        <item x="166"/>
        <item x="593"/>
        <item x="10"/>
        <item x="181"/>
        <item x="422"/>
        <item x="579"/>
        <item x="330"/>
        <item x="589"/>
        <item x="453"/>
        <item x="649"/>
        <item x="243"/>
        <item x="201"/>
        <item x="27"/>
        <item x="612"/>
        <item x="571"/>
        <item x="53"/>
        <item x="772"/>
        <item x="430"/>
        <item x="648"/>
        <item x="686"/>
        <item x="672"/>
        <item x="570"/>
        <item x="555"/>
        <item x="526"/>
        <item x="9"/>
        <item x="304"/>
        <item x="347"/>
        <item x="486"/>
        <item x="259"/>
        <item x="708"/>
        <item x="229"/>
        <item x="660"/>
        <item x="368"/>
        <item x="39"/>
        <item x="335"/>
        <item x="778"/>
        <item x="534"/>
        <item x="498"/>
        <item x="337"/>
        <item x="594"/>
        <item x="762"/>
        <item x="232"/>
        <item x="407"/>
        <item x="401"/>
        <item x="176"/>
        <item x="468"/>
        <item x="392"/>
        <item x="170"/>
        <item x="685"/>
        <item x="209"/>
        <item x="1"/>
        <item x="616"/>
        <item x="410"/>
        <item x="553"/>
        <item x="522"/>
        <item x="54"/>
        <item x="384"/>
        <item x="602"/>
        <item x="730"/>
        <item x="514"/>
        <item x="191"/>
        <item x="380"/>
        <item x="106"/>
        <item x="346"/>
        <item x="394"/>
        <item x="742"/>
        <item x="481"/>
        <item x="237"/>
        <item x="776"/>
        <item x="722"/>
        <item x="282"/>
        <item x="493"/>
        <item x="85"/>
        <item x="253"/>
        <item x="302"/>
        <item x="95"/>
        <item x="538"/>
        <item x="267"/>
        <item x="583"/>
        <item x="87"/>
        <item x="530"/>
        <item x="417"/>
        <item x="203"/>
        <item x="449"/>
        <item x="246"/>
        <item x="219"/>
        <item x="487"/>
        <item x="332"/>
        <item x="437"/>
        <item x="586"/>
        <item x="365"/>
        <item x="769"/>
        <item x="341"/>
        <item x="273"/>
        <item x="371"/>
        <item x="21"/>
        <item x="748"/>
        <item x="510"/>
        <item x="155"/>
        <item x="545"/>
        <item x="680"/>
        <item x="343"/>
        <item x="293"/>
        <item x="324"/>
        <item x="15"/>
        <item x="169"/>
        <item x="462"/>
        <item x="69"/>
        <item x="132"/>
        <item x="558"/>
        <item x="777"/>
        <item x="16"/>
        <item x="13"/>
        <item x="309"/>
        <item x="74"/>
        <item x="569"/>
        <item x="63"/>
        <item x="709"/>
        <item x="761"/>
        <item x="552"/>
        <item x="260"/>
        <item x="316"/>
        <item x="190"/>
        <item x="198"/>
        <item x="234"/>
        <item x="217"/>
        <item x="694"/>
        <item x="323"/>
        <item x="248"/>
        <item x="116"/>
        <item x="5"/>
        <item x="117"/>
        <item x="455"/>
        <item x="157"/>
        <item x="398"/>
        <item x="289"/>
        <item x="718"/>
        <item x="786"/>
        <item x="164"/>
        <item x="59"/>
        <item x="352"/>
        <item x="84"/>
        <item x="738"/>
        <item x="72"/>
        <item x="262"/>
        <item x="745"/>
        <item x="726"/>
        <item x="391"/>
        <item x="242"/>
        <item x="367"/>
        <item x="489"/>
        <item x="425"/>
        <item x="55"/>
        <item x="186"/>
        <item x="697"/>
        <item x="618"/>
        <item x="128"/>
        <item x="37"/>
        <item x="131"/>
        <item x="136"/>
        <item x="529"/>
        <item x="393"/>
        <item x="763"/>
        <item x="334"/>
        <item x="590"/>
        <item x="755"/>
        <item x="441"/>
        <item x="518"/>
        <item x="699"/>
        <item x="442"/>
        <item x="773"/>
        <item x="120"/>
        <item x="447"/>
        <item x="369"/>
        <item x="277"/>
        <item x="458"/>
        <item x="314"/>
        <item x="519"/>
        <item x="266"/>
        <item x="112"/>
        <item x="728"/>
        <item x="592"/>
        <item x="126"/>
        <item x="759"/>
        <item x="94"/>
        <item x="390"/>
        <item x="511"/>
        <item x="506"/>
        <item x="484"/>
        <item x="187"/>
        <item x="548"/>
        <item x="172"/>
        <item x="634"/>
        <item x="47"/>
        <item x="46"/>
        <item x="388"/>
        <item x="161"/>
        <item x="629"/>
        <item x="61"/>
        <item x="456"/>
        <item x="139"/>
        <item x="710"/>
        <item x="766"/>
        <item x="66"/>
        <item x="134"/>
        <item x="286"/>
        <item x="671"/>
        <item x="240"/>
        <item x="88"/>
        <item x="446"/>
        <item x="109"/>
        <item x="547"/>
        <item x="580"/>
        <item x="639"/>
        <item x="163"/>
        <item x="202"/>
        <item x="216"/>
        <item x="668"/>
        <item x="158"/>
        <item x="168"/>
        <item x="299"/>
        <item x="720"/>
        <item x="385"/>
        <item x="91"/>
        <item x="557"/>
        <item x="653"/>
        <item x="628"/>
        <item x="423"/>
        <item x="165"/>
        <item x="517"/>
        <item x="326"/>
        <item x="641"/>
        <item x="471"/>
        <item x="524"/>
        <item x="93"/>
        <item x="540"/>
        <item x="35"/>
        <item x="322"/>
        <item x="744"/>
        <item x="62"/>
        <item x="350"/>
        <item x="356"/>
        <item x="79"/>
        <item x="118"/>
        <item x="438"/>
        <item x="362"/>
        <item x="576"/>
        <item x="135"/>
        <item x="78"/>
        <item x="364"/>
        <item x="306"/>
        <item x="784"/>
        <item x="535"/>
        <item x="666"/>
        <item x="31"/>
        <item x="403"/>
        <item x="532"/>
        <item x="3"/>
        <item x="50"/>
        <item x="333"/>
        <item x="321"/>
        <item x="621"/>
        <item x="193"/>
        <item x="655"/>
        <item x="360"/>
        <item x="439"/>
        <item x="638"/>
        <item x="370"/>
        <item x="311"/>
        <item x="550"/>
        <item x="605"/>
        <item x="110"/>
        <item x="224"/>
        <item x="192"/>
        <item x="271"/>
        <item x="682"/>
        <item x="596"/>
        <item x="238"/>
        <item x="205"/>
        <item x="147"/>
        <item x="49"/>
        <item x="508"/>
        <item x="574"/>
        <item x="451"/>
        <item x="167"/>
        <item x="469"/>
        <item x="57"/>
        <item x="344"/>
        <item x="150"/>
        <item x="420"/>
        <item x="206"/>
        <item x="300"/>
        <item x="657"/>
        <item x="142"/>
        <item x="353"/>
        <item x="635"/>
        <item x="355"/>
        <item x="746"/>
        <item x="44"/>
        <item x="70"/>
        <item x="625"/>
        <item x="213"/>
        <item x="541"/>
        <item x="591"/>
        <item x="258"/>
        <item x="42"/>
        <item x="482"/>
        <item x="416"/>
        <item x="25"/>
        <item x="528"/>
        <item x="435"/>
        <item x="565"/>
        <item x="159"/>
        <item x="463"/>
        <item x="178"/>
        <item x="460"/>
        <item x="241"/>
        <item x="171"/>
        <item x="265"/>
        <item x="564"/>
        <item x="617"/>
        <item x="691"/>
        <item x="290"/>
        <item x="597"/>
        <item x="712"/>
        <item x="340"/>
        <item x="363"/>
        <item x="24"/>
        <item x="729"/>
        <item x="670"/>
        <item x="614"/>
        <item x="247"/>
        <item x="515"/>
        <item x="669"/>
        <item x="582"/>
        <item x="679"/>
        <item x="77"/>
        <item x="664"/>
        <item x="51"/>
        <item x="610"/>
        <item x="779"/>
        <item x="331"/>
        <item x="283"/>
        <item x="414"/>
        <item x="734"/>
        <item x="26"/>
        <item x="505"/>
        <item x="543"/>
        <item x="67"/>
        <item x="208"/>
        <item x="732"/>
        <item x="279"/>
        <item x="285"/>
        <item x="774"/>
        <item x="713"/>
        <item x="661"/>
        <item x="43"/>
        <item x="397"/>
        <item x="771"/>
        <item x="111"/>
        <item x="675"/>
        <item x="751"/>
        <item x="733"/>
        <item x="405"/>
        <item x="6"/>
        <item x="496"/>
        <item x="585"/>
        <item x="533"/>
        <item x="620"/>
        <item x="194"/>
        <item x="114"/>
        <item x="554"/>
        <item x="607"/>
        <item x="174"/>
        <item x="688"/>
        <item x="244"/>
        <item x="230"/>
        <item x="0"/>
        <item x="767"/>
        <item x="80"/>
        <item x="108"/>
        <item x="488"/>
        <item x="521"/>
        <item x="313"/>
        <item x="264"/>
        <item x="676"/>
        <item x="757"/>
        <item x="29"/>
        <item x="480"/>
        <item x="225"/>
        <item x="608"/>
        <item x="358"/>
        <item x="33"/>
        <item x="622"/>
        <item x="19"/>
        <item x="287"/>
        <item x="659"/>
        <item x="476"/>
        <item x="491"/>
        <item x="308"/>
        <item x="623"/>
        <item x="760"/>
        <item x="764"/>
        <item x="598"/>
        <item x="754"/>
        <item x="626"/>
        <item x="34"/>
        <item x="173"/>
        <item x="389"/>
        <item x="81"/>
        <item x="477"/>
        <item x="650"/>
        <item x="636"/>
        <item x="595"/>
        <item x="695"/>
        <item x="400"/>
        <item x="137"/>
        <item x="379"/>
        <item x="317"/>
        <item x="560"/>
        <item x="444"/>
        <item x="269"/>
        <item x="613"/>
        <item x="143"/>
        <item x="452"/>
        <item x="652"/>
        <item x="566"/>
        <item x="731"/>
        <item x="787"/>
        <item x="255"/>
        <item x="284"/>
        <item x="18"/>
        <item x="494"/>
        <item x="310"/>
        <item x="233"/>
        <item x="231"/>
        <item x="783"/>
        <item x="175"/>
        <item x="45"/>
        <item x="319"/>
        <item x="372"/>
        <item x="700"/>
        <item x="383"/>
        <item x="96"/>
        <item x="443"/>
        <item x="145"/>
        <item x="431"/>
        <item x="188"/>
        <item x="723"/>
        <item x="222"/>
        <item x="261"/>
        <item x="361"/>
        <item x="127"/>
        <item x="724"/>
        <item x="645"/>
        <item x="154"/>
        <item x="153"/>
        <item x="162"/>
        <item x="781"/>
        <item x="419"/>
        <item x="122"/>
        <item x="716"/>
        <item x="756"/>
        <item x="2"/>
        <item x="296"/>
        <item x="406"/>
        <item x="399"/>
        <item x="329"/>
        <item x="359"/>
        <item x="577"/>
        <item x="436"/>
        <item x="320"/>
        <item x="156"/>
        <item x="274"/>
        <item x="646"/>
        <item x="336"/>
        <item x="619"/>
        <item x="445"/>
        <item x="196"/>
        <item x="753"/>
        <item x="396"/>
        <item x="662"/>
        <item x="681"/>
        <item x="113"/>
        <item x="640"/>
        <item x="252"/>
        <item x="291"/>
        <item x="149"/>
        <item x="101"/>
        <item x="83"/>
        <item x="374"/>
        <item x="615"/>
        <item x="644"/>
        <item x="312"/>
        <item x="183"/>
        <item x="627"/>
        <item x="345"/>
        <item x="199"/>
        <item x="758"/>
        <item x="98"/>
        <item x="119"/>
        <item x="683"/>
        <item x="426"/>
        <item x="693"/>
        <item x="599"/>
        <item x="568"/>
        <item x="250"/>
        <item x="479"/>
        <item t="default"/>
      </items>
    </pivotField>
    <pivotField showAll="0">
      <items count="6">
        <item x="1"/>
        <item x="2"/>
        <item x="4"/>
        <item x="3"/>
        <item x="0"/>
        <item t="default"/>
      </items>
    </pivotField>
  </pivotFields>
  <rowFields count="2">
    <field x="11"/>
    <field x="10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Ventas" fld="9" baseField="0" baseItem="0" numFmtId="44"/>
  </dataFields>
  <formats count="2">
    <format dxfId="24">
      <pivotArea dataOnly="0" labelOnly="1" outline="0" axis="axisValues" fieldPosition="0"/>
    </format>
    <format dxfId="23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C61EE-34D2-4810-832D-38991FF2E85C}" name="Ventas por pai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 rowHeaderCaption="País">
  <location ref="G6:H12" firstHeaderRow="1" firstDataRow="1" firstDataCol="1"/>
  <pivotFields count="14">
    <pivotField showAll="0"/>
    <pivotField showAll="0"/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44" showAll="0"/>
    <pivotField dataField="1" numFmtId="44" showAll="0"/>
    <pivotField showAll="0">
      <items count="13">
        <item x="5"/>
        <item x="2"/>
        <item x="10"/>
        <item x="11"/>
        <item x="8"/>
        <item x="7"/>
        <item x="3"/>
        <item x="9"/>
        <item x="4"/>
        <item x="6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6">
        <item x="1"/>
        <item x="2"/>
        <item x="4"/>
        <item x="3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entas" fld="9" baseField="0" baseItem="0" numFmtId="44"/>
  </dataFields>
  <formats count="8"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field="3" type="button" dataOnly="0" labelOnly="1" outline="0" axis="axisRow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dataOnly="0" labelOnly="1" grandRow="1" outline="0" fieldPosition="0"/>
    </format>
    <format dxfId="26">
      <pivotArea collapsedLevelsAreSubtotals="1" fieldPosition="0">
        <references count="1">
          <reference field="3" count="1">
            <x v="0"/>
          </reference>
        </references>
      </pivotArea>
    </format>
    <format dxfId="25">
      <pivotArea dataOnly="0" labelOnly="1" fieldPosition="0">
        <references count="1">
          <reference field="3" count="1">
            <x v="0"/>
          </reference>
        </references>
      </pivotArea>
    </format>
  </formats>
  <chartFormats count="2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0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0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C40B2-7D1D-43CE-8F86-02718477ECA3}" name="Ventas por categoria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Categoría">
  <location ref="G21:H27" firstHeaderRow="1" firstDataRow="1" firstDataCol="1"/>
  <pivotFields count="14">
    <pivotField showAll="0"/>
    <pivotField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/>
    <pivotField name="Categoría"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44" showAll="0"/>
    <pivotField dataField="1" numFmtId="44" showAll="0"/>
    <pivotField showAll="0">
      <items count="13">
        <item x="5"/>
        <item x="2"/>
        <item x="10"/>
        <item x="11"/>
        <item x="8"/>
        <item x="7"/>
        <item x="3"/>
        <item x="9"/>
        <item x="4"/>
        <item x="6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6">
        <item x="1"/>
        <item x="2"/>
        <item x="4"/>
        <item x="3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entas" fld="9" baseField="0" baseItem="0" numFmtId="44"/>
  </dataFields>
  <formats count="8">
    <format dxfId="40">
      <pivotArea outline="0" collapsedLevelsAreSubtotals="1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field="5" type="button" dataOnly="0" labelOnly="1" outline="0" axis="axisRow" fieldPosition="0"/>
    </format>
    <format dxfId="36">
      <pivotArea dataOnly="0" labelOnly="1" fieldPosition="0">
        <references count="1">
          <reference field="5" count="0"/>
        </references>
      </pivotArea>
    </format>
    <format dxfId="35">
      <pivotArea dataOnly="0" labelOnly="1" grandRow="1" outline="0" fieldPosition="0"/>
    </format>
    <format dxfId="34">
      <pivotArea collapsedLevelsAreSubtotals="1" fieldPosition="0">
        <references count="1">
          <reference field="5" count="1">
            <x v="1"/>
          </reference>
        </references>
      </pivotArea>
    </format>
    <format dxfId="33">
      <pivotArea dataOnly="0" labelOnly="1" fieldPosition="0">
        <references count="1">
          <reference field="5" count="1">
            <x v="1"/>
          </reference>
        </references>
      </pivotArea>
    </format>
  </formats>
  <chartFormats count="1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549A6-585D-4DBF-8385-4865D6C56AEC}" name="TablaDiná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bre de producto">
  <location ref="M55:O6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25">
        <item x="1"/>
        <item x="16"/>
        <item x="5"/>
        <item x="4"/>
        <item x="14"/>
        <item x="2"/>
        <item x="0"/>
        <item x="19"/>
        <item x="3"/>
        <item x="22"/>
        <item x="11"/>
        <item x="7"/>
        <item x="23"/>
        <item x="12"/>
        <item x="6"/>
        <item x="18"/>
        <item x="21"/>
        <item x="9"/>
        <item x="13"/>
        <item x="8"/>
        <item x="17"/>
        <item x="20"/>
        <item x="10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dataField="1" numFmtId="44" showAll="0"/>
    <pivotField showAll="0"/>
    <pivotField showAll="0"/>
    <pivotField showAll="0"/>
    <pivotField showAll="0"/>
  </pivotFields>
  <rowFields count="1">
    <field x="6"/>
  </rowFields>
  <rowItems count="13">
    <i>
      <x v="1"/>
    </i>
    <i>
      <x v="15"/>
    </i>
    <i>
      <x v="3"/>
    </i>
    <i>
      <x v="13"/>
    </i>
    <i>
      <x/>
    </i>
    <i>
      <x v="8"/>
    </i>
    <i>
      <x v="11"/>
    </i>
    <i>
      <x v="5"/>
    </i>
    <i>
      <x v="18"/>
    </i>
    <i>
      <x v="2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de productos" fld="6" subtotal="count" baseField="0" baseItem="0"/>
    <dataField name="Ventas por producto" fld="9" baseField="0" baseItem="0"/>
  </dataFields>
  <formats count="1">
    <format dxfId="2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Medium6" showRowHeaders="1" showColHeaders="1" showRowStripes="0" showColStripes="0" showLastColumn="1"/>
  <filters count="1">
    <filter fld="6" type="count" evalOrder="-1" id="1" iMeasureFld="0">
      <autoFilter ref="A1">
        <filterColumn colId="0">
          <top10 top="0" val="12" filterVal="1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73C24-37D6-48C0-BC49-B19889A026BA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bre de producto">
  <location ref="G55:I6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25">
        <item x="1"/>
        <item x="16"/>
        <item x="5"/>
        <item x="4"/>
        <item x="14"/>
        <item x="2"/>
        <item x="0"/>
        <item x="19"/>
        <item x="3"/>
        <item x="22"/>
        <item x="11"/>
        <item x="7"/>
        <item x="23"/>
        <item x="12"/>
        <item x="6"/>
        <item x="18"/>
        <item x="21"/>
        <item x="9"/>
        <item x="13"/>
        <item x="8"/>
        <item x="17"/>
        <item x="20"/>
        <item x="10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dataField="1" numFmtId="44" showAll="0"/>
    <pivotField showAll="0"/>
    <pivotField showAll="0"/>
    <pivotField showAll="0"/>
    <pivotField showAll="0"/>
  </pivotFields>
  <rowFields count="1">
    <field x="6"/>
  </rowFields>
  <rowItems count="13">
    <i>
      <x v="23"/>
    </i>
    <i>
      <x v="20"/>
    </i>
    <i>
      <x v="4"/>
    </i>
    <i>
      <x v="9"/>
    </i>
    <i>
      <x v="22"/>
    </i>
    <i>
      <x v="14"/>
    </i>
    <i>
      <x v="19"/>
    </i>
    <i>
      <x v="6"/>
    </i>
    <i>
      <x v="7"/>
    </i>
    <i>
      <x v="16"/>
    </i>
    <i>
      <x v="21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de productos" fld="6" subtotal="count" baseField="0" baseItem="0"/>
    <dataField name="Ventas por producto" fld="9" baseField="0" baseItem="0"/>
  </dataFields>
  <formats count="1">
    <format dxfId="3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Medium5" showRowHeaders="1" showColHeaders="1" showRowStripes="0" showColStripes="0" showLastColumn="1"/>
  <filters count="1">
    <filter fld="6" type="count" evalOrder="-1" id="1" iMeasureFld="0">
      <autoFilter ref="A1">
        <filterColumn colId="0">
          <top10 val="12" filterVal="1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4A7C9BDB-57F6-461C-9AF7-30BD163B50A9}" sourceName="Country">
  <pivotTables>
    <pivotTable tabId="5" name="Ventas por pais"/>
    <pivotTable tabId="2" name="Estado del pedido"/>
    <pivotTable tabId="2" name="Evolución de ventas"/>
    <pivotTable tabId="2" name="Ventas por categoria"/>
    <pivotTable tabId="2" name="Ventas por mes"/>
    <pivotTable tabId="2" name="Ventas por pais"/>
    <pivotTable tabId="5" name="Estado del pedido"/>
    <pivotTable tabId="5" name="Evolución de ventas"/>
    <pivotTable tabId="5" name="Ventas por categoria"/>
    <pivotTable tabId="5" name="Ventas por mes"/>
  </pivotTables>
  <data>
    <tabular pivotCacheId="2014842638">
      <items count="5">
        <i x="1" s="1"/>
        <i x="0" s="1"/>
        <i x="4" s="1"/>
        <i x="3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Category" xr10:uid="{E208B5D3-64F7-4A04-8F33-B7B1E30816FD}" sourceName="ProductCategory">
  <pivotTables>
    <pivotTable tabId="5" name="Ventas por categoria"/>
    <pivotTable tabId="2" name="Estado del pedido"/>
    <pivotTable tabId="2" name="Evolución de ventas"/>
    <pivotTable tabId="2" name="Ventas por categoria"/>
    <pivotTable tabId="2" name="Ventas por mes"/>
    <pivotTable tabId="2" name="Ventas por pais"/>
    <pivotTable tabId="5" name="Estado del pedido"/>
    <pivotTable tabId="5" name="Evolución de ventas"/>
    <pivotTable tabId="5" name="Ventas por mes"/>
    <pivotTable tabId="5" name="Ventas por pais"/>
  </pivotTables>
  <data>
    <tabular pivotCacheId="2014842638">
      <items count="5">
        <i x="3" s="1"/>
        <i x="0" s="1"/>
        <i x="1" s="1"/>
        <i x="4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CD9F6EBF-76D4-4E27-BCAB-F1219BA56510}" sourceName="Mes">
  <pivotTables>
    <pivotTable tabId="5" name="Ventas por mes"/>
    <pivotTable tabId="2" name="Estado del pedido"/>
    <pivotTable tabId="2" name="Evolución de ventas"/>
    <pivotTable tabId="2" name="Ventas por categoria"/>
    <pivotTable tabId="2" name="Ventas por mes"/>
    <pivotTable tabId="2" name="Ventas por pais"/>
    <pivotTable tabId="5" name="Estado del pedido"/>
    <pivotTable tabId="5" name="Evolución de ventas"/>
    <pivotTable tabId="5" name="Ventas por categoria"/>
    <pivotTable tabId="5" name="Ventas por pais"/>
  </pivotTables>
  <data>
    <tabular pivotCacheId="2014842638">
      <items count="12">
        <i x="5" s="1"/>
        <i x="2" s="1"/>
        <i x="10" s="1"/>
        <i x="11" s="1"/>
        <i x="8" s="1"/>
        <i x="7" s="1"/>
        <i x="3" s="1"/>
        <i x="9" s="1"/>
        <i x="4" s="1"/>
        <i x="6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54B748A7-5A44-4B85-96FA-896B3C0FBE54}" sourceName="Año">
  <pivotTables>
    <pivotTable tabId="5" name="Ventas por mes"/>
    <pivotTable tabId="2" name="Estado del pedido"/>
    <pivotTable tabId="2" name="Evolución de ventas"/>
    <pivotTable tabId="2" name="Ventas por categoria"/>
    <pivotTable tabId="2" name="Ventas por mes"/>
    <pivotTable tabId="2" name="Ventas por pais"/>
    <pivotTable tabId="5" name="Estado del pedido"/>
    <pivotTable tabId="5" name="Evolución de ventas"/>
    <pivotTable tabId="5" name="Ventas por categoria"/>
    <pivotTable tabId="5" name="Ventas por pais"/>
  </pivotTables>
  <data>
    <tabular pivotCacheId="2014842638">
      <items count="3">
        <i x="1" s="1"/>
        <i x="0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Status" xr10:uid="{37997251-644B-4B45-93B6-3B806873A95B}" sourceName="OrderStatus">
  <pivotTables>
    <pivotTable tabId="5" name="Estado del pedido"/>
    <pivotTable tabId="2" name="Estado del pedido"/>
    <pivotTable tabId="2" name="Evolución de ventas"/>
    <pivotTable tabId="2" name="Ventas por categoria"/>
    <pivotTable tabId="2" name="Ventas por mes"/>
    <pivotTable tabId="2" name="Ventas por pais"/>
    <pivotTable tabId="5" name="Evolución de ventas"/>
    <pivotTable tabId="5" name="Ventas por categoria"/>
    <pivotTable tabId="5" name="Ventas por mes"/>
    <pivotTable tabId="5" name="Ventas por pais"/>
  </pivotTables>
  <data>
    <tabular pivotCacheId="2014842638">
      <items count="5">
        <i x="1" s="1"/>
        <i x="2" s="1"/>
        <i x="4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7CD67F8F-E95B-4BFB-A051-B10C81F751C8}" cache="SegmentaciónDeDatos_Country" caption="Country" rowHeight="241300"/>
  <slicer name="Categoría" xr10:uid="{ED79F6C1-23E0-4D40-92B4-1E1AAB4EE2F4}" cache="SegmentaciónDeDatos_ProductCategory" caption="Categoría" rowHeight="241300"/>
  <slicer name="Mes" xr10:uid="{4AF481FF-DB3A-49EE-BD8D-D83350CD11E5}" cache="SegmentaciónDeDatos_Mes" caption="Mes" columnCount="2" rowHeight="241300"/>
  <slicer name="Mes 2" xr10:uid="{2A2DFAA7-E318-4F7E-B0E1-FBA5B04E2AB3}" cache="SegmentaciónDeDatos_Mes" caption="Mes" rowHeight="241300"/>
  <slicer name="Año" xr10:uid="{40E6B71D-D83E-4077-A6E1-6274E5855549}" cache="SegmentaciónDeDatos_Año" caption="Año" rowHeight="241300"/>
  <slicer name="Año 2" xr10:uid="{5D6C5B01-5949-4B0C-AC99-A05B5CD6812E}" cache="SegmentaciónDeDatos_Año" caption="Fecha" rowHeight="241300"/>
  <slicer name="Estado del pedido" xr10:uid="{5A068AA8-7A87-4210-94B3-65614D3EA018}" cache="SegmentaciónDeDatos_OrderStatus" caption="Estado del pedid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1" xr10:uid="{2C7E27A9-275D-4F92-A725-16BCFA3F79DC}" cache="SegmentaciónDeDatos_Country" caption="País" columnCount="2" rowHeight="241300"/>
  <slicer name="Categoría 1" xr10:uid="{32BE6510-3023-447D-8365-7CFB06B5A723}" cache="SegmentaciónDeDatos_ProductCategory" caption="Categoría" columnCount="2" rowHeight="241300"/>
  <slicer name="Mes 1" xr10:uid="{14945AD4-F445-4C18-B086-B4AB219986AE}" cache="SegmentaciónDeDatos_Mes" caption="Mes" columnCount="2" rowHeight="241300"/>
  <slicer name="Mes 3" xr10:uid="{9EC5D79F-DDC7-45B0-92B9-11C5602B3431}" cache="SegmentaciónDeDatos_Mes" caption="Mes" columnCount="2" rowHeight="241300"/>
  <slicer name="Año 1" xr10:uid="{AEEAAB1C-397D-4EFD-A858-145CD76DA728}" cache="SegmentaciónDeDatos_Año" caption="Año" rowHeight="241300"/>
  <slicer name="Año 3" xr10:uid="{FB431894-F52F-42B6-B36E-D2457B15BF74}" cache="SegmentaciónDeDatos_Año" caption="Año" rowHeight="241300"/>
  <slicer name="Estado del pedido 1" xr10:uid="{4342CB85-9472-42B9-899C-6E5E3C8ACD53}" cache="SegmentaciónDeDatos_OrderStatus" caption="Estado del pedid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4732DE-C960-4A73-B731-6ADAAACAA10D}" name="Tabla2" displayName="Tabla2" ref="A1:N2501" totalsRowShown="0" headerRowDxfId="89" dataDxfId="88">
  <autoFilter ref="A1:N2501" xr:uid="{424732DE-C960-4A73-B731-6ADAAACAA10D}"/>
  <tableColumns count="14">
    <tableColumn id="1" xr3:uid="{01385EE4-7EBD-4723-A7B3-02F75FBA4AA0}" name="OrderID" dataDxfId="87"/>
    <tableColumn id="2" xr3:uid="{67A2BD67-7F43-4F15-AADE-8D4F170ACE3C}" name="CustomerName" dataDxfId="86"/>
    <tableColumn id="3" xr3:uid="{AB301EE3-1AF2-498D-9BDE-75E59AD2E765}" name="Email" dataDxfId="85"/>
    <tableColumn id="4" xr3:uid="{E0F3EDB9-713F-4210-A0A6-89EAB1252B90}" name="Country" dataDxfId="84"/>
    <tableColumn id="5" xr3:uid="{5FDAD920-CA9A-42C1-BD73-1E5032C28F42}" name="City" dataDxfId="83"/>
    <tableColumn id="6" xr3:uid="{73957A22-DBEC-4737-958F-30CB1A631B38}" name="ProductCategory" dataDxfId="82"/>
    <tableColumn id="7" xr3:uid="{FE4FC857-1DD3-4D77-8F1D-61318F1B4888}" name="ProductName" dataDxfId="81"/>
    <tableColumn id="8" xr3:uid="{477223CF-BD42-495E-BF7D-2072FE9A1E23}" name="Quantity" dataDxfId="80"/>
    <tableColumn id="9" xr3:uid="{4F62DB6A-3B80-4C82-AD0A-AEBDE85E5443}" name="UnitPrice" dataDxfId="79" dataCellStyle="Moneda"/>
    <tableColumn id="13" xr3:uid="{C3F794EB-C4BB-48EB-8219-7C08C6BC09A0}" name="Total price" dataDxfId="78" dataCellStyle="Moneda">
      <calculatedColumnFormula>Tabla2[[#This Row],[Quantity]]*I2</calculatedColumnFormula>
    </tableColumn>
    <tableColumn id="15" xr3:uid="{D0EDB666-3150-4918-ACAA-5B222A7012F3}" name="Mes" dataDxfId="77" dataCellStyle="Moneda">
      <calculatedColumnFormula>MONTH(Tabla2[[#This Row],[OrderDate]])</calculatedColumnFormula>
    </tableColumn>
    <tableColumn id="14" xr3:uid="{DF4E1CF9-4665-42F9-BBCD-49C0A205F74F}" name="Año" dataDxfId="76" dataCellStyle="Moneda">
      <calculatedColumnFormula>YEAR(Tabla2[[#This Row],[OrderDate]])</calculatedColumnFormula>
    </tableColumn>
    <tableColumn id="11" xr3:uid="{2A6DCE30-8B8F-4A1D-9952-4D196108019D}" name="OrderDate" dataDxfId="75"/>
    <tableColumn id="12" xr3:uid="{ED0E3664-D375-43E6-BB8B-7510AA96D7FD}" name="OrderStatus" dataDxfId="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10" Type="http://schemas.microsoft.com/office/2007/relationships/slicer" Target="../slicers/slicer1.xml"/><Relationship Id="rId4" Type="http://schemas.openxmlformats.org/officeDocument/2006/relationships/pivotTable" Target="../pivotTables/pivotTable10.xml"/><Relationship Id="rId9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5" Type="http://schemas.microsoft.com/office/2007/relationships/slicer" Target="../slicers/slicer2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BC5A-6AC0-4EA5-B471-58691C2429A2}">
  <sheetPr codeName="Hoja1"/>
  <dimension ref="A1:L2501"/>
  <sheetViews>
    <sheetView workbookViewId="0"/>
  </sheetViews>
  <sheetFormatPr baseColWidth="10" defaultColWidth="8.72656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3886</v>
      </c>
      <c r="K1" t="s">
        <v>9</v>
      </c>
      <c r="L1" t="s">
        <v>10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</v>
      </c>
      <c r="I2">
        <v>1218.21</v>
      </c>
      <c r="J2">
        <v>2436.42</v>
      </c>
      <c r="K2" t="s">
        <v>18</v>
      </c>
      <c r="L2" t="s">
        <v>19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1208.83</v>
      </c>
      <c r="J3">
        <v>1208.83</v>
      </c>
      <c r="K3" t="s">
        <v>27</v>
      </c>
      <c r="L3" t="s">
        <v>28</v>
      </c>
    </row>
    <row r="4" spans="1:12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25</v>
      </c>
      <c r="G4" t="s">
        <v>34</v>
      </c>
      <c r="H4">
        <v>4</v>
      </c>
      <c r="I4">
        <v>447.32</v>
      </c>
      <c r="J4">
        <v>1789.28</v>
      </c>
      <c r="K4" t="s">
        <v>35</v>
      </c>
      <c r="L4" t="s">
        <v>36</v>
      </c>
    </row>
    <row r="5" spans="1:12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1</v>
      </c>
      <c r="I5">
        <v>1499.74</v>
      </c>
      <c r="J5">
        <v>1499.74</v>
      </c>
      <c r="K5" t="s">
        <v>44</v>
      </c>
      <c r="L5" t="s">
        <v>45</v>
      </c>
    </row>
    <row r="6" spans="1:12" x14ac:dyDescent="0.35">
      <c r="A6" t="s">
        <v>46</v>
      </c>
      <c r="B6" t="s">
        <v>47</v>
      </c>
      <c r="C6" t="s">
        <v>48</v>
      </c>
      <c r="D6" t="s">
        <v>23</v>
      </c>
      <c r="E6" t="s">
        <v>49</v>
      </c>
      <c r="F6" t="s">
        <v>50</v>
      </c>
      <c r="G6" t="s">
        <v>51</v>
      </c>
      <c r="H6">
        <v>2</v>
      </c>
      <c r="I6">
        <v>1394.85</v>
      </c>
      <c r="J6">
        <v>2789.7</v>
      </c>
      <c r="K6" t="s">
        <v>52</v>
      </c>
      <c r="L6" t="s">
        <v>19</v>
      </c>
    </row>
    <row r="7" spans="1:12" x14ac:dyDescent="0.35">
      <c r="A7" t="s">
        <v>53</v>
      </c>
      <c r="B7" t="s">
        <v>54</v>
      </c>
      <c r="C7" t="s">
        <v>55</v>
      </c>
      <c r="D7" t="s">
        <v>32</v>
      </c>
      <c r="E7" t="s">
        <v>33</v>
      </c>
      <c r="F7" t="s">
        <v>50</v>
      </c>
      <c r="G7" t="s">
        <v>56</v>
      </c>
      <c r="H7">
        <v>4</v>
      </c>
      <c r="I7">
        <v>882.18</v>
      </c>
      <c r="J7">
        <v>3528.72</v>
      </c>
      <c r="K7" t="s">
        <v>57</v>
      </c>
      <c r="L7" t="s">
        <v>28</v>
      </c>
    </row>
    <row r="8" spans="1:12" x14ac:dyDescent="0.35">
      <c r="A8" t="s">
        <v>58</v>
      </c>
      <c r="B8" t="s">
        <v>59</v>
      </c>
      <c r="C8" t="s">
        <v>60</v>
      </c>
      <c r="D8" t="s">
        <v>32</v>
      </c>
      <c r="E8" t="s">
        <v>61</v>
      </c>
      <c r="F8" t="s">
        <v>25</v>
      </c>
      <c r="G8" t="s">
        <v>62</v>
      </c>
      <c r="H8">
        <v>4</v>
      </c>
      <c r="I8">
        <v>1374.2</v>
      </c>
      <c r="J8">
        <v>5496.8</v>
      </c>
      <c r="K8" t="s">
        <v>63</v>
      </c>
      <c r="L8" t="s">
        <v>36</v>
      </c>
    </row>
    <row r="9" spans="1:12" x14ac:dyDescent="0.3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50</v>
      </c>
      <c r="G9" t="s">
        <v>69</v>
      </c>
      <c r="H9">
        <v>4</v>
      </c>
      <c r="I9">
        <v>181.01</v>
      </c>
      <c r="J9">
        <v>724.04</v>
      </c>
      <c r="K9" t="s">
        <v>70</v>
      </c>
      <c r="L9" t="s">
        <v>19</v>
      </c>
    </row>
    <row r="10" spans="1:12" x14ac:dyDescent="0.35">
      <c r="A10" t="s">
        <v>71</v>
      </c>
      <c r="B10" t="s">
        <v>72</v>
      </c>
      <c r="C10" t="s">
        <v>73</v>
      </c>
      <c r="D10" t="s">
        <v>23</v>
      </c>
      <c r="E10" t="s">
        <v>49</v>
      </c>
      <c r="F10" t="s">
        <v>25</v>
      </c>
      <c r="G10" t="s">
        <v>74</v>
      </c>
      <c r="H10">
        <v>1</v>
      </c>
      <c r="I10">
        <v>494.54</v>
      </c>
      <c r="J10">
        <v>494.54</v>
      </c>
      <c r="K10" t="s">
        <v>75</v>
      </c>
      <c r="L10" t="s">
        <v>45</v>
      </c>
    </row>
    <row r="11" spans="1:12" x14ac:dyDescent="0.35">
      <c r="A11" t="s">
        <v>76</v>
      </c>
      <c r="B11" t="s">
        <v>77</v>
      </c>
      <c r="C11" t="s">
        <v>78</v>
      </c>
      <c r="D11" t="s">
        <v>40</v>
      </c>
      <c r="E11" t="s">
        <v>79</v>
      </c>
      <c r="F11" t="s">
        <v>42</v>
      </c>
      <c r="G11" t="s">
        <v>80</v>
      </c>
      <c r="H11">
        <v>2</v>
      </c>
      <c r="I11">
        <v>994.81</v>
      </c>
      <c r="J11">
        <v>1989.62</v>
      </c>
      <c r="K11" t="s">
        <v>81</v>
      </c>
      <c r="L11" t="s">
        <v>36</v>
      </c>
    </row>
    <row r="12" spans="1:12" x14ac:dyDescent="0.35">
      <c r="A12" t="s">
        <v>82</v>
      </c>
      <c r="B12" t="s">
        <v>83</v>
      </c>
      <c r="C12" t="s">
        <v>84</v>
      </c>
      <c r="D12" t="s">
        <v>40</v>
      </c>
      <c r="E12" t="s">
        <v>41</v>
      </c>
      <c r="F12" t="s">
        <v>25</v>
      </c>
      <c r="G12" t="s">
        <v>34</v>
      </c>
      <c r="H12">
        <v>5</v>
      </c>
      <c r="I12">
        <v>663.8</v>
      </c>
      <c r="J12">
        <v>3319</v>
      </c>
      <c r="K12" t="s">
        <v>85</v>
      </c>
      <c r="L12" t="s">
        <v>28</v>
      </c>
    </row>
    <row r="13" spans="1:12" x14ac:dyDescent="0.35">
      <c r="A13" t="s">
        <v>86</v>
      </c>
      <c r="B13" t="s">
        <v>87</v>
      </c>
      <c r="C13" t="s">
        <v>88</v>
      </c>
      <c r="D13" t="s">
        <v>32</v>
      </c>
      <c r="E13" t="s">
        <v>61</v>
      </c>
      <c r="F13" t="s">
        <v>42</v>
      </c>
      <c r="G13" t="s">
        <v>89</v>
      </c>
      <c r="H13">
        <v>3</v>
      </c>
      <c r="I13">
        <v>451.42</v>
      </c>
      <c r="J13">
        <v>1354.26</v>
      </c>
      <c r="K13" t="s">
        <v>90</v>
      </c>
      <c r="L13" t="s">
        <v>91</v>
      </c>
    </row>
    <row r="14" spans="1:12" x14ac:dyDescent="0.35">
      <c r="A14" t="s">
        <v>92</v>
      </c>
      <c r="B14" t="s">
        <v>93</v>
      </c>
      <c r="C14" t="s">
        <v>94</v>
      </c>
      <c r="D14" t="s">
        <v>14</v>
      </c>
      <c r="E14" t="s">
        <v>95</v>
      </c>
      <c r="F14" t="s">
        <v>16</v>
      </c>
      <c r="G14" t="s">
        <v>17</v>
      </c>
      <c r="H14">
        <v>3</v>
      </c>
      <c r="I14">
        <v>413.31</v>
      </c>
      <c r="J14">
        <v>1239.93</v>
      </c>
      <c r="K14" t="s">
        <v>96</v>
      </c>
      <c r="L14" t="s">
        <v>91</v>
      </c>
    </row>
    <row r="15" spans="1:12" x14ac:dyDescent="0.35">
      <c r="A15" t="s">
        <v>97</v>
      </c>
      <c r="B15" t="s">
        <v>98</v>
      </c>
      <c r="C15" t="s">
        <v>99</v>
      </c>
      <c r="D15" t="s">
        <v>14</v>
      </c>
      <c r="E15" t="s">
        <v>100</v>
      </c>
      <c r="F15" t="s">
        <v>101</v>
      </c>
      <c r="G15" t="s">
        <v>102</v>
      </c>
      <c r="H15">
        <v>3</v>
      </c>
      <c r="I15">
        <v>1454.38</v>
      </c>
      <c r="J15">
        <v>4363.1400000000003</v>
      </c>
      <c r="K15" t="s">
        <v>103</v>
      </c>
      <c r="L15" t="s">
        <v>36</v>
      </c>
    </row>
    <row r="16" spans="1:12" x14ac:dyDescent="0.35">
      <c r="A16" t="s">
        <v>104</v>
      </c>
      <c r="B16" t="s">
        <v>105</v>
      </c>
      <c r="C16" t="s">
        <v>106</v>
      </c>
      <c r="D16" t="s">
        <v>14</v>
      </c>
      <c r="E16" t="s">
        <v>100</v>
      </c>
      <c r="F16" t="s">
        <v>25</v>
      </c>
      <c r="G16" t="s">
        <v>62</v>
      </c>
      <c r="H16">
        <v>2</v>
      </c>
      <c r="I16">
        <v>390.62</v>
      </c>
      <c r="J16">
        <v>781.24</v>
      </c>
      <c r="K16" t="s">
        <v>107</v>
      </c>
      <c r="L16" t="s">
        <v>19</v>
      </c>
    </row>
    <row r="17" spans="1:12" x14ac:dyDescent="0.35">
      <c r="A17" t="s">
        <v>108</v>
      </c>
      <c r="B17" t="s">
        <v>109</v>
      </c>
      <c r="C17" t="s">
        <v>110</v>
      </c>
      <c r="D17" t="s">
        <v>23</v>
      </c>
      <c r="E17" t="s">
        <v>49</v>
      </c>
      <c r="F17" t="s">
        <v>42</v>
      </c>
      <c r="G17" t="s">
        <v>80</v>
      </c>
      <c r="H17">
        <v>4</v>
      </c>
      <c r="I17">
        <v>993.68</v>
      </c>
      <c r="J17">
        <v>3974.72</v>
      </c>
      <c r="K17" t="s">
        <v>111</v>
      </c>
      <c r="L17" t="s">
        <v>36</v>
      </c>
    </row>
    <row r="18" spans="1:12" x14ac:dyDescent="0.35">
      <c r="A18" t="s">
        <v>112</v>
      </c>
      <c r="B18" t="s">
        <v>113</v>
      </c>
      <c r="C18" t="s">
        <v>114</v>
      </c>
      <c r="D18" t="s">
        <v>67</v>
      </c>
      <c r="E18" t="s">
        <v>115</v>
      </c>
      <c r="F18" t="s">
        <v>16</v>
      </c>
      <c r="G18" t="s">
        <v>17</v>
      </c>
      <c r="H18">
        <v>3</v>
      </c>
      <c r="I18">
        <v>585.51</v>
      </c>
      <c r="J18">
        <v>1756.53</v>
      </c>
      <c r="K18" t="s">
        <v>116</v>
      </c>
      <c r="L18" t="s">
        <v>36</v>
      </c>
    </row>
    <row r="19" spans="1:12" x14ac:dyDescent="0.35">
      <c r="A19" t="s">
        <v>117</v>
      </c>
      <c r="B19" t="s">
        <v>118</v>
      </c>
      <c r="C19" t="s">
        <v>119</v>
      </c>
      <c r="D19" t="s">
        <v>40</v>
      </c>
      <c r="E19" t="s">
        <v>120</v>
      </c>
      <c r="F19" t="s">
        <v>25</v>
      </c>
      <c r="G19" t="s">
        <v>34</v>
      </c>
      <c r="H19">
        <v>5</v>
      </c>
      <c r="I19">
        <v>159.43</v>
      </c>
      <c r="J19">
        <v>797.15</v>
      </c>
      <c r="K19" t="s">
        <v>121</v>
      </c>
      <c r="L19" t="s">
        <v>91</v>
      </c>
    </row>
    <row r="20" spans="1:12" x14ac:dyDescent="0.35">
      <c r="A20" t="s">
        <v>122</v>
      </c>
      <c r="B20" t="s">
        <v>123</v>
      </c>
      <c r="C20" t="s">
        <v>124</v>
      </c>
      <c r="D20" t="s">
        <v>14</v>
      </c>
      <c r="E20" t="s">
        <v>125</v>
      </c>
      <c r="F20" t="s">
        <v>42</v>
      </c>
      <c r="G20" t="s">
        <v>80</v>
      </c>
      <c r="H20">
        <v>1</v>
      </c>
      <c r="I20">
        <v>809.41</v>
      </c>
      <c r="J20">
        <v>809.41</v>
      </c>
      <c r="K20" t="s">
        <v>126</v>
      </c>
      <c r="L20" t="s">
        <v>36</v>
      </c>
    </row>
    <row r="21" spans="1:12" x14ac:dyDescent="0.35">
      <c r="A21" t="s">
        <v>127</v>
      </c>
      <c r="B21" t="s">
        <v>128</v>
      </c>
      <c r="C21" t="s">
        <v>129</v>
      </c>
      <c r="D21" t="s">
        <v>67</v>
      </c>
      <c r="E21" t="s">
        <v>130</v>
      </c>
      <c r="F21" t="s">
        <v>25</v>
      </c>
      <c r="G21" t="s">
        <v>62</v>
      </c>
      <c r="H21">
        <v>4</v>
      </c>
      <c r="I21">
        <v>1454.96</v>
      </c>
      <c r="J21">
        <v>5819.84</v>
      </c>
      <c r="K21" t="s">
        <v>131</v>
      </c>
      <c r="L21" t="s">
        <v>19</v>
      </c>
    </row>
    <row r="22" spans="1:12" x14ac:dyDescent="0.35">
      <c r="A22" t="s">
        <v>132</v>
      </c>
      <c r="B22" t="s">
        <v>133</v>
      </c>
      <c r="C22" t="s">
        <v>134</v>
      </c>
      <c r="D22" t="s">
        <v>23</v>
      </c>
      <c r="E22" t="s">
        <v>49</v>
      </c>
      <c r="F22" t="s">
        <v>42</v>
      </c>
      <c r="G22" t="s">
        <v>89</v>
      </c>
      <c r="H22">
        <v>2</v>
      </c>
      <c r="I22">
        <v>784</v>
      </c>
      <c r="J22">
        <v>1568</v>
      </c>
      <c r="K22" t="s">
        <v>135</v>
      </c>
      <c r="L22" t="s">
        <v>36</v>
      </c>
    </row>
    <row r="23" spans="1:12" x14ac:dyDescent="0.35">
      <c r="A23" t="s">
        <v>136</v>
      </c>
      <c r="B23" t="s">
        <v>137</v>
      </c>
      <c r="C23" t="s">
        <v>138</v>
      </c>
      <c r="D23" t="s">
        <v>32</v>
      </c>
      <c r="E23" t="s">
        <v>33</v>
      </c>
      <c r="F23" t="s">
        <v>25</v>
      </c>
      <c r="G23" t="s">
        <v>139</v>
      </c>
      <c r="H23">
        <v>2</v>
      </c>
      <c r="I23">
        <v>187.52</v>
      </c>
      <c r="J23">
        <v>375.04</v>
      </c>
      <c r="K23" t="s">
        <v>140</v>
      </c>
      <c r="L23" t="s">
        <v>45</v>
      </c>
    </row>
    <row r="24" spans="1:12" x14ac:dyDescent="0.35">
      <c r="A24" t="s">
        <v>141</v>
      </c>
      <c r="B24" t="s">
        <v>142</v>
      </c>
      <c r="C24" t="s">
        <v>143</v>
      </c>
      <c r="D24" t="s">
        <v>14</v>
      </c>
      <c r="E24" t="s">
        <v>15</v>
      </c>
      <c r="F24" t="s">
        <v>42</v>
      </c>
      <c r="G24" t="s">
        <v>43</v>
      </c>
      <c r="H24">
        <v>5</v>
      </c>
      <c r="I24">
        <v>673.27</v>
      </c>
      <c r="J24">
        <v>3366.35</v>
      </c>
      <c r="K24" t="s">
        <v>144</v>
      </c>
      <c r="L24" t="s">
        <v>45</v>
      </c>
    </row>
    <row r="25" spans="1:12" x14ac:dyDescent="0.35">
      <c r="A25" t="s">
        <v>145</v>
      </c>
      <c r="B25" t="s">
        <v>146</v>
      </c>
      <c r="C25" t="s">
        <v>147</v>
      </c>
      <c r="D25" t="s">
        <v>40</v>
      </c>
      <c r="E25" t="s">
        <v>120</v>
      </c>
      <c r="F25" t="s">
        <v>16</v>
      </c>
      <c r="G25" t="s">
        <v>148</v>
      </c>
      <c r="H25">
        <v>5</v>
      </c>
      <c r="I25">
        <v>931.88</v>
      </c>
      <c r="J25">
        <v>4659.3999999999996</v>
      </c>
      <c r="K25" t="s">
        <v>149</v>
      </c>
      <c r="L25" t="s">
        <v>91</v>
      </c>
    </row>
    <row r="26" spans="1:12" x14ac:dyDescent="0.35">
      <c r="A26" t="s">
        <v>150</v>
      </c>
      <c r="B26" t="s">
        <v>151</v>
      </c>
      <c r="C26" t="s">
        <v>152</v>
      </c>
      <c r="D26" t="s">
        <v>32</v>
      </c>
      <c r="E26" t="s">
        <v>61</v>
      </c>
      <c r="F26" t="s">
        <v>42</v>
      </c>
      <c r="G26" t="s">
        <v>80</v>
      </c>
      <c r="H26">
        <v>4</v>
      </c>
      <c r="I26">
        <v>579.27</v>
      </c>
      <c r="J26">
        <v>2317.08</v>
      </c>
      <c r="K26" t="s">
        <v>153</v>
      </c>
      <c r="L26" t="s">
        <v>28</v>
      </c>
    </row>
    <row r="27" spans="1:12" x14ac:dyDescent="0.35">
      <c r="A27" t="s">
        <v>154</v>
      </c>
      <c r="B27" t="s">
        <v>155</v>
      </c>
      <c r="C27" t="s">
        <v>156</v>
      </c>
      <c r="D27" t="s">
        <v>67</v>
      </c>
      <c r="E27" t="s">
        <v>130</v>
      </c>
      <c r="F27" t="s">
        <v>50</v>
      </c>
      <c r="G27" t="s">
        <v>51</v>
      </c>
      <c r="H27">
        <v>3</v>
      </c>
      <c r="I27">
        <v>1023.82</v>
      </c>
      <c r="J27">
        <v>3071.46</v>
      </c>
      <c r="K27" t="s">
        <v>157</v>
      </c>
      <c r="L27" t="s">
        <v>91</v>
      </c>
    </row>
    <row r="28" spans="1:12" x14ac:dyDescent="0.35">
      <c r="A28" t="s">
        <v>158</v>
      </c>
      <c r="B28" t="s">
        <v>159</v>
      </c>
      <c r="C28" t="s">
        <v>160</v>
      </c>
      <c r="D28" t="s">
        <v>23</v>
      </c>
      <c r="E28" t="s">
        <v>49</v>
      </c>
      <c r="F28" t="s">
        <v>42</v>
      </c>
      <c r="G28" t="s">
        <v>89</v>
      </c>
      <c r="H28">
        <v>4</v>
      </c>
      <c r="I28">
        <v>1008.23</v>
      </c>
      <c r="J28">
        <v>4032.92</v>
      </c>
      <c r="K28" t="s">
        <v>161</v>
      </c>
      <c r="L28" t="s">
        <v>91</v>
      </c>
    </row>
    <row r="29" spans="1:12" x14ac:dyDescent="0.35">
      <c r="A29" t="s">
        <v>162</v>
      </c>
      <c r="B29" t="s">
        <v>163</v>
      </c>
      <c r="C29" t="s">
        <v>164</v>
      </c>
      <c r="D29" t="s">
        <v>67</v>
      </c>
      <c r="E29" t="s">
        <v>115</v>
      </c>
      <c r="F29" t="s">
        <v>101</v>
      </c>
      <c r="G29" t="s">
        <v>165</v>
      </c>
      <c r="H29">
        <v>5</v>
      </c>
      <c r="I29">
        <v>149.41999999999999</v>
      </c>
      <c r="J29">
        <v>747.1</v>
      </c>
      <c r="K29" t="s">
        <v>166</v>
      </c>
      <c r="L29" t="s">
        <v>28</v>
      </c>
    </row>
    <row r="30" spans="1:12" x14ac:dyDescent="0.35">
      <c r="A30" t="s">
        <v>167</v>
      </c>
      <c r="B30" t="s">
        <v>168</v>
      </c>
      <c r="C30" t="s">
        <v>169</v>
      </c>
      <c r="D30" t="s">
        <v>23</v>
      </c>
      <c r="E30" t="s">
        <v>24</v>
      </c>
      <c r="F30" t="s">
        <v>42</v>
      </c>
      <c r="G30" t="s">
        <v>170</v>
      </c>
      <c r="H30">
        <v>5</v>
      </c>
      <c r="I30">
        <v>189.09</v>
      </c>
      <c r="J30">
        <v>945.45</v>
      </c>
      <c r="K30" t="s">
        <v>171</v>
      </c>
      <c r="L30" t="s">
        <v>19</v>
      </c>
    </row>
    <row r="31" spans="1:12" x14ac:dyDescent="0.35">
      <c r="A31" t="s">
        <v>172</v>
      </c>
      <c r="B31" t="s">
        <v>173</v>
      </c>
      <c r="C31" t="s">
        <v>174</v>
      </c>
      <c r="D31" t="s">
        <v>32</v>
      </c>
      <c r="E31" t="s">
        <v>33</v>
      </c>
      <c r="F31" t="s">
        <v>25</v>
      </c>
      <c r="G31" t="s">
        <v>139</v>
      </c>
      <c r="H31">
        <v>4</v>
      </c>
      <c r="I31">
        <v>996.49</v>
      </c>
      <c r="J31">
        <v>3985.96</v>
      </c>
      <c r="K31" t="s">
        <v>175</v>
      </c>
      <c r="L31" t="s">
        <v>19</v>
      </c>
    </row>
    <row r="32" spans="1:12" x14ac:dyDescent="0.35">
      <c r="A32" t="s">
        <v>176</v>
      </c>
      <c r="B32" t="s">
        <v>105</v>
      </c>
      <c r="C32" t="s">
        <v>106</v>
      </c>
      <c r="D32" t="s">
        <v>14</v>
      </c>
      <c r="E32" t="s">
        <v>95</v>
      </c>
      <c r="F32" t="s">
        <v>16</v>
      </c>
      <c r="G32" t="s">
        <v>177</v>
      </c>
      <c r="H32">
        <v>3</v>
      </c>
      <c r="I32">
        <v>185.92</v>
      </c>
      <c r="J32">
        <v>557.76</v>
      </c>
      <c r="K32" t="s">
        <v>178</v>
      </c>
      <c r="L32" t="s">
        <v>45</v>
      </c>
    </row>
    <row r="33" spans="1:12" x14ac:dyDescent="0.35">
      <c r="A33" t="s">
        <v>179</v>
      </c>
      <c r="B33" t="s">
        <v>180</v>
      </c>
      <c r="C33" t="s">
        <v>181</v>
      </c>
      <c r="D33" t="s">
        <v>40</v>
      </c>
      <c r="E33" t="s">
        <v>41</v>
      </c>
      <c r="F33" t="s">
        <v>16</v>
      </c>
      <c r="G33" t="s">
        <v>182</v>
      </c>
      <c r="H33">
        <v>3</v>
      </c>
      <c r="I33">
        <v>401.14</v>
      </c>
      <c r="J33">
        <v>1203.42</v>
      </c>
      <c r="K33" t="s">
        <v>183</v>
      </c>
      <c r="L33" t="s">
        <v>28</v>
      </c>
    </row>
    <row r="34" spans="1:12" x14ac:dyDescent="0.35">
      <c r="A34" t="s">
        <v>184</v>
      </c>
      <c r="B34" t="s">
        <v>185</v>
      </c>
      <c r="C34" t="s">
        <v>186</v>
      </c>
      <c r="D34" t="s">
        <v>14</v>
      </c>
      <c r="E34" t="s">
        <v>15</v>
      </c>
      <c r="F34" t="s">
        <v>50</v>
      </c>
      <c r="G34" t="s">
        <v>69</v>
      </c>
      <c r="H34">
        <v>3</v>
      </c>
      <c r="I34">
        <v>710.34</v>
      </c>
      <c r="J34">
        <v>2131.02</v>
      </c>
      <c r="K34" t="s">
        <v>187</v>
      </c>
      <c r="L34" t="s">
        <v>28</v>
      </c>
    </row>
    <row r="35" spans="1:12" x14ac:dyDescent="0.35">
      <c r="A35" t="s">
        <v>188</v>
      </c>
      <c r="B35" t="s">
        <v>189</v>
      </c>
      <c r="C35" t="s">
        <v>190</v>
      </c>
      <c r="D35" t="s">
        <v>14</v>
      </c>
      <c r="E35" t="s">
        <v>15</v>
      </c>
      <c r="F35" t="s">
        <v>101</v>
      </c>
      <c r="G35" t="s">
        <v>102</v>
      </c>
      <c r="H35">
        <v>4</v>
      </c>
      <c r="I35">
        <v>1225.6600000000001</v>
      </c>
      <c r="J35">
        <v>4902.6400000000003</v>
      </c>
      <c r="K35" t="s">
        <v>191</v>
      </c>
      <c r="L35" t="s">
        <v>19</v>
      </c>
    </row>
    <row r="36" spans="1:12" x14ac:dyDescent="0.35">
      <c r="A36" t="s">
        <v>192</v>
      </c>
      <c r="B36" t="s">
        <v>193</v>
      </c>
      <c r="C36" t="s">
        <v>194</v>
      </c>
      <c r="D36" t="s">
        <v>67</v>
      </c>
      <c r="E36" t="s">
        <v>130</v>
      </c>
      <c r="F36" t="s">
        <v>50</v>
      </c>
      <c r="G36" t="s">
        <v>56</v>
      </c>
      <c r="H36">
        <v>2</v>
      </c>
      <c r="I36">
        <v>71.900000000000006</v>
      </c>
      <c r="J36">
        <v>143.80000000000001</v>
      </c>
      <c r="K36" t="s">
        <v>195</v>
      </c>
      <c r="L36" t="s">
        <v>36</v>
      </c>
    </row>
    <row r="37" spans="1:12" x14ac:dyDescent="0.35">
      <c r="A37" t="s">
        <v>196</v>
      </c>
      <c r="B37" t="s">
        <v>197</v>
      </c>
      <c r="C37" t="s">
        <v>198</v>
      </c>
      <c r="D37" t="s">
        <v>67</v>
      </c>
      <c r="E37" t="s">
        <v>130</v>
      </c>
      <c r="F37" t="s">
        <v>42</v>
      </c>
      <c r="G37" t="s">
        <v>43</v>
      </c>
      <c r="H37">
        <v>3</v>
      </c>
      <c r="I37">
        <v>1299.6300000000001</v>
      </c>
      <c r="J37">
        <v>3898.89</v>
      </c>
      <c r="K37" t="s">
        <v>199</v>
      </c>
      <c r="L37" t="s">
        <v>36</v>
      </c>
    </row>
    <row r="38" spans="1:12" x14ac:dyDescent="0.35">
      <c r="A38" t="s">
        <v>200</v>
      </c>
      <c r="B38" t="s">
        <v>201</v>
      </c>
      <c r="C38" t="s">
        <v>202</v>
      </c>
      <c r="D38" t="s">
        <v>32</v>
      </c>
      <c r="E38" t="s">
        <v>203</v>
      </c>
      <c r="F38" t="s">
        <v>42</v>
      </c>
      <c r="G38" t="s">
        <v>89</v>
      </c>
      <c r="H38">
        <v>3</v>
      </c>
      <c r="I38">
        <v>1481.8</v>
      </c>
      <c r="J38">
        <v>4445.3999999999996</v>
      </c>
      <c r="K38" t="s">
        <v>204</v>
      </c>
      <c r="L38" t="s">
        <v>19</v>
      </c>
    </row>
    <row r="39" spans="1:12" x14ac:dyDescent="0.35">
      <c r="A39" t="s">
        <v>205</v>
      </c>
      <c r="B39" t="s">
        <v>206</v>
      </c>
      <c r="C39" t="s">
        <v>207</v>
      </c>
      <c r="D39" t="s">
        <v>14</v>
      </c>
      <c r="E39" t="s">
        <v>100</v>
      </c>
      <c r="F39" t="s">
        <v>42</v>
      </c>
      <c r="G39" t="s">
        <v>43</v>
      </c>
      <c r="H39">
        <v>1</v>
      </c>
      <c r="I39">
        <v>1030.6300000000001</v>
      </c>
      <c r="J39">
        <v>1030.6300000000001</v>
      </c>
      <c r="K39" t="s">
        <v>208</v>
      </c>
      <c r="L39" t="s">
        <v>28</v>
      </c>
    </row>
    <row r="40" spans="1:12" x14ac:dyDescent="0.35">
      <c r="A40" t="s">
        <v>209</v>
      </c>
      <c r="B40" t="s">
        <v>210</v>
      </c>
      <c r="C40" t="s">
        <v>211</v>
      </c>
      <c r="D40" t="s">
        <v>40</v>
      </c>
      <c r="E40" t="s">
        <v>79</v>
      </c>
      <c r="F40" t="s">
        <v>42</v>
      </c>
      <c r="G40" t="s">
        <v>170</v>
      </c>
      <c r="H40">
        <v>5</v>
      </c>
      <c r="I40">
        <v>1247.46</v>
      </c>
      <c r="J40">
        <v>6237.3</v>
      </c>
      <c r="K40" t="s">
        <v>212</v>
      </c>
      <c r="L40" t="s">
        <v>45</v>
      </c>
    </row>
    <row r="41" spans="1:12" x14ac:dyDescent="0.35">
      <c r="A41" t="s">
        <v>213</v>
      </c>
      <c r="B41" t="s">
        <v>214</v>
      </c>
      <c r="C41" t="s">
        <v>215</v>
      </c>
      <c r="D41" t="s">
        <v>40</v>
      </c>
      <c r="E41" t="s">
        <v>41</v>
      </c>
      <c r="F41" t="s">
        <v>50</v>
      </c>
      <c r="G41" t="s">
        <v>216</v>
      </c>
      <c r="H41">
        <v>4</v>
      </c>
      <c r="I41">
        <v>221.55</v>
      </c>
      <c r="J41">
        <v>886.2</v>
      </c>
      <c r="K41" t="s">
        <v>217</v>
      </c>
      <c r="L41" t="s">
        <v>19</v>
      </c>
    </row>
    <row r="42" spans="1:12" x14ac:dyDescent="0.35">
      <c r="A42" t="s">
        <v>218</v>
      </c>
      <c r="B42" t="s">
        <v>219</v>
      </c>
      <c r="C42" t="s">
        <v>220</v>
      </c>
      <c r="D42" t="s">
        <v>67</v>
      </c>
      <c r="E42" t="s">
        <v>130</v>
      </c>
      <c r="F42" t="s">
        <v>42</v>
      </c>
      <c r="G42" t="s">
        <v>43</v>
      </c>
      <c r="H42">
        <v>5</v>
      </c>
      <c r="I42">
        <v>836.2</v>
      </c>
      <c r="J42">
        <v>4181</v>
      </c>
      <c r="K42" t="s">
        <v>221</v>
      </c>
      <c r="L42" t="s">
        <v>91</v>
      </c>
    </row>
    <row r="43" spans="1:12" x14ac:dyDescent="0.35">
      <c r="A43" t="s">
        <v>222</v>
      </c>
      <c r="B43" t="s">
        <v>223</v>
      </c>
      <c r="C43" t="s">
        <v>224</v>
      </c>
      <c r="D43" t="s">
        <v>40</v>
      </c>
      <c r="E43" t="s">
        <v>79</v>
      </c>
      <c r="F43" t="s">
        <v>42</v>
      </c>
      <c r="G43" t="s">
        <v>225</v>
      </c>
      <c r="H43">
        <v>3</v>
      </c>
      <c r="I43">
        <v>1037.21</v>
      </c>
      <c r="J43">
        <v>3111.63</v>
      </c>
      <c r="K43" t="s">
        <v>226</v>
      </c>
      <c r="L43" t="s">
        <v>45</v>
      </c>
    </row>
    <row r="44" spans="1:12" x14ac:dyDescent="0.35">
      <c r="A44" t="s">
        <v>227</v>
      </c>
      <c r="B44" t="s">
        <v>228</v>
      </c>
      <c r="C44" t="s">
        <v>229</v>
      </c>
      <c r="D44" t="s">
        <v>67</v>
      </c>
      <c r="E44" t="s">
        <v>130</v>
      </c>
      <c r="F44" t="s">
        <v>16</v>
      </c>
      <c r="G44" t="s">
        <v>230</v>
      </c>
      <c r="H44">
        <v>3</v>
      </c>
      <c r="I44">
        <v>1101.03</v>
      </c>
      <c r="J44">
        <v>3303.09</v>
      </c>
      <c r="K44" t="s">
        <v>231</v>
      </c>
      <c r="L44" t="s">
        <v>91</v>
      </c>
    </row>
    <row r="45" spans="1:12" x14ac:dyDescent="0.35">
      <c r="A45" t="s">
        <v>232</v>
      </c>
      <c r="B45" t="s">
        <v>173</v>
      </c>
      <c r="C45" t="s">
        <v>174</v>
      </c>
      <c r="D45" t="s">
        <v>32</v>
      </c>
      <c r="E45" t="s">
        <v>33</v>
      </c>
      <c r="F45" t="s">
        <v>50</v>
      </c>
      <c r="G45" t="s">
        <v>216</v>
      </c>
      <c r="H45">
        <v>2</v>
      </c>
      <c r="I45">
        <v>518.76</v>
      </c>
      <c r="J45">
        <v>1037.52</v>
      </c>
      <c r="K45" t="s">
        <v>233</v>
      </c>
      <c r="L45" t="s">
        <v>28</v>
      </c>
    </row>
    <row r="46" spans="1:12" x14ac:dyDescent="0.35">
      <c r="A46" t="s">
        <v>234</v>
      </c>
      <c r="B46" t="s">
        <v>235</v>
      </c>
      <c r="C46" t="s">
        <v>236</v>
      </c>
      <c r="D46" t="s">
        <v>40</v>
      </c>
      <c r="E46" t="s">
        <v>79</v>
      </c>
      <c r="F46" t="s">
        <v>101</v>
      </c>
      <c r="G46" t="s">
        <v>237</v>
      </c>
      <c r="H46">
        <v>4</v>
      </c>
      <c r="I46">
        <v>441.18</v>
      </c>
      <c r="J46">
        <v>1764.72</v>
      </c>
      <c r="K46" t="s">
        <v>238</v>
      </c>
      <c r="L46" t="s">
        <v>45</v>
      </c>
    </row>
    <row r="47" spans="1:12" x14ac:dyDescent="0.35">
      <c r="A47" t="s">
        <v>239</v>
      </c>
      <c r="B47" t="s">
        <v>240</v>
      </c>
      <c r="C47" t="s">
        <v>241</v>
      </c>
      <c r="D47" t="s">
        <v>32</v>
      </c>
      <c r="E47" t="s">
        <v>61</v>
      </c>
      <c r="F47" t="s">
        <v>25</v>
      </c>
      <c r="G47" t="s">
        <v>139</v>
      </c>
      <c r="H47">
        <v>4</v>
      </c>
      <c r="I47">
        <v>124.29</v>
      </c>
      <c r="J47">
        <v>497.16</v>
      </c>
      <c r="K47" t="s">
        <v>242</v>
      </c>
      <c r="L47" t="s">
        <v>45</v>
      </c>
    </row>
    <row r="48" spans="1:12" x14ac:dyDescent="0.35">
      <c r="A48" t="s">
        <v>243</v>
      </c>
      <c r="B48" t="s">
        <v>244</v>
      </c>
      <c r="C48" t="s">
        <v>245</v>
      </c>
      <c r="D48" t="s">
        <v>32</v>
      </c>
      <c r="E48" t="s">
        <v>203</v>
      </c>
      <c r="F48" t="s">
        <v>16</v>
      </c>
      <c r="G48" t="s">
        <v>230</v>
      </c>
      <c r="H48">
        <v>5</v>
      </c>
      <c r="I48">
        <v>775.51</v>
      </c>
      <c r="J48">
        <v>3877.55</v>
      </c>
      <c r="K48" t="s">
        <v>246</v>
      </c>
      <c r="L48" t="s">
        <v>36</v>
      </c>
    </row>
    <row r="49" spans="1:12" x14ac:dyDescent="0.35">
      <c r="A49" t="s">
        <v>247</v>
      </c>
      <c r="B49" t="s">
        <v>248</v>
      </c>
      <c r="C49" t="s">
        <v>249</v>
      </c>
      <c r="D49" t="s">
        <v>40</v>
      </c>
      <c r="E49" t="s">
        <v>120</v>
      </c>
      <c r="F49" t="s">
        <v>101</v>
      </c>
      <c r="G49" t="s">
        <v>102</v>
      </c>
      <c r="H49">
        <v>4</v>
      </c>
      <c r="I49">
        <v>26.43</v>
      </c>
      <c r="J49">
        <v>105.72</v>
      </c>
      <c r="K49" t="s">
        <v>250</v>
      </c>
      <c r="L49" t="s">
        <v>36</v>
      </c>
    </row>
    <row r="50" spans="1:12" x14ac:dyDescent="0.35">
      <c r="A50" t="s">
        <v>251</v>
      </c>
      <c r="B50" t="s">
        <v>252</v>
      </c>
      <c r="C50" t="s">
        <v>253</v>
      </c>
      <c r="D50" t="s">
        <v>67</v>
      </c>
      <c r="E50" t="s">
        <v>115</v>
      </c>
      <c r="F50" t="s">
        <v>16</v>
      </c>
      <c r="G50" t="s">
        <v>182</v>
      </c>
      <c r="H50">
        <v>1</v>
      </c>
      <c r="I50">
        <v>1338.55</v>
      </c>
      <c r="J50">
        <v>1338.55</v>
      </c>
      <c r="K50" t="s">
        <v>254</v>
      </c>
      <c r="L50" t="s">
        <v>19</v>
      </c>
    </row>
    <row r="51" spans="1:12" x14ac:dyDescent="0.35">
      <c r="A51" t="s">
        <v>255</v>
      </c>
      <c r="B51" t="s">
        <v>256</v>
      </c>
      <c r="C51" t="s">
        <v>257</v>
      </c>
      <c r="D51" t="s">
        <v>14</v>
      </c>
      <c r="E51" t="s">
        <v>95</v>
      </c>
      <c r="F51" t="s">
        <v>25</v>
      </c>
      <c r="G51" t="s">
        <v>62</v>
      </c>
      <c r="H51">
        <v>1</v>
      </c>
      <c r="I51">
        <v>407.18</v>
      </c>
      <c r="J51">
        <v>407.18</v>
      </c>
      <c r="K51" t="s">
        <v>258</v>
      </c>
      <c r="L51" t="s">
        <v>91</v>
      </c>
    </row>
    <row r="52" spans="1:12" x14ac:dyDescent="0.35">
      <c r="A52" t="s">
        <v>259</v>
      </c>
      <c r="B52" t="s">
        <v>260</v>
      </c>
      <c r="C52" t="s">
        <v>261</v>
      </c>
      <c r="D52" t="s">
        <v>23</v>
      </c>
      <c r="E52" t="s">
        <v>24</v>
      </c>
      <c r="F52" t="s">
        <v>42</v>
      </c>
      <c r="G52" t="s">
        <v>80</v>
      </c>
      <c r="H52">
        <v>2</v>
      </c>
      <c r="I52">
        <v>871.92</v>
      </c>
      <c r="J52">
        <v>1743.84</v>
      </c>
      <c r="K52" t="s">
        <v>262</v>
      </c>
      <c r="L52" t="s">
        <v>45</v>
      </c>
    </row>
    <row r="53" spans="1:12" x14ac:dyDescent="0.35">
      <c r="A53" t="s">
        <v>263</v>
      </c>
      <c r="B53" t="s">
        <v>264</v>
      </c>
      <c r="C53" t="s">
        <v>265</v>
      </c>
      <c r="D53" t="s">
        <v>14</v>
      </c>
      <c r="E53" t="s">
        <v>266</v>
      </c>
      <c r="F53" t="s">
        <v>25</v>
      </c>
      <c r="G53" t="s">
        <v>62</v>
      </c>
      <c r="H53">
        <v>5</v>
      </c>
      <c r="I53">
        <v>1131.8800000000001</v>
      </c>
      <c r="J53">
        <v>5659.4</v>
      </c>
      <c r="K53" t="s">
        <v>267</v>
      </c>
      <c r="L53" t="s">
        <v>45</v>
      </c>
    </row>
    <row r="54" spans="1:12" x14ac:dyDescent="0.35">
      <c r="A54" t="s">
        <v>268</v>
      </c>
      <c r="B54" t="s">
        <v>269</v>
      </c>
      <c r="C54" t="s">
        <v>270</v>
      </c>
      <c r="D54" t="s">
        <v>14</v>
      </c>
      <c r="E54" t="s">
        <v>100</v>
      </c>
      <c r="F54" t="s">
        <v>16</v>
      </c>
      <c r="G54" t="s">
        <v>182</v>
      </c>
      <c r="H54">
        <v>1</v>
      </c>
      <c r="I54">
        <v>1484.1</v>
      </c>
      <c r="J54">
        <v>1484.1</v>
      </c>
      <c r="K54" t="s">
        <v>271</v>
      </c>
      <c r="L54" t="s">
        <v>45</v>
      </c>
    </row>
    <row r="55" spans="1:12" x14ac:dyDescent="0.35">
      <c r="A55" t="s">
        <v>272</v>
      </c>
      <c r="B55" t="s">
        <v>273</v>
      </c>
      <c r="C55" t="s">
        <v>274</v>
      </c>
      <c r="D55" t="s">
        <v>32</v>
      </c>
      <c r="E55" t="s">
        <v>61</v>
      </c>
      <c r="F55" t="s">
        <v>16</v>
      </c>
      <c r="G55" t="s">
        <v>17</v>
      </c>
      <c r="H55">
        <v>3</v>
      </c>
      <c r="I55">
        <v>255.97</v>
      </c>
      <c r="J55">
        <v>767.91</v>
      </c>
      <c r="K55" t="s">
        <v>275</v>
      </c>
      <c r="L55" t="s">
        <v>19</v>
      </c>
    </row>
    <row r="56" spans="1:12" x14ac:dyDescent="0.35">
      <c r="A56" t="s">
        <v>276</v>
      </c>
      <c r="B56" t="s">
        <v>128</v>
      </c>
      <c r="C56" t="s">
        <v>129</v>
      </c>
      <c r="D56" t="s">
        <v>32</v>
      </c>
      <c r="E56" t="s">
        <v>61</v>
      </c>
      <c r="F56" t="s">
        <v>50</v>
      </c>
      <c r="G56" t="s">
        <v>69</v>
      </c>
      <c r="H56">
        <v>1</v>
      </c>
      <c r="I56">
        <v>1373.33</v>
      </c>
      <c r="J56">
        <v>1373.33</v>
      </c>
      <c r="K56" t="s">
        <v>277</v>
      </c>
      <c r="L56" t="s">
        <v>45</v>
      </c>
    </row>
    <row r="57" spans="1:12" x14ac:dyDescent="0.35">
      <c r="A57" t="s">
        <v>278</v>
      </c>
      <c r="B57" t="s">
        <v>12</v>
      </c>
      <c r="C57" t="s">
        <v>13</v>
      </c>
      <c r="D57" t="s">
        <v>40</v>
      </c>
      <c r="E57" t="s">
        <v>79</v>
      </c>
      <c r="F57" t="s">
        <v>16</v>
      </c>
      <c r="G57" t="s">
        <v>148</v>
      </c>
      <c r="H57">
        <v>3</v>
      </c>
      <c r="I57">
        <v>1229.5999999999999</v>
      </c>
      <c r="J57">
        <v>3688.8</v>
      </c>
      <c r="K57" t="s">
        <v>279</v>
      </c>
      <c r="L57" t="s">
        <v>19</v>
      </c>
    </row>
    <row r="58" spans="1:12" x14ac:dyDescent="0.35">
      <c r="A58" t="s">
        <v>280</v>
      </c>
      <c r="B58" t="s">
        <v>281</v>
      </c>
      <c r="C58" t="s">
        <v>282</v>
      </c>
      <c r="D58" t="s">
        <v>14</v>
      </c>
      <c r="E58" t="s">
        <v>15</v>
      </c>
      <c r="F58" t="s">
        <v>25</v>
      </c>
      <c r="G58" t="s">
        <v>62</v>
      </c>
      <c r="H58">
        <v>1</v>
      </c>
      <c r="I58">
        <v>227.18</v>
      </c>
      <c r="J58">
        <v>227.18</v>
      </c>
      <c r="K58" t="s">
        <v>283</v>
      </c>
      <c r="L58" t="s">
        <v>19</v>
      </c>
    </row>
    <row r="59" spans="1:12" x14ac:dyDescent="0.35">
      <c r="A59" t="s">
        <v>284</v>
      </c>
      <c r="B59" t="s">
        <v>264</v>
      </c>
      <c r="C59" t="s">
        <v>265</v>
      </c>
      <c r="D59" t="s">
        <v>67</v>
      </c>
      <c r="E59" t="s">
        <v>130</v>
      </c>
      <c r="F59" t="s">
        <v>50</v>
      </c>
      <c r="G59" t="s">
        <v>51</v>
      </c>
      <c r="H59">
        <v>4</v>
      </c>
      <c r="I59">
        <v>903.08</v>
      </c>
      <c r="J59">
        <v>3612.32</v>
      </c>
      <c r="K59" t="s">
        <v>285</v>
      </c>
      <c r="L59" t="s">
        <v>19</v>
      </c>
    </row>
    <row r="60" spans="1:12" x14ac:dyDescent="0.35">
      <c r="A60" t="s">
        <v>286</v>
      </c>
      <c r="B60" t="s">
        <v>287</v>
      </c>
      <c r="C60" t="s">
        <v>288</v>
      </c>
      <c r="D60" t="s">
        <v>32</v>
      </c>
      <c r="E60" t="s">
        <v>203</v>
      </c>
      <c r="F60" t="s">
        <v>50</v>
      </c>
      <c r="G60" t="s">
        <v>170</v>
      </c>
      <c r="H60">
        <v>4</v>
      </c>
      <c r="I60">
        <v>1119.1400000000001</v>
      </c>
      <c r="J60">
        <v>4476.5600000000004</v>
      </c>
      <c r="K60" t="s">
        <v>289</v>
      </c>
      <c r="L60" t="s">
        <v>19</v>
      </c>
    </row>
    <row r="61" spans="1:12" x14ac:dyDescent="0.35">
      <c r="A61" t="s">
        <v>290</v>
      </c>
      <c r="B61" t="s">
        <v>291</v>
      </c>
      <c r="C61" t="s">
        <v>292</v>
      </c>
      <c r="D61" t="s">
        <v>40</v>
      </c>
      <c r="E61" t="s">
        <v>79</v>
      </c>
      <c r="F61" t="s">
        <v>16</v>
      </c>
      <c r="G61" t="s">
        <v>17</v>
      </c>
      <c r="H61">
        <v>2</v>
      </c>
      <c r="I61">
        <v>1318.75</v>
      </c>
      <c r="J61">
        <v>2637.5</v>
      </c>
      <c r="K61" t="s">
        <v>293</v>
      </c>
      <c r="L61" t="s">
        <v>91</v>
      </c>
    </row>
    <row r="62" spans="1:12" x14ac:dyDescent="0.35">
      <c r="A62" t="s">
        <v>294</v>
      </c>
      <c r="B62" t="s">
        <v>295</v>
      </c>
      <c r="C62" t="s">
        <v>296</v>
      </c>
      <c r="D62" t="s">
        <v>32</v>
      </c>
      <c r="E62" t="s">
        <v>203</v>
      </c>
      <c r="F62" t="s">
        <v>50</v>
      </c>
      <c r="G62" t="s">
        <v>170</v>
      </c>
      <c r="H62">
        <v>1</v>
      </c>
      <c r="I62">
        <v>629.77</v>
      </c>
      <c r="J62">
        <v>629.77</v>
      </c>
      <c r="K62" t="s">
        <v>297</v>
      </c>
      <c r="L62" t="s">
        <v>36</v>
      </c>
    </row>
    <row r="63" spans="1:12" x14ac:dyDescent="0.35">
      <c r="A63" t="s">
        <v>298</v>
      </c>
      <c r="B63" t="s">
        <v>299</v>
      </c>
      <c r="C63" t="s">
        <v>300</v>
      </c>
      <c r="D63" t="s">
        <v>14</v>
      </c>
      <c r="E63" t="s">
        <v>15</v>
      </c>
      <c r="F63" t="s">
        <v>25</v>
      </c>
      <c r="G63" t="s">
        <v>62</v>
      </c>
      <c r="H63">
        <v>4</v>
      </c>
      <c r="I63">
        <v>194.98</v>
      </c>
      <c r="J63">
        <v>779.92</v>
      </c>
      <c r="K63" t="s">
        <v>301</v>
      </c>
      <c r="L63" t="s">
        <v>36</v>
      </c>
    </row>
    <row r="64" spans="1:12" x14ac:dyDescent="0.35">
      <c r="A64" t="s">
        <v>302</v>
      </c>
      <c r="B64" t="s">
        <v>303</v>
      </c>
      <c r="C64" t="s">
        <v>304</v>
      </c>
      <c r="D64" t="s">
        <v>32</v>
      </c>
      <c r="E64" t="s">
        <v>61</v>
      </c>
      <c r="F64" t="s">
        <v>50</v>
      </c>
      <c r="G64" t="s">
        <v>51</v>
      </c>
      <c r="H64">
        <v>1</v>
      </c>
      <c r="I64">
        <v>643.64</v>
      </c>
      <c r="J64">
        <v>643.64</v>
      </c>
      <c r="K64" t="s">
        <v>305</v>
      </c>
      <c r="L64" t="s">
        <v>45</v>
      </c>
    </row>
    <row r="65" spans="1:12" x14ac:dyDescent="0.35">
      <c r="A65" t="s">
        <v>306</v>
      </c>
      <c r="B65" t="s">
        <v>307</v>
      </c>
      <c r="C65" t="s">
        <v>308</v>
      </c>
      <c r="D65" t="s">
        <v>23</v>
      </c>
      <c r="E65" t="s">
        <v>49</v>
      </c>
      <c r="F65" t="s">
        <v>50</v>
      </c>
      <c r="G65" t="s">
        <v>170</v>
      </c>
      <c r="H65">
        <v>1</v>
      </c>
      <c r="I65">
        <v>601.29999999999995</v>
      </c>
      <c r="J65">
        <v>601.29999999999995</v>
      </c>
      <c r="K65" t="s">
        <v>309</v>
      </c>
      <c r="L65" t="s">
        <v>91</v>
      </c>
    </row>
    <row r="66" spans="1:12" x14ac:dyDescent="0.35">
      <c r="A66" t="s">
        <v>310</v>
      </c>
      <c r="B66" t="s">
        <v>311</v>
      </c>
      <c r="C66" t="s">
        <v>312</v>
      </c>
      <c r="D66" t="s">
        <v>40</v>
      </c>
      <c r="E66" t="s">
        <v>79</v>
      </c>
      <c r="F66" t="s">
        <v>25</v>
      </c>
      <c r="G66" t="s">
        <v>26</v>
      </c>
      <c r="H66">
        <v>2</v>
      </c>
      <c r="I66">
        <v>236.03</v>
      </c>
      <c r="J66">
        <v>472.06</v>
      </c>
      <c r="K66" t="s">
        <v>313</v>
      </c>
      <c r="L66" t="s">
        <v>36</v>
      </c>
    </row>
    <row r="67" spans="1:12" x14ac:dyDescent="0.35">
      <c r="A67" t="s">
        <v>314</v>
      </c>
      <c r="B67" t="s">
        <v>315</v>
      </c>
      <c r="C67" t="s">
        <v>316</v>
      </c>
      <c r="D67" t="s">
        <v>32</v>
      </c>
      <c r="E67" t="s">
        <v>33</v>
      </c>
      <c r="F67" t="s">
        <v>101</v>
      </c>
      <c r="G67" t="s">
        <v>237</v>
      </c>
      <c r="H67">
        <v>3</v>
      </c>
      <c r="I67">
        <v>425.78</v>
      </c>
      <c r="J67">
        <v>1277.3399999999999</v>
      </c>
      <c r="K67" t="s">
        <v>317</v>
      </c>
      <c r="L67" t="s">
        <v>45</v>
      </c>
    </row>
    <row r="68" spans="1:12" x14ac:dyDescent="0.35">
      <c r="A68" t="s">
        <v>318</v>
      </c>
      <c r="B68" t="s">
        <v>128</v>
      </c>
      <c r="C68" t="s">
        <v>129</v>
      </c>
      <c r="D68" t="s">
        <v>14</v>
      </c>
      <c r="E68" t="s">
        <v>100</v>
      </c>
      <c r="F68" t="s">
        <v>42</v>
      </c>
      <c r="G68" t="s">
        <v>89</v>
      </c>
      <c r="H68">
        <v>1</v>
      </c>
      <c r="I68">
        <v>1161.6099999999999</v>
      </c>
      <c r="J68">
        <v>1161.6099999999999</v>
      </c>
      <c r="K68" t="s">
        <v>319</v>
      </c>
      <c r="L68" t="s">
        <v>45</v>
      </c>
    </row>
    <row r="69" spans="1:12" x14ac:dyDescent="0.35">
      <c r="A69" t="s">
        <v>320</v>
      </c>
      <c r="B69" t="s">
        <v>321</v>
      </c>
      <c r="C69" t="s">
        <v>322</v>
      </c>
      <c r="D69" t="s">
        <v>32</v>
      </c>
      <c r="E69" t="s">
        <v>203</v>
      </c>
      <c r="F69" t="s">
        <v>16</v>
      </c>
      <c r="G69" t="s">
        <v>182</v>
      </c>
      <c r="H69">
        <v>3</v>
      </c>
      <c r="I69">
        <v>1151.94</v>
      </c>
      <c r="J69">
        <v>3455.82</v>
      </c>
      <c r="K69" t="s">
        <v>323</v>
      </c>
      <c r="L69" t="s">
        <v>36</v>
      </c>
    </row>
    <row r="70" spans="1:12" x14ac:dyDescent="0.35">
      <c r="A70" t="s">
        <v>324</v>
      </c>
      <c r="B70" t="s">
        <v>325</v>
      </c>
      <c r="C70" t="s">
        <v>326</v>
      </c>
      <c r="D70" t="s">
        <v>23</v>
      </c>
      <c r="E70" t="s">
        <v>24</v>
      </c>
      <c r="F70" t="s">
        <v>101</v>
      </c>
      <c r="G70" t="s">
        <v>237</v>
      </c>
      <c r="H70">
        <v>3</v>
      </c>
      <c r="I70">
        <v>373.06</v>
      </c>
      <c r="J70">
        <v>1119.18</v>
      </c>
      <c r="K70" t="s">
        <v>327</v>
      </c>
      <c r="L70" t="s">
        <v>36</v>
      </c>
    </row>
    <row r="71" spans="1:12" x14ac:dyDescent="0.35">
      <c r="A71" t="s">
        <v>328</v>
      </c>
      <c r="B71" t="s">
        <v>12</v>
      </c>
      <c r="C71" t="s">
        <v>13</v>
      </c>
      <c r="D71" t="s">
        <v>14</v>
      </c>
      <c r="E71" t="s">
        <v>125</v>
      </c>
      <c r="F71" t="s">
        <v>50</v>
      </c>
      <c r="G71" t="s">
        <v>170</v>
      </c>
      <c r="H71">
        <v>2</v>
      </c>
      <c r="I71">
        <v>1419.18</v>
      </c>
      <c r="J71">
        <v>2838.36</v>
      </c>
      <c r="K71" t="s">
        <v>329</v>
      </c>
      <c r="L71" t="s">
        <v>91</v>
      </c>
    </row>
    <row r="72" spans="1:12" x14ac:dyDescent="0.35">
      <c r="A72" t="s">
        <v>330</v>
      </c>
      <c r="B72" t="s">
        <v>252</v>
      </c>
      <c r="C72" t="s">
        <v>253</v>
      </c>
      <c r="D72" t="s">
        <v>67</v>
      </c>
      <c r="E72" t="s">
        <v>115</v>
      </c>
      <c r="F72" t="s">
        <v>25</v>
      </c>
      <c r="G72" t="s">
        <v>62</v>
      </c>
      <c r="H72">
        <v>4</v>
      </c>
      <c r="I72">
        <v>1059.96</v>
      </c>
      <c r="J72">
        <v>4239.84</v>
      </c>
      <c r="K72" t="s">
        <v>331</v>
      </c>
      <c r="L72" t="s">
        <v>19</v>
      </c>
    </row>
    <row r="73" spans="1:12" x14ac:dyDescent="0.35">
      <c r="A73" t="s">
        <v>332</v>
      </c>
      <c r="B73" t="s">
        <v>333</v>
      </c>
      <c r="C73" t="s">
        <v>334</v>
      </c>
      <c r="D73" t="s">
        <v>67</v>
      </c>
      <c r="E73" t="s">
        <v>130</v>
      </c>
      <c r="F73" t="s">
        <v>42</v>
      </c>
      <c r="G73" t="s">
        <v>225</v>
      </c>
      <c r="H73">
        <v>5</v>
      </c>
      <c r="I73">
        <v>848.14</v>
      </c>
      <c r="J73">
        <v>4240.7</v>
      </c>
      <c r="K73" t="s">
        <v>107</v>
      </c>
      <c r="L73" t="s">
        <v>45</v>
      </c>
    </row>
    <row r="74" spans="1:12" x14ac:dyDescent="0.35">
      <c r="A74" t="s">
        <v>335</v>
      </c>
      <c r="B74" t="s">
        <v>336</v>
      </c>
      <c r="C74" t="s">
        <v>337</v>
      </c>
      <c r="D74" t="s">
        <v>23</v>
      </c>
      <c r="E74" t="s">
        <v>338</v>
      </c>
      <c r="F74" t="s">
        <v>25</v>
      </c>
      <c r="G74" t="s">
        <v>139</v>
      </c>
      <c r="H74">
        <v>5</v>
      </c>
      <c r="I74">
        <v>658.67</v>
      </c>
      <c r="J74">
        <v>3293.35</v>
      </c>
      <c r="K74" t="s">
        <v>339</v>
      </c>
      <c r="L74" t="s">
        <v>91</v>
      </c>
    </row>
    <row r="75" spans="1:12" x14ac:dyDescent="0.35">
      <c r="A75" t="s">
        <v>340</v>
      </c>
      <c r="B75" t="s">
        <v>341</v>
      </c>
      <c r="C75" t="s">
        <v>342</v>
      </c>
      <c r="D75" t="s">
        <v>14</v>
      </c>
      <c r="E75" t="s">
        <v>95</v>
      </c>
      <c r="F75" t="s">
        <v>50</v>
      </c>
      <c r="G75" t="s">
        <v>69</v>
      </c>
      <c r="H75">
        <v>2</v>
      </c>
      <c r="I75">
        <v>1384.79</v>
      </c>
      <c r="J75">
        <v>2769.58</v>
      </c>
      <c r="K75" t="s">
        <v>343</v>
      </c>
      <c r="L75" t="s">
        <v>45</v>
      </c>
    </row>
    <row r="76" spans="1:12" x14ac:dyDescent="0.35">
      <c r="A76" t="s">
        <v>344</v>
      </c>
      <c r="B76" t="s">
        <v>345</v>
      </c>
      <c r="C76" t="s">
        <v>346</v>
      </c>
      <c r="D76" t="s">
        <v>14</v>
      </c>
      <c r="E76" t="s">
        <v>100</v>
      </c>
      <c r="F76" t="s">
        <v>25</v>
      </c>
      <c r="G76" t="s">
        <v>26</v>
      </c>
      <c r="H76">
        <v>3</v>
      </c>
      <c r="I76">
        <v>384.24</v>
      </c>
      <c r="J76">
        <v>1152.72</v>
      </c>
      <c r="K76" t="s">
        <v>250</v>
      </c>
      <c r="L76" t="s">
        <v>19</v>
      </c>
    </row>
    <row r="77" spans="1:12" x14ac:dyDescent="0.35">
      <c r="A77" t="s">
        <v>347</v>
      </c>
      <c r="B77" t="s">
        <v>348</v>
      </c>
      <c r="C77" t="s">
        <v>349</v>
      </c>
      <c r="D77" t="s">
        <v>32</v>
      </c>
      <c r="E77" t="s">
        <v>61</v>
      </c>
      <c r="F77" t="s">
        <v>42</v>
      </c>
      <c r="G77" t="s">
        <v>80</v>
      </c>
      <c r="H77">
        <v>3</v>
      </c>
      <c r="I77">
        <v>1350.86</v>
      </c>
      <c r="J77">
        <v>4052.58</v>
      </c>
      <c r="K77" t="s">
        <v>350</v>
      </c>
      <c r="L77" t="s">
        <v>45</v>
      </c>
    </row>
    <row r="78" spans="1:12" x14ac:dyDescent="0.35">
      <c r="A78" t="s">
        <v>351</v>
      </c>
      <c r="B78" t="s">
        <v>352</v>
      </c>
      <c r="C78" t="s">
        <v>353</v>
      </c>
      <c r="D78" t="s">
        <v>40</v>
      </c>
      <c r="E78" t="s">
        <v>79</v>
      </c>
      <c r="F78" t="s">
        <v>16</v>
      </c>
      <c r="G78" t="s">
        <v>230</v>
      </c>
      <c r="H78">
        <v>2</v>
      </c>
      <c r="I78">
        <v>1020.73</v>
      </c>
      <c r="J78">
        <v>2041.46</v>
      </c>
      <c r="K78" t="s">
        <v>183</v>
      </c>
      <c r="L78" t="s">
        <v>36</v>
      </c>
    </row>
    <row r="79" spans="1:12" x14ac:dyDescent="0.35">
      <c r="A79" t="s">
        <v>354</v>
      </c>
      <c r="B79" t="s">
        <v>355</v>
      </c>
      <c r="C79" t="s">
        <v>356</v>
      </c>
      <c r="D79" t="s">
        <v>32</v>
      </c>
      <c r="E79" t="s">
        <v>33</v>
      </c>
      <c r="F79" t="s">
        <v>25</v>
      </c>
      <c r="G79" t="s">
        <v>74</v>
      </c>
      <c r="H79">
        <v>2</v>
      </c>
      <c r="I79">
        <v>484.03</v>
      </c>
      <c r="J79">
        <v>968.06</v>
      </c>
      <c r="K79" t="s">
        <v>357</v>
      </c>
      <c r="L79" t="s">
        <v>19</v>
      </c>
    </row>
    <row r="80" spans="1:12" x14ac:dyDescent="0.35">
      <c r="A80" t="s">
        <v>358</v>
      </c>
      <c r="B80" t="s">
        <v>359</v>
      </c>
      <c r="C80" t="s">
        <v>360</v>
      </c>
      <c r="D80" t="s">
        <v>23</v>
      </c>
      <c r="E80" t="s">
        <v>49</v>
      </c>
      <c r="F80" t="s">
        <v>50</v>
      </c>
      <c r="G80" t="s">
        <v>56</v>
      </c>
      <c r="H80">
        <v>4</v>
      </c>
      <c r="I80">
        <v>402.26</v>
      </c>
      <c r="J80">
        <v>1609.04</v>
      </c>
      <c r="K80" t="s">
        <v>361</v>
      </c>
      <c r="L80" t="s">
        <v>45</v>
      </c>
    </row>
    <row r="81" spans="1:12" x14ac:dyDescent="0.35">
      <c r="A81" t="s">
        <v>362</v>
      </c>
      <c r="B81" t="s">
        <v>363</v>
      </c>
      <c r="C81" t="s">
        <v>364</v>
      </c>
      <c r="D81" t="s">
        <v>14</v>
      </c>
      <c r="E81" t="s">
        <v>100</v>
      </c>
      <c r="F81" t="s">
        <v>16</v>
      </c>
      <c r="G81" t="s">
        <v>17</v>
      </c>
      <c r="H81">
        <v>5</v>
      </c>
      <c r="I81">
        <v>366.34</v>
      </c>
      <c r="J81">
        <v>1831.7</v>
      </c>
      <c r="K81" t="s">
        <v>365</v>
      </c>
      <c r="L81" t="s">
        <v>36</v>
      </c>
    </row>
    <row r="82" spans="1:12" x14ac:dyDescent="0.35">
      <c r="A82" t="s">
        <v>366</v>
      </c>
      <c r="B82" t="s">
        <v>367</v>
      </c>
      <c r="C82" t="s">
        <v>368</v>
      </c>
      <c r="D82" t="s">
        <v>32</v>
      </c>
      <c r="E82" t="s">
        <v>61</v>
      </c>
      <c r="F82" t="s">
        <v>16</v>
      </c>
      <c r="G82" t="s">
        <v>148</v>
      </c>
      <c r="H82">
        <v>4</v>
      </c>
      <c r="I82">
        <v>1158.5</v>
      </c>
      <c r="J82">
        <v>4634</v>
      </c>
      <c r="K82" t="s">
        <v>369</v>
      </c>
      <c r="L82" t="s">
        <v>28</v>
      </c>
    </row>
    <row r="83" spans="1:12" x14ac:dyDescent="0.35">
      <c r="A83" t="s">
        <v>370</v>
      </c>
      <c r="B83" t="s">
        <v>235</v>
      </c>
      <c r="C83" t="s">
        <v>236</v>
      </c>
      <c r="D83" t="s">
        <v>23</v>
      </c>
      <c r="E83" t="s">
        <v>24</v>
      </c>
      <c r="F83" t="s">
        <v>25</v>
      </c>
      <c r="G83" t="s">
        <v>139</v>
      </c>
      <c r="H83">
        <v>4</v>
      </c>
      <c r="I83">
        <v>676.92</v>
      </c>
      <c r="J83">
        <v>2707.68</v>
      </c>
      <c r="K83" t="s">
        <v>371</v>
      </c>
      <c r="L83" t="s">
        <v>45</v>
      </c>
    </row>
    <row r="84" spans="1:12" x14ac:dyDescent="0.35">
      <c r="A84" t="s">
        <v>372</v>
      </c>
      <c r="B84" t="s">
        <v>12</v>
      </c>
      <c r="C84" t="s">
        <v>13</v>
      </c>
      <c r="D84" t="s">
        <v>14</v>
      </c>
      <c r="E84" t="s">
        <v>95</v>
      </c>
      <c r="F84" t="s">
        <v>101</v>
      </c>
      <c r="G84" t="s">
        <v>373</v>
      </c>
      <c r="H84">
        <v>3</v>
      </c>
      <c r="I84">
        <v>1317.26</v>
      </c>
      <c r="J84">
        <v>3951.78</v>
      </c>
      <c r="K84" t="s">
        <v>374</v>
      </c>
      <c r="L84" t="s">
        <v>28</v>
      </c>
    </row>
    <row r="85" spans="1:12" x14ac:dyDescent="0.35">
      <c r="A85" t="s">
        <v>375</v>
      </c>
      <c r="B85" t="s">
        <v>376</v>
      </c>
      <c r="C85" t="s">
        <v>377</v>
      </c>
      <c r="D85" t="s">
        <v>23</v>
      </c>
      <c r="E85" t="s">
        <v>338</v>
      </c>
      <c r="F85" t="s">
        <v>16</v>
      </c>
      <c r="G85" t="s">
        <v>182</v>
      </c>
      <c r="H85">
        <v>4</v>
      </c>
      <c r="I85">
        <v>685.52</v>
      </c>
      <c r="J85">
        <v>2742.08</v>
      </c>
      <c r="K85" t="s">
        <v>378</v>
      </c>
      <c r="L85" t="s">
        <v>36</v>
      </c>
    </row>
    <row r="86" spans="1:12" x14ac:dyDescent="0.35">
      <c r="A86" t="s">
        <v>379</v>
      </c>
      <c r="B86" t="s">
        <v>380</v>
      </c>
      <c r="C86" t="s">
        <v>381</v>
      </c>
      <c r="D86" t="s">
        <v>14</v>
      </c>
      <c r="E86" t="s">
        <v>95</v>
      </c>
      <c r="F86" t="s">
        <v>25</v>
      </c>
      <c r="G86" t="s">
        <v>34</v>
      </c>
      <c r="H86">
        <v>5</v>
      </c>
      <c r="I86">
        <v>532.41</v>
      </c>
      <c r="J86">
        <v>2662.05</v>
      </c>
      <c r="K86" t="s">
        <v>382</v>
      </c>
      <c r="L86" t="s">
        <v>36</v>
      </c>
    </row>
    <row r="87" spans="1:12" x14ac:dyDescent="0.35">
      <c r="A87" t="s">
        <v>383</v>
      </c>
      <c r="B87" t="s">
        <v>384</v>
      </c>
      <c r="C87" t="s">
        <v>385</v>
      </c>
      <c r="D87" t="s">
        <v>32</v>
      </c>
      <c r="E87" t="s">
        <v>33</v>
      </c>
      <c r="F87" t="s">
        <v>50</v>
      </c>
      <c r="G87" t="s">
        <v>216</v>
      </c>
      <c r="H87">
        <v>2</v>
      </c>
      <c r="I87">
        <v>221.97</v>
      </c>
      <c r="J87">
        <v>443.94</v>
      </c>
      <c r="K87" t="s">
        <v>386</v>
      </c>
      <c r="L87" t="s">
        <v>45</v>
      </c>
    </row>
    <row r="88" spans="1:12" x14ac:dyDescent="0.35">
      <c r="A88" t="s">
        <v>387</v>
      </c>
      <c r="B88" t="s">
        <v>388</v>
      </c>
      <c r="C88" t="s">
        <v>389</v>
      </c>
      <c r="D88" t="s">
        <v>40</v>
      </c>
      <c r="E88" t="s">
        <v>120</v>
      </c>
      <c r="F88" t="s">
        <v>42</v>
      </c>
      <c r="G88" t="s">
        <v>170</v>
      </c>
      <c r="H88">
        <v>2</v>
      </c>
      <c r="I88">
        <v>1321.24</v>
      </c>
      <c r="J88">
        <v>2642.48</v>
      </c>
      <c r="K88" t="s">
        <v>390</v>
      </c>
      <c r="L88" t="s">
        <v>28</v>
      </c>
    </row>
    <row r="89" spans="1:12" x14ac:dyDescent="0.35">
      <c r="A89" t="s">
        <v>391</v>
      </c>
      <c r="B89" t="s">
        <v>392</v>
      </c>
      <c r="C89" t="s">
        <v>393</v>
      </c>
      <c r="D89" t="s">
        <v>32</v>
      </c>
      <c r="E89" t="s">
        <v>61</v>
      </c>
      <c r="F89" t="s">
        <v>25</v>
      </c>
      <c r="G89" t="s">
        <v>34</v>
      </c>
      <c r="H89">
        <v>4</v>
      </c>
      <c r="I89">
        <v>591.25</v>
      </c>
      <c r="J89">
        <v>2365</v>
      </c>
      <c r="K89" t="s">
        <v>394</v>
      </c>
      <c r="L89" t="s">
        <v>36</v>
      </c>
    </row>
    <row r="90" spans="1:12" x14ac:dyDescent="0.35">
      <c r="A90" t="s">
        <v>395</v>
      </c>
      <c r="B90" t="s">
        <v>396</v>
      </c>
      <c r="C90" t="s">
        <v>397</v>
      </c>
      <c r="D90" t="s">
        <v>67</v>
      </c>
      <c r="E90" t="s">
        <v>115</v>
      </c>
      <c r="F90" t="s">
        <v>25</v>
      </c>
      <c r="G90" t="s">
        <v>74</v>
      </c>
      <c r="H90">
        <v>4</v>
      </c>
      <c r="I90">
        <v>76.22</v>
      </c>
      <c r="J90">
        <v>304.88</v>
      </c>
      <c r="K90" t="s">
        <v>398</v>
      </c>
      <c r="L90" t="s">
        <v>19</v>
      </c>
    </row>
    <row r="91" spans="1:12" x14ac:dyDescent="0.35">
      <c r="A91" t="s">
        <v>399</v>
      </c>
      <c r="B91" t="s">
        <v>83</v>
      </c>
      <c r="C91" t="s">
        <v>84</v>
      </c>
      <c r="D91" t="s">
        <v>32</v>
      </c>
      <c r="E91" t="s">
        <v>33</v>
      </c>
      <c r="F91" t="s">
        <v>16</v>
      </c>
      <c r="G91" t="s">
        <v>17</v>
      </c>
      <c r="H91">
        <v>1</v>
      </c>
      <c r="I91">
        <v>595.85</v>
      </c>
      <c r="J91">
        <v>595.85</v>
      </c>
      <c r="K91" t="s">
        <v>400</v>
      </c>
      <c r="L91" t="s">
        <v>91</v>
      </c>
    </row>
    <row r="92" spans="1:12" x14ac:dyDescent="0.35">
      <c r="A92" t="s">
        <v>401</v>
      </c>
      <c r="B92" t="s">
        <v>402</v>
      </c>
      <c r="C92" t="s">
        <v>403</v>
      </c>
      <c r="D92" t="s">
        <v>40</v>
      </c>
      <c r="E92" t="s">
        <v>79</v>
      </c>
      <c r="F92" t="s">
        <v>16</v>
      </c>
      <c r="G92" t="s">
        <v>148</v>
      </c>
      <c r="H92">
        <v>2</v>
      </c>
      <c r="I92">
        <v>1397.02</v>
      </c>
      <c r="J92">
        <v>2794.04</v>
      </c>
      <c r="K92" t="s">
        <v>404</v>
      </c>
      <c r="L92" t="s">
        <v>36</v>
      </c>
    </row>
    <row r="93" spans="1:12" x14ac:dyDescent="0.35">
      <c r="A93" t="s">
        <v>405</v>
      </c>
      <c r="B93" t="s">
        <v>406</v>
      </c>
      <c r="C93" t="s">
        <v>407</v>
      </c>
      <c r="D93" t="s">
        <v>32</v>
      </c>
      <c r="E93" t="s">
        <v>203</v>
      </c>
      <c r="F93" t="s">
        <v>42</v>
      </c>
      <c r="G93" t="s">
        <v>170</v>
      </c>
      <c r="H93">
        <v>2</v>
      </c>
      <c r="I93">
        <v>27.37</v>
      </c>
      <c r="J93">
        <v>54.74</v>
      </c>
      <c r="K93" t="s">
        <v>408</v>
      </c>
      <c r="L93" t="s">
        <v>28</v>
      </c>
    </row>
    <row r="94" spans="1:12" x14ac:dyDescent="0.35">
      <c r="A94" t="s">
        <v>409</v>
      </c>
      <c r="B94" t="s">
        <v>142</v>
      </c>
      <c r="C94" t="s">
        <v>143</v>
      </c>
      <c r="D94" t="s">
        <v>32</v>
      </c>
      <c r="E94" t="s">
        <v>203</v>
      </c>
      <c r="F94" t="s">
        <v>16</v>
      </c>
      <c r="G94" t="s">
        <v>17</v>
      </c>
      <c r="H94">
        <v>5</v>
      </c>
      <c r="I94">
        <v>756.33</v>
      </c>
      <c r="J94">
        <v>3781.65</v>
      </c>
      <c r="K94" t="s">
        <v>410</v>
      </c>
      <c r="L94" t="s">
        <v>28</v>
      </c>
    </row>
    <row r="95" spans="1:12" x14ac:dyDescent="0.35">
      <c r="A95" t="s">
        <v>411</v>
      </c>
      <c r="B95" t="s">
        <v>412</v>
      </c>
      <c r="C95" t="s">
        <v>413</v>
      </c>
      <c r="D95" t="s">
        <v>40</v>
      </c>
      <c r="E95" t="s">
        <v>41</v>
      </c>
      <c r="F95" t="s">
        <v>101</v>
      </c>
      <c r="G95" t="s">
        <v>165</v>
      </c>
      <c r="H95">
        <v>4</v>
      </c>
      <c r="I95">
        <v>1223.7</v>
      </c>
      <c r="J95">
        <v>4894.8</v>
      </c>
      <c r="K95" t="s">
        <v>414</v>
      </c>
      <c r="L95" t="s">
        <v>28</v>
      </c>
    </row>
    <row r="96" spans="1:12" x14ac:dyDescent="0.35">
      <c r="A96" t="s">
        <v>415</v>
      </c>
      <c r="B96" t="s">
        <v>163</v>
      </c>
      <c r="C96" t="s">
        <v>164</v>
      </c>
      <c r="D96" t="s">
        <v>23</v>
      </c>
      <c r="E96" t="s">
        <v>338</v>
      </c>
      <c r="F96" t="s">
        <v>16</v>
      </c>
      <c r="G96" t="s">
        <v>230</v>
      </c>
      <c r="H96">
        <v>1</v>
      </c>
      <c r="I96">
        <v>136.19</v>
      </c>
      <c r="J96">
        <v>136.19</v>
      </c>
      <c r="K96" t="s">
        <v>416</v>
      </c>
      <c r="L96" t="s">
        <v>28</v>
      </c>
    </row>
    <row r="97" spans="1:12" x14ac:dyDescent="0.35">
      <c r="A97" t="s">
        <v>417</v>
      </c>
      <c r="B97" t="s">
        <v>418</v>
      </c>
      <c r="C97" t="s">
        <v>419</v>
      </c>
      <c r="D97" t="s">
        <v>23</v>
      </c>
      <c r="E97" t="s">
        <v>49</v>
      </c>
      <c r="F97" t="s">
        <v>101</v>
      </c>
      <c r="G97" t="s">
        <v>165</v>
      </c>
      <c r="H97">
        <v>4</v>
      </c>
      <c r="I97">
        <v>1303.0999999999999</v>
      </c>
      <c r="J97">
        <v>5212.3999999999996</v>
      </c>
      <c r="K97" t="s">
        <v>420</v>
      </c>
      <c r="L97" t="s">
        <v>28</v>
      </c>
    </row>
    <row r="98" spans="1:12" x14ac:dyDescent="0.35">
      <c r="A98" t="s">
        <v>421</v>
      </c>
      <c r="B98" t="s">
        <v>77</v>
      </c>
      <c r="C98" t="s">
        <v>78</v>
      </c>
      <c r="D98" t="s">
        <v>67</v>
      </c>
      <c r="E98" t="s">
        <v>68</v>
      </c>
      <c r="F98" t="s">
        <v>42</v>
      </c>
      <c r="G98" t="s">
        <v>89</v>
      </c>
      <c r="H98">
        <v>2</v>
      </c>
      <c r="I98">
        <v>1065.43</v>
      </c>
      <c r="J98">
        <v>2130.86</v>
      </c>
      <c r="K98" t="s">
        <v>422</v>
      </c>
      <c r="L98" t="s">
        <v>91</v>
      </c>
    </row>
    <row r="99" spans="1:12" x14ac:dyDescent="0.35">
      <c r="A99" t="s">
        <v>423</v>
      </c>
      <c r="B99" t="s">
        <v>72</v>
      </c>
      <c r="C99" t="s">
        <v>73</v>
      </c>
      <c r="D99" t="s">
        <v>23</v>
      </c>
      <c r="E99" t="s">
        <v>338</v>
      </c>
      <c r="F99" t="s">
        <v>42</v>
      </c>
      <c r="G99" t="s">
        <v>225</v>
      </c>
      <c r="H99">
        <v>3</v>
      </c>
      <c r="I99">
        <v>1117.21</v>
      </c>
      <c r="J99">
        <v>3351.63</v>
      </c>
      <c r="K99" t="s">
        <v>424</v>
      </c>
      <c r="L99" t="s">
        <v>91</v>
      </c>
    </row>
    <row r="100" spans="1:12" x14ac:dyDescent="0.35">
      <c r="A100" t="s">
        <v>425</v>
      </c>
      <c r="B100" t="s">
        <v>426</v>
      </c>
      <c r="C100" t="s">
        <v>427</v>
      </c>
      <c r="D100" t="s">
        <v>40</v>
      </c>
      <c r="E100" t="s">
        <v>41</v>
      </c>
      <c r="F100" t="s">
        <v>25</v>
      </c>
      <c r="G100" t="s">
        <v>139</v>
      </c>
      <c r="H100">
        <v>2</v>
      </c>
      <c r="I100">
        <v>1219.76</v>
      </c>
      <c r="J100">
        <v>2439.52</v>
      </c>
      <c r="K100" t="s">
        <v>305</v>
      </c>
      <c r="L100" t="s">
        <v>28</v>
      </c>
    </row>
    <row r="101" spans="1:12" x14ac:dyDescent="0.35">
      <c r="A101" t="s">
        <v>428</v>
      </c>
      <c r="B101" t="s">
        <v>429</v>
      </c>
      <c r="C101" t="s">
        <v>430</v>
      </c>
      <c r="D101" t="s">
        <v>32</v>
      </c>
      <c r="E101" t="s">
        <v>203</v>
      </c>
      <c r="F101" t="s">
        <v>25</v>
      </c>
      <c r="G101" t="s">
        <v>34</v>
      </c>
      <c r="H101">
        <v>1</v>
      </c>
      <c r="I101">
        <v>896.06</v>
      </c>
      <c r="J101">
        <v>896.06</v>
      </c>
      <c r="K101" t="s">
        <v>431</v>
      </c>
      <c r="L101" t="s">
        <v>36</v>
      </c>
    </row>
    <row r="102" spans="1:12" x14ac:dyDescent="0.35">
      <c r="A102" t="s">
        <v>432</v>
      </c>
      <c r="B102" t="s">
        <v>252</v>
      </c>
      <c r="C102" t="s">
        <v>253</v>
      </c>
      <c r="D102" t="s">
        <v>67</v>
      </c>
      <c r="E102" t="s">
        <v>130</v>
      </c>
      <c r="F102" t="s">
        <v>101</v>
      </c>
      <c r="G102" t="s">
        <v>237</v>
      </c>
      <c r="H102">
        <v>3</v>
      </c>
      <c r="I102">
        <v>738.48</v>
      </c>
      <c r="J102">
        <v>2215.44</v>
      </c>
      <c r="K102" t="s">
        <v>433</v>
      </c>
      <c r="L102" t="s">
        <v>45</v>
      </c>
    </row>
    <row r="103" spans="1:12" x14ac:dyDescent="0.35">
      <c r="A103" t="s">
        <v>434</v>
      </c>
      <c r="B103" t="s">
        <v>435</v>
      </c>
      <c r="C103" t="s">
        <v>436</v>
      </c>
      <c r="D103" t="s">
        <v>14</v>
      </c>
      <c r="E103" t="s">
        <v>266</v>
      </c>
      <c r="F103" t="s">
        <v>101</v>
      </c>
      <c r="G103" t="s">
        <v>373</v>
      </c>
      <c r="H103">
        <v>5</v>
      </c>
      <c r="I103">
        <v>1099.57</v>
      </c>
      <c r="J103">
        <v>5497.85</v>
      </c>
      <c r="K103" t="s">
        <v>437</v>
      </c>
      <c r="L103" t="s">
        <v>91</v>
      </c>
    </row>
    <row r="104" spans="1:12" x14ac:dyDescent="0.35">
      <c r="A104" t="s">
        <v>438</v>
      </c>
      <c r="B104" t="s">
        <v>439</v>
      </c>
      <c r="C104" t="s">
        <v>440</v>
      </c>
      <c r="D104" t="s">
        <v>14</v>
      </c>
      <c r="E104" t="s">
        <v>125</v>
      </c>
      <c r="F104" t="s">
        <v>50</v>
      </c>
      <c r="G104" t="s">
        <v>51</v>
      </c>
      <c r="H104">
        <v>4</v>
      </c>
      <c r="I104">
        <v>847.54</v>
      </c>
      <c r="J104">
        <v>3390.16</v>
      </c>
      <c r="K104" t="s">
        <v>441</v>
      </c>
      <c r="L104" t="s">
        <v>91</v>
      </c>
    </row>
    <row r="105" spans="1:12" x14ac:dyDescent="0.35">
      <c r="A105" t="s">
        <v>442</v>
      </c>
      <c r="B105" t="s">
        <v>443</v>
      </c>
      <c r="C105" t="s">
        <v>444</v>
      </c>
      <c r="D105" t="s">
        <v>23</v>
      </c>
      <c r="E105" t="s">
        <v>24</v>
      </c>
      <c r="F105" t="s">
        <v>25</v>
      </c>
      <c r="G105" t="s">
        <v>139</v>
      </c>
      <c r="H105">
        <v>3</v>
      </c>
      <c r="I105">
        <v>11.59</v>
      </c>
      <c r="J105">
        <v>34.770000000000003</v>
      </c>
      <c r="K105" t="s">
        <v>329</v>
      </c>
      <c r="L105" t="s">
        <v>36</v>
      </c>
    </row>
    <row r="106" spans="1:12" x14ac:dyDescent="0.35">
      <c r="A106" t="s">
        <v>445</v>
      </c>
      <c r="B106" t="s">
        <v>446</v>
      </c>
      <c r="C106" t="s">
        <v>447</v>
      </c>
      <c r="D106" t="s">
        <v>40</v>
      </c>
      <c r="E106" t="s">
        <v>41</v>
      </c>
      <c r="F106" t="s">
        <v>42</v>
      </c>
      <c r="G106" t="s">
        <v>170</v>
      </c>
      <c r="H106">
        <v>5</v>
      </c>
      <c r="I106">
        <v>164.65</v>
      </c>
      <c r="J106">
        <v>823.25</v>
      </c>
      <c r="K106" t="s">
        <v>448</v>
      </c>
      <c r="L106" t="s">
        <v>45</v>
      </c>
    </row>
    <row r="107" spans="1:12" x14ac:dyDescent="0.35">
      <c r="A107" t="s">
        <v>449</v>
      </c>
      <c r="B107" t="s">
        <v>450</v>
      </c>
      <c r="C107" t="s">
        <v>451</v>
      </c>
      <c r="D107" t="s">
        <v>40</v>
      </c>
      <c r="E107" t="s">
        <v>120</v>
      </c>
      <c r="F107" t="s">
        <v>25</v>
      </c>
      <c r="G107" t="s">
        <v>139</v>
      </c>
      <c r="H107">
        <v>4</v>
      </c>
      <c r="I107">
        <v>51.36</v>
      </c>
      <c r="J107">
        <v>205.44</v>
      </c>
      <c r="K107" t="s">
        <v>452</v>
      </c>
      <c r="L107" t="s">
        <v>19</v>
      </c>
    </row>
    <row r="108" spans="1:12" x14ac:dyDescent="0.35">
      <c r="A108" t="s">
        <v>453</v>
      </c>
      <c r="B108" t="s">
        <v>454</v>
      </c>
      <c r="C108" t="s">
        <v>455</v>
      </c>
      <c r="D108" t="s">
        <v>67</v>
      </c>
      <c r="E108" t="s">
        <v>68</v>
      </c>
      <c r="F108" t="s">
        <v>50</v>
      </c>
      <c r="G108" t="s">
        <v>216</v>
      </c>
      <c r="H108">
        <v>4</v>
      </c>
      <c r="I108">
        <v>1258.03</v>
      </c>
      <c r="J108">
        <v>5032.12</v>
      </c>
      <c r="K108" t="s">
        <v>456</v>
      </c>
      <c r="L108" t="s">
        <v>36</v>
      </c>
    </row>
    <row r="109" spans="1:12" x14ac:dyDescent="0.35">
      <c r="A109" t="s">
        <v>457</v>
      </c>
      <c r="B109" t="s">
        <v>435</v>
      </c>
      <c r="C109" t="s">
        <v>436</v>
      </c>
      <c r="D109" t="s">
        <v>23</v>
      </c>
      <c r="E109" t="s">
        <v>338</v>
      </c>
      <c r="F109" t="s">
        <v>42</v>
      </c>
      <c r="G109" t="s">
        <v>225</v>
      </c>
      <c r="H109">
        <v>4</v>
      </c>
      <c r="I109">
        <v>1255.8699999999999</v>
      </c>
      <c r="J109">
        <v>5023.4799999999996</v>
      </c>
      <c r="K109" t="s">
        <v>458</v>
      </c>
      <c r="L109" t="s">
        <v>91</v>
      </c>
    </row>
    <row r="110" spans="1:12" x14ac:dyDescent="0.35">
      <c r="A110" t="s">
        <v>459</v>
      </c>
      <c r="B110" t="s">
        <v>460</v>
      </c>
      <c r="C110" t="s">
        <v>461</v>
      </c>
      <c r="D110" t="s">
        <v>14</v>
      </c>
      <c r="E110" t="s">
        <v>95</v>
      </c>
      <c r="F110" t="s">
        <v>50</v>
      </c>
      <c r="G110" t="s">
        <v>51</v>
      </c>
      <c r="H110">
        <v>2</v>
      </c>
      <c r="I110">
        <v>896.52</v>
      </c>
      <c r="J110">
        <v>1793.04</v>
      </c>
      <c r="K110" t="s">
        <v>462</v>
      </c>
      <c r="L110" t="s">
        <v>19</v>
      </c>
    </row>
    <row r="111" spans="1:12" x14ac:dyDescent="0.35">
      <c r="A111" t="s">
        <v>463</v>
      </c>
      <c r="B111" t="s">
        <v>464</v>
      </c>
      <c r="C111" t="s">
        <v>465</v>
      </c>
      <c r="D111" t="s">
        <v>40</v>
      </c>
      <c r="E111" t="s">
        <v>79</v>
      </c>
      <c r="F111" t="s">
        <v>25</v>
      </c>
      <c r="G111" t="s">
        <v>74</v>
      </c>
      <c r="H111">
        <v>2</v>
      </c>
      <c r="I111">
        <v>487.49</v>
      </c>
      <c r="J111">
        <v>974.98</v>
      </c>
      <c r="K111" t="s">
        <v>466</v>
      </c>
      <c r="L111" t="s">
        <v>19</v>
      </c>
    </row>
    <row r="112" spans="1:12" x14ac:dyDescent="0.35">
      <c r="A112" t="s">
        <v>467</v>
      </c>
      <c r="B112" t="s">
        <v>303</v>
      </c>
      <c r="C112" t="s">
        <v>304</v>
      </c>
      <c r="D112" t="s">
        <v>67</v>
      </c>
      <c r="E112" t="s">
        <v>130</v>
      </c>
      <c r="F112" t="s">
        <v>25</v>
      </c>
      <c r="G112" t="s">
        <v>74</v>
      </c>
      <c r="H112">
        <v>1</v>
      </c>
      <c r="I112">
        <v>374.6</v>
      </c>
      <c r="J112">
        <v>374.6</v>
      </c>
      <c r="K112" t="s">
        <v>468</v>
      </c>
      <c r="L112" t="s">
        <v>45</v>
      </c>
    </row>
    <row r="113" spans="1:12" x14ac:dyDescent="0.35">
      <c r="A113" t="s">
        <v>469</v>
      </c>
      <c r="B113" t="s">
        <v>470</v>
      </c>
      <c r="C113" t="s">
        <v>471</v>
      </c>
      <c r="D113" t="s">
        <v>32</v>
      </c>
      <c r="E113" t="s">
        <v>33</v>
      </c>
      <c r="F113" t="s">
        <v>25</v>
      </c>
      <c r="G113" t="s">
        <v>34</v>
      </c>
      <c r="H113">
        <v>4</v>
      </c>
      <c r="I113">
        <v>761.97</v>
      </c>
      <c r="J113">
        <v>3047.88</v>
      </c>
      <c r="K113" t="s">
        <v>472</v>
      </c>
      <c r="L113" t="s">
        <v>45</v>
      </c>
    </row>
    <row r="114" spans="1:12" x14ac:dyDescent="0.35">
      <c r="A114" t="s">
        <v>473</v>
      </c>
      <c r="B114" t="s">
        <v>474</v>
      </c>
      <c r="C114" t="s">
        <v>475</v>
      </c>
      <c r="D114" t="s">
        <v>67</v>
      </c>
      <c r="E114" t="s">
        <v>68</v>
      </c>
      <c r="F114" t="s">
        <v>101</v>
      </c>
      <c r="G114" t="s">
        <v>237</v>
      </c>
      <c r="H114">
        <v>1</v>
      </c>
      <c r="I114">
        <v>1374.43</v>
      </c>
      <c r="J114">
        <v>1374.43</v>
      </c>
      <c r="K114" t="s">
        <v>400</v>
      </c>
      <c r="L114" t="s">
        <v>36</v>
      </c>
    </row>
    <row r="115" spans="1:12" x14ac:dyDescent="0.35">
      <c r="A115" t="s">
        <v>476</v>
      </c>
      <c r="B115" t="s">
        <v>388</v>
      </c>
      <c r="C115" t="s">
        <v>389</v>
      </c>
      <c r="D115" t="s">
        <v>23</v>
      </c>
      <c r="E115" t="s">
        <v>338</v>
      </c>
      <c r="F115" t="s">
        <v>42</v>
      </c>
      <c r="G115" t="s">
        <v>225</v>
      </c>
      <c r="H115">
        <v>5</v>
      </c>
      <c r="I115">
        <v>833.26</v>
      </c>
      <c r="J115">
        <v>4166.3</v>
      </c>
      <c r="K115" t="s">
        <v>477</v>
      </c>
      <c r="L115" t="s">
        <v>36</v>
      </c>
    </row>
    <row r="116" spans="1:12" x14ac:dyDescent="0.35">
      <c r="A116" t="s">
        <v>478</v>
      </c>
      <c r="B116" t="s">
        <v>341</v>
      </c>
      <c r="C116" t="s">
        <v>342</v>
      </c>
      <c r="D116" t="s">
        <v>23</v>
      </c>
      <c r="E116" t="s">
        <v>49</v>
      </c>
      <c r="F116" t="s">
        <v>25</v>
      </c>
      <c r="G116" t="s">
        <v>34</v>
      </c>
      <c r="H116">
        <v>2</v>
      </c>
      <c r="I116">
        <v>614.83000000000004</v>
      </c>
      <c r="J116">
        <v>1229.6600000000001</v>
      </c>
      <c r="K116" t="s">
        <v>479</v>
      </c>
      <c r="L116" t="s">
        <v>19</v>
      </c>
    </row>
    <row r="117" spans="1:12" x14ac:dyDescent="0.35">
      <c r="A117" t="s">
        <v>480</v>
      </c>
      <c r="B117" t="s">
        <v>481</v>
      </c>
      <c r="C117" t="s">
        <v>482</v>
      </c>
      <c r="D117" t="s">
        <v>67</v>
      </c>
      <c r="E117" t="s">
        <v>115</v>
      </c>
      <c r="F117" t="s">
        <v>50</v>
      </c>
      <c r="G117" t="s">
        <v>69</v>
      </c>
      <c r="H117">
        <v>4</v>
      </c>
      <c r="I117">
        <v>1481.6</v>
      </c>
      <c r="J117">
        <v>5926.4</v>
      </c>
      <c r="K117" t="s">
        <v>483</v>
      </c>
      <c r="L117" t="s">
        <v>91</v>
      </c>
    </row>
    <row r="118" spans="1:12" x14ac:dyDescent="0.35">
      <c r="A118" t="s">
        <v>484</v>
      </c>
      <c r="B118" t="s">
        <v>439</v>
      </c>
      <c r="C118" t="s">
        <v>440</v>
      </c>
      <c r="D118" t="s">
        <v>67</v>
      </c>
      <c r="E118" t="s">
        <v>130</v>
      </c>
      <c r="F118" t="s">
        <v>16</v>
      </c>
      <c r="G118" t="s">
        <v>17</v>
      </c>
      <c r="H118">
        <v>4</v>
      </c>
      <c r="I118">
        <v>95.67</v>
      </c>
      <c r="J118">
        <v>382.68</v>
      </c>
      <c r="K118" t="s">
        <v>70</v>
      </c>
      <c r="L118" t="s">
        <v>19</v>
      </c>
    </row>
    <row r="119" spans="1:12" x14ac:dyDescent="0.35">
      <c r="A119" t="s">
        <v>485</v>
      </c>
      <c r="B119" t="s">
        <v>201</v>
      </c>
      <c r="C119" t="s">
        <v>202</v>
      </c>
      <c r="D119" t="s">
        <v>67</v>
      </c>
      <c r="E119" t="s">
        <v>130</v>
      </c>
      <c r="F119" t="s">
        <v>16</v>
      </c>
      <c r="G119" t="s">
        <v>230</v>
      </c>
      <c r="H119">
        <v>5</v>
      </c>
      <c r="I119">
        <v>224.04</v>
      </c>
      <c r="J119">
        <v>1120.2</v>
      </c>
      <c r="K119" t="s">
        <v>486</v>
      </c>
      <c r="L119" t="s">
        <v>19</v>
      </c>
    </row>
    <row r="120" spans="1:12" x14ac:dyDescent="0.35">
      <c r="A120" t="s">
        <v>487</v>
      </c>
      <c r="B120" t="s">
        <v>281</v>
      </c>
      <c r="C120" t="s">
        <v>282</v>
      </c>
      <c r="D120" t="s">
        <v>40</v>
      </c>
      <c r="E120" t="s">
        <v>120</v>
      </c>
      <c r="F120" t="s">
        <v>101</v>
      </c>
      <c r="G120" t="s">
        <v>373</v>
      </c>
      <c r="H120">
        <v>5</v>
      </c>
      <c r="I120">
        <v>875.93</v>
      </c>
      <c r="J120">
        <v>4379.6499999999996</v>
      </c>
      <c r="K120" t="s">
        <v>488</v>
      </c>
      <c r="L120" t="s">
        <v>19</v>
      </c>
    </row>
    <row r="121" spans="1:12" x14ac:dyDescent="0.35">
      <c r="A121" t="s">
        <v>489</v>
      </c>
      <c r="B121" t="s">
        <v>252</v>
      </c>
      <c r="C121" t="s">
        <v>253</v>
      </c>
      <c r="D121" t="s">
        <v>67</v>
      </c>
      <c r="E121" t="s">
        <v>68</v>
      </c>
      <c r="F121" t="s">
        <v>42</v>
      </c>
      <c r="G121" t="s">
        <v>89</v>
      </c>
      <c r="H121">
        <v>5</v>
      </c>
      <c r="I121">
        <v>368.84</v>
      </c>
      <c r="J121">
        <v>1844.2</v>
      </c>
      <c r="K121" t="s">
        <v>490</v>
      </c>
      <c r="L121" t="s">
        <v>19</v>
      </c>
    </row>
    <row r="122" spans="1:12" x14ac:dyDescent="0.35">
      <c r="A122" t="s">
        <v>491</v>
      </c>
      <c r="B122" t="s">
        <v>492</v>
      </c>
      <c r="C122" t="s">
        <v>493</v>
      </c>
      <c r="D122" t="s">
        <v>67</v>
      </c>
      <c r="E122" t="s">
        <v>68</v>
      </c>
      <c r="F122" t="s">
        <v>25</v>
      </c>
      <c r="G122" t="s">
        <v>34</v>
      </c>
      <c r="H122">
        <v>2</v>
      </c>
      <c r="I122">
        <v>176.75</v>
      </c>
      <c r="J122">
        <v>353.5</v>
      </c>
      <c r="K122" t="s">
        <v>494</v>
      </c>
      <c r="L122" t="s">
        <v>36</v>
      </c>
    </row>
    <row r="123" spans="1:12" x14ac:dyDescent="0.35">
      <c r="A123" t="s">
        <v>495</v>
      </c>
      <c r="B123" t="s">
        <v>496</v>
      </c>
      <c r="C123" t="s">
        <v>497</v>
      </c>
      <c r="D123" t="s">
        <v>32</v>
      </c>
      <c r="E123" t="s">
        <v>203</v>
      </c>
      <c r="F123" t="s">
        <v>101</v>
      </c>
      <c r="G123" t="s">
        <v>237</v>
      </c>
      <c r="H123">
        <v>1</v>
      </c>
      <c r="I123">
        <v>429.48</v>
      </c>
      <c r="J123">
        <v>429.48</v>
      </c>
      <c r="K123" t="s">
        <v>498</v>
      </c>
      <c r="L123" t="s">
        <v>36</v>
      </c>
    </row>
    <row r="124" spans="1:12" x14ac:dyDescent="0.35">
      <c r="A124" t="s">
        <v>499</v>
      </c>
      <c r="B124" t="s">
        <v>500</v>
      </c>
      <c r="C124" t="s">
        <v>501</v>
      </c>
      <c r="D124" t="s">
        <v>32</v>
      </c>
      <c r="E124" t="s">
        <v>33</v>
      </c>
      <c r="F124" t="s">
        <v>50</v>
      </c>
      <c r="G124" t="s">
        <v>216</v>
      </c>
      <c r="H124">
        <v>4</v>
      </c>
      <c r="I124">
        <v>231.9</v>
      </c>
      <c r="J124">
        <v>927.6</v>
      </c>
      <c r="K124" t="s">
        <v>502</v>
      </c>
      <c r="L124" t="s">
        <v>19</v>
      </c>
    </row>
    <row r="125" spans="1:12" x14ac:dyDescent="0.35">
      <c r="A125" t="s">
        <v>503</v>
      </c>
      <c r="B125" t="s">
        <v>388</v>
      </c>
      <c r="C125" t="s">
        <v>389</v>
      </c>
      <c r="D125" t="s">
        <v>67</v>
      </c>
      <c r="E125" t="s">
        <v>130</v>
      </c>
      <c r="F125" t="s">
        <v>101</v>
      </c>
      <c r="G125" t="s">
        <v>237</v>
      </c>
      <c r="H125">
        <v>4</v>
      </c>
      <c r="I125">
        <v>167.31</v>
      </c>
      <c r="J125">
        <v>669.24</v>
      </c>
      <c r="K125" t="s">
        <v>504</v>
      </c>
      <c r="L125" t="s">
        <v>91</v>
      </c>
    </row>
    <row r="126" spans="1:12" x14ac:dyDescent="0.35">
      <c r="A126" t="s">
        <v>505</v>
      </c>
      <c r="B126" t="s">
        <v>506</v>
      </c>
      <c r="C126" t="s">
        <v>507</v>
      </c>
      <c r="D126" t="s">
        <v>32</v>
      </c>
      <c r="E126" t="s">
        <v>33</v>
      </c>
      <c r="F126" t="s">
        <v>25</v>
      </c>
      <c r="G126" t="s">
        <v>62</v>
      </c>
      <c r="H126">
        <v>5</v>
      </c>
      <c r="I126">
        <v>79.64</v>
      </c>
      <c r="J126">
        <v>398.2</v>
      </c>
      <c r="K126" t="s">
        <v>508</v>
      </c>
      <c r="L126" t="s">
        <v>45</v>
      </c>
    </row>
    <row r="127" spans="1:12" x14ac:dyDescent="0.35">
      <c r="A127" t="s">
        <v>509</v>
      </c>
      <c r="B127" t="s">
        <v>273</v>
      </c>
      <c r="C127" t="s">
        <v>274</v>
      </c>
      <c r="D127" t="s">
        <v>67</v>
      </c>
      <c r="E127" t="s">
        <v>115</v>
      </c>
      <c r="F127" t="s">
        <v>16</v>
      </c>
      <c r="G127" t="s">
        <v>182</v>
      </c>
      <c r="H127">
        <v>1</v>
      </c>
      <c r="I127">
        <v>377.23</v>
      </c>
      <c r="J127">
        <v>377.23</v>
      </c>
      <c r="K127" t="s">
        <v>510</v>
      </c>
      <c r="L127" t="s">
        <v>19</v>
      </c>
    </row>
    <row r="128" spans="1:12" x14ac:dyDescent="0.35">
      <c r="A128" t="s">
        <v>511</v>
      </c>
      <c r="B128" t="s">
        <v>240</v>
      </c>
      <c r="C128" t="s">
        <v>241</v>
      </c>
      <c r="D128" t="s">
        <v>40</v>
      </c>
      <c r="E128" t="s">
        <v>79</v>
      </c>
      <c r="F128" t="s">
        <v>50</v>
      </c>
      <c r="G128" t="s">
        <v>69</v>
      </c>
      <c r="H128">
        <v>2</v>
      </c>
      <c r="I128">
        <v>960.39</v>
      </c>
      <c r="J128">
        <v>1920.78</v>
      </c>
      <c r="K128" t="s">
        <v>512</v>
      </c>
      <c r="L128" t="s">
        <v>28</v>
      </c>
    </row>
    <row r="129" spans="1:12" x14ac:dyDescent="0.35">
      <c r="A129" t="s">
        <v>513</v>
      </c>
      <c r="B129" t="s">
        <v>514</v>
      </c>
      <c r="C129" t="s">
        <v>515</v>
      </c>
      <c r="D129" t="s">
        <v>40</v>
      </c>
      <c r="E129" t="s">
        <v>79</v>
      </c>
      <c r="F129" t="s">
        <v>25</v>
      </c>
      <c r="G129" t="s">
        <v>139</v>
      </c>
      <c r="H129">
        <v>4</v>
      </c>
      <c r="I129">
        <v>490.83</v>
      </c>
      <c r="J129">
        <v>1963.32</v>
      </c>
      <c r="K129" t="s">
        <v>516</v>
      </c>
      <c r="L129" t="s">
        <v>91</v>
      </c>
    </row>
    <row r="130" spans="1:12" x14ac:dyDescent="0.35">
      <c r="A130" t="s">
        <v>517</v>
      </c>
      <c r="B130" t="s">
        <v>518</v>
      </c>
      <c r="C130" t="s">
        <v>519</v>
      </c>
      <c r="D130" t="s">
        <v>32</v>
      </c>
      <c r="E130" t="s">
        <v>33</v>
      </c>
      <c r="F130" t="s">
        <v>101</v>
      </c>
      <c r="G130" t="s">
        <v>373</v>
      </c>
      <c r="H130">
        <v>2</v>
      </c>
      <c r="I130">
        <v>956.51</v>
      </c>
      <c r="J130">
        <v>1913.02</v>
      </c>
      <c r="K130" t="s">
        <v>140</v>
      </c>
      <c r="L130" t="s">
        <v>19</v>
      </c>
    </row>
    <row r="131" spans="1:12" x14ac:dyDescent="0.35">
      <c r="A131" t="s">
        <v>520</v>
      </c>
      <c r="B131" t="s">
        <v>521</v>
      </c>
      <c r="C131" t="s">
        <v>522</v>
      </c>
      <c r="D131" t="s">
        <v>40</v>
      </c>
      <c r="E131" t="s">
        <v>79</v>
      </c>
      <c r="F131" t="s">
        <v>101</v>
      </c>
      <c r="G131" t="s">
        <v>102</v>
      </c>
      <c r="H131">
        <v>1</v>
      </c>
      <c r="I131">
        <v>319.20999999999998</v>
      </c>
      <c r="J131">
        <v>319.20999999999998</v>
      </c>
      <c r="K131" t="s">
        <v>523</v>
      </c>
      <c r="L131" t="s">
        <v>36</v>
      </c>
    </row>
    <row r="132" spans="1:12" x14ac:dyDescent="0.35">
      <c r="A132" t="s">
        <v>524</v>
      </c>
      <c r="B132" t="s">
        <v>418</v>
      </c>
      <c r="C132" t="s">
        <v>419</v>
      </c>
      <c r="D132" t="s">
        <v>67</v>
      </c>
      <c r="E132" t="s">
        <v>130</v>
      </c>
      <c r="F132" t="s">
        <v>16</v>
      </c>
      <c r="G132" t="s">
        <v>230</v>
      </c>
      <c r="H132">
        <v>5</v>
      </c>
      <c r="I132">
        <v>183.49</v>
      </c>
      <c r="J132">
        <v>917.45</v>
      </c>
      <c r="K132" t="s">
        <v>246</v>
      </c>
      <c r="L132" t="s">
        <v>19</v>
      </c>
    </row>
    <row r="133" spans="1:12" x14ac:dyDescent="0.35">
      <c r="A133" t="s">
        <v>525</v>
      </c>
      <c r="B133" t="s">
        <v>402</v>
      </c>
      <c r="C133" t="s">
        <v>403</v>
      </c>
      <c r="D133" t="s">
        <v>40</v>
      </c>
      <c r="E133" t="s">
        <v>120</v>
      </c>
      <c r="F133" t="s">
        <v>42</v>
      </c>
      <c r="G133" t="s">
        <v>225</v>
      </c>
      <c r="H133">
        <v>2</v>
      </c>
      <c r="I133">
        <v>418.61</v>
      </c>
      <c r="J133">
        <v>837.22</v>
      </c>
      <c r="K133" t="s">
        <v>526</v>
      </c>
      <c r="L133" t="s">
        <v>19</v>
      </c>
    </row>
    <row r="134" spans="1:12" x14ac:dyDescent="0.35">
      <c r="A134" t="s">
        <v>527</v>
      </c>
      <c r="B134" t="s">
        <v>514</v>
      </c>
      <c r="C134" t="s">
        <v>515</v>
      </c>
      <c r="D134" t="s">
        <v>32</v>
      </c>
      <c r="E134" t="s">
        <v>61</v>
      </c>
      <c r="F134" t="s">
        <v>50</v>
      </c>
      <c r="G134" t="s">
        <v>56</v>
      </c>
      <c r="H134">
        <v>1</v>
      </c>
      <c r="I134">
        <v>580.89</v>
      </c>
      <c r="J134">
        <v>580.89</v>
      </c>
      <c r="K134" t="s">
        <v>528</v>
      </c>
      <c r="L134" t="s">
        <v>36</v>
      </c>
    </row>
    <row r="135" spans="1:12" x14ac:dyDescent="0.35">
      <c r="A135" t="s">
        <v>529</v>
      </c>
      <c r="B135" t="s">
        <v>109</v>
      </c>
      <c r="C135" t="s">
        <v>110</v>
      </c>
      <c r="D135" t="s">
        <v>67</v>
      </c>
      <c r="E135" t="s">
        <v>115</v>
      </c>
      <c r="F135" t="s">
        <v>25</v>
      </c>
      <c r="G135" t="s">
        <v>26</v>
      </c>
      <c r="H135">
        <v>4</v>
      </c>
      <c r="I135">
        <v>1475.99</v>
      </c>
      <c r="J135">
        <v>5903.96</v>
      </c>
      <c r="K135" t="s">
        <v>530</v>
      </c>
      <c r="L135" t="s">
        <v>28</v>
      </c>
    </row>
    <row r="136" spans="1:12" x14ac:dyDescent="0.35">
      <c r="A136" t="s">
        <v>531</v>
      </c>
      <c r="B136" t="s">
        <v>532</v>
      </c>
      <c r="C136" t="s">
        <v>533</v>
      </c>
      <c r="D136" t="s">
        <v>40</v>
      </c>
      <c r="E136" t="s">
        <v>120</v>
      </c>
      <c r="F136" t="s">
        <v>101</v>
      </c>
      <c r="G136" t="s">
        <v>165</v>
      </c>
      <c r="H136">
        <v>2</v>
      </c>
      <c r="I136">
        <v>703.7</v>
      </c>
      <c r="J136">
        <v>1407.4</v>
      </c>
      <c r="K136" t="s">
        <v>534</v>
      </c>
      <c r="L136" t="s">
        <v>36</v>
      </c>
    </row>
    <row r="137" spans="1:12" x14ac:dyDescent="0.35">
      <c r="A137" t="s">
        <v>535</v>
      </c>
      <c r="B137" t="s">
        <v>536</v>
      </c>
      <c r="C137" t="s">
        <v>537</v>
      </c>
      <c r="D137" t="s">
        <v>23</v>
      </c>
      <c r="E137" t="s">
        <v>24</v>
      </c>
      <c r="F137" t="s">
        <v>42</v>
      </c>
      <c r="G137" t="s">
        <v>170</v>
      </c>
      <c r="H137">
        <v>5</v>
      </c>
      <c r="I137">
        <v>220.95</v>
      </c>
      <c r="J137">
        <v>1104.75</v>
      </c>
      <c r="K137" t="s">
        <v>538</v>
      </c>
      <c r="L137" t="s">
        <v>45</v>
      </c>
    </row>
    <row r="138" spans="1:12" x14ac:dyDescent="0.35">
      <c r="A138" t="s">
        <v>539</v>
      </c>
      <c r="B138" t="s">
        <v>256</v>
      </c>
      <c r="C138" t="s">
        <v>257</v>
      </c>
      <c r="D138" t="s">
        <v>14</v>
      </c>
      <c r="E138" t="s">
        <v>125</v>
      </c>
      <c r="F138" t="s">
        <v>101</v>
      </c>
      <c r="G138" t="s">
        <v>237</v>
      </c>
      <c r="H138">
        <v>3</v>
      </c>
      <c r="I138">
        <v>547.20000000000005</v>
      </c>
      <c r="J138">
        <v>1641.6</v>
      </c>
      <c r="K138" t="s">
        <v>540</v>
      </c>
      <c r="L138" t="s">
        <v>19</v>
      </c>
    </row>
    <row r="139" spans="1:12" x14ac:dyDescent="0.35">
      <c r="A139" t="s">
        <v>541</v>
      </c>
      <c r="B139" t="s">
        <v>59</v>
      </c>
      <c r="C139" t="s">
        <v>60</v>
      </c>
      <c r="D139" t="s">
        <v>40</v>
      </c>
      <c r="E139" t="s">
        <v>79</v>
      </c>
      <c r="F139" t="s">
        <v>16</v>
      </c>
      <c r="G139" t="s">
        <v>17</v>
      </c>
      <c r="H139">
        <v>4</v>
      </c>
      <c r="I139">
        <v>1357.34</v>
      </c>
      <c r="J139">
        <v>5429.36</v>
      </c>
      <c r="K139" t="s">
        <v>542</v>
      </c>
      <c r="L139" t="s">
        <v>91</v>
      </c>
    </row>
    <row r="140" spans="1:12" x14ac:dyDescent="0.35">
      <c r="A140" t="s">
        <v>543</v>
      </c>
      <c r="B140" t="s">
        <v>544</v>
      </c>
      <c r="C140" t="s">
        <v>545</v>
      </c>
      <c r="D140" t="s">
        <v>40</v>
      </c>
      <c r="E140" t="s">
        <v>41</v>
      </c>
      <c r="F140" t="s">
        <v>25</v>
      </c>
      <c r="G140" t="s">
        <v>74</v>
      </c>
      <c r="H140">
        <v>4</v>
      </c>
      <c r="I140">
        <v>831.82</v>
      </c>
      <c r="J140">
        <v>3327.28</v>
      </c>
      <c r="K140" t="s">
        <v>546</v>
      </c>
      <c r="L140" t="s">
        <v>28</v>
      </c>
    </row>
    <row r="141" spans="1:12" x14ac:dyDescent="0.35">
      <c r="A141" t="s">
        <v>547</v>
      </c>
      <c r="B141" t="s">
        <v>548</v>
      </c>
      <c r="C141" t="s">
        <v>549</v>
      </c>
      <c r="D141" t="s">
        <v>32</v>
      </c>
      <c r="E141" t="s">
        <v>61</v>
      </c>
      <c r="F141" t="s">
        <v>25</v>
      </c>
      <c r="G141" t="s">
        <v>139</v>
      </c>
      <c r="H141">
        <v>1</v>
      </c>
      <c r="I141">
        <v>1194.4000000000001</v>
      </c>
      <c r="J141">
        <v>1194.4000000000001</v>
      </c>
      <c r="K141" t="s">
        <v>550</v>
      </c>
      <c r="L141" t="s">
        <v>91</v>
      </c>
    </row>
    <row r="142" spans="1:12" x14ac:dyDescent="0.35">
      <c r="A142" t="s">
        <v>551</v>
      </c>
      <c r="B142" t="s">
        <v>552</v>
      </c>
      <c r="C142" t="s">
        <v>553</v>
      </c>
      <c r="D142" t="s">
        <v>32</v>
      </c>
      <c r="E142" t="s">
        <v>61</v>
      </c>
      <c r="F142" t="s">
        <v>25</v>
      </c>
      <c r="G142" t="s">
        <v>139</v>
      </c>
      <c r="H142">
        <v>5</v>
      </c>
      <c r="I142">
        <v>1464.72</v>
      </c>
      <c r="J142">
        <v>7323.6</v>
      </c>
      <c r="K142" t="s">
        <v>187</v>
      </c>
      <c r="L142" t="s">
        <v>45</v>
      </c>
    </row>
    <row r="143" spans="1:12" x14ac:dyDescent="0.35">
      <c r="A143" t="s">
        <v>554</v>
      </c>
      <c r="B143" t="s">
        <v>555</v>
      </c>
      <c r="C143" t="s">
        <v>556</v>
      </c>
      <c r="D143" t="s">
        <v>32</v>
      </c>
      <c r="E143" t="s">
        <v>61</v>
      </c>
      <c r="F143" t="s">
        <v>25</v>
      </c>
      <c r="G143" t="s">
        <v>74</v>
      </c>
      <c r="H143">
        <v>5</v>
      </c>
      <c r="I143">
        <v>93.77</v>
      </c>
      <c r="J143">
        <v>468.85</v>
      </c>
      <c r="K143" t="s">
        <v>382</v>
      </c>
      <c r="L143" t="s">
        <v>45</v>
      </c>
    </row>
    <row r="144" spans="1:12" x14ac:dyDescent="0.35">
      <c r="A144" t="s">
        <v>557</v>
      </c>
      <c r="B144" t="s">
        <v>558</v>
      </c>
      <c r="C144" t="s">
        <v>559</v>
      </c>
      <c r="D144" t="s">
        <v>14</v>
      </c>
      <c r="E144" t="s">
        <v>125</v>
      </c>
      <c r="F144" t="s">
        <v>25</v>
      </c>
      <c r="G144" t="s">
        <v>62</v>
      </c>
      <c r="H144">
        <v>2</v>
      </c>
      <c r="I144">
        <v>358.01</v>
      </c>
      <c r="J144">
        <v>716.02</v>
      </c>
      <c r="K144" t="s">
        <v>560</v>
      </c>
      <c r="L144" t="s">
        <v>45</v>
      </c>
    </row>
    <row r="145" spans="1:12" x14ac:dyDescent="0.35">
      <c r="A145" t="s">
        <v>561</v>
      </c>
      <c r="B145" t="s">
        <v>562</v>
      </c>
      <c r="C145" t="s">
        <v>563</v>
      </c>
      <c r="D145" t="s">
        <v>67</v>
      </c>
      <c r="E145" t="s">
        <v>130</v>
      </c>
      <c r="F145" t="s">
        <v>50</v>
      </c>
      <c r="G145" t="s">
        <v>56</v>
      </c>
      <c r="H145">
        <v>1</v>
      </c>
      <c r="I145">
        <v>244.03</v>
      </c>
      <c r="J145">
        <v>244.03</v>
      </c>
      <c r="K145" t="s">
        <v>564</v>
      </c>
      <c r="L145" t="s">
        <v>45</v>
      </c>
    </row>
    <row r="146" spans="1:12" x14ac:dyDescent="0.35">
      <c r="A146" t="s">
        <v>565</v>
      </c>
      <c r="B146" t="s">
        <v>189</v>
      </c>
      <c r="C146" t="s">
        <v>190</v>
      </c>
      <c r="D146" t="s">
        <v>32</v>
      </c>
      <c r="E146" t="s">
        <v>33</v>
      </c>
      <c r="F146" t="s">
        <v>25</v>
      </c>
      <c r="G146" t="s">
        <v>74</v>
      </c>
      <c r="H146">
        <v>4</v>
      </c>
      <c r="I146">
        <v>747.78</v>
      </c>
      <c r="J146">
        <v>2991.12</v>
      </c>
      <c r="K146" t="s">
        <v>566</v>
      </c>
      <c r="L146" t="s">
        <v>28</v>
      </c>
    </row>
    <row r="147" spans="1:12" x14ac:dyDescent="0.35">
      <c r="A147" t="s">
        <v>567</v>
      </c>
      <c r="B147" t="s">
        <v>568</v>
      </c>
      <c r="C147" t="s">
        <v>569</v>
      </c>
      <c r="D147" t="s">
        <v>23</v>
      </c>
      <c r="E147" t="s">
        <v>49</v>
      </c>
      <c r="F147" t="s">
        <v>25</v>
      </c>
      <c r="G147" t="s">
        <v>34</v>
      </c>
      <c r="H147">
        <v>2</v>
      </c>
      <c r="I147">
        <v>1471.58</v>
      </c>
      <c r="J147">
        <v>2943.16</v>
      </c>
      <c r="K147" t="s">
        <v>570</v>
      </c>
      <c r="L147" t="s">
        <v>91</v>
      </c>
    </row>
    <row r="148" spans="1:12" x14ac:dyDescent="0.35">
      <c r="A148" t="s">
        <v>571</v>
      </c>
      <c r="B148" t="s">
        <v>359</v>
      </c>
      <c r="C148" t="s">
        <v>360</v>
      </c>
      <c r="D148" t="s">
        <v>40</v>
      </c>
      <c r="E148" t="s">
        <v>120</v>
      </c>
      <c r="F148" t="s">
        <v>42</v>
      </c>
      <c r="G148" t="s">
        <v>80</v>
      </c>
      <c r="H148">
        <v>1</v>
      </c>
      <c r="I148">
        <v>1158.81</v>
      </c>
      <c r="J148">
        <v>1158.81</v>
      </c>
      <c r="K148" t="s">
        <v>572</v>
      </c>
      <c r="L148" t="s">
        <v>28</v>
      </c>
    </row>
    <row r="149" spans="1:12" x14ac:dyDescent="0.35">
      <c r="A149" t="s">
        <v>573</v>
      </c>
      <c r="B149" t="s">
        <v>574</v>
      </c>
      <c r="C149" t="s">
        <v>575</v>
      </c>
      <c r="D149" t="s">
        <v>23</v>
      </c>
      <c r="E149" t="s">
        <v>338</v>
      </c>
      <c r="F149" t="s">
        <v>42</v>
      </c>
      <c r="G149" t="s">
        <v>43</v>
      </c>
      <c r="H149">
        <v>3</v>
      </c>
      <c r="I149">
        <v>786.29</v>
      </c>
      <c r="J149">
        <v>2358.87</v>
      </c>
      <c r="K149" t="s">
        <v>483</v>
      </c>
      <c r="L149" t="s">
        <v>45</v>
      </c>
    </row>
    <row r="150" spans="1:12" x14ac:dyDescent="0.35">
      <c r="A150" t="s">
        <v>576</v>
      </c>
      <c r="B150" t="s">
        <v>142</v>
      </c>
      <c r="C150" t="s">
        <v>143</v>
      </c>
      <c r="D150" t="s">
        <v>23</v>
      </c>
      <c r="E150" t="s">
        <v>24</v>
      </c>
      <c r="F150" t="s">
        <v>42</v>
      </c>
      <c r="G150" t="s">
        <v>89</v>
      </c>
      <c r="H150">
        <v>5</v>
      </c>
      <c r="I150">
        <v>242.81</v>
      </c>
      <c r="J150">
        <v>1214.05</v>
      </c>
      <c r="K150" t="s">
        <v>577</v>
      </c>
      <c r="L150" t="s">
        <v>91</v>
      </c>
    </row>
    <row r="151" spans="1:12" x14ac:dyDescent="0.35">
      <c r="A151" t="s">
        <v>578</v>
      </c>
      <c r="B151" t="s">
        <v>579</v>
      </c>
      <c r="C151" t="s">
        <v>580</v>
      </c>
      <c r="D151" t="s">
        <v>67</v>
      </c>
      <c r="E151" t="s">
        <v>115</v>
      </c>
      <c r="F151" t="s">
        <v>42</v>
      </c>
      <c r="G151" t="s">
        <v>89</v>
      </c>
      <c r="H151">
        <v>5</v>
      </c>
      <c r="I151">
        <v>1342.28</v>
      </c>
      <c r="J151">
        <v>6711.4</v>
      </c>
      <c r="K151" t="s">
        <v>581</v>
      </c>
      <c r="L151" t="s">
        <v>91</v>
      </c>
    </row>
    <row r="152" spans="1:12" x14ac:dyDescent="0.35">
      <c r="A152" t="s">
        <v>582</v>
      </c>
      <c r="B152" t="s">
        <v>47</v>
      </c>
      <c r="C152" t="s">
        <v>48</v>
      </c>
      <c r="D152" t="s">
        <v>40</v>
      </c>
      <c r="E152" t="s">
        <v>120</v>
      </c>
      <c r="F152" t="s">
        <v>16</v>
      </c>
      <c r="G152" t="s">
        <v>17</v>
      </c>
      <c r="H152">
        <v>4</v>
      </c>
      <c r="I152">
        <v>197.02</v>
      </c>
      <c r="J152">
        <v>788.08</v>
      </c>
      <c r="K152" t="s">
        <v>583</v>
      </c>
      <c r="L152" t="s">
        <v>45</v>
      </c>
    </row>
    <row r="153" spans="1:12" x14ac:dyDescent="0.35">
      <c r="A153" t="s">
        <v>584</v>
      </c>
      <c r="B153" t="s">
        <v>252</v>
      </c>
      <c r="C153" t="s">
        <v>253</v>
      </c>
      <c r="D153" t="s">
        <v>14</v>
      </c>
      <c r="E153" t="s">
        <v>95</v>
      </c>
      <c r="F153" t="s">
        <v>16</v>
      </c>
      <c r="G153" t="s">
        <v>17</v>
      </c>
      <c r="H153">
        <v>4</v>
      </c>
      <c r="I153">
        <v>474.96</v>
      </c>
      <c r="J153">
        <v>1899.84</v>
      </c>
      <c r="K153" t="s">
        <v>504</v>
      </c>
      <c r="L153" t="s">
        <v>19</v>
      </c>
    </row>
    <row r="154" spans="1:12" x14ac:dyDescent="0.35">
      <c r="A154" t="s">
        <v>585</v>
      </c>
      <c r="B154" t="s">
        <v>586</v>
      </c>
      <c r="C154" t="s">
        <v>587</v>
      </c>
      <c r="D154" t="s">
        <v>40</v>
      </c>
      <c r="E154" t="s">
        <v>79</v>
      </c>
      <c r="F154" t="s">
        <v>25</v>
      </c>
      <c r="G154" t="s">
        <v>26</v>
      </c>
      <c r="H154">
        <v>3</v>
      </c>
      <c r="I154">
        <v>1034.54</v>
      </c>
      <c r="J154">
        <v>3103.62</v>
      </c>
      <c r="K154" t="s">
        <v>588</v>
      </c>
      <c r="L154" t="s">
        <v>28</v>
      </c>
    </row>
    <row r="155" spans="1:12" x14ac:dyDescent="0.35">
      <c r="A155" t="s">
        <v>589</v>
      </c>
      <c r="B155" t="s">
        <v>590</v>
      </c>
      <c r="C155" t="s">
        <v>591</v>
      </c>
      <c r="D155" t="s">
        <v>23</v>
      </c>
      <c r="E155" t="s">
        <v>24</v>
      </c>
      <c r="F155" t="s">
        <v>16</v>
      </c>
      <c r="G155" t="s">
        <v>177</v>
      </c>
      <c r="H155">
        <v>3</v>
      </c>
      <c r="I155">
        <v>1419.37</v>
      </c>
      <c r="J155">
        <v>4258.1099999999997</v>
      </c>
      <c r="K155" t="s">
        <v>592</v>
      </c>
      <c r="L155" t="s">
        <v>19</v>
      </c>
    </row>
    <row r="156" spans="1:12" x14ac:dyDescent="0.35">
      <c r="A156" t="s">
        <v>593</v>
      </c>
      <c r="B156" t="s">
        <v>594</v>
      </c>
      <c r="C156" t="s">
        <v>595</v>
      </c>
      <c r="D156" t="s">
        <v>40</v>
      </c>
      <c r="E156" t="s">
        <v>79</v>
      </c>
      <c r="F156" t="s">
        <v>16</v>
      </c>
      <c r="G156" t="s">
        <v>17</v>
      </c>
      <c r="H156">
        <v>2</v>
      </c>
      <c r="I156">
        <v>1065.74</v>
      </c>
      <c r="J156">
        <v>2131.48</v>
      </c>
      <c r="K156" t="s">
        <v>596</v>
      </c>
      <c r="L156" t="s">
        <v>36</v>
      </c>
    </row>
    <row r="157" spans="1:12" x14ac:dyDescent="0.35">
      <c r="A157" t="s">
        <v>597</v>
      </c>
      <c r="B157" t="s">
        <v>598</v>
      </c>
      <c r="C157" t="s">
        <v>599</v>
      </c>
      <c r="D157" t="s">
        <v>40</v>
      </c>
      <c r="E157" t="s">
        <v>79</v>
      </c>
      <c r="F157" t="s">
        <v>25</v>
      </c>
      <c r="G157" t="s">
        <v>26</v>
      </c>
      <c r="H157">
        <v>3</v>
      </c>
      <c r="I157">
        <v>908.93</v>
      </c>
      <c r="J157">
        <v>2726.79</v>
      </c>
      <c r="K157" t="s">
        <v>600</v>
      </c>
      <c r="L157" t="s">
        <v>28</v>
      </c>
    </row>
    <row r="158" spans="1:12" x14ac:dyDescent="0.35">
      <c r="A158" t="s">
        <v>601</v>
      </c>
      <c r="B158" t="s">
        <v>602</v>
      </c>
      <c r="C158" t="s">
        <v>603</v>
      </c>
      <c r="D158" t="s">
        <v>14</v>
      </c>
      <c r="E158" t="s">
        <v>266</v>
      </c>
      <c r="F158" t="s">
        <v>25</v>
      </c>
      <c r="G158" t="s">
        <v>26</v>
      </c>
      <c r="H158">
        <v>2</v>
      </c>
      <c r="I158">
        <v>646.99</v>
      </c>
      <c r="J158">
        <v>1293.98</v>
      </c>
      <c r="K158" t="s">
        <v>386</v>
      </c>
      <c r="L158" t="s">
        <v>91</v>
      </c>
    </row>
    <row r="159" spans="1:12" x14ac:dyDescent="0.35">
      <c r="A159" t="s">
        <v>604</v>
      </c>
      <c r="B159" t="s">
        <v>605</v>
      </c>
      <c r="C159" t="s">
        <v>606</v>
      </c>
      <c r="D159" t="s">
        <v>14</v>
      </c>
      <c r="E159" t="s">
        <v>15</v>
      </c>
      <c r="F159" t="s">
        <v>42</v>
      </c>
      <c r="G159" t="s">
        <v>225</v>
      </c>
      <c r="H159">
        <v>2</v>
      </c>
      <c r="I159">
        <v>418.16</v>
      </c>
      <c r="J159">
        <v>836.32</v>
      </c>
      <c r="K159" t="s">
        <v>564</v>
      </c>
      <c r="L159" t="s">
        <v>45</v>
      </c>
    </row>
    <row r="160" spans="1:12" x14ac:dyDescent="0.35">
      <c r="A160" t="s">
        <v>607</v>
      </c>
      <c r="B160" t="s">
        <v>363</v>
      </c>
      <c r="C160" t="s">
        <v>364</v>
      </c>
      <c r="D160" t="s">
        <v>67</v>
      </c>
      <c r="E160" t="s">
        <v>130</v>
      </c>
      <c r="F160" t="s">
        <v>101</v>
      </c>
      <c r="G160" t="s">
        <v>237</v>
      </c>
      <c r="H160">
        <v>2</v>
      </c>
      <c r="I160">
        <v>996.92</v>
      </c>
      <c r="J160">
        <v>1993.84</v>
      </c>
      <c r="K160" t="s">
        <v>494</v>
      </c>
      <c r="L160" t="s">
        <v>36</v>
      </c>
    </row>
    <row r="161" spans="1:12" x14ac:dyDescent="0.35">
      <c r="A161" t="s">
        <v>608</v>
      </c>
      <c r="B161" t="s">
        <v>586</v>
      </c>
      <c r="C161" t="s">
        <v>587</v>
      </c>
      <c r="D161" t="s">
        <v>14</v>
      </c>
      <c r="E161" t="s">
        <v>95</v>
      </c>
      <c r="F161" t="s">
        <v>50</v>
      </c>
      <c r="G161" t="s">
        <v>69</v>
      </c>
      <c r="H161">
        <v>3</v>
      </c>
      <c r="I161">
        <v>30.38</v>
      </c>
      <c r="J161">
        <v>91.14</v>
      </c>
      <c r="K161" t="s">
        <v>414</v>
      </c>
      <c r="L161" t="s">
        <v>91</v>
      </c>
    </row>
    <row r="162" spans="1:12" x14ac:dyDescent="0.35">
      <c r="A162" t="s">
        <v>609</v>
      </c>
      <c r="B162" t="s">
        <v>109</v>
      </c>
      <c r="C162" t="s">
        <v>110</v>
      </c>
      <c r="D162" t="s">
        <v>32</v>
      </c>
      <c r="E162" t="s">
        <v>33</v>
      </c>
      <c r="F162" t="s">
        <v>16</v>
      </c>
      <c r="G162" t="s">
        <v>177</v>
      </c>
      <c r="H162">
        <v>3</v>
      </c>
      <c r="I162">
        <v>176.51</v>
      </c>
      <c r="J162">
        <v>529.53</v>
      </c>
      <c r="K162" t="s">
        <v>374</v>
      </c>
      <c r="L162" t="s">
        <v>91</v>
      </c>
    </row>
    <row r="163" spans="1:12" x14ac:dyDescent="0.35">
      <c r="A163" t="s">
        <v>610</v>
      </c>
      <c r="B163" t="s">
        <v>611</v>
      </c>
      <c r="C163" t="s">
        <v>612</v>
      </c>
      <c r="D163" t="s">
        <v>40</v>
      </c>
      <c r="E163" t="s">
        <v>41</v>
      </c>
      <c r="F163" t="s">
        <v>50</v>
      </c>
      <c r="G163" t="s">
        <v>69</v>
      </c>
      <c r="H163">
        <v>2</v>
      </c>
      <c r="I163">
        <v>692.11</v>
      </c>
      <c r="J163">
        <v>1384.22</v>
      </c>
      <c r="K163" t="s">
        <v>44</v>
      </c>
      <c r="L163" t="s">
        <v>36</v>
      </c>
    </row>
    <row r="164" spans="1:12" x14ac:dyDescent="0.35">
      <c r="A164" t="s">
        <v>613</v>
      </c>
      <c r="B164" t="s">
        <v>464</v>
      </c>
      <c r="C164" t="s">
        <v>465</v>
      </c>
      <c r="D164" t="s">
        <v>67</v>
      </c>
      <c r="E164" t="s">
        <v>68</v>
      </c>
      <c r="F164" t="s">
        <v>25</v>
      </c>
      <c r="G164" t="s">
        <v>34</v>
      </c>
      <c r="H164">
        <v>5</v>
      </c>
      <c r="I164">
        <v>1433.64</v>
      </c>
      <c r="J164">
        <v>7168.2</v>
      </c>
      <c r="K164" t="s">
        <v>614</v>
      </c>
      <c r="L164" t="s">
        <v>91</v>
      </c>
    </row>
    <row r="165" spans="1:12" x14ac:dyDescent="0.35">
      <c r="A165" t="s">
        <v>615</v>
      </c>
      <c r="B165" t="s">
        <v>244</v>
      </c>
      <c r="C165" t="s">
        <v>245</v>
      </c>
      <c r="D165" t="s">
        <v>32</v>
      </c>
      <c r="E165" t="s">
        <v>61</v>
      </c>
      <c r="F165" t="s">
        <v>101</v>
      </c>
      <c r="G165" t="s">
        <v>237</v>
      </c>
      <c r="H165">
        <v>1</v>
      </c>
      <c r="I165">
        <v>57.71</v>
      </c>
      <c r="J165">
        <v>57.71</v>
      </c>
      <c r="K165" t="s">
        <v>616</v>
      </c>
      <c r="L165" t="s">
        <v>36</v>
      </c>
    </row>
    <row r="166" spans="1:12" x14ac:dyDescent="0.35">
      <c r="A166" t="s">
        <v>617</v>
      </c>
      <c r="B166" t="s">
        <v>618</v>
      </c>
      <c r="C166" t="s">
        <v>619</v>
      </c>
      <c r="D166" t="s">
        <v>40</v>
      </c>
      <c r="E166" t="s">
        <v>120</v>
      </c>
      <c r="F166" t="s">
        <v>101</v>
      </c>
      <c r="G166" t="s">
        <v>373</v>
      </c>
      <c r="H166">
        <v>1</v>
      </c>
      <c r="I166">
        <v>1392.35</v>
      </c>
      <c r="J166">
        <v>1392.35</v>
      </c>
      <c r="K166" t="s">
        <v>620</v>
      </c>
      <c r="L166" t="s">
        <v>36</v>
      </c>
    </row>
    <row r="167" spans="1:12" x14ac:dyDescent="0.35">
      <c r="A167" t="s">
        <v>621</v>
      </c>
      <c r="B167" t="s">
        <v>622</v>
      </c>
      <c r="C167" t="s">
        <v>623</v>
      </c>
      <c r="D167" t="s">
        <v>23</v>
      </c>
      <c r="E167" t="s">
        <v>338</v>
      </c>
      <c r="F167" t="s">
        <v>16</v>
      </c>
      <c r="G167" t="s">
        <v>177</v>
      </c>
      <c r="H167">
        <v>2</v>
      </c>
      <c r="I167">
        <v>539.54999999999995</v>
      </c>
      <c r="J167">
        <v>1079.0999999999999</v>
      </c>
      <c r="K167" t="s">
        <v>624</v>
      </c>
      <c r="L167" t="s">
        <v>28</v>
      </c>
    </row>
    <row r="168" spans="1:12" x14ac:dyDescent="0.35">
      <c r="A168" t="s">
        <v>625</v>
      </c>
      <c r="B168" t="s">
        <v>626</v>
      </c>
      <c r="C168" t="s">
        <v>627</v>
      </c>
      <c r="D168" t="s">
        <v>32</v>
      </c>
      <c r="E168" t="s">
        <v>61</v>
      </c>
      <c r="F168" t="s">
        <v>50</v>
      </c>
      <c r="G168" t="s">
        <v>216</v>
      </c>
      <c r="H168">
        <v>2</v>
      </c>
      <c r="I168">
        <v>1162.92</v>
      </c>
      <c r="J168">
        <v>2325.84</v>
      </c>
      <c r="K168" t="s">
        <v>365</v>
      </c>
      <c r="L168" t="s">
        <v>28</v>
      </c>
    </row>
    <row r="169" spans="1:12" x14ac:dyDescent="0.35">
      <c r="A169" t="s">
        <v>628</v>
      </c>
      <c r="B169" t="s">
        <v>629</v>
      </c>
      <c r="C169" t="s">
        <v>630</v>
      </c>
      <c r="D169" t="s">
        <v>67</v>
      </c>
      <c r="E169" t="s">
        <v>130</v>
      </c>
      <c r="F169" t="s">
        <v>50</v>
      </c>
      <c r="G169" t="s">
        <v>56</v>
      </c>
      <c r="H169">
        <v>4</v>
      </c>
      <c r="I169">
        <v>936.65</v>
      </c>
      <c r="J169">
        <v>3746.6</v>
      </c>
      <c r="K169" t="s">
        <v>631</v>
      </c>
      <c r="L169" t="s">
        <v>28</v>
      </c>
    </row>
    <row r="170" spans="1:12" x14ac:dyDescent="0.35">
      <c r="A170" t="s">
        <v>632</v>
      </c>
      <c r="B170" t="s">
        <v>633</v>
      </c>
      <c r="C170" t="s">
        <v>634</v>
      </c>
      <c r="D170" t="s">
        <v>32</v>
      </c>
      <c r="E170" t="s">
        <v>33</v>
      </c>
      <c r="F170" t="s">
        <v>42</v>
      </c>
      <c r="G170" t="s">
        <v>170</v>
      </c>
      <c r="H170">
        <v>5</v>
      </c>
      <c r="I170">
        <v>1283.32</v>
      </c>
      <c r="J170">
        <v>6416.6</v>
      </c>
      <c r="K170" t="s">
        <v>635</v>
      </c>
      <c r="L170" t="s">
        <v>45</v>
      </c>
    </row>
    <row r="171" spans="1:12" x14ac:dyDescent="0.35">
      <c r="A171" t="s">
        <v>636</v>
      </c>
      <c r="B171" t="s">
        <v>311</v>
      </c>
      <c r="C171" t="s">
        <v>312</v>
      </c>
      <c r="D171" t="s">
        <v>67</v>
      </c>
      <c r="E171" t="s">
        <v>130</v>
      </c>
      <c r="F171" t="s">
        <v>42</v>
      </c>
      <c r="G171" t="s">
        <v>80</v>
      </c>
      <c r="H171">
        <v>3</v>
      </c>
      <c r="I171">
        <v>774.27</v>
      </c>
      <c r="J171">
        <v>2322.81</v>
      </c>
      <c r="K171" t="s">
        <v>637</v>
      </c>
      <c r="L171" t="s">
        <v>91</v>
      </c>
    </row>
    <row r="172" spans="1:12" x14ac:dyDescent="0.35">
      <c r="A172" t="s">
        <v>638</v>
      </c>
      <c r="B172" t="s">
        <v>639</v>
      </c>
      <c r="C172" t="s">
        <v>640</v>
      </c>
      <c r="D172" t="s">
        <v>23</v>
      </c>
      <c r="E172" t="s">
        <v>49</v>
      </c>
      <c r="F172" t="s">
        <v>16</v>
      </c>
      <c r="G172" t="s">
        <v>182</v>
      </c>
      <c r="H172">
        <v>4</v>
      </c>
      <c r="I172">
        <v>608.6</v>
      </c>
      <c r="J172">
        <v>2434.4</v>
      </c>
      <c r="K172" t="s">
        <v>641</v>
      </c>
      <c r="L172" t="s">
        <v>91</v>
      </c>
    </row>
    <row r="173" spans="1:12" x14ac:dyDescent="0.35">
      <c r="A173" t="s">
        <v>642</v>
      </c>
      <c r="B173" t="s">
        <v>363</v>
      </c>
      <c r="C173" t="s">
        <v>364</v>
      </c>
      <c r="D173" t="s">
        <v>40</v>
      </c>
      <c r="E173" t="s">
        <v>41</v>
      </c>
      <c r="F173" t="s">
        <v>101</v>
      </c>
      <c r="G173" t="s">
        <v>165</v>
      </c>
      <c r="H173">
        <v>2</v>
      </c>
      <c r="I173">
        <v>831.39</v>
      </c>
      <c r="J173">
        <v>1662.78</v>
      </c>
      <c r="K173" t="s">
        <v>643</v>
      </c>
      <c r="L173" t="s">
        <v>91</v>
      </c>
    </row>
    <row r="174" spans="1:12" x14ac:dyDescent="0.35">
      <c r="A174" t="s">
        <v>644</v>
      </c>
      <c r="B174" t="s">
        <v>151</v>
      </c>
      <c r="C174" t="s">
        <v>152</v>
      </c>
      <c r="D174" t="s">
        <v>40</v>
      </c>
      <c r="E174" t="s">
        <v>79</v>
      </c>
      <c r="F174" t="s">
        <v>42</v>
      </c>
      <c r="G174" t="s">
        <v>170</v>
      </c>
      <c r="H174">
        <v>4</v>
      </c>
      <c r="I174">
        <v>867.13</v>
      </c>
      <c r="J174">
        <v>3468.52</v>
      </c>
      <c r="K174" t="s">
        <v>645</v>
      </c>
      <c r="L174" t="s">
        <v>28</v>
      </c>
    </row>
    <row r="175" spans="1:12" x14ac:dyDescent="0.35">
      <c r="A175" t="s">
        <v>646</v>
      </c>
      <c r="B175" t="s">
        <v>626</v>
      </c>
      <c r="C175" t="s">
        <v>627</v>
      </c>
      <c r="D175" t="s">
        <v>14</v>
      </c>
      <c r="E175" t="s">
        <v>100</v>
      </c>
      <c r="F175" t="s">
        <v>16</v>
      </c>
      <c r="G175" t="s">
        <v>177</v>
      </c>
      <c r="H175">
        <v>2</v>
      </c>
      <c r="I175">
        <v>192.39</v>
      </c>
      <c r="J175">
        <v>384.78</v>
      </c>
      <c r="K175" t="s">
        <v>647</v>
      </c>
      <c r="L175" t="s">
        <v>91</v>
      </c>
    </row>
    <row r="176" spans="1:12" x14ac:dyDescent="0.35">
      <c r="A176" t="s">
        <v>648</v>
      </c>
      <c r="B176" t="s">
        <v>214</v>
      </c>
      <c r="C176" t="s">
        <v>215</v>
      </c>
      <c r="D176" t="s">
        <v>32</v>
      </c>
      <c r="E176" t="s">
        <v>203</v>
      </c>
      <c r="F176" t="s">
        <v>101</v>
      </c>
      <c r="G176" t="s">
        <v>649</v>
      </c>
      <c r="H176">
        <v>5</v>
      </c>
      <c r="I176">
        <v>343.32</v>
      </c>
      <c r="J176">
        <v>1716.6</v>
      </c>
      <c r="K176" t="s">
        <v>650</v>
      </c>
      <c r="L176" t="s">
        <v>19</v>
      </c>
    </row>
    <row r="177" spans="1:12" x14ac:dyDescent="0.35">
      <c r="A177" t="s">
        <v>651</v>
      </c>
      <c r="B177" t="s">
        <v>652</v>
      </c>
      <c r="C177" t="s">
        <v>653</v>
      </c>
      <c r="D177" t="s">
        <v>14</v>
      </c>
      <c r="E177" t="s">
        <v>95</v>
      </c>
      <c r="F177" t="s">
        <v>16</v>
      </c>
      <c r="G177" t="s">
        <v>182</v>
      </c>
      <c r="H177">
        <v>2</v>
      </c>
      <c r="I177">
        <v>1217.1600000000001</v>
      </c>
      <c r="J177">
        <v>2434.3200000000002</v>
      </c>
      <c r="K177" t="s">
        <v>654</v>
      </c>
      <c r="L177" t="s">
        <v>45</v>
      </c>
    </row>
    <row r="178" spans="1:12" x14ac:dyDescent="0.35">
      <c r="A178" t="s">
        <v>655</v>
      </c>
      <c r="B178" t="s">
        <v>392</v>
      </c>
      <c r="C178" t="s">
        <v>393</v>
      </c>
      <c r="D178" t="s">
        <v>14</v>
      </c>
      <c r="E178" t="s">
        <v>15</v>
      </c>
      <c r="F178" t="s">
        <v>25</v>
      </c>
      <c r="G178" t="s">
        <v>139</v>
      </c>
      <c r="H178">
        <v>4</v>
      </c>
      <c r="I178">
        <v>898.87</v>
      </c>
      <c r="J178">
        <v>3595.48</v>
      </c>
      <c r="K178" t="s">
        <v>656</v>
      </c>
      <c r="L178" t="s">
        <v>91</v>
      </c>
    </row>
    <row r="179" spans="1:12" x14ac:dyDescent="0.35">
      <c r="A179" t="s">
        <v>657</v>
      </c>
      <c r="B179" t="s">
        <v>658</v>
      </c>
      <c r="C179" t="s">
        <v>659</v>
      </c>
      <c r="D179" t="s">
        <v>67</v>
      </c>
      <c r="E179" t="s">
        <v>68</v>
      </c>
      <c r="F179" t="s">
        <v>25</v>
      </c>
      <c r="G179" t="s">
        <v>26</v>
      </c>
      <c r="H179">
        <v>4</v>
      </c>
      <c r="I179">
        <v>1404.04</v>
      </c>
      <c r="J179">
        <v>5616.16</v>
      </c>
      <c r="K179" t="s">
        <v>660</v>
      </c>
      <c r="L179" t="s">
        <v>28</v>
      </c>
    </row>
    <row r="180" spans="1:12" x14ac:dyDescent="0.35">
      <c r="A180" t="s">
        <v>661</v>
      </c>
      <c r="B180" t="s">
        <v>481</v>
      </c>
      <c r="C180" t="s">
        <v>482</v>
      </c>
      <c r="D180" t="s">
        <v>23</v>
      </c>
      <c r="E180" t="s">
        <v>24</v>
      </c>
      <c r="F180" t="s">
        <v>16</v>
      </c>
      <c r="G180" t="s">
        <v>230</v>
      </c>
      <c r="H180">
        <v>4</v>
      </c>
      <c r="I180">
        <v>1239.01</v>
      </c>
      <c r="J180">
        <v>4956.04</v>
      </c>
      <c r="K180" t="s">
        <v>662</v>
      </c>
      <c r="L180" t="s">
        <v>19</v>
      </c>
    </row>
    <row r="181" spans="1:12" x14ac:dyDescent="0.35">
      <c r="A181" t="s">
        <v>663</v>
      </c>
      <c r="B181" t="s">
        <v>113</v>
      </c>
      <c r="C181" t="s">
        <v>114</v>
      </c>
      <c r="D181" t="s">
        <v>32</v>
      </c>
      <c r="E181" t="s">
        <v>33</v>
      </c>
      <c r="F181" t="s">
        <v>50</v>
      </c>
      <c r="G181" t="s">
        <v>51</v>
      </c>
      <c r="H181">
        <v>4</v>
      </c>
      <c r="I181">
        <v>1136.96</v>
      </c>
      <c r="J181">
        <v>4547.84</v>
      </c>
      <c r="K181" t="s">
        <v>246</v>
      </c>
      <c r="L181" t="s">
        <v>45</v>
      </c>
    </row>
    <row r="182" spans="1:12" x14ac:dyDescent="0.35">
      <c r="A182" t="s">
        <v>664</v>
      </c>
      <c r="B182" t="s">
        <v>506</v>
      </c>
      <c r="C182" t="s">
        <v>507</v>
      </c>
      <c r="D182" t="s">
        <v>32</v>
      </c>
      <c r="E182" t="s">
        <v>61</v>
      </c>
      <c r="F182" t="s">
        <v>25</v>
      </c>
      <c r="G182" t="s">
        <v>139</v>
      </c>
      <c r="H182">
        <v>5</v>
      </c>
      <c r="I182">
        <v>574.95000000000005</v>
      </c>
      <c r="J182">
        <v>2874.75</v>
      </c>
      <c r="K182" t="s">
        <v>665</v>
      </c>
      <c r="L182" t="s">
        <v>28</v>
      </c>
    </row>
    <row r="183" spans="1:12" x14ac:dyDescent="0.35">
      <c r="A183" t="s">
        <v>666</v>
      </c>
      <c r="B183" t="s">
        <v>396</v>
      </c>
      <c r="C183" t="s">
        <v>397</v>
      </c>
      <c r="D183" t="s">
        <v>40</v>
      </c>
      <c r="E183" t="s">
        <v>41</v>
      </c>
      <c r="F183" t="s">
        <v>50</v>
      </c>
      <c r="G183" t="s">
        <v>51</v>
      </c>
      <c r="H183">
        <v>4</v>
      </c>
      <c r="I183">
        <v>1179.8399999999999</v>
      </c>
      <c r="J183">
        <v>4719.3599999999997</v>
      </c>
      <c r="K183" t="s">
        <v>667</v>
      </c>
      <c r="L183" t="s">
        <v>91</v>
      </c>
    </row>
    <row r="184" spans="1:12" x14ac:dyDescent="0.35">
      <c r="A184" t="s">
        <v>668</v>
      </c>
      <c r="B184" t="s">
        <v>598</v>
      </c>
      <c r="C184" t="s">
        <v>599</v>
      </c>
      <c r="D184" t="s">
        <v>32</v>
      </c>
      <c r="E184" t="s">
        <v>203</v>
      </c>
      <c r="F184" t="s">
        <v>101</v>
      </c>
      <c r="G184" t="s">
        <v>373</v>
      </c>
      <c r="H184">
        <v>2</v>
      </c>
      <c r="I184">
        <v>860.34</v>
      </c>
      <c r="J184">
        <v>1720.68</v>
      </c>
      <c r="K184" t="s">
        <v>669</v>
      </c>
      <c r="L184" t="s">
        <v>45</v>
      </c>
    </row>
    <row r="185" spans="1:12" x14ac:dyDescent="0.35">
      <c r="A185" t="s">
        <v>670</v>
      </c>
      <c r="B185" t="s">
        <v>345</v>
      </c>
      <c r="C185" t="s">
        <v>346</v>
      </c>
      <c r="D185" t="s">
        <v>67</v>
      </c>
      <c r="E185" t="s">
        <v>130</v>
      </c>
      <c r="F185" t="s">
        <v>16</v>
      </c>
      <c r="G185" t="s">
        <v>182</v>
      </c>
      <c r="H185">
        <v>4</v>
      </c>
      <c r="I185">
        <v>190.42</v>
      </c>
      <c r="J185">
        <v>761.68</v>
      </c>
      <c r="K185" t="s">
        <v>671</v>
      </c>
      <c r="L185" t="s">
        <v>45</v>
      </c>
    </row>
    <row r="186" spans="1:12" x14ac:dyDescent="0.35">
      <c r="A186" t="s">
        <v>672</v>
      </c>
      <c r="B186" t="s">
        <v>435</v>
      </c>
      <c r="C186" t="s">
        <v>436</v>
      </c>
      <c r="D186" t="s">
        <v>40</v>
      </c>
      <c r="E186" t="s">
        <v>120</v>
      </c>
      <c r="F186" t="s">
        <v>50</v>
      </c>
      <c r="G186" t="s">
        <v>69</v>
      </c>
      <c r="H186">
        <v>4</v>
      </c>
      <c r="I186">
        <v>909.52</v>
      </c>
      <c r="J186">
        <v>3638.08</v>
      </c>
      <c r="K186" t="s">
        <v>673</v>
      </c>
      <c r="L186" t="s">
        <v>45</v>
      </c>
    </row>
    <row r="187" spans="1:12" x14ac:dyDescent="0.35">
      <c r="A187" t="s">
        <v>674</v>
      </c>
      <c r="B187" t="s">
        <v>105</v>
      </c>
      <c r="C187" t="s">
        <v>106</v>
      </c>
      <c r="D187" t="s">
        <v>23</v>
      </c>
      <c r="E187" t="s">
        <v>49</v>
      </c>
      <c r="F187" t="s">
        <v>50</v>
      </c>
      <c r="G187" t="s">
        <v>69</v>
      </c>
      <c r="H187">
        <v>3</v>
      </c>
      <c r="I187">
        <v>1276.6199999999999</v>
      </c>
      <c r="J187">
        <v>3829.86</v>
      </c>
      <c r="K187" t="s">
        <v>675</v>
      </c>
      <c r="L187" t="s">
        <v>19</v>
      </c>
    </row>
    <row r="188" spans="1:12" x14ac:dyDescent="0.35">
      <c r="A188" t="s">
        <v>676</v>
      </c>
      <c r="B188" t="s">
        <v>677</v>
      </c>
      <c r="C188" t="s">
        <v>678</v>
      </c>
      <c r="D188" t="s">
        <v>40</v>
      </c>
      <c r="E188" t="s">
        <v>41</v>
      </c>
      <c r="F188" t="s">
        <v>42</v>
      </c>
      <c r="G188" t="s">
        <v>225</v>
      </c>
      <c r="H188">
        <v>3</v>
      </c>
      <c r="I188">
        <v>795.05</v>
      </c>
      <c r="J188">
        <v>2385.15</v>
      </c>
      <c r="K188" t="s">
        <v>679</v>
      </c>
      <c r="L188" t="s">
        <v>91</v>
      </c>
    </row>
    <row r="189" spans="1:12" x14ac:dyDescent="0.35">
      <c r="A189" t="s">
        <v>680</v>
      </c>
      <c r="B189" t="s">
        <v>681</v>
      </c>
      <c r="C189" t="s">
        <v>682</v>
      </c>
      <c r="D189" t="s">
        <v>23</v>
      </c>
      <c r="E189" t="s">
        <v>338</v>
      </c>
      <c r="F189" t="s">
        <v>101</v>
      </c>
      <c r="G189" t="s">
        <v>373</v>
      </c>
      <c r="H189">
        <v>5</v>
      </c>
      <c r="I189">
        <v>442.73</v>
      </c>
      <c r="J189">
        <v>2213.65</v>
      </c>
      <c r="K189" t="s">
        <v>441</v>
      </c>
      <c r="L189" t="s">
        <v>28</v>
      </c>
    </row>
    <row r="190" spans="1:12" x14ac:dyDescent="0.35">
      <c r="A190" t="s">
        <v>683</v>
      </c>
      <c r="B190" t="s">
        <v>446</v>
      </c>
      <c r="C190" t="s">
        <v>447</v>
      </c>
      <c r="D190" t="s">
        <v>67</v>
      </c>
      <c r="E190" t="s">
        <v>115</v>
      </c>
      <c r="F190" t="s">
        <v>16</v>
      </c>
      <c r="G190" t="s">
        <v>182</v>
      </c>
      <c r="H190">
        <v>5</v>
      </c>
      <c r="I190">
        <v>327.84</v>
      </c>
      <c r="J190">
        <v>1639.2</v>
      </c>
      <c r="K190" t="s">
        <v>684</v>
      </c>
      <c r="L190" t="s">
        <v>45</v>
      </c>
    </row>
    <row r="191" spans="1:12" x14ac:dyDescent="0.35">
      <c r="A191" t="s">
        <v>685</v>
      </c>
      <c r="B191" t="s">
        <v>686</v>
      </c>
      <c r="C191" t="s">
        <v>687</v>
      </c>
      <c r="D191" t="s">
        <v>67</v>
      </c>
      <c r="E191" t="s">
        <v>68</v>
      </c>
      <c r="F191" t="s">
        <v>16</v>
      </c>
      <c r="G191" t="s">
        <v>148</v>
      </c>
      <c r="H191">
        <v>4</v>
      </c>
      <c r="I191">
        <v>1462.61</v>
      </c>
      <c r="J191">
        <v>5850.44</v>
      </c>
      <c r="K191" t="s">
        <v>688</v>
      </c>
      <c r="L191" t="s">
        <v>19</v>
      </c>
    </row>
    <row r="192" spans="1:12" x14ac:dyDescent="0.35">
      <c r="A192" t="s">
        <v>689</v>
      </c>
      <c r="B192" t="s">
        <v>690</v>
      </c>
      <c r="C192" t="s">
        <v>691</v>
      </c>
      <c r="D192" t="s">
        <v>23</v>
      </c>
      <c r="E192" t="s">
        <v>49</v>
      </c>
      <c r="F192" t="s">
        <v>16</v>
      </c>
      <c r="G192" t="s">
        <v>230</v>
      </c>
      <c r="H192">
        <v>3</v>
      </c>
      <c r="I192">
        <v>123.81</v>
      </c>
      <c r="J192">
        <v>371.43</v>
      </c>
      <c r="K192" t="s">
        <v>692</v>
      </c>
      <c r="L192" t="s">
        <v>45</v>
      </c>
    </row>
    <row r="193" spans="1:12" x14ac:dyDescent="0.35">
      <c r="A193" t="s">
        <v>693</v>
      </c>
      <c r="B193" t="s">
        <v>594</v>
      </c>
      <c r="C193" t="s">
        <v>595</v>
      </c>
      <c r="D193" t="s">
        <v>14</v>
      </c>
      <c r="E193" t="s">
        <v>266</v>
      </c>
      <c r="F193" t="s">
        <v>16</v>
      </c>
      <c r="G193" t="s">
        <v>17</v>
      </c>
      <c r="H193">
        <v>5</v>
      </c>
      <c r="I193">
        <v>149.57</v>
      </c>
      <c r="J193">
        <v>747.85</v>
      </c>
      <c r="K193" t="s">
        <v>339</v>
      </c>
      <c r="L193" t="s">
        <v>28</v>
      </c>
    </row>
    <row r="194" spans="1:12" x14ac:dyDescent="0.35">
      <c r="A194" t="s">
        <v>694</v>
      </c>
      <c r="B194" t="s">
        <v>681</v>
      </c>
      <c r="C194" t="s">
        <v>682</v>
      </c>
      <c r="D194" t="s">
        <v>40</v>
      </c>
      <c r="E194" t="s">
        <v>41</v>
      </c>
      <c r="F194" t="s">
        <v>42</v>
      </c>
      <c r="G194" t="s">
        <v>80</v>
      </c>
      <c r="H194">
        <v>3</v>
      </c>
      <c r="I194">
        <v>635.16</v>
      </c>
      <c r="J194">
        <v>1905.48</v>
      </c>
      <c r="K194" t="s">
        <v>695</v>
      </c>
      <c r="L194" t="s">
        <v>91</v>
      </c>
    </row>
    <row r="195" spans="1:12" x14ac:dyDescent="0.35">
      <c r="A195" t="s">
        <v>696</v>
      </c>
      <c r="B195" t="s">
        <v>681</v>
      </c>
      <c r="C195" t="s">
        <v>682</v>
      </c>
      <c r="D195" t="s">
        <v>40</v>
      </c>
      <c r="E195" t="s">
        <v>120</v>
      </c>
      <c r="F195" t="s">
        <v>101</v>
      </c>
      <c r="G195" t="s">
        <v>649</v>
      </c>
      <c r="H195">
        <v>1</v>
      </c>
      <c r="I195">
        <v>287.89999999999998</v>
      </c>
      <c r="J195">
        <v>287.89999999999998</v>
      </c>
      <c r="K195" t="s">
        <v>697</v>
      </c>
      <c r="L195" t="s">
        <v>36</v>
      </c>
    </row>
    <row r="196" spans="1:12" x14ac:dyDescent="0.35">
      <c r="A196" t="s">
        <v>698</v>
      </c>
      <c r="B196" t="s">
        <v>699</v>
      </c>
      <c r="C196" t="s">
        <v>700</v>
      </c>
      <c r="D196" t="s">
        <v>67</v>
      </c>
      <c r="E196" t="s">
        <v>68</v>
      </c>
      <c r="F196" t="s">
        <v>16</v>
      </c>
      <c r="G196" t="s">
        <v>182</v>
      </c>
      <c r="H196">
        <v>5</v>
      </c>
      <c r="I196">
        <v>443.65</v>
      </c>
      <c r="J196">
        <v>2218.25</v>
      </c>
      <c r="K196" t="s">
        <v>701</v>
      </c>
      <c r="L196" t="s">
        <v>19</v>
      </c>
    </row>
    <row r="197" spans="1:12" x14ac:dyDescent="0.35">
      <c r="A197" t="s">
        <v>702</v>
      </c>
      <c r="B197" t="s">
        <v>703</v>
      </c>
      <c r="C197" t="s">
        <v>704</v>
      </c>
      <c r="D197" t="s">
        <v>67</v>
      </c>
      <c r="E197" t="s">
        <v>115</v>
      </c>
      <c r="F197" t="s">
        <v>50</v>
      </c>
      <c r="G197" t="s">
        <v>216</v>
      </c>
      <c r="H197">
        <v>2</v>
      </c>
      <c r="I197">
        <v>1291.2</v>
      </c>
      <c r="J197">
        <v>2582.4</v>
      </c>
      <c r="K197" t="s">
        <v>705</v>
      </c>
      <c r="L197" t="s">
        <v>19</v>
      </c>
    </row>
    <row r="198" spans="1:12" x14ac:dyDescent="0.35">
      <c r="A198" t="s">
        <v>706</v>
      </c>
      <c r="B198" t="s">
        <v>707</v>
      </c>
      <c r="C198" t="s">
        <v>708</v>
      </c>
      <c r="D198" t="s">
        <v>32</v>
      </c>
      <c r="E198" t="s">
        <v>203</v>
      </c>
      <c r="F198" t="s">
        <v>101</v>
      </c>
      <c r="G198" t="s">
        <v>165</v>
      </c>
      <c r="H198">
        <v>2</v>
      </c>
      <c r="I198">
        <v>109.01</v>
      </c>
      <c r="J198">
        <v>218.02</v>
      </c>
      <c r="K198" t="s">
        <v>709</v>
      </c>
      <c r="L198" t="s">
        <v>19</v>
      </c>
    </row>
    <row r="199" spans="1:12" x14ac:dyDescent="0.35">
      <c r="A199" t="s">
        <v>710</v>
      </c>
      <c r="B199" t="s">
        <v>711</v>
      </c>
      <c r="C199" t="s">
        <v>712</v>
      </c>
      <c r="D199" t="s">
        <v>40</v>
      </c>
      <c r="E199" t="s">
        <v>79</v>
      </c>
      <c r="F199" t="s">
        <v>50</v>
      </c>
      <c r="G199" t="s">
        <v>56</v>
      </c>
      <c r="H199">
        <v>1</v>
      </c>
      <c r="I199">
        <v>1435.27</v>
      </c>
      <c r="J199">
        <v>1435.27</v>
      </c>
      <c r="K199" t="s">
        <v>713</v>
      </c>
      <c r="L199" t="s">
        <v>45</v>
      </c>
    </row>
    <row r="200" spans="1:12" x14ac:dyDescent="0.35">
      <c r="A200" t="s">
        <v>714</v>
      </c>
      <c r="B200" t="s">
        <v>715</v>
      </c>
      <c r="C200" t="s">
        <v>716</v>
      </c>
      <c r="D200" t="s">
        <v>23</v>
      </c>
      <c r="E200" t="s">
        <v>49</v>
      </c>
      <c r="F200" t="s">
        <v>101</v>
      </c>
      <c r="G200" t="s">
        <v>649</v>
      </c>
      <c r="H200">
        <v>5</v>
      </c>
      <c r="I200">
        <v>943.03</v>
      </c>
      <c r="J200">
        <v>4715.1499999999996</v>
      </c>
      <c r="K200" t="s">
        <v>371</v>
      </c>
      <c r="L200" t="s">
        <v>19</v>
      </c>
    </row>
    <row r="201" spans="1:12" x14ac:dyDescent="0.35">
      <c r="A201" t="s">
        <v>717</v>
      </c>
      <c r="B201" t="s">
        <v>718</v>
      </c>
      <c r="C201" t="s">
        <v>719</v>
      </c>
      <c r="D201" t="s">
        <v>67</v>
      </c>
      <c r="E201" t="s">
        <v>115</v>
      </c>
      <c r="F201" t="s">
        <v>16</v>
      </c>
      <c r="G201" t="s">
        <v>177</v>
      </c>
      <c r="H201">
        <v>2</v>
      </c>
      <c r="I201">
        <v>347.08</v>
      </c>
      <c r="J201">
        <v>694.16</v>
      </c>
      <c r="K201" t="s">
        <v>720</v>
      </c>
      <c r="L201" t="s">
        <v>28</v>
      </c>
    </row>
    <row r="202" spans="1:12" x14ac:dyDescent="0.35">
      <c r="A202" t="s">
        <v>721</v>
      </c>
      <c r="B202" t="s">
        <v>363</v>
      </c>
      <c r="C202" t="s">
        <v>364</v>
      </c>
      <c r="D202" t="s">
        <v>40</v>
      </c>
      <c r="E202" t="s">
        <v>120</v>
      </c>
      <c r="F202" t="s">
        <v>101</v>
      </c>
      <c r="G202" t="s">
        <v>165</v>
      </c>
      <c r="H202">
        <v>1</v>
      </c>
      <c r="I202">
        <v>866.57</v>
      </c>
      <c r="J202">
        <v>866.57</v>
      </c>
      <c r="K202" t="s">
        <v>250</v>
      </c>
      <c r="L202" t="s">
        <v>36</v>
      </c>
    </row>
    <row r="203" spans="1:12" x14ac:dyDescent="0.35">
      <c r="A203" t="s">
        <v>722</v>
      </c>
      <c r="B203" t="s">
        <v>723</v>
      </c>
      <c r="C203" t="s">
        <v>724</v>
      </c>
      <c r="D203" t="s">
        <v>32</v>
      </c>
      <c r="E203" t="s">
        <v>33</v>
      </c>
      <c r="F203" t="s">
        <v>25</v>
      </c>
      <c r="G203" t="s">
        <v>139</v>
      </c>
      <c r="H203">
        <v>3</v>
      </c>
      <c r="I203">
        <v>613.20000000000005</v>
      </c>
      <c r="J203">
        <v>1839.6</v>
      </c>
      <c r="K203" t="s">
        <v>725</v>
      </c>
      <c r="L203" t="s">
        <v>28</v>
      </c>
    </row>
    <row r="204" spans="1:12" x14ac:dyDescent="0.35">
      <c r="A204" t="s">
        <v>726</v>
      </c>
      <c r="B204" t="s">
        <v>727</v>
      </c>
      <c r="C204" t="s">
        <v>728</v>
      </c>
      <c r="D204" t="s">
        <v>32</v>
      </c>
      <c r="E204" t="s">
        <v>203</v>
      </c>
      <c r="F204" t="s">
        <v>16</v>
      </c>
      <c r="G204" t="s">
        <v>230</v>
      </c>
      <c r="H204">
        <v>2</v>
      </c>
      <c r="I204">
        <v>365.29</v>
      </c>
      <c r="J204">
        <v>730.58</v>
      </c>
      <c r="K204" t="s">
        <v>350</v>
      </c>
      <c r="L204" t="s">
        <v>19</v>
      </c>
    </row>
    <row r="205" spans="1:12" x14ac:dyDescent="0.35">
      <c r="A205" t="s">
        <v>729</v>
      </c>
      <c r="B205" t="s">
        <v>123</v>
      </c>
      <c r="C205" t="s">
        <v>124</v>
      </c>
      <c r="D205" t="s">
        <v>23</v>
      </c>
      <c r="E205" t="s">
        <v>49</v>
      </c>
      <c r="F205" t="s">
        <v>50</v>
      </c>
      <c r="G205" t="s">
        <v>51</v>
      </c>
      <c r="H205">
        <v>4</v>
      </c>
      <c r="I205">
        <v>378.73</v>
      </c>
      <c r="J205">
        <v>1514.92</v>
      </c>
      <c r="K205" t="s">
        <v>730</v>
      </c>
      <c r="L205" t="s">
        <v>36</v>
      </c>
    </row>
    <row r="206" spans="1:12" x14ac:dyDescent="0.35">
      <c r="A206" t="s">
        <v>731</v>
      </c>
      <c r="B206" t="s">
        <v>325</v>
      </c>
      <c r="C206" t="s">
        <v>326</v>
      </c>
      <c r="D206" t="s">
        <v>67</v>
      </c>
      <c r="E206" t="s">
        <v>130</v>
      </c>
      <c r="F206" t="s">
        <v>50</v>
      </c>
      <c r="G206" t="s">
        <v>51</v>
      </c>
      <c r="H206">
        <v>5</v>
      </c>
      <c r="I206">
        <v>560.79999999999995</v>
      </c>
      <c r="J206">
        <v>2804</v>
      </c>
      <c r="K206" t="s">
        <v>226</v>
      </c>
      <c r="L206" t="s">
        <v>36</v>
      </c>
    </row>
    <row r="207" spans="1:12" x14ac:dyDescent="0.35">
      <c r="A207" t="s">
        <v>732</v>
      </c>
      <c r="B207" t="s">
        <v>281</v>
      </c>
      <c r="C207" t="s">
        <v>282</v>
      </c>
      <c r="D207" t="s">
        <v>67</v>
      </c>
      <c r="E207" t="s">
        <v>68</v>
      </c>
      <c r="F207" t="s">
        <v>16</v>
      </c>
      <c r="G207" t="s">
        <v>230</v>
      </c>
      <c r="H207">
        <v>4</v>
      </c>
      <c r="I207">
        <v>685.27</v>
      </c>
      <c r="J207">
        <v>2741.08</v>
      </c>
      <c r="K207" t="s">
        <v>733</v>
      </c>
      <c r="L207" t="s">
        <v>36</v>
      </c>
    </row>
    <row r="208" spans="1:12" x14ac:dyDescent="0.35">
      <c r="A208" t="s">
        <v>734</v>
      </c>
      <c r="B208" t="s">
        <v>429</v>
      </c>
      <c r="C208" t="s">
        <v>430</v>
      </c>
      <c r="D208" t="s">
        <v>14</v>
      </c>
      <c r="E208" t="s">
        <v>100</v>
      </c>
      <c r="F208" t="s">
        <v>101</v>
      </c>
      <c r="G208" t="s">
        <v>165</v>
      </c>
      <c r="H208">
        <v>3</v>
      </c>
      <c r="I208">
        <v>501.74</v>
      </c>
      <c r="J208">
        <v>1505.22</v>
      </c>
      <c r="K208" t="s">
        <v>735</v>
      </c>
      <c r="L208" t="s">
        <v>36</v>
      </c>
    </row>
    <row r="209" spans="1:12" x14ac:dyDescent="0.35">
      <c r="A209" t="s">
        <v>736</v>
      </c>
      <c r="B209" t="s">
        <v>450</v>
      </c>
      <c r="C209" t="s">
        <v>451</v>
      </c>
      <c r="D209" t="s">
        <v>32</v>
      </c>
      <c r="E209" t="s">
        <v>203</v>
      </c>
      <c r="F209" t="s">
        <v>42</v>
      </c>
      <c r="G209" t="s">
        <v>43</v>
      </c>
      <c r="H209">
        <v>2</v>
      </c>
      <c r="I209">
        <v>1067.73</v>
      </c>
      <c r="J209">
        <v>2135.46</v>
      </c>
      <c r="K209" t="s">
        <v>667</v>
      </c>
      <c r="L209" t="s">
        <v>91</v>
      </c>
    </row>
    <row r="210" spans="1:12" x14ac:dyDescent="0.35">
      <c r="A210" t="s">
        <v>737</v>
      </c>
      <c r="B210" t="s">
        <v>738</v>
      </c>
      <c r="C210" t="s">
        <v>739</v>
      </c>
      <c r="D210" t="s">
        <v>23</v>
      </c>
      <c r="E210" t="s">
        <v>49</v>
      </c>
      <c r="F210" t="s">
        <v>16</v>
      </c>
      <c r="G210" t="s">
        <v>230</v>
      </c>
      <c r="H210">
        <v>5</v>
      </c>
      <c r="I210">
        <v>823.23</v>
      </c>
      <c r="J210">
        <v>4116.1499999999996</v>
      </c>
      <c r="K210" t="s">
        <v>740</v>
      </c>
      <c r="L210" t="s">
        <v>91</v>
      </c>
    </row>
    <row r="211" spans="1:12" x14ac:dyDescent="0.35">
      <c r="A211" t="s">
        <v>741</v>
      </c>
      <c r="B211" t="s">
        <v>742</v>
      </c>
      <c r="C211" t="s">
        <v>743</v>
      </c>
      <c r="D211" t="s">
        <v>14</v>
      </c>
      <c r="E211" t="s">
        <v>125</v>
      </c>
      <c r="F211" t="s">
        <v>101</v>
      </c>
      <c r="G211" t="s">
        <v>102</v>
      </c>
      <c r="H211">
        <v>1</v>
      </c>
      <c r="I211">
        <v>99.72</v>
      </c>
      <c r="J211">
        <v>99.72</v>
      </c>
      <c r="K211" t="s">
        <v>744</v>
      </c>
      <c r="L211" t="s">
        <v>28</v>
      </c>
    </row>
    <row r="212" spans="1:12" x14ac:dyDescent="0.35">
      <c r="A212" t="s">
        <v>745</v>
      </c>
      <c r="B212" t="s">
        <v>521</v>
      </c>
      <c r="C212" t="s">
        <v>522</v>
      </c>
      <c r="D212" t="s">
        <v>67</v>
      </c>
      <c r="E212" t="s">
        <v>68</v>
      </c>
      <c r="F212" t="s">
        <v>101</v>
      </c>
      <c r="G212" t="s">
        <v>649</v>
      </c>
      <c r="H212">
        <v>2</v>
      </c>
      <c r="I212">
        <v>60.8</v>
      </c>
      <c r="J212">
        <v>121.6</v>
      </c>
      <c r="K212" t="s">
        <v>645</v>
      </c>
      <c r="L212" t="s">
        <v>28</v>
      </c>
    </row>
    <row r="213" spans="1:12" x14ac:dyDescent="0.35">
      <c r="A213" t="s">
        <v>746</v>
      </c>
      <c r="B213" t="s">
        <v>388</v>
      </c>
      <c r="C213" t="s">
        <v>389</v>
      </c>
      <c r="D213" t="s">
        <v>23</v>
      </c>
      <c r="E213" t="s">
        <v>24</v>
      </c>
      <c r="F213" t="s">
        <v>101</v>
      </c>
      <c r="G213" t="s">
        <v>102</v>
      </c>
      <c r="H213">
        <v>4</v>
      </c>
      <c r="I213">
        <v>738.68</v>
      </c>
      <c r="J213">
        <v>2954.72</v>
      </c>
      <c r="K213" t="s">
        <v>747</v>
      </c>
      <c r="L213" t="s">
        <v>36</v>
      </c>
    </row>
    <row r="214" spans="1:12" x14ac:dyDescent="0.35">
      <c r="A214" t="s">
        <v>748</v>
      </c>
      <c r="B214" t="s">
        <v>214</v>
      </c>
      <c r="C214" t="s">
        <v>215</v>
      </c>
      <c r="D214" t="s">
        <v>67</v>
      </c>
      <c r="E214" t="s">
        <v>130</v>
      </c>
      <c r="F214" t="s">
        <v>50</v>
      </c>
      <c r="G214" t="s">
        <v>69</v>
      </c>
      <c r="H214">
        <v>5</v>
      </c>
      <c r="I214">
        <v>1212.8499999999999</v>
      </c>
      <c r="J214">
        <v>6064.25</v>
      </c>
      <c r="K214" t="s">
        <v>749</v>
      </c>
      <c r="L214" t="s">
        <v>45</v>
      </c>
    </row>
    <row r="215" spans="1:12" x14ac:dyDescent="0.35">
      <c r="A215" t="s">
        <v>750</v>
      </c>
      <c r="B215" t="s">
        <v>751</v>
      </c>
      <c r="C215" t="s">
        <v>752</v>
      </c>
      <c r="D215" t="s">
        <v>23</v>
      </c>
      <c r="E215" t="s">
        <v>49</v>
      </c>
      <c r="F215" t="s">
        <v>101</v>
      </c>
      <c r="G215" t="s">
        <v>237</v>
      </c>
      <c r="H215">
        <v>4</v>
      </c>
      <c r="I215">
        <v>1496.96</v>
      </c>
      <c r="J215">
        <v>5987.84</v>
      </c>
      <c r="K215" t="s">
        <v>753</v>
      </c>
      <c r="L215" t="s">
        <v>45</v>
      </c>
    </row>
    <row r="216" spans="1:12" x14ac:dyDescent="0.35">
      <c r="A216" t="s">
        <v>754</v>
      </c>
      <c r="B216" t="s">
        <v>755</v>
      </c>
      <c r="C216" t="s">
        <v>756</v>
      </c>
      <c r="D216" t="s">
        <v>23</v>
      </c>
      <c r="E216" t="s">
        <v>338</v>
      </c>
      <c r="F216" t="s">
        <v>25</v>
      </c>
      <c r="G216" t="s">
        <v>62</v>
      </c>
      <c r="H216">
        <v>5</v>
      </c>
      <c r="I216">
        <v>979.99</v>
      </c>
      <c r="J216">
        <v>4899.95</v>
      </c>
      <c r="K216" t="s">
        <v>757</v>
      </c>
      <c r="L216" t="s">
        <v>28</v>
      </c>
    </row>
    <row r="217" spans="1:12" x14ac:dyDescent="0.35">
      <c r="A217" t="s">
        <v>758</v>
      </c>
      <c r="B217" t="s">
        <v>759</v>
      </c>
      <c r="C217" t="s">
        <v>760</v>
      </c>
      <c r="D217" t="s">
        <v>14</v>
      </c>
      <c r="E217" t="s">
        <v>95</v>
      </c>
      <c r="F217" t="s">
        <v>25</v>
      </c>
      <c r="G217" t="s">
        <v>139</v>
      </c>
      <c r="H217">
        <v>1</v>
      </c>
      <c r="I217">
        <v>1262.83</v>
      </c>
      <c r="J217">
        <v>1262.83</v>
      </c>
      <c r="K217" t="s">
        <v>761</v>
      </c>
      <c r="L217" t="s">
        <v>28</v>
      </c>
    </row>
    <row r="218" spans="1:12" x14ac:dyDescent="0.35">
      <c r="A218" t="s">
        <v>762</v>
      </c>
      <c r="B218" t="s">
        <v>763</v>
      </c>
      <c r="C218" t="s">
        <v>764</v>
      </c>
      <c r="D218" t="s">
        <v>67</v>
      </c>
      <c r="E218" t="s">
        <v>68</v>
      </c>
      <c r="F218" t="s">
        <v>101</v>
      </c>
      <c r="G218" t="s">
        <v>373</v>
      </c>
      <c r="H218">
        <v>3</v>
      </c>
      <c r="I218">
        <v>589.12</v>
      </c>
      <c r="J218">
        <v>1767.36</v>
      </c>
      <c r="K218" t="s">
        <v>765</v>
      </c>
      <c r="L218" t="s">
        <v>45</v>
      </c>
    </row>
    <row r="219" spans="1:12" x14ac:dyDescent="0.35">
      <c r="A219" t="s">
        <v>766</v>
      </c>
      <c r="B219" t="s">
        <v>767</v>
      </c>
      <c r="C219" t="s">
        <v>768</v>
      </c>
      <c r="D219" t="s">
        <v>23</v>
      </c>
      <c r="E219" t="s">
        <v>24</v>
      </c>
      <c r="F219" t="s">
        <v>101</v>
      </c>
      <c r="G219" t="s">
        <v>165</v>
      </c>
      <c r="H219">
        <v>1</v>
      </c>
      <c r="I219">
        <v>357.53</v>
      </c>
      <c r="J219">
        <v>357.53</v>
      </c>
      <c r="K219" t="s">
        <v>769</v>
      </c>
      <c r="L219" t="s">
        <v>45</v>
      </c>
    </row>
    <row r="220" spans="1:12" x14ac:dyDescent="0.35">
      <c r="A220" t="s">
        <v>770</v>
      </c>
      <c r="B220" t="s">
        <v>771</v>
      </c>
      <c r="C220" t="s">
        <v>772</v>
      </c>
      <c r="D220" t="s">
        <v>32</v>
      </c>
      <c r="E220" t="s">
        <v>33</v>
      </c>
      <c r="F220" t="s">
        <v>25</v>
      </c>
      <c r="G220" t="s">
        <v>26</v>
      </c>
      <c r="H220">
        <v>4</v>
      </c>
      <c r="I220">
        <v>351.3</v>
      </c>
      <c r="J220">
        <v>1405.2</v>
      </c>
      <c r="K220" t="s">
        <v>773</v>
      </c>
      <c r="L220" t="s">
        <v>36</v>
      </c>
    </row>
    <row r="221" spans="1:12" x14ac:dyDescent="0.35">
      <c r="A221" t="s">
        <v>774</v>
      </c>
      <c r="B221" t="s">
        <v>775</v>
      </c>
      <c r="C221" t="s">
        <v>776</v>
      </c>
      <c r="D221" t="s">
        <v>23</v>
      </c>
      <c r="E221" t="s">
        <v>49</v>
      </c>
      <c r="F221" t="s">
        <v>25</v>
      </c>
      <c r="G221" t="s">
        <v>139</v>
      </c>
      <c r="H221">
        <v>5</v>
      </c>
      <c r="I221">
        <v>1450.53</v>
      </c>
      <c r="J221">
        <v>7252.65</v>
      </c>
      <c r="K221" t="s">
        <v>777</v>
      </c>
      <c r="L221" t="s">
        <v>36</v>
      </c>
    </row>
    <row r="222" spans="1:12" x14ac:dyDescent="0.35">
      <c r="A222" t="s">
        <v>778</v>
      </c>
      <c r="B222" t="s">
        <v>779</v>
      </c>
      <c r="C222" t="s">
        <v>780</v>
      </c>
      <c r="D222" t="s">
        <v>14</v>
      </c>
      <c r="E222" t="s">
        <v>100</v>
      </c>
      <c r="F222" t="s">
        <v>25</v>
      </c>
      <c r="G222" t="s">
        <v>26</v>
      </c>
      <c r="H222">
        <v>4</v>
      </c>
      <c r="I222">
        <v>407.7</v>
      </c>
      <c r="J222">
        <v>1630.8</v>
      </c>
      <c r="K222" t="s">
        <v>781</v>
      </c>
      <c r="L222" t="s">
        <v>91</v>
      </c>
    </row>
    <row r="223" spans="1:12" x14ac:dyDescent="0.35">
      <c r="A223" t="s">
        <v>782</v>
      </c>
      <c r="B223" t="s">
        <v>47</v>
      </c>
      <c r="C223" t="s">
        <v>48</v>
      </c>
      <c r="D223" t="s">
        <v>67</v>
      </c>
      <c r="E223" t="s">
        <v>68</v>
      </c>
      <c r="F223" t="s">
        <v>42</v>
      </c>
      <c r="G223" t="s">
        <v>170</v>
      </c>
      <c r="H223">
        <v>4</v>
      </c>
      <c r="I223">
        <v>1489.54</v>
      </c>
      <c r="J223">
        <v>5958.16</v>
      </c>
      <c r="K223" t="s">
        <v>783</v>
      </c>
      <c r="L223" t="s">
        <v>19</v>
      </c>
    </row>
    <row r="224" spans="1:12" x14ac:dyDescent="0.35">
      <c r="A224" t="s">
        <v>784</v>
      </c>
      <c r="B224" t="s">
        <v>785</v>
      </c>
      <c r="C224" t="s">
        <v>786</v>
      </c>
      <c r="D224" t="s">
        <v>67</v>
      </c>
      <c r="E224" t="s">
        <v>68</v>
      </c>
      <c r="F224" t="s">
        <v>101</v>
      </c>
      <c r="G224" t="s">
        <v>102</v>
      </c>
      <c r="H224">
        <v>3</v>
      </c>
      <c r="I224">
        <v>624.17999999999995</v>
      </c>
      <c r="J224">
        <v>1872.54</v>
      </c>
      <c r="K224" t="s">
        <v>787</v>
      </c>
      <c r="L224" t="s">
        <v>28</v>
      </c>
    </row>
    <row r="225" spans="1:12" x14ac:dyDescent="0.35">
      <c r="A225" t="s">
        <v>788</v>
      </c>
      <c r="B225" t="s">
        <v>521</v>
      </c>
      <c r="C225" t="s">
        <v>522</v>
      </c>
      <c r="D225" t="s">
        <v>14</v>
      </c>
      <c r="E225" t="s">
        <v>266</v>
      </c>
      <c r="F225" t="s">
        <v>50</v>
      </c>
      <c r="G225" t="s">
        <v>216</v>
      </c>
      <c r="H225">
        <v>5</v>
      </c>
      <c r="I225">
        <v>1317.44</v>
      </c>
      <c r="J225">
        <v>6587.2</v>
      </c>
      <c r="K225" t="s">
        <v>789</v>
      </c>
      <c r="L225" t="s">
        <v>45</v>
      </c>
    </row>
    <row r="226" spans="1:12" x14ac:dyDescent="0.35">
      <c r="A226" t="s">
        <v>790</v>
      </c>
      <c r="B226" t="s">
        <v>791</v>
      </c>
      <c r="C226" t="s">
        <v>792</v>
      </c>
      <c r="D226" t="s">
        <v>32</v>
      </c>
      <c r="E226" t="s">
        <v>33</v>
      </c>
      <c r="F226" t="s">
        <v>16</v>
      </c>
      <c r="G226" t="s">
        <v>148</v>
      </c>
      <c r="H226">
        <v>1</v>
      </c>
      <c r="I226">
        <v>92.68</v>
      </c>
      <c r="J226">
        <v>92.68</v>
      </c>
      <c r="K226" t="s">
        <v>793</v>
      </c>
      <c r="L226" t="s">
        <v>91</v>
      </c>
    </row>
    <row r="227" spans="1:12" x14ac:dyDescent="0.35">
      <c r="A227" t="s">
        <v>794</v>
      </c>
      <c r="B227" t="s">
        <v>77</v>
      </c>
      <c r="C227" t="s">
        <v>78</v>
      </c>
      <c r="D227" t="s">
        <v>14</v>
      </c>
      <c r="E227" t="s">
        <v>15</v>
      </c>
      <c r="F227" t="s">
        <v>25</v>
      </c>
      <c r="G227" t="s">
        <v>62</v>
      </c>
      <c r="H227">
        <v>3</v>
      </c>
      <c r="I227">
        <v>230.69</v>
      </c>
      <c r="J227">
        <v>692.07</v>
      </c>
      <c r="K227" t="s">
        <v>795</v>
      </c>
      <c r="L227" t="s">
        <v>28</v>
      </c>
    </row>
    <row r="228" spans="1:12" x14ac:dyDescent="0.35">
      <c r="A228" t="s">
        <v>796</v>
      </c>
      <c r="B228" t="s">
        <v>797</v>
      </c>
      <c r="C228" t="s">
        <v>798</v>
      </c>
      <c r="D228" t="s">
        <v>14</v>
      </c>
      <c r="E228" t="s">
        <v>15</v>
      </c>
      <c r="F228" t="s">
        <v>16</v>
      </c>
      <c r="G228" t="s">
        <v>177</v>
      </c>
      <c r="H228">
        <v>1</v>
      </c>
      <c r="I228">
        <v>1298.94</v>
      </c>
      <c r="J228">
        <v>1298.94</v>
      </c>
      <c r="K228" t="s">
        <v>799</v>
      </c>
      <c r="L228" t="s">
        <v>19</v>
      </c>
    </row>
    <row r="229" spans="1:12" x14ac:dyDescent="0.35">
      <c r="A229" t="s">
        <v>800</v>
      </c>
      <c r="B229" t="s">
        <v>801</v>
      </c>
      <c r="C229" t="s">
        <v>802</v>
      </c>
      <c r="D229" t="s">
        <v>14</v>
      </c>
      <c r="E229" t="s">
        <v>95</v>
      </c>
      <c r="F229" t="s">
        <v>25</v>
      </c>
      <c r="G229" t="s">
        <v>62</v>
      </c>
      <c r="H229">
        <v>3</v>
      </c>
      <c r="I229">
        <v>969.04</v>
      </c>
      <c r="J229">
        <v>2907.12</v>
      </c>
      <c r="K229" t="s">
        <v>803</v>
      </c>
      <c r="L229" t="s">
        <v>28</v>
      </c>
    </row>
    <row r="230" spans="1:12" x14ac:dyDescent="0.35">
      <c r="A230" t="s">
        <v>804</v>
      </c>
      <c r="B230" t="s">
        <v>12</v>
      </c>
      <c r="C230" t="s">
        <v>13</v>
      </c>
      <c r="D230" t="s">
        <v>32</v>
      </c>
      <c r="E230" t="s">
        <v>203</v>
      </c>
      <c r="F230" t="s">
        <v>42</v>
      </c>
      <c r="G230" t="s">
        <v>225</v>
      </c>
      <c r="H230">
        <v>3</v>
      </c>
      <c r="I230">
        <v>571.20000000000005</v>
      </c>
      <c r="J230">
        <v>1713.6</v>
      </c>
      <c r="K230" t="s">
        <v>805</v>
      </c>
      <c r="L230" t="s">
        <v>28</v>
      </c>
    </row>
    <row r="231" spans="1:12" x14ac:dyDescent="0.35">
      <c r="A231" t="s">
        <v>806</v>
      </c>
      <c r="B231" t="s">
        <v>321</v>
      </c>
      <c r="C231" t="s">
        <v>322</v>
      </c>
      <c r="D231" t="s">
        <v>23</v>
      </c>
      <c r="E231" t="s">
        <v>24</v>
      </c>
      <c r="F231" t="s">
        <v>42</v>
      </c>
      <c r="G231" t="s">
        <v>225</v>
      </c>
      <c r="H231">
        <v>4</v>
      </c>
      <c r="I231">
        <v>1084.8699999999999</v>
      </c>
      <c r="J231">
        <v>4339.4799999999996</v>
      </c>
      <c r="K231" t="s">
        <v>807</v>
      </c>
      <c r="L231" t="s">
        <v>45</v>
      </c>
    </row>
    <row r="232" spans="1:12" x14ac:dyDescent="0.35">
      <c r="A232" t="s">
        <v>808</v>
      </c>
      <c r="B232" t="s">
        <v>809</v>
      </c>
      <c r="C232" t="s">
        <v>810</v>
      </c>
      <c r="D232" t="s">
        <v>32</v>
      </c>
      <c r="E232" t="s">
        <v>61</v>
      </c>
      <c r="F232" t="s">
        <v>50</v>
      </c>
      <c r="G232" t="s">
        <v>56</v>
      </c>
      <c r="H232">
        <v>4</v>
      </c>
      <c r="I232">
        <v>380.19</v>
      </c>
      <c r="J232">
        <v>1520.76</v>
      </c>
      <c r="K232" t="s">
        <v>811</v>
      </c>
      <c r="L232" t="s">
        <v>28</v>
      </c>
    </row>
    <row r="233" spans="1:12" x14ac:dyDescent="0.35">
      <c r="A233" t="s">
        <v>812</v>
      </c>
      <c r="B233" t="s">
        <v>751</v>
      </c>
      <c r="C233" t="s">
        <v>752</v>
      </c>
      <c r="D233" t="s">
        <v>67</v>
      </c>
      <c r="E233" t="s">
        <v>130</v>
      </c>
      <c r="F233" t="s">
        <v>42</v>
      </c>
      <c r="G233" t="s">
        <v>43</v>
      </c>
      <c r="H233">
        <v>2</v>
      </c>
      <c r="I233">
        <v>517.69000000000005</v>
      </c>
      <c r="J233">
        <v>1035.3800000000001</v>
      </c>
      <c r="K233" t="s">
        <v>813</v>
      </c>
      <c r="L233" t="s">
        <v>28</v>
      </c>
    </row>
    <row r="234" spans="1:12" x14ac:dyDescent="0.35">
      <c r="A234" t="s">
        <v>814</v>
      </c>
      <c r="B234" t="s">
        <v>439</v>
      </c>
      <c r="C234" t="s">
        <v>440</v>
      </c>
      <c r="D234" t="s">
        <v>32</v>
      </c>
      <c r="E234" t="s">
        <v>61</v>
      </c>
      <c r="F234" t="s">
        <v>50</v>
      </c>
      <c r="G234" t="s">
        <v>216</v>
      </c>
      <c r="H234">
        <v>1</v>
      </c>
      <c r="I234">
        <v>1142.4100000000001</v>
      </c>
      <c r="J234">
        <v>1142.4100000000001</v>
      </c>
      <c r="K234" t="s">
        <v>815</v>
      </c>
      <c r="L234" t="s">
        <v>19</v>
      </c>
    </row>
    <row r="235" spans="1:12" x14ac:dyDescent="0.35">
      <c r="A235" t="s">
        <v>816</v>
      </c>
      <c r="B235" t="s">
        <v>817</v>
      </c>
      <c r="C235" t="s">
        <v>818</v>
      </c>
      <c r="D235" t="s">
        <v>23</v>
      </c>
      <c r="E235" t="s">
        <v>338</v>
      </c>
      <c r="F235" t="s">
        <v>25</v>
      </c>
      <c r="G235" t="s">
        <v>139</v>
      </c>
      <c r="H235">
        <v>2</v>
      </c>
      <c r="I235">
        <v>1090.96</v>
      </c>
      <c r="J235">
        <v>2181.92</v>
      </c>
      <c r="K235" t="s">
        <v>542</v>
      </c>
      <c r="L235" t="s">
        <v>45</v>
      </c>
    </row>
    <row r="236" spans="1:12" x14ac:dyDescent="0.35">
      <c r="A236" t="s">
        <v>819</v>
      </c>
      <c r="B236" t="s">
        <v>820</v>
      </c>
      <c r="C236" t="s">
        <v>821</v>
      </c>
      <c r="D236" t="s">
        <v>14</v>
      </c>
      <c r="E236" t="s">
        <v>266</v>
      </c>
      <c r="F236" t="s">
        <v>25</v>
      </c>
      <c r="G236" t="s">
        <v>139</v>
      </c>
      <c r="H236">
        <v>4</v>
      </c>
      <c r="I236">
        <v>1233.48</v>
      </c>
      <c r="J236">
        <v>4933.92</v>
      </c>
      <c r="K236" t="s">
        <v>822</v>
      </c>
      <c r="L236" t="s">
        <v>45</v>
      </c>
    </row>
    <row r="237" spans="1:12" x14ac:dyDescent="0.35">
      <c r="A237" t="s">
        <v>823</v>
      </c>
      <c r="B237" t="s">
        <v>771</v>
      </c>
      <c r="C237" t="s">
        <v>772</v>
      </c>
      <c r="D237" t="s">
        <v>32</v>
      </c>
      <c r="E237" t="s">
        <v>61</v>
      </c>
      <c r="F237" t="s">
        <v>50</v>
      </c>
      <c r="G237" t="s">
        <v>216</v>
      </c>
      <c r="H237">
        <v>5</v>
      </c>
      <c r="I237">
        <v>1095.7</v>
      </c>
      <c r="J237">
        <v>5478.5</v>
      </c>
      <c r="K237" t="s">
        <v>486</v>
      </c>
      <c r="L237" t="s">
        <v>36</v>
      </c>
    </row>
    <row r="238" spans="1:12" x14ac:dyDescent="0.35">
      <c r="A238" t="s">
        <v>824</v>
      </c>
      <c r="B238" t="s">
        <v>797</v>
      </c>
      <c r="C238" t="s">
        <v>798</v>
      </c>
      <c r="D238" t="s">
        <v>14</v>
      </c>
      <c r="E238" t="s">
        <v>125</v>
      </c>
      <c r="F238" t="s">
        <v>101</v>
      </c>
      <c r="G238" t="s">
        <v>237</v>
      </c>
      <c r="H238">
        <v>5</v>
      </c>
      <c r="I238">
        <v>203.41</v>
      </c>
      <c r="J238">
        <v>1017.05</v>
      </c>
      <c r="K238" t="s">
        <v>825</v>
      </c>
      <c r="L238" t="s">
        <v>91</v>
      </c>
    </row>
    <row r="239" spans="1:12" x14ac:dyDescent="0.35">
      <c r="A239" t="s">
        <v>826</v>
      </c>
      <c r="B239" t="s">
        <v>827</v>
      </c>
      <c r="C239" t="s">
        <v>828</v>
      </c>
      <c r="D239" t="s">
        <v>32</v>
      </c>
      <c r="E239" t="s">
        <v>61</v>
      </c>
      <c r="F239" t="s">
        <v>101</v>
      </c>
      <c r="G239" t="s">
        <v>102</v>
      </c>
      <c r="H239">
        <v>4</v>
      </c>
      <c r="I239">
        <v>347.41</v>
      </c>
      <c r="J239">
        <v>1389.64</v>
      </c>
      <c r="K239" t="s">
        <v>795</v>
      </c>
      <c r="L239" t="s">
        <v>91</v>
      </c>
    </row>
    <row r="240" spans="1:12" x14ac:dyDescent="0.35">
      <c r="A240" t="s">
        <v>829</v>
      </c>
      <c r="B240" t="s">
        <v>464</v>
      </c>
      <c r="C240" t="s">
        <v>465</v>
      </c>
      <c r="D240" t="s">
        <v>32</v>
      </c>
      <c r="E240" t="s">
        <v>61</v>
      </c>
      <c r="F240" t="s">
        <v>16</v>
      </c>
      <c r="G240" t="s">
        <v>17</v>
      </c>
      <c r="H240">
        <v>2</v>
      </c>
      <c r="I240">
        <v>67.5</v>
      </c>
      <c r="J240">
        <v>135</v>
      </c>
      <c r="K240" t="s">
        <v>830</v>
      </c>
      <c r="L240" t="s">
        <v>28</v>
      </c>
    </row>
    <row r="241" spans="1:12" x14ac:dyDescent="0.35">
      <c r="A241" t="s">
        <v>831</v>
      </c>
      <c r="B241" t="s">
        <v>832</v>
      </c>
      <c r="C241" t="s">
        <v>833</v>
      </c>
      <c r="D241" t="s">
        <v>67</v>
      </c>
      <c r="E241" t="s">
        <v>115</v>
      </c>
      <c r="F241" t="s">
        <v>50</v>
      </c>
      <c r="G241" t="s">
        <v>69</v>
      </c>
      <c r="H241">
        <v>4</v>
      </c>
      <c r="I241">
        <v>503.96</v>
      </c>
      <c r="J241">
        <v>2015.84</v>
      </c>
      <c r="K241" t="s">
        <v>834</v>
      </c>
      <c r="L241" t="s">
        <v>28</v>
      </c>
    </row>
    <row r="242" spans="1:12" x14ac:dyDescent="0.35">
      <c r="A242" t="s">
        <v>835</v>
      </c>
      <c r="B242" t="s">
        <v>273</v>
      </c>
      <c r="C242" t="s">
        <v>274</v>
      </c>
      <c r="D242" t="s">
        <v>23</v>
      </c>
      <c r="E242" t="s">
        <v>338</v>
      </c>
      <c r="F242" t="s">
        <v>25</v>
      </c>
      <c r="G242" t="s">
        <v>74</v>
      </c>
      <c r="H242">
        <v>2</v>
      </c>
      <c r="I242">
        <v>1236.78</v>
      </c>
      <c r="J242">
        <v>2473.56</v>
      </c>
      <c r="K242" t="s">
        <v>836</v>
      </c>
      <c r="L242" t="s">
        <v>91</v>
      </c>
    </row>
    <row r="243" spans="1:12" x14ac:dyDescent="0.35">
      <c r="A243" t="s">
        <v>837</v>
      </c>
      <c r="B243" t="s">
        <v>838</v>
      </c>
      <c r="C243" t="s">
        <v>839</v>
      </c>
      <c r="D243" t="s">
        <v>40</v>
      </c>
      <c r="E243" t="s">
        <v>79</v>
      </c>
      <c r="F243" t="s">
        <v>42</v>
      </c>
      <c r="G243" t="s">
        <v>225</v>
      </c>
      <c r="H243">
        <v>1</v>
      </c>
      <c r="I243">
        <v>133.47</v>
      </c>
      <c r="J243">
        <v>133.47</v>
      </c>
      <c r="K243" t="s">
        <v>840</v>
      </c>
      <c r="L243" t="s">
        <v>28</v>
      </c>
    </row>
    <row r="244" spans="1:12" x14ac:dyDescent="0.35">
      <c r="A244" t="s">
        <v>841</v>
      </c>
      <c r="B244" t="s">
        <v>842</v>
      </c>
      <c r="C244" t="s">
        <v>843</v>
      </c>
      <c r="D244" t="s">
        <v>23</v>
      </c>
      <c r="E244" t="s">
        <v>338</v>
      </c>
      <c r="F244" t="s">
        <v>50</v>
      </c>
      <c r="G244" t="s">
        <v>51</v>
      </c>
      <c r="H244">
        <v>3</v>
      </c>
      <c r="I244">
        <v>1231.49</v>
      </c>
      <c r="J244">
        <v>3694.47</v>
      </c>
      <c r="K244" t="s">
        <v>844</v>
      </c>
      <c r="L244" t="s">
        <v>28</v>
      </c>
    </row>
    <row r="245" spans="1:12" x14ac:dyDescent="0.35">
      <c r="A245" t="s">
        <v>845</v>
      </c>
      <c r="B245" t="s">
        <v>681</v>
      </c>
      <c r="C245" t="s">
        <v>682</v>
      </c>
      <c r="D245" t="s">
        <v>32</v>
      </c>
      <c r="E245" t="s">
        <v>203</v>
      </c>
      <c r="F245" t="s">
        <v>101</v>
      </c>
      <c r="G245" t="s">
        <v>373</v>
      </c>
      <c r="H245">
        <v>5</v>
      </c>
      <c r="I245">
        <v>1118.03</v>
      </c>
      <c r="J245">
        <v>5590.15</v>
      </c>
      <c r="K245" t="s">
        <v>846</v>
      </c>
      <c r="L245" t="s">
        <v>45</v>
      </c>
    </row>
    <row r="246" spans="1:12" x14ac:dyDescent="0.35">
      <c r="A246" t="s">
        <v>847</v>
      </c>
      <c r="B246" t="s">
        <v>287</v>
      </c>
      <c r="C246" t="s">
        <v>288</v>
      </c>
      <c r="D246" t="s">
        <v>14</v>
      </c>
      <c r="E246" t="s">
        <v>125</v>
      </c>
      <c r="F246" t="s">
        <v>42</v>
      </c>
      <c r="G246" t="s">
        <v>43</v>
      </c>
      <c r="H246">
        <v>1</v>
      </c>
      <c r="I246">
        <v>215.6</v>
      </c>
      <c r="J246">
        <v>215.6</v>
      </c>
      <c r="K246" t="s">
        <v>713</v>
      </c>
      <c r="L246" t="s">
        <v>36</v>
      </c>
    </row>
    <row r="247" spans="1:12" x14ac:dyDescent="0.35">
      <c r="A247" t="s">
        <v>848</v>
      </c>
      <c r="B247" t="s">
        <v>446</v>
      </c>
      <c r="C247" t="s">
        <v>447</v>
      </c>
      <c r="D247" t="s">
        <v>40</v>
      </c>
      <c r="E247" t="s">
        <v>120</v>
      </c>
      <c r="F247" t="s">
        <v>50</v>
      </c>
      <c r="G247" t="s">
        <v>170</v>
      </c>
      <c r="H247">
        <v>1</v>
      </c>
      <c r="I247">
        <v>891.28</v>
      </c>
      <c r="J247">
        <v>891.28</v>
      </c>
      <c r="K247" t="s">
        <v>701</v>
      </c>
      <c r="L247" t="s">
        <v>45</v>
      </c>
    </row>
    <row r="248" spans="1:12" x14ac:dyDescent="0.35">
      <c r="A248" t="s">
        <v>849</v>
      </c>
      <c r="B248" t="s">
        <v>723</v>
      </c>
      <c r="C248" t="s">
        <v>724</v>
      </c>
      <c r="D248" t="s">
        <v>32</v>
      </c>
      <c r="E248" t="s">
        <v>203</v>
      </c>
      <c r="F248" t="s">
        <v>25</v>
      </c>
      <c r="G248" t="s">
        <v>62</v>
      </c>
      <c r="H248">
        <v>2</v>
      </c>
      <c r="I248">
        <v>342.44</v>
      </c>
      <c r="J248">
        <v>684.88</v>
      </c>
      <c r="K248" t="s">
        <v>850</v>
      </c>
      <c r="L248" t="s">
        <v>45</v>
      </c>
    </row>
    <row r="249" spans="1:12" x14ac:dyDescent="0.35">
      <c r="A249" t="s">
        <v>851</v>
      </c>
      <c r="B249" t="s">
        <v>388</v>
      </c>
      <c r="C249" t="s">
        <v>389</v>
      </c>
      <c r="D249" t="s">
        <v>23</v>
      </c>
      <c r="E249" t="s">
        <v>24</v>
      </c>
      <c r="F249" t="s">
        <v>42</v>
      </c>
      <c r="G249" t="s">
        <v>89</v>
      </c>
      <c r="H249">
        <v>4</v>
      </c>
      <c r="I249">
        <v>1427.91</v>
      </c>
      <c r="J249">
        <v>5711.64</v>
      </c>
      <c r="K249" t="s">
        <v>534</v>
      </c>
      <c r="L249" t="s">
        <v>28</v>
      </c>
    </row>
    <row r="250" spans="1:12" x14ac:dyDescent="0.35">
      <c r="A250" t="s">
        <v>852</v>
      </c>
      <c r="B250" t="s">
        <v>853</v>
      </c>
      <c r="C250" t="s">
        <v>854</v>
      </c>
      <c r="D250" t="s">
        <v>23</v>
      </c>
      <c r="E250" t="s">
        <v>49</v>
      </c>
      <c r="F250" t="s">
        <v>25</v>
      </c>
      <c r="G250" t="s">
        <v>26</v>
      </c>
      <c r="H250">
        <v>2</v>
      </c>
      <c r="I250">
        <v>369.14</v>
      </c>
      <c r="J250">
        <v>738.28</v>
      </c>
      <c r="K250" t="s">
        <v>546</v>
      </c>
      <c r="L250" t="s">
        <v>19</v>
      </c>
    </row>
    <row r="251" spans="1:12" x14ac:dyDescent="0.35">
      <c r="A251" t="s">
        <v>855</v>
      </c>
      <c r="B251" t="s">
        <v>856</v>
      </c>
      <c r="C251" t="s">
        <v>857</v>
      </c>
      <c r="D251" t="s">
        <v>67</v>
      </c>
      <c r="E251" t="s">
        <v>115</v>
      </c>
      <c r="F251" t="s">
        <v>101</v>
      </c>
      <c r="G251" t="s">
        <v>102</v>
      </c>
      <c r="H251">
        <v>4</v>
      </c>
      <c r="I251">
        <v>309.58999999999997</v>
      </c>
      <c r="J251">
        <v>1238.3599999999999</v>
      </c>
      <c r="K251" t="s">
        <v>858</v>
      </c>
      <c r="L251" t="s">
        <v>36</v>
      </c>
    </row>
    <row r="252" spans="1:12" x14ac:dyDescent="0.35">
      <c r="A252" t="s">
        <v>859</v>
      </c>
      <c r="B252" t="s">
        <v>860</v>
      </c>
      <c r="C252" t="s">
        <v>861</v>
      </c>
      <c r="D252" t="s">
        <v>40</v>
      </c>
      <c r="E252" t="s">
        <v>120</v>
      </c>
      <c r="F252" t="s">
        <v>16</v>
      </c>
      <c r="G252" t="s">
        <v>177</v>
      </c>
      <c r="H252">
        <v>2</v>
      </c>
      <c r="I252">
        <v>336.85</v>
      </c>
      <c r="J252">
        <v>673.7</v>
      </c>
      <c r="K252" t="s">
        <v>862</v>
      </c>
      <c r="L252" t="s">
        <v>91</v>
      </c>
    </row>
    <row r="253" spans="1:12" x14ac:dyDescent="0.35">
      <c r="A253" t="s">
        <v>863</v>
      </c>
      <c r="B253" t="s">
        <v>864</v>
      </c>
      <c r="C253" t="s">
        <v>865</v>
      </c>
      <c r="D253" t="s">
        <v>67</v>
      </c>
      <c r="E253" t="s">
        <v>130</v>
      </c>
      <c r="F253" t="s">
        <v>101</v>
      </c>
      <c r="G253" t="s">
        <v>102</v>
      </c>
      <c r="H253">
        <v>4</v>
      </c>
      <c r="I253">
        <v>76.11</v>
      </c>
      <c r="J253">
        <v>304.44</v>
      </c>
      <c r="K253" t="s">
        <v>866</v>
      </c>
      <c r="L253" t="s">
        <v>91</v>
      </c>
    </row>
    <row r="254" spans="1:12" x14ac:dyDescent="0.35">
      <c r="A254" t="s">
        <v>867</v>
      </c>
      <c r="B254" t="s">
        <v>868</v>
      </c>
      <c r="C254" t="s">
        <v>869</v>
      </c>
      <c r="D254" t="s">
        <v>14</v>
      </c>
      <c r="E254" t="s">
        <v>125</v>
      </c>
      <c r="F254" t="s">
        <v>42</v>
      </c>
      <c r="G254" t="s">
        <v>170</v>
      </c>
      <c r="H254">
        <v>5</v>
      </c>
      <c r="I254">
        <v>1185.07</v>
      </c>
      <c r="J254">
        <v>5925.35</v>
      </c>
      <c r="K254" t="s">
        <v>870</v>
      </c>
      <c r="L254" t="s">
        <v>45</v>
      </c>
    </row>
    <row r="255" spans="1:12" x14ac:dyDescent="0.35">
      <c r="A255" t="s">
        <v>871</v>
      </c>
      <c r="B255" t="s">
        <v>590</v>
      </c>
      <c r="C255" t="s">
        <v>591</v>
      </c>
      <c r="D255" t="s">
        <v>67</v>
      </c>
      <c r="E255" t="s">
        <v>130</v>
      </c>
      <c r="F255" t="s">
        <v>16</v>
      </c>
      <c r="G255" t="s">
        <v>182</v>
      </c>
      <c r="H255">
        <v>5</v>
      </c>
      <c r="I255">
        <v>870.91</v>
      </c>
      <c r="J255">
        <v>4354.55</v>
      </c>
      <c r="K255" t="s">
        <v>872</v>
      </c>
      <c r="L255" t="s">
        <v>28</v>
      </c>
    </row>
    <row r="256" spans="1:12" x14ac:dyDescent="0.35">
      <c r="A256" t="s">
        <v>873</v>
      </c>
      <c r="B256" t="s">
        <v>287</v>
      </c>
      <c r="C256" t="s">
        <v>288</v>
      </c>
      <c r="D256" t="s">
        <v>23</v>
      </c>
      <c r="E256" t="s">
        <v>49</v>
      </c>
      <c r="F256" t="s">
        <v>42</v>
      </c>
      <c r="G256" t="s">
        <v>43</v>
      </c>
      <c r="H256">
        <v>5</v>
      </c>
      <c r="I256">
        <v>385.79</v>
      </c>
      <c r="J256">
        <v>1928.95</v>
      </c>
      <c r="K256" t="s">
        <v>874</v>
      </c>
      <c r="L256" t="s">
        <v>45</v>
      </c>
    </row>
    <row r="257" spans="1:12" x14ac:dyDescent="0.35">
      <c r="A257" t="s">
        <v>875</v>
      </c>
      <c r="B257" t="s">
        <v>817</v>
      </c>
      <c r="C257" t="s">
        <v>818</v>
      </c>
      <c r="D257" t="s">
        <v>23</v>
      </c>
      <c r="E257" t="s">
        <v>24</v>
      </c>
      <c r="F257" t="s">
        <v>25</v>
      </c>
      <c r="G257" t="s">
        <v>139</v>
      </c>
      <c r="H257">
        <v>3</v>
      </c>
      <c r="I257">
        <v>1359.96</v>
      </c>
      <c r="J257">
        <v>4079.88</v>
      </c>
      <c r="K257" t="s">
        <v>876</v>
      </c>
      <c r="L257" t="s">
        <v>91</v>
      </c>
    </row>
    <row r="258" spans="1:12" x14ac:dyDescent="0.35">
      <c r="A258" t="s">
        <v>877</v>
      </c>
      <c r="B258" t="s">
        <v>878</v>
      </c>
      <c r="C258" t="s">
        <v>879</v>
      </c>
      <c r="D258" t="s">
        <v>67</v>
      </c>
      <c r="E258" t="s">
        <v>130</v>
      </c>
      <c r="F258" t="s">
        <v>101</v>
      </c>
      <c r="G258" t="s">
        <v>373</v>
      </c>
      <c r="H258">
        <v>1</v>
      </c>
      <c r="I258">
        <v>898.12</v>
      </c>
      <c r="J258">
        <v>898.12</v>
      </c>
      <c r="K258" t="s">
        <v>880</v>
      </c>
      <c r="L258" t="s">
        <v>45</v>
      </c>
    </row>
    <row r="259" spans="1:12" x14ac:dyDescent="0.35">
      <c r="A259" t="s">
        <v>881</v>
      </c>
      <c r="B259" t="s">
        <v>439</v>
      </c>
      <c r="C259" t="s">
        <v>440</v>
      </c>
      <c r="D259" t="s">
        <v>23</v>
      </c>
      <c r="E259" t="s">
        <v>24</v>
      </c>
      <c r="F259" t="s">
        <v>42</v>
      </c>
      <c r="G259" t="s">
        <v>80</v>
      </c>
      <c r="H259">
        <v>1</v>
      </c>
      <c r="I259">
        <v>845.95</v>
      </c>
      <c r="J259">
        <v>845.95</v>
      </c>
      <c r="K259" t="s">
        <v>882</v>
      </c>
      <c r="L259" t="s">
        <v>19</v>
      </c>
    </row>
    <row r="260" spans="1:12" x14ac:dyDescent="0.35">
      <c r="A260" t="s">
        <v>883</v>
      </c>
      <c r="B260" t="s">
        <v>123</v>
      </c>
      <c r="C260" t="s">
        <v>124</v>
      </c>
      <c r="D260" t="s">
        <v>32</v>
      </c>
      <c r="E260" t="s">
        <v>61</v>
      </c>
      <c r="F260" t="s">
        <v>16</v>
      </c>
      <c r="G260" t="s">
        <v>148</v>
      </c>
      <c r="H260">
        <v>2</v>
      </c>
      <c r="I260">
        <v>748.45</v>
      </c>
      <c r="J260">
        <v>1496.9</v>
      </c>
      <c r="K260" t="s">
        <v>884</v>
      </c>
      <c r="L260" t="s">
        <v>91</v>
      </c>
    </row>
    <row r="261" spans="1:12" x14ac:dyDescent="0.35">
      <c r="A261" t="s">
        <v>885</v>
      </c>
      <c r="B261" t="s">
        <v>83</v>
      </c>
      <c r="C261" t="s">
        <v>84</v>
      </c>
      <c r="D261" t="s">
        <v>40</v>
      </c>
      <c r="E261" t="s">
        <v>41</v>
      </c>
      <c r="F261" t="s">
        <v>101</v>
      </c>
      <c r="G261" t="s">
        <v>237</v>
      </c>
      <c r="H261">
        <v>3</v>
      </c>
      <c r="I261">
        <v>872.3</v>
      </c>
      <c r="J261">
        <v>2616.9</v>
      </c>
      <c r="K261" t="s">
        <v>886</v>
      </c>
      <c r="L261" t="s">
        <v>36</v>
      </c>
    </row>
    <row r="262" spans="1:12" x14ac:dyDescent="0.35">
      <c r="A262" t="s">
        <v>887</v>
      </c>
      <c r="B262" t="s">
        <v>197</v>
      </c>
      <c r="C262" t="s">
        <v>198</v>
      </c>
      <c r="D262" t="s">
        <v>40</v>
      </c>
      <c r="E262" t="s">
        <v>79</v>
      </c>
      <c r="F262" t="s">
        <v>101</v>
      </c>
      <c r="G262" t="s">
        <v>373</v>
      </c>
      <c r="H262">
        <v>3</v>
      </c>
      <c r="I262">
        <v>673.72</v>
      </c>
      <c r="J262">
        <v>2021.16</v>
      </c>
      <c r="K262" t="s">
        <v>888</v>
      </c>
      <c r="L262" t="s">
        <v>19</v>
      </c>
    </row>
    <row r="263" spans="1:12" x14ac:dyDescent="0.35">
      <c r="A263" t="s">
        <v>889</v>
      </c>
      <c r="B263" t="s">
        <v>252</v>
      </c>
      <c r="C263" t="s">
        <v>253</v>
      </c>
      <c r="D263" t="s">
        <v>32</v>
      </c>
      <c r="E263" t="s">
        <v>33</v>
      </c>
      <c r="F263" t="s">
        <v>42</v>
      </c>
      <c r="G263" t="s">
        <v>170</v>
      </c>
      <c r="H263">
        <v>3</v>
      </c>
      <c r="I263">
        <v>1321.11</v>
      </c>
      <c r="J263">
        <v>3963.33</v>
      </c>
      <c r="K263" t="s">
        <v>890</v>
      </c>
      <c r="L263" t="s">
        <v>36</v>
      </c>
    </row>
    <row r="264" spans="1:12" x14ac:dyDescent="0.35">
      <c r="A264" t="s">
        <v>891</v>
      </c>
      <c r="B264" t="s">
        <v>163</v>
      </c>
      <c r="C264" t="s">
        <v>164</v>
      </c>
      <c r="D264" t="s">
        <v>40</v>
      </c>
      <c r="E264" t="s">
        <v>41</v>
      </c>
      <c r="F264" t="s">
        <v>25</v>
      </c>
      <c r="G264" t="s">
        <v>34</v>
      </c>
      <c r="H264">
        <v>4</v>
      </c>
      <c r="I264">
        <v>615.25</v>
      </c>
      <c r="J264">
        <v>2461</v>
      </c>
      <c r="K264" t="s">
        <v>892</v>
      </c>
      <c r="L264" t="s">
        <v>28</v>
      </c>
    </row>
    <row r="265" spans="1:12" x14ac:dyDescent="0.35">
      <c r="A265" t="s">
        <v>893</v>
      </c>
      <c r="B265" t="s">
        <v>594</v>
      </c>
      <c r="C265" t="s">
        <v>595</v>
      </c>
      <c r="D265" t="s">
        <v>23</v>
      </c>
      <c r="E265" t="s">
        <v>49</v>
      </c>
      <c r="F265" t="s">
        <v>42</v>
      </c>
      <c r="G265" t="s">
        <v>225</v>
      </c>
      <c r="H265">
        <v>4</v>
      </c>
      <c r="I265">
        <v>1216.08</v>
      </c>
      <c r="J265">
        <v>4864.32</v>
      </c>
      <c r="K265" t="s">
        <v>894</v>
      </c>
      <c r="L265" t="s">
        <v>36</v>
      </c>
    </row>
    <row r="266" spans="1:12" x14ac:dyDescent="0.35">
      <c r="A266" t="s">
        <v>895</v>
      </c>
      <c r="B266" t="s">
        <v>133</v>
      </c>
      <c r="C266" t="s">
        <v>134</v>
      </c>
      <c r="D266" t="s">
        <v>32</v>
      </c>
      <c r="E266" t="s">
        <v>61</v>
      </c>
      <c r="F266" t="s">
        <v>42</v>
      </c>
      <c r="G266" t="s">
        <v>89</v>
      </c>
      <c r="H266">
        <v>2</v>
      </c>
      <c r="I266">
        <v>9.9</v>
      </c>
      <c r="J266">
        <v>19.8</v>
      </c>
      <c r="K266" t="s">
        <v>896</v>
      </c>
      <c r="L266" t="s">
        <v>45</v>
      </c>
    </row>
    <row r="267" spans="1:12" x14ac:dyDescent="0.35">
      <c r="A267" t="s">
        <v>897</v>
      </c>
      <c r="B267" t="s">
        <v>817</v>
      </c>
      <c r="C267" t="s">
        <v>818</v>
      </c>
      <c r="D267" t="s">
        <v>14</v>
      </c>
      <c r="E267" t="s">
        <v>100</v>
      </c>
      <c r="F267" t="s">
        <v>16</v>
      </c>
      <c r="G267" t="s">
        <v>177</v>
      </c>
      <c r="H267">
        <v>2</v>
      </c>
      <c r="I267">
        <v>221.77</v>
      </c>
      <c r="J267">
        <v>443.54</v>
      </c>
      <c r="K267" t="s">
        <v>361</v>
      </c>
      <c r="L267" t="s">
        <v>91</v>
      </c>
    </row>
    <row r="268" spans="1:12" x14ac:dyDescent="0.35">
      <c r="A268" t="s">
        <v>898</v>
      </c>
      <c r="B268" t="s">
        <v>775</v>
      </c>
      <c r="C268" t="s">
        <v>776</v>
      </c>
      <c r="D268" t="s">
        <v>23</v>
      </c>
      <c r="E268" t="s">
        <v>338</v>
      </c>
      <c r="F268" t="s">
        <v>25</v>
      </c>
      <c r="G268" t="s">
        <v>26</v>
      </c>
      <c r="H268">
        <v>1</v>
      </c>
      <c r="I268">
        <v>695</v>
      </c>
      <c r="J268">
        <v>695</v>
      </c>
      <c r="K268" t="s">
        <v>479</v>
      </c>
      <c r="L268" t="s">
        <v>19</v>
      </c>
    </row>
    <row r="269" spans="1:12" x14ac:dyDescent="0.35">
      <c r="A269" t="s">
        <v>899</v>
      </c>
      <c r="B269" t="s">
        <v>273</v>
      </c>
      <c r="C269" t="s">
        <v>274</v>
      </c>
      <c r="D269" t="s">
        <v>40</v>
      </c>
      <c r="E269" t="s">
        <v>79</v>
      </c>
      <c r="F269" t="s">
        <v>25</v>
      </c>
      <c r="G269" t="s">
        <v>62</v>
      </c>
      <c r="H269">
        <v>3</v>
      </c>
      <c r="I269">
        <v>895.46</v>
      </c>
      <c r="J269">
        <v>2686.38</v>
      </c>
      <c r="K269" t="s">
        <v>319</v>
      </c>
      <c r="L269" t="s">
        <v>28</v>
      </c>
    </row>
    <row r="270" spans="1:12" x14ac:dyDescent="0.35">
      <c r="A270" t="s">
        <v>900</v>
      </c>
      <c r="B270" t="s">
        <v>901</v>
      </c>
      <c r="C270" t="s">
        <v>902</v>
      </c>
      <c r="D270" t="s">
        <v>67</v>
      </c>
      <c r="E270" t="s">
        <v>68</v>
      </c>
      <c r="F270" t="s">
        <v>101</v>
      </c>
      <c r="G270" t="s">
        <v>649</v>
      </c>
      <c r="H270">
        <v>3</v>
      </c>
      <c r="I270">
        <v>99.01</v>
      </c>
      <c r="J270">
        <v>297.02999999999997</v>
      </c>
      <c r="K270" t="s">
        <v>96</v>
      </c>
      <c r="L270" t="s">
        <v>45</v>
      </c>
    </row>
    <row r="271" spans="1:12" x14ac:dyDescent="0.35">
      <c r="A271" t="s">
        <v>903</v>
      </c>
      <c r="B271" t="s">
        <v>904</v>
      </c>
      <c r="C271" t="s">
        <v>905</v>
      </c>
      <c r="D271" t="s">
        <v>14</v>
      </c>
      <c r="E271" t="s">
        <v>266</v>
      </c>
      <c r="F271" t="s">
        <v>101</v>
      </c>
      <c r="G271" t="s">
        <v>237</v>
      </c>
      <c r="H271">
        <v>1</v>
      </c>
      <c r="I271">
        <v>495.86</v>
      </c>
      <c r="J271">
        <v>495.86</v>
      </c>
      <c r="K271" t="s">
        <v>906</v>
      </c>
      <c r="L271" t="s">
        <v>91</v>
      </c>
    </row>
    <row r="272" spans="1:12" x14ac:dyDescent="0.35">
      <c r="A272" t="s">
        <v>907</v>
      </c>
      <c r="B272" t="s">
        <v>206</v>
      </c>
      <c r="C272" t="s">
        <v>207</v>
      </c>
      <c r="D272" t="s">
        <v>14</v>
      </c>
      <c r="E272" t="s">
        <v>100</v>
      </c>
      <c r="F272" t="s">
        <v>101</v>
      </c>
      <c r="G272" t="s">
        <v>237</v>
      </c>
      <c r="H272">
        <v>2</v>
      </c>
      <c r="I272">
        <v>714.74</v>
      </c>
      <c r="J272">
        <v>1429.48</v>
      </c>
      <c r="K272" t="s">
        <v>908</v>
      </c>
      <c r="L272" t="s">
        <v>36</v>
      </c>
    </row>
    <row r="273" spans="1:12" x14ac:dyDescent="0.35">
      <c r="A273" t="s">
        <v>909</v>
      </c>
      <c r="B273" t="s">
        <v>910</v>
      </c>
      <c r="C273" t="s">
        <v>911</v>
      </c>
      <c r="D273" t="s">
        <v>40</v>
      </c>
      <c r="E273" t="s">
        <v>79</v>
      </c>
      <c r="F273" t="s">
        <v>50</v>
      </c>
      <c r="G273" t="s">
        <v>56</v>
      </c>
      <c r="H273">
        <v>3</v>
      </c>
      <c r="I273">
        <v>876.27</v>
      </c>
      <c r="J273">
        <v>2628.81</v>
      </c>
      <c r="K273" t="s">
        <v>912</v>
      </c>
      <c r="L273" t="s">
        <v>91</v>
      </c>
    </row>
    <row r="274" spans="1:12" x14ac:dyDescent="0.35">
      <c r="A274" t="s">
        <v>913</v>
      </c>
      <c r="B274" t="s">
        <v>914</v>
      </c>
      <c r="C274" t="s">
        <v>915</v>
      </c>
      <c r="D274" t="s">
        <v>67</v>
      </c>
      <c r="E274" t="s">
        <v>68</v>
      </c>
      <c r="F274" t="s">
        <v>101</v>
      </c>
      <c r="G274" t="s">
        <v>165</v>
      </c>
      <c r="H274">
        <v>5</v>
      </c>
      <c r="I274">
        <v>747.7</v>
      </c>
      <c r="J274">
        <v>3738.5</v>
      </c>
      <c r="K274" t="s">
        <v>916</v>
      </c>
      <c r="L274" t="s">
        <v>91</v>
      </c>
    </row>
    <row r="275" spans="1:12" x14ac:dyDescent="0.35">
      <c r="A275" t="s">
        <v>917</v>
      </c>
      <c r="B275" t="s">
        <v>918</v>
      </c>
      <c r="C275" t="s">
        <v>919</v>
      </c>
      <c r="D275" t="s">
        <v>32</v>
      </c>
      <c r="E275" t="s">
        <v>203</v>
      </c>
      <c r="F275" t="s">
        <v>42</v>
      </c>
      <c r="G275" t="s">
        <v>43</v>
      </c>
      <c r="H275">
        <v>5</v>
      </c>
      <c r="I275">
        <v>69.11</v>
      </c>
      <c r="J275">
        <v>345.55</v>
      </c>
      <c r="K275" t="s">
        <v>920</v>
      </c>
      <c r="L275" t="s">
        <v>45</v>
      </c>
    </row>
    <row r="276" spans="1:12" x14ac:dyDescent="0.35">
      <c r="A276" t="s">
        <v>921</v>
      </c>
      <c r="B276" t="s">
        <v>922</v>
      </c>
      <c r="C276" t="s">
        <v>923</v>
      </c>
      <c r="D276" t="s">
        <v>40</v>
      </c>
      <c r="E276" t="s">
        <v>120</v>
      </c>
      <c r="F276" t="s">
        <v>16</v>
      </c>
      <c r="G276" t="s">
        <v>148</v>
      </c>
      <c r="H276">
        <v>1</v>
      </c>
      <c r="I276">
        <v>156.08000000000001</v>
      </c>
      <c r="J276">
        <v>156.08000000000001</v>
      </c>
      <c r="K276" t="s">
        <v>896</v>
      </c>
      <c r="L276" t="s">
        <v>19</v>
      </c>
    </row>
    <row r="277" spans="1:12" x14ac:dyDescent="0.35">
      <c r="A277" t="s">
        <v>924</v>
      </c>
      <c r="B277" t="s">
        <v>925</v>
      </c>
      <c r="C277" t="s">
        <v>926</v>
      </c>
      <c r="D277" t="s">
        <v>32</v>
      </c>
      <c r="E277" t="s">
        <v>33</v>
      </c>
      <c r="F277" t="s">
        <v>42</v>
      </c>
      <c r="G277" t="s">
        <v>89</v>
      </c>
      <c r="H277">
        <v>2</v>
      </c>
      <c r="I277">
        <v>671.44</v>
      </c>
      <c r="J277">
        <v>1342.88</v>
      </c>
      <c r="K277" t="s">
        <v>927</v>
      </c>
      <c r="L277" t="s">
        <v>28</v>
      </c>
    </row>
    <row r="278" spans="1:12" x14ac:dyDescent="0.35">
      <c r="A278" t="s">
        <v>928</v>
      </c>
      <c r="B278" t="s">
        <v>435</v>
      </c>
      <c r="C278" t="s">
        <v>436</v>
      </c>
      <c r="D278" t="s">
        <v>67</v>
      </c>
      <c r="E278" t="s">
        <v>130</v>
      </c>
      <c r="F278" t="s">
        <v>101</v>
      </c>
      <c r="G278" t="s">
        <v>237</v>
      </c>
      <c r="H278">
        <v>3</v>
      </c>
      <c r="I278">
        <v>171.42</v>
      </c>
      <c r="J278">
        <v>514.26</v>
      </c>
      <c r="K278" t="s">
        <v>929</v>
      </c>
      <c r="L278" t="s">
        <v>36</v>
      </c>
    </row>
    <row r="279" spans="1:12" x14ac:dyDescent="0.35">
      <c r="A279" t="s">
        <v>930</v>
      </c>
      <c r="B279" t="s">
        <v>931</v>
      </c>
      <c r="C279" t="s">
        <v>932</v>
      </c>
      <c r="D279" t="s">
        <v>14</v>
      </c>
      <c r="E279" t="s">
        <v>266</v>
      </c>
      <c r="F279" t="s">
        <v>50</v>
      </c>
      <c r="G279" t="s">
        <v>170</v>
      </c>
      <c r="H279">
        <v>5</v>
      </c>
      <c r="I279">
        <v>1237.8599999999999</v>
      </c>
      <c r="J279">
        <v>6189.3</v>
      </c>
      <c r="K279" t="s">
        <v>933</v>
      </c>
      <c r="L279" t="s">
        <v>45</v>
      </c>
    </row>
    <row r="280" spans="1:12" x14ac:dyDescent="0.35">
      <c r="A280" t="s">
        <v>934</v>
      </c>
      <c r="B280" t="s">
        <v>163</v>
      </c>
      <c r="C280" t="s">
        <v>164</v>
      </c>
      <c r="D280" t="s">
        <v>67</v>
      </c>
      <c r="E280" t="s">
        <v>130</v>
      </c>
      <c r="F280" t="s">
        <v>16</v>
      </c>
      <c r="G280" t="s">
        <v>17</v>
      </c>
      <c r="H280">
        <v>3</v>
      </c>
      <c r="I280">
        <v>783.72</v>
      </c>
      <c r="J280">
        <v>2351.16</v>
      </c>
      <c r="K280" t="s">
        <v>662</v>
      </c>
      <c r="L280" t="s">
        <v>19</v>
      </c>
    </row>
    <row r="281" spans="1:12" x14ac:dyDescent="0.35">
      <c r="A281" t="s">
        <v>935</v>
      </c>
      <c r="B281" t="s">
        <v>936</v>
      </c>
      <c r="C281" t="s">
        <v>937</v>
      </c>
      <c r="D281" t="s">
        <v>40</v>
      </c>
      <c r="E281" t="s">
        <v>120</v>
      </c>
      <c r="F281" t="s">
        <v>50</v>
      </c>
      <c r="G281" t="s">
        <v>56</v>
      </c>
      <c r="H281">
        <v>4</v>
      </c>
      <c r="I281">
        <v>1405.83</v>
      </c>
      <c r="J281">
        <v>5623.32</v>
      </c>
      <c r="K281" t="s">
        <v>938</v>
      </c>
      <c r="L281" t="s">
        <v>36</v>
      </c>
    </row>
    <row r="282" spans="1:12" x14ac:dyDescent="0.35">
      <c r="A282" t="s">
        <v>939</v>
      </c>
      <c r="B282" t="s">
        <v>83</v>
      </c>
      <c r="C282" t="s">
        <v>84</v>
      </c>
      <c r="D282" t="s">
        <v>32</v>
      </c>
      <c r="E282" t="s">
        <v>61</v>
      </c>
      <c r="F282" t="s">
        <v>101</v>
      </c>
      <c r="G282" t="s">
        <v>373</v>
      </c>
      <c r="H282">
        <v>4</v>
      </c>
      <c r="I282">
        <v>938.15</v>
      </c>
      <c r="J282">
        <v>3752.6</v>
      </c>
      <c r="K282" t="s">
        <v>940</v>
      </c>
      <c r="L282" t="s">
        <v>36</v>
      </c>
    </row>
    <row r="283" spans="1:12" x14ac:dyDescent="0.35">
      <c r="A283" t="s">
        <v>941</v>
      </c>
      <c r="B283" t="s">
        <v>820</v>
      </c>
      <c r="C283" t="s">
        <v>821</v>
      </c>
      <c r="D283" t="s">
        <v>23</v>
      </c>
      <c r="E283" t="s">
        <v>338</v>
      </c>
      <c r="F283" t="s">
        <v>101</v>
      </c>
      <c r="G283" t="s">
        <v>165</v>
      </c>
      <c r="H283">
        <v>1</v>
      </c>
      <c r="I283">
        <v>1250.99</v>
      </c>
      <c r="J283">
        <v>1250.99</v>
      </c>
      <c r="K283" t="s">
        <v>942</v>
      </c>
      <c r="L283" t="s">
        <v>19</v>
      </c>
    </row>
    <row r="284" spans="1:12" x14ac:dyDescent="0.35">
      <c r="A284" t="s">
        <v>943</v>
      </c>
      <c r="B284" t="s">
        <v>474</v>
      </c>
      <c r="C284" t="s">
        <v>475</v>
      </c>
      <c r="D284" t="s">
        <v>14</v>
      </c>
      <c r="E284" t="s">
        <v>266</v>
      </c>
      <c r="F284" t="s">
        <v>42</v>
      </c>
      <c r="G284" t="s">
        <v>170</v>
      </c>
      <c r="H284">
        <v>5</v>
      </c>
      <c r="I284">
        <v>755.07</v>
      </c>
      <c r="J284">
        <v>3775.35</v>
      </c>
      <c r="K284" t="s">
        <v>944</v>
      </c>
      <c r="L284" t="s">
        <v>91</v>
      </c>
    </row>
    <row r="285" spans="1:12" x14ac:dyDescent="0.35">
      <c r="A285" t="s">
        <v>945</v>
      </c>
      <c r="B285" t="s">
        <v>681</v>
      </c>
      <c r="C285" t="s">
        <v>682</v>
      </c>
      <c r="D285" t="s">
        <v>23</v>
      </c>
      <c r="E285" t="s">
        <v>49</v>
      </c>
      <c r="F285" t="s">
        <v>16</v>
      </c>
      <c r="G285" t="s">
        <v>17</v>
      </c>
      <c r="H285">
        <v>4</v>
      </c>
      <c r="I285">
        <v>473.79</v>
      </c>
      <c r="J285">
        <v>1895.16</v>
      </c>
      <c r="K285" t="s">
        <v>614</v>
      </c>
      <c r="L285" t="s">
        <v>19</v>
      </c>
    </row>
    <row r="286" spans="1:12" x14ac:dyDescent="0.35">
      <c r="A286" t="s">
        <v>946</v>
      </c>
      <c r="B286" t="s">
        <v>947</v>
      </c>
      <c r="C286" t="s">
        <v>948</v>
      </c>
      <c r="D286" t="s">
        <v>32</v>
      </c>
      <c r="E286" t="s">
        <v>61</v>
      </c>
      <c r="F286" t="s">
        <v>42</v>
      </c>
      <c r="G286" t="s">
        <v>43</v>
      </c>
      <c r="H286">
        <v>2</v>
      </c>
      <c r="I286">
        <v>623.48</v>
      </c>
      <c r="J286">
        <v>1246.96</v>
      </c>
      <c r="K286" t="s">
        <v>769</v>
      </c>
      <c r="L286" t="s">
        <v>91</v>
      </c>
    </row>
    <row r="287" spans="1:12" x14ac:dyDescent="0.35">
      <c r="A287" t="s">
        <v>949</v>
      </c>
      <c r="B287" t="s">
        <v>602</v>
      </c>
      <c r="C287" t="s">
        <v>603</v>
      </c>
      <c r="D287" t="s">
        <v>14</v>
      </c>
      <c r="E287" t="s">
        <v>100</v>
      </c>
      <c r="F287" t="s">
        <v>50</v>
      </c>
      <c r="G287" t="s">
        <v>51</v>
      </c>
      <c r="H287">
        <v>1</v>
      </c>
      <c r="I287">
        <v>234.67</v>
      </c>
      <c r="J287">
        <v>234.67</v>
      </c>
      <c r="K287" t="s">
        <v>950</v>
      </c>
      <c r="L287" t="s">
        <v>36</v>
      </c>
    </row>
    <row r="288" spans="1:12" x14ac:dyDescent="0.35">
      <c r="A288" t="s">
        <v>951</v>
      </c>
      <c r="B288" t="s">
        <v>639</v>
      </c>
      <c r="C288" t="s">
        <v>640</v>
      </c>
      <c r="D288" t="s">
        <v>14</v>
      </c>
      <c r="E288" t="s">
        <v>100</v>
      </c>
      <c r="F288" t="s">
        <v>25</v>
      </c>
      <c r="G288" t="s">
        <v>74</v>
      </c>
      <c r="H288">
        <v>1</v>
      </c>
      <c r="I288">
        <v>34.979999999999997</v>
      </c>
      <c r="J288">
        <v>34.979999999999997</v>
      </c>
      <c r="K288" t="s">
        <v>952</v>
      </c>
      <c r="L288" t="s">
        <v>45</v>
      </c>
    </row>
    <row r="289" spans="1:12" x14ac:dyDescent="0.35">
      <c r="A289" t="s">
        <v>953</v>
      </c>
      <c r="B289" t="s">
        <v>723</v>
      </c>
      <c r="C289" t="s">
        <v>724</v>
      </c>
      <c r="D289" t="s">
        <v>67</v>
      </c>
      <c r="E289" t="s">
        <v>68</v>
      </c>
      <c r="F289" t="s">
        <v>42</v>
      </c>
      <c r="G289" t="s">
        <v>170</v>
      </c>
      <c r="H289">
        <v>1</v>
      </c>
      <c r="I289">
        <v>624.21</v>
      </c>
      <c r="J289">
        <v>624.21</v>
      </c>
      <c r="K289" t="s">
        <v>954</v>
      </c>
      <c r="L289" t="s">
        <v>36</v>
      </c>
    </row>
    <row r="290" spans="1:12" x14ac:dyDescent="0.35">
      <c r="A290" t="s">
        <v>955</v>
      </c>
      <c r="B290" t="s">
        <v>658</v>
      </c>
      <c r="C290" t="s">
        <v>659</v>
      </c>
      <c r="D290" t="s">
        <v>67</v>
      </c>
      <c r="E290" t="s">
        <v>130</v>
      </c>
      <c r="F290" t="s">
        <v>16</v>
      </c>
      <c r="G290" t="s">
        <v>17</v>
      </c>
      <c r="H290">
        <v>5</v>
      </c>
      <c r="I290">
        <v>627.48</v>
      </c>
      <c r="J290">
        <v>3137.4</v>
      </c>
      <c r="K290" t="s">
        <v>956</v>
      </c>
      <c r="L290" t="s">
        <v>45</v>
      </c>
    </row>
    <row r="291" spans="1:12" x14ac:dyDescent="0.35">
      <c r="A291" t="s">
        <v>957</v>
      </c>
      <c r="B291" t="s">
        <v>817</v>
      </c>
      <c r="C291" t="s">
        <v>818</v>
      </c>
      <c r="D291" t="s">
        <v>14</v>
      </c>
      <c r="E291" t="s">
        <v>100</v>
      </c>
      <c r="F291" t="s">
        <v>25</v>
      </c>
      <c r="G291" t="s">
        <v>74</v>
      </c>
      <c r="H291">
        <v>2</v>
      </c>
      <c r="I291">
        <v>832.85</v>
      </c>
      <c r="J291">
        <v>1665.7</v>
      </c>
      <c r="K291" t="s">
        <v>958</v>
      </c>
      <c r="L291" t="s">
        <v>36</v>
      </c>
    </row>
    <row r="292" spans="1:12" x14ac:dyDescent="0.35">
      <c r="A292" t="s">
        <v>959</v>
      </c>
      <c r="B292" t="s">
        <v>960</v>
      </c>
      <c r="C292" t="s">
        <v>961</v>
      </c>
      <c r="D292" t="s">
        <v>23</v>
      </c>
      <c r="E292" t="s">
        <v>24</v>
      </c>
      <c r="F292" t="s">
        <v>50</v>
      </c>
      <c r="G292" t="s">
        <v>216</v>
      </c>
      <c r="H292">
        <v>3</v>
      </c>
      <c r="I292">
        <v>1375.15</v>
      </c>
      <c r="J292">
        <v>4125.45</v>
      </c>
      <c r="K292" t="s">
        <v>187</v>
      </c>
      <c r="L292" t="s">
        <v>91</v>
      </c>
    </row>
    <row r="293" spans="1:12" x14ac:dyDescent="0.35">
      <c r="A293" t="s">
        <v>962</v>
      </c>
      <c r="B293" t="s">
        <v>295</v>
      </c>
      <c r="C293" t="s">
        <v>296</v>
      </c>
      <c r="D293" t="s">
        <v>40</v>
      </c>
      <c r="E293" t="s">
        <v>41</v>
      </c>
      <c r="F293" t="s">
        <v>50</v>
      </c>
      <c r="G293" t="s">
        <v>170</v>
      </c>
      <c r="H293">
        <v>3</v>
      </c>
      <c r="I293">
        <v>484.57</v>
      </c>
      <c r="J293">
        <v>1453.71</v>
      </c>
      <c r="K293" t="s">
        <v>361</v>
      </c>
      <c r="L293" t="s">
        <v>45</v>
      </c>
    </row>
    <row r="294" spans="1:12" x14ac:dyDescent="0.35">
      <c r="A294" t="s">
        <v>963</v>
      </c>
      <c r="B294" t="s">
        <v>964</v>
      </c>
      <c r="C294" t="s">
        <v>965</v>
      </c>
      <c r="D294" t="s">
        <v>40</v>
      </c>
      <c r="E294" t="s">
        <v>41</v>
      </c>
      <c r="F294" t="s">
        <v>42</v>
      </c>
      <c r="G294" t="s">
        <v>170</v>
      </c>
      <c r="H294">
        <v>1</v>
      </c>
      <c r="I294">
        <v>406.21</v>
      </c>
      <c r="J294">
        <v>406.21</v>
      </c>
      <c r="K294" t="s">
        <v>765</v>
      </c>
      <c r="L294" t="s">
        <v>19</v>
      </c>
    </row>
    <row r="295" spans="1:12" x14ac:dyDescent="0.35">
      <c r="A295" t="s">
        <v>966</v>
      </c>
      <c r="B295" t="s">
        <v>402</v>
      </c>
      <c r="C295" t="s">
        <v>403</v>
      </c>
      <c r="D295" t="s">
        <v>23</v>
      </c>
      <c r="E295" t="s">
        <v>24</v>
      </c>
      <c r="F295" t="s">
        <v>42</v>
      </c>
      <c r="G295" t="s">
        <v>170</v>
      </c>
      <c r="H295">
        <v>5</v>
      </c>
      <c r="I295">
        <v>954.19</v>
      </c>
      <c r="J295">
        <v>4770.95</v>
      </c>
      <c r="K295" t="s">
        <v>967</v>
      </c>
      <c r="L295" t="s">
        <v>28</v>
      </c>
    </row>
    <row r="296" spans="1:12" x14ac:dyDescent="0.35">
      <c r="A296" t="s">
        <v>968</v>
      </c>
      <c r="B296" t="s">
        <v>969</v>
      </c>
      <c r="C296" t="s">
        <v>970</v>
      </c>
      <c r="D296" t="s">
        <v>32</v>
      </c>
      <c r="E296" t="s">
        <v>61</v>
      </c>
      <c r="F296" t="s">
        <v>101</v>
      </c>
      <c r="G296" t="s">
        <v>373</v>
      </c>
      <c r="H296">
        <v>4</v>
      </c>
      <c r="I296">
        <v>1110.1199999999999</v>
      </c>
      <c r="J296">
        <v>4440.4799999999996</v>
      </c>
      <c r="K296" t="s">
        <v>971</v>
      </c>
      <c r="L296" t="s">
        <v>91</v>
      </c>
    </row>
    <row r="297" spans="1:12" x14ac:dyDescent="0.35">
      <c r="A297" t="s">
        <v>972</v>
      </c>
      <c r="B297" t="s">
        <v>544</v>
      </c>
      <c r="C297" t="s">
        <v>545</v>
      </c>
      <c r="D297" t="s">
        <v>23</v>
      </c>
      <c r="E297" t="s">
        <v>338</v>
      </c>
      <c r="F297" t="s">
        <v>50</v>
      </c>
      <c r="G297" t="s">
        <v>51</v>
      </c>
      <c r="H297">
        <v>3</v>
      </c>
      <c r="I297">
        <v>670.98</v>
      </c>
      <c r="J297">
        <v>2012.94</v>
      </c>
      <c r="K297" t="s">
        <v>973</v>
      </c>
      <c r="L297" t="s">
        <v>19</v>
      </c>
    </row>
    <row r="298" spans="1:12" x14ac:dyDescent="0.35">
      <c r="A298" t="s">
        <v>974</v>
      </c>
      <c r="B298" t="s">
        <v>738</v>
      </c>
      <c r="C298" t="s">
        <v>739</v>
      </c>
      <c r="D298" t="s">
        <v>67</v>
      </c>
      <c r="E298" t="s">
        <v>68</v>
      </c>
      <c r="F298" t="s">
        <v>42</v>
      </c>
      <c r="G298" t="s">
        <v>89</v>
      </c>
      <c r="H298">
        <v>3</v>
      </c>
      <c r="I298">
        <v>368.18</v>
      </c>
      <c r="J298">
        <v>1104.54</v>
      </c>
      <c r="K298" t="s">
        <v>975</v>
      </c>
      <c r="L298" t="s">
        <v>36</v>
      </c>
    </row>
    <row r="299" spans="1:12" x14ac:dyDescent="0.35">
      <c r="A299" t="s">
        <v>976</v>
      </c>
      <c r="B299" t="s">
        <v>321</v>
      </c>
      <c r="C299" t="s">
        <v>322</v>
      </c>
      <c r="D299" t="s">
        <v>67</v>
      </c>
      <c r="E299" t="s">
        <v>130</v>
      </c>
      <c r="F299" t="s">
        <v>42</v>
      </c>
      <c r="G299" t="s">
        <v>225</v>
      </c>
      <c r="H299">
        <v>3</v>
      </c>
      <c r="I299">
        <v>854.89</v>
      </c>
      <c r="J299">
        <v>2564.67</v>
      </c>
      <c r="K299" t="s">
        <v>472</v>
      </c>
      <c r="L299" t="s">
        <v>28</v>
      </c>
    </row>
    <row r="300" spans="1:12" x14ac:dyDescent="0.35">
      <c r="A300" t="s">
        <v>977</v>
      </c>
      <c r="B300" t="s">
        <v>779</v>
      </c>
      <c r="C300" t="s">
        <v>780</v>
      </c>
      <c r="D300" t="s">
        <v>67</v>
      </c>
      <c r="E300" t="s">
        <v>130</v>
      </c>
      <c r="F300" t="s">
        <v>25</v>
      </c>
      <c r="G300" t="s">
        <v>139</v>
      </c>
      <c r="H300">
        <v>5</v>
      </c>
      <c r="I300">
        <v>225.16</v>
      </c>
      <c r="J300">
        <v>1125.8</v>
      </c>
      <c r="K300" t="s">
        <v>978</v>
      </c>
      <c r="L300" t="s">
        <v>28</v>
      </c>
    </row>
    <row r="301" spans="1:12" x14ac:dyDescent="0.35">
      <c r="A301" t="s">
        <v>979</v>
      </c>
      <c r="B301" t="s">
        <v>260</v>
      </c>
      <c r="C301" t="s">
        <v>261</v>
      </c>
      <c r="D301" t="s">
        <v>32</v>
      </c>
      <c r="E301" t="s">
        <v>33</v>
      </c>
      <c r="F301" t="s">
        <v>50</v>
      </c>
      <c r="G301" t="s">
        <v>216</v>
      </c>
      <c r="H301">
        <v>3</v>
      </c>
      <c r="I301">
        <v>49.96</v>
      </c>
      <c r="J301">
        <v>149.88</v>
      </c>
      <c r="K301" t="s">
        <v>643</v>
      </c>
      <c r="L301" t="s">
        <v>45</v>
      </c>
    </row>
    <row r="302" spans="1:12" x14ac:dyDescent="0.35">
      <c r="A302" t="s">
        <v>980</v>
      </c>
      <c r="B302" t="s">
        <v>914</v>
      </c>
      <c r="C302" t="s">
        <v>915</v>
      </c>
      <c r="D302" t="s">
        <v>67</v>
      </c>
      <c r="E302" t="s">
        <v>115</v>
      </c>
      <c r="F302" t="s">
        <v>25</v>
      </c>
      <c r="G302" t="s">
        <v>74</v>
      </c>
      <c r="H302">
        <v>2</v>
      </c>
      <c r="I302">
        <v>1288.81</v>
      </c>
      <c r="J302">
        <v>2577.62</v>
      </c>
      <c r="K302" t="s">
        <v>81</v>
      </c>
      <c r="L302" t="s">
        <v>28</v>
      </c>
    </row>
    <row r="303" spans="1:12" x14ac:dyDescent="0.35">
      <c r="A303" t="s">
        <v>981</v>
      </c>
      <c r="B303" t="s">
        <v>853</v>
      </c>
      <c r="C303" t="s">
        <v>854</v>
      </c>
      <c r="D303" t="s">
        <v>23</v>
      </c>
      <c r="E303" t="s">
        <v>338</v>
      </c>
      <c r="F303" t="s">
        <v>25</v>
      </c>
      <c r="G303" t="s">
        <v>74</v>
      </c>
      <c r="H303">
        <v>1</v>
      </c>
      <c r="I303">
        <v>752.98</v>
      </c>
      <c r="J303">
        <v>752.98</v>
      </c>
      <c r="K303" t="s">
        <v>70</v>
      </c>
      <c r="L303" t="s">
        <v>28</v>
      </c>
    </row>
    <row r="304" spans="1:12" x14ac:dyDescent="0.35">
      <c r="A304" t="s">
        <v>982</v>
      </c>
      <c r="B304" t="s">
        <v>718</v>
      </c>
      <c r="C304" t="s">
        <v>719</v>
      </c>
      <c r="D304" t="s">
        <v>40</v>
      </c>
      <c r="E304" t="s">
        <v>120</v>
      </c>
      <c r="F304" t="s">
        <v>42</v>
      </c>
      <c r="G304" t="s">
        <v>89</v>
      </c>
      <c r="H304">
        <v>1</v>
      </c>
      <c r="I304">
        <v>964.3</v>
      </c>
      <c r="J304">
        <v>964.3</v>
      </c>
      <c r="K304" t="s">
        <v>983</v>
      </c>
      <c r="L304" t="s">
        <v>45</v>
      </c>
    </row>
    <row r="305" spans="1:12" x14ac:dyDescent="0.35">
      <c r="A305" t="s">
        <v>984</v>
      </c>
      <c r="B305" t="s">
        <v>155</v>
      </c>
      <c r="C305" t="s">
        <v>156</v>
      </c>
      <c r="D305" t="s">
        <v>14</v>
      </c>
      <c r="E305" t="s">
        <v>125</v>
      </c>
      <c r="F305" t="s">
        <v>42</v>
      </c>
      <c r="G305" t="s">
        <v>225</v>
      </c>
      <c r="H305">
        <v>4</v>
      </c>
      <c r="I305">
        <v>701.68</v>
      </c>
      <c r="J305">
        <v>2806.72</v>
      </c>
      <c r="K305" t="s">
        <v>985</v>
      </c>
      <c r="L305" t="s">
        <v>28</v>
      </c>
    </row>
    <row r="306" spans="1:12" x14ac:dyDescent="0.35">
      <c r="A306" t="s">
        <v>986</v>
      </c>
      <c r="B306" t="s">
        <v>256</v>
      </c>
      <c r="C306" t="s">
        <v>257</v>
      </c>
      <c r="D306" t="s">
        <v>40</v>
      </c>
      <c r="E306" t="s">
        <v>79</v>
      </c>
      <c r="F306" t="s">
        <v>25</v>
      </c>
      <c r="G306" t="s">
        <v>74</v>
      </c>
      <c r="H306">
        <v>3</v>
      </c>
      <c r="I306">
        <v>1359.95</v>
      </c>
      <c r="J306">
        <v>4079.85</v>
      </c>
      <c r="K306" t="s">
        <v>987</v>
      </c>
      <c r="L306" t="s">
        <v>19</v>
      </c>
    </row>
    <row r="307" spans="1:12" x14ac:dyDescent="0.35">
      <c r="A307" t="s">
        <v>988</v>
      </c>
      <c r="B307" t="s">
        <v>658</v>
      </c>
      <c r="C307" t="s">
        <v>659</v>
      </c>
      <c r="D307" t="s">
        <v>40</v>
      </c>
      <c r="E307" t="s">
        <v>120</v>
      </c>
      <c r="F307" t="s">
        <v>42</v>
      </c>
      <c r="G307" t="s">
        <v>80</v>
      </c>
      <c r="H307">
        <v>1</v>
      </c>
      <c r="I307">
        <v>1275.71</v>
      </c>
      <c r="J307">
        <v>1275.71</v>
      </c>
      <c r="K307" t="s">
        <v>508</v>
      </c>
      <c r="L307" t="s">
        <v>19</v>
      </c>
    </row>
    <row r="308" spans="1:12" x14ac:dyDescent="0.35">
      <c r="A308" t="s">
        <v>989</v>
      </c>
      <c r="B308" t="s">
        <v>990</v>
      </c>
      <c r="C308" t="s">
        <v>991</v>
      </c>
      <c r="D308" t="s">
        <v>14</v>
      </c>
      <c r="E308" t="s">
        <v>125</v>
      </c>
      <c r="F308" t="s">
        <v>101</v>
      </c>
      <c r="G308" t="s">
        <v>649</v>
      </c>
      <c r="H308">
        <v>3</v>
      </c>
      <c r="I308">
        <v>880.25</v>
      </c>
      <c r="J308">
        <v>2640.75</v>
      </c>
      <c r="K308" t="s">
        <v>667</v>
      </c>
      <c r="L308" t="s">
        <v>19</v>
      </c>
    </row>
    <row r="309" spans="1:12" x14ac:dyDescent="0.35">
      <c r="A309" t="s">
        <v>992</v>
      </c>
      <c r="B309" t="s">
        <v>392</v>
      </c>
      <c r="C309" t="s">
        <v>393</v>
      </c>
      <c r="D309" t="s">
        <v>40</v>
      </c>
      <c r="E309" t="s">
        <v>41</v>
      </c>
      <c r="F309" t="s">
        <v>42</v>
      </c>
      <c r="G309" t="s">
        <v>170</v>
      </c>
      <c r="H309">
        <v>5</v>
      </c>
      <c r="I309">
        <v>1198.57</v>
      </c>
      <c r="J309">
        <v>5992.85</v>
      </c>
      <c r="K309" t="s">
        <v>993</v>
      </c>
      <c r="L309" t="s">
        <v>28</v>
      </c>
    </row>
    <row r="310" spans="1:12" x14ac:dyDescent="0.35">
      <c r="A310" t="s">
        <v>994</v>
      </c>
      <c r="B310" t="s">
        <v>904</v>
      </c>
      <c r="C310" t="s">
        <v>905</v>
      </c>
      <c r="D310" t="s">
        <v>23</v>
      </c>
      <c r="E310" t="s">
        <v>24</v>
      </c>
      <c r="F310" t="s">
        <v>16</v>
      </c>
      <c r="G310" t="s">
        <v>182</v>
      </c>
      <c r="H310">
        <v>2</v>
      </c>
      <c r="I310">
        <v>90.4</v>
      </c>
      <c r="J310">
        <v>180.8</v>
      </c>
      <c r="K310" t="s">
        <v>995</v>
      </c>
      <c r="L310" t="s">
        <v>28</v>
      </c>
    </row>
    <row r="311" spans="1:12" x14ac:dyDescent="0.35">
      <c r="A311" t="s">
        <v>996</v>
      </c>
      <c r="B311" t="s">
        <v>618</v>
      </c>
      <c r="C311" t="s">
        <v>619</v>
      </c>
      <c r="D311" t="s">
        <v>67</v>
      </c>
      <c r="E311" t="s">
        <v>115</v>
      </c>
      <c r="F311" t="s">
        <v>16</v>
      </c>
      <c r="G311" t="s">
        <v>182</v>
      </c>
      <c r="H311">
        <v>5</v>
      </c>
      <c r="I311">
        <v>243.63</v>
      </c>
      <c r="J311">
        <v>1218.1500000000001</v>
      </c>
      <c r="K311" t="s">
        <v>709</v>
      </c>
      <c r="L311" t="s">
        <v>19</v>
      </c>
    </row>
    <row r="312" spans="1:12" x14ac:dyDescent="0.35">
      <c r="A312" t="s">
        <v>997</v>
      </c>
      <c r="B312" t="s">
        <v>652</v>
      </c>
      <c r="C312" t="s">
        <v>653</v>
      </c>
      <c r="D312" t="s">
        <v>40</v>
      </c>
      <c r="E312" t="s">
        <v>41</v>
      </c>
      <c r="F312" t="s">
        <v>16</v>
      </c>
      <c r="G312" t="s">
        <v>148</v>
      </c>
      <c r="H312">
        <v>3</v>
      </c>
      <c r="I312">
        <v>1200.6400000000001</v>
      </c>
      <c r="J312">
        <v>3601.92</v>
      </c>
      <c r="K312" t="s">
        <v>998</v>
      </c>
      <c r="L312" t="s">
        <v>19</v>
      </c>
    </row>
    <row r="313" spans="1:12" x14ac:dyDescent="0.35">
      <c r="A313" t="s">
        <v>999</v>
      </c>
      <c r="B313" t="s">
        <v>303</v>
      </c>
      <c r="C313" t="s">
        <v>304</v>
      </c>
      <c r="D313" t="s">
        <v>14</v>
      </c>
      <c r="E313" t="s">
        <v>15</v>
      </c>
      <c r="F313" t="s">
        <v>50</v>
      </c>
      <c r="G313" t="s">
        <v>56</v>
      </c>
      <c r="H313">
        <v>1</v>
      </c>
      <c r="I313">
        <v>506.03</v>
      </c>
      <c r="J313">
        <v>506.03</v>
      </c>
      <c r="K313" t="s">
        <v>267</v>
      </c>
      <c r="L313" t="s">
        <v>36</v>
      </c>
    </row>
    <row r="314" spans="1:12" x14ac:dyDescent="0.35">
      <c r="A314" t="s">
        <v>1000</v>
      </c>
      <c r="B314" t="s">
        <v>1001</v>
      </c>
      <c r="C314" t="s">
        <v>1002</v>
      </c>
      <c r="D314" t="s">
        <v>32</v>
      </c>
      <c r="E314" t="s">
        <v>203</v>
      </c>
      <c r="F314" t="s">
        <v>25</v>
      </c>
      <c r="G314" t="s">
        <v>139</v>
      </c>
      <c r="H314">
        <v>1</v>
      </c>
      <c r="I314">
        <v>963.66</v>
      </c>
      <c r="J314">
        <v>963.66</v>
      </c>
      <c r="K314" t="s">
        <v>1003</v>
      </c>
      <c r="L314" t="s">
        <v>45</v>
      </c>
    </row>
    <row r="315" spans="1:12" x14ac:dyDescent="0.35">
      <c r="A315" t="s">
        <v>1004</v>
      </c>
      <c r="B315" t="s">
        <v>1005</v>
      </c>
      <c r="C315" t="s">
        <v>1006</v>
      </c>
      <c r="D315" t="s">
        <v>67</v>
      </c>
      <c r="E315" t="s">
        <v>115</v>
      </c>
      <c r="F315" t="s">
        <v>42</v>
      </c>
      <c r="G315" t="s">
        <v>225</v>
      </c>
      <c r="H315">
        <v>1</v>
      </c>
      <c r="I315">
        <v>478.28</v>
      </c>
      <c r="J315">
        <v>478.28</v>
      </c>
      <c r="K315" t="s">
        <v>1007</v>
      </c>
      <c r="L315" t="s">
        <v>19</v>
      </c>
    </row>
    <row r="316" spans="1:12" x14ac:dyDescent="0.35">
      <c r="A316" t="s">
        <v>1008</v>
      </c>
      <c r="B316" t="s">
        <v>738</v>
      </c>
      <c r="C316" t="s">
        <v>739</v>
      </c>
      <c r="D316" t="s">
        <v>67</v>
      </c>
      <c r="E316" t="s">
        <v>68</v>
      </c>
      <c r="F316" t="s">
        <v>50</v>
      </c>
      <c r="G316" t="s">
        <v>216</v>
      </c>
      <c r="H316">
        <v>5</v>
      </c>
      <c r="I316">
        <v>1256.9100000000001</v>
      </c>
      <c r="J316">
        <v>6284.55</v>
      </c>
      <c r="K316" t="s">
        <v>1009</v>
      </c>
      <c r="L316" t="s">
        <v>91</v>
      </c>
    </row>
    <row r="317" spans="1:12" x14ac:dyDescent="0.35">
      <c r="A317" t="s">
        <v>1010</v>
      </c>
      <c r="B317" t="s">
        <v>352</v>
      </c>
      <c r="C317" t="s">
        <v>353</v>
      </c>
      <c r="D317" t="s">
        <v>32</v>
      </c>
      <c r="E317" t="s">
        <v>203</v>
      </c>
      <c r="F317" t="s">
        <v>101</v>
      </c>
      <c r="G317" t="s">
        <v>237</v>
      </c>
      <c r="H317">
        <v>2</v>
      </c>
      <c r="I317">
        <v>1353.89</v>
      </c>
      <c r="J317">
        <v>2707.78</v>
      </c>
      <c r="K317" t="s">
        <v>572</v>
      </c>
      <c r="L317" t="s">
        <v>36</v>
      </c>
    </row>
    <row r="318" spans="1:12" x14ac:dyDescent="0.35">
      <c r="A318" t="s">
        <v>1011</v>
      </c>
      <c r="B318" t="s">
        <v>193</v>
      </c>
      <c r="C318" t="s">
        <v>194</v>
      </c>
      <c r="D318" t="s">
        <v>40</v>
      </c>
      <c r="E318" t="s">
        <v>120</v>
      </c>
      <c r="F318" t="s">
        <v>16</v>
      </c>
      <c r="G318" t="s">
        <v>177</v>
      </c>
      <c r="H318">
        <v>3</v>
      </c>
      <c r="I318">
        <v>1394.38</v>
      </c>
      <c r="J318">
        <v>4183.1400000000003</v>
      </c>
      <c r="K318" t="s">
        <v>1012</v>
      </c>
      <c r="L318" t="s">
        <v>91</v>
      </c>
    </row>
    <row r="319" spans="1:12" x14ac:dyDescent="0.35">
      <c r="A319" t="s">
        <v>1013</v>
      </c>
      <c r="B319" t="s">
        <v>429</v>
      </c>
      <c r="C319" t="s">
        <v>430</v>
      </c>
      <c r="D319" t="s">
        <v>67</v>
      </c>
      <c r="E319" t="s">
        <v>68</v>
      </c>
      <c r="F319" t="s">
        <v>50</v>
      </c>
      <c r="G319" t="s">
        <v>170</v>
      </c>
      <c r="H319">
        <v>4</v>
      </c>
      <c r="I319">
        <v>1323.79</v>
      </c>
      <c r="J319">
        <v>5295.16</v>
      </c>
      <c r="K319" t="s">
        <v>1014</v>
      </c>
      <c r="L319" t="s">
        <v>91</v>
      </c>
    </row>
    <row r="320" spans="1:12" x14ac:dyDescent="0.35">
      <c r="A320" t="s">
        <v>1015</v>
      </c>
      <c r="B320" t="s">
        <v>838</v>
      </c>
      <c r="C320" t="s">
        <v>839</v>
      </c>
      <c r="D320" t="s">
        <v>32</v>
      </c>
      <c r="E320" t="s">
        <v>203</v>
      </c>
      <c r="F320" t="s">
        <v>25</v>
      </c>
      <c r="G320" t="s">
        <v>62</v>
      </c>
      <c r="H320">
        <v>2</v>
      </c>
      <c r="I320">
        <v>1038.33</v>
      </c>
      <c r="J320">
        <v>2076.66</v>
      </c>
      <c r="K320" t="s">
        <v>1016</v>
      </c>
      <c r="L320" t="s">
        <v>28</v>
      </c>
    </row>
    <row r="321" spans="1:12" x14ac:dyDescent="0.35">
      <c r="A321" t="s">
        <v>1017</v>
      </c>
      <c r="B321" t="s">
        <v>1018</v>
      </c>
      <c r="C321" t="s">
        <v>1019</v>
      </c>
      <c r="D321" t="s">
        <v>32</v>
      </c>
      <c r="E321" t="s">
        <v>61</v>
      </c>
      <c r="F321" t="s">
        <v>16</v>
      </c>
      <c r="G321" t="s">
        <v>230</v>
      </c>
      <c r="H321">
        <v>3</v>
      </c>
      <c r="I321">
        <v>236.09</v>
      </c>
      <c r="J321">
        <v>708.27</v>
      </c>
      <c r="K321" t="s">
        <v>920</v>
      </c>
      <c r="L321" t="s">
        <v>36</v>
      </c>
    </row>
    <row r="322" spans="1:12" x14ac:dyDescent="0.35">
      <c r="A322" t="s">
        <v>1020</v>
      </c>
      <c r="B322" t="s">
        <v>77</v>
      </c>
      <c r="C322" t="s">
        <v>78</v>
      </c>
      <c r="D322" t="s">
        <v>14</v>
      </c>
      <c r="E322" t="s">
        <v>100</v>
      </c>
      <c r="F322" t="s">
        <v>25</v>
      </c>
      <c r="G322" t="s">
        <v>62</v>
      </c>
      <c r="H322">
        <v>3</v>
      </c>
      <c r="I322">
        <v>1475.5</v>
      </c>
      <c r="J322">
        <v>4426.5</v>
      </c>
      <c r="K322" t="s">
        <v>204</v>
      </c>
      <c r="L322" t="s">
        <v>91</v>
      </c>
    </row>
    <row r="323" spans="1:12" x14ac:dyDescent="0.35">
      <c r="A323" t="s">
        <v>1021</v>
      </c>
      <c r="B323" t="s">
        <v>856</v>
      </c>
      <c r="C323" t="s">
        <v>857</v>
      </c>
      <c r="D323" t="s">
        <v>40</v>
      </c>
      <c r="E323" t="s">
        <v>79</v>
      </c>
      <c r="F323" t="s">
        <v>50</v>
      </c>
      <c r="G323" t="s">
        <v>56</v>
      </c>
      <c r="H323">
        <v>4</v>
      </c>
      <c r="I323">
        <v>1411.9</v>
      </c>
      <c r="J323">
        <v>5647.6</v>
      </c>
      <c r="K323" t="s">
        <v>1022</v>
      </c>
      <c r="L323" t="s">
        <v>28</v>
      </c>
    </row>
    <row r="324" spans="1:12" x14ac:dyDescent="0.35">
      <c r="A324" t="s">
        <v>1023</v>
      </c>
      <c r="B324" t="s">
        <v>1024</v>
      </c>
      <c r="C324" t="s">
        <v>1025</v>
      </c>
      <c r="D324" t="s">
        <v>40</v>
      </c>
      <c r="E324" t="s">
        <v>79</v>
      </c>
      <c r="F324" t="s">
        <v>25</v>
      </c>
      <c r="G324" t="s">
        <v>26</v>
      </c>
      <c r="H324">
        <v>3</v>
      </c>
      <c r="I324">
        <v>890.46</v>
      </c>
      <c r="J324">
        <v>2671.38</v>
      </c>
      <c r="K324" t="s">
        <v>1026</v>
      </c>
      <c r="L324" t="s">
        <v>36</v>
      </c>
    </row>
    <row r="325" spans="1:12" x14ac:dyDescent="0.35">
      <c r="A325" t="s">
        <v>1027</v>
      </c>
      <c r="B325" t="s">
        <v>1028</v>
      </c>
      <c r="C325" t="s">
        <v>1029</v>
      </c>
      <c r="D325" t="s">
        <v>40</v>
      </c>
      <c r="E325" t="s">
        <v>79</v>
      </c>
      <c r="F325" t="s">
        <v>16</v>
      </c>
      <c r="G325" t="s">
        <v>182</v>
      </c>
      <c r="H325">
        <v>4</v>
      </c>
      <c r="I325">
        <v>1259.1600000000001</v>
      </c>
      <c r="J325">
        <v>5036.6400000000003</v>
      </c>
      <c r="K325" t="s">
        <v>822</v>
      </c>
      <c r="L325" t="s">
        <v>28</v>
      </c>
    </row>
    <row r="326" spans="1:12" x14ac:dyDescent="0.35">
      <c r="A326" t="s">
        <v>1030</v>
      </c>
      <c r="B326" t="s">
        <v>311</v>
      </c>
      <c r="C326" t="s">
        <v>312</v>
      </c>
      <c r="D326" t="s">
        <v>23</v>
      </c>
      <c r="E326" t="s">
        <v>24</v>
      </c>
      <c r="F326" t="s">
        <v>42</v>
      </c>
      <c r="G326" t="s">
        <v>170</v>
      </c>
      <c r="H326">
        <v>2</v>
      </c>
      <c r="I326">
        <v>194.38</v>
      </c>
      <c r="J326">
        <v>388.76</v>
      </c>
      <c r="K326" t="s">
        <v>637</v>
      </c>
      <c r="L326" t="s">
        <v>28</v>
      </c>
    </row>
    <row r="327" spans="1:12" x14ac:dyDescent="0.35">
      <c r="A327" t="s">
        <v>1031</v>
      </c>
      <c r="B327" t="s">
        <v>738</v>
      </c>
      <c r="C327" t="s">
        <v>739</v>
      </c>
      <c r="D327" t="s">
        <v>67</v>
      </c>
      <c r="E327" t="s">
        <v>130</v>
      </c>
      <c r="F327" t="s">
        <v>50</v>
      </c>
      <c r="G327" t="s">
        <v>69</v>
      </c>
      <c r="H327">
        <v>1</v>
      </c>
      <c r="I327">
        <v>568.29999999999995</v>
      </c>
      <c r="J327">
        <v>568.29999999999995</v>
      </c>
      <c r="K327" t="s">
        <v>1032</v>
      </c>
      <c r="L327" t="s">
        <v>19</v>
      </c>
    </row>
    <row r="328" spans="1:12" x14ac:dyDescent="0.35">
      <c r="A328" t="s">
        <v>1033</v>
      </c>
      <c r="B328" t="s">
        <v>77</v>
      </c>
      <c r="C328" t="s">
        <v>78</v>
      </c>
      <c r="D328" t="s">
        <v>32</v>
      </c>
      <c r="E328" t="s">
        <v>61</v>
      </c>
      <c r="F328" t="s">
        <v>50</v>
      </c>
      <c r="G328" t="s">
        <v>56</v>
      </c>
      <c r="H328">
        <v>3</v>
      </c>
      <c r="I328">
        <v>1097.69</v>
      </c>
      <c r="J328">
        <v>3293.07</v>
      </c>
      <c r="K328" t="s">
        <v>1034</v>
      </c>
      <c r="L328" t="s">
        <v>91</v>
      </c>
    </row>
    <row r="329" spans="1:12" x14ac:dyDescent="0.35">
      <c r="A329" t="s">
        <v>1035</v>
      </c>
      <c r="B329" t="s">
        <v>936</v>
      </c>
      <c r="C329" t="s">
        <v>937</v>
      </c>
      <c r="D329" t="s">
        <v>23</v>
      </c>
      <c r="E329" t="s">
        <v>338</v>
      </c>
      <c r="F329" t="s">
        <v>101</v>
      </c>
      <c r="G329" t="s">
        <v>373</v>
      </c>
      <c r="H329">
        <v>5</v>
      </c>
      <c r="I329">
        <v>1128.6500000000001</v>
      </c>
      <c r="J329">
        <v>5643.25</v>
      </c>
      <c r="K329" t="s">
        <v>735</v>
      </c>
      <c r="L329" t="s">
        <v>36</v>
      </c>
    </row>
    <row r="330" spans="1:12" x14ac:dyDescent="0.35">
      <c r="A330" t="s">
        <v>1036</v>
      </c>
      <c r="B330" t="s">
        <v>474</v>
      </c>
      <c r="C330" t="s">
        <v>475</v>
      </c>
      <c r="D330" t="s">
        <v>14</v>
      </c>
      <c r="E330" t="s">
        <v>15</v>
      </c>
      <c r="F330" t="s">
        <v>25</v>
      </c>
      <c r="G330" t="s">
        <v>26</v>
      </c>
      <c r="H330">
        <v>1</v>
      </c>
      <c r="I330">
        <v>1036.76</v>
      </c>
      <c r="J330">
        <v>1036.76</v>
      </c>
      <c r="K330" t="s">
        <v>761</v>
      </c>
      <c r="L330" t="s">
        <v>36</v>
      </c>
    </row>
    <row r="331" spans="1:12" x14ac:dyDescent="0.35">
      <c r="A331" t="s">
        <v>1037</v>
      </c>
      <c r="B331" t="s">
        <v>77</v>
      </c>
      <c r="C331" t="s">
        <v>78</v>
      </c>
      <c r="D331" t="s">
        <v>14</v>
      </c>
      <c r="E331" t="s">
        <v>100</v>
      </c>
      <c r="F331" t="s">
        <v>25</v>
      </c>
      <c r="G331" t="s">
        <v>26</v>
      </c>
      <c r="H331">
        <v>4</v>
      </c>
      <c r="I331">
        <v>1275.24</v>
      </c>
      <c r="J331">
        <v>5100.96</v>
      </c>
      <c r="K331" t="s">
        <v>1038</v>
      </c>
      <c r="L331" t="s">
        <v>45</v>
      </c>
    </row>
    <row r="332" spans="1:12" x14ac:dyDescent="0.35">
      <c r="A332" t="s">
        <v>1039</v>
      </c>
      <c r="B332" t="s">
        <v>240</v>
      </c>
      <c r="C332" t="s">
        <v>241</v>
      </c>
      <c r="D332" t="s">
        <v>14</v>
      </c>
      <c r="E332" t="s">
        <v>95</v>
      </c>
      <c r="F332" t="s">
        <v>101</v>
      </c>
      <c r="G332" t="s">
        <v>373</v>
      </c>
      <c r="H332">
        <v>4</v>
      </c>
      <c r="I332">
        <v>1227.93</v>
      </c>
      <c r="J332">
        <v>4911.72</v>
      </c>
      <c r="K332" t="s">
        <v>1040</v>
      </c>
      <c r="L332" t="s">
        <v>19</v>
      </c>
    </row>
    <row r="333" spans="1:12" x14ac:dyDescent="0.35">
      <c r="A333" t="s">
        <v>1041</v>
      </c>
      <c r="B333" t="s">
        <v>1042</v>
      </c>
      <c r="C333" t="s">
        <v>1043</v>
      </c>
      <c r="D333" t="s">
        <v>23</v>
      </c>
      <c r="E333" t="s">
        <v>49</v>
      </c>
      <c r="F333" t="s">
        <v>101</v>
      </c>
      <c r="G333" t="s">
        <v>165</v>
      </c>
      <c r="H333">
        <v>1</v>
      </c>
      <c r="I333">
        <v>156.31</v>
      </c>
      <c r="J333">
        <v>156.31</v>
      </c>
      <c r="K333" t="s">
        <v>528</v>
      </c>
      <c r="L333" t="s">
        <v>91</v>
      </c>
    </row>
    <row r="334" spans="1:12" x14ac:dyDescent="0.35">
      <c r="A334" t="s">
        <v>1044</v>
      </c>
      <c r="B334" t="s">
        <v>299</v>
      </c>
      <c r="C334" t="s">
        <v>300</v>
      </c>
      <c r="D334" t="s">
        <v>67</v>
      </c>
      <c r="E334" t="s">
        <v>68</v>
      </c>
      <c r="F334" t="s">
        <v>50</v>
      </c>
      <c r="G334" t="s">
        <v>69</v>
      </c>
      <c r="H334">
        <v>2</v>
      </c>
      <c r="I334">
        <v>281.20999999999998</v>
      </c>
      <c r="J334">
        <v>562.41999999999996</v>
      </c>
      <c r="K334" t="s">
        <v>371</v>
      </c>
      <c r="L334" t="s">
        <v>91</v>
      </c>
    </row>
    <row r="335" spans="1:12" x14ac:dyDescent="0.35">
      <c r="A335" t="s">
        <v>1045</v>
      </c>
      <c r="B335" t="s">
        <v>1046</v>
      </c>
      <c r="C335" t="s">
        <v>1047</v>
      </c>
      <c r="D335" t="s">
        <v>23</v>
      </c>
      <c r="E335" t="s">
        <v>338</v>
      </c>
      <c r="F335" t="s">
        <v>25</v>
      </c>
      <c r="G335" t="s">
        <v>74</v>
      </c>
      <c r="H335">
        <v>4</v>
      </c>
      <c r="I335">
        <v>670.79</v>
      </c>
      <c r="J335">
        <v>2683.16</v>
      </c>
      <c r="K335" t="s">
        <v>1048</v>
      </c>
      <c r="L335" t="s">
        <v>19</v>
      </c>
    </row>
    <row r="336" spans="1:12" x14ac:dyDescent="0.35">
      <c r="A336" t="s">
        <v>1049</v>
      </c>
      <c r="B336" t="s">
        <v>622</v>
      </c>
      <c r="C336" t="s">
        <v>623</v>
      </c>
      <c r="D336" t="s">
        <v>32</v>
      </c>
      <c r="E336" t="s">
        <v>61</v>
      </c>
      <c r="F336" t="s">
        <v>16</v>
      </c>
      <c r="G336" t="s">
        <v>177</v>
      </c>
      <c r="H336">
        <v>1</v>
      </c>
      <c r="I336">
        <v>1086.6600000000001</v>
      </c>
      <c r="J336">
        <v>1086.6600000000001</v>
      </c>
      <c r="K336" t="s">
        <v>63</v>
      </c>
      <c r="L336" t="s">
        <v>28</v>
      </c>
    </row>
    <row r="337" spans="1:12" x14ac:dyDescent="0.35">
      <c r="A337" t="s">
        <v>1050</v>
      </c>
      <c r="B337" t="s">
        <v>626</v>
      </c>
      <c r="C337" t="s">
        <v>627</v>
      </c>
      <c r="D337" t="s">
        <v>23</v>
      </c>
      <c r="E337" t="s">
        <v>338</v>
      </c>
      <c r="F337" t="s">
        <v>25</v>
      </c>
      <c r="G337" t="s">
        <v>26</v>
      </c>
      <c r="H337">
        <v>1</v>
      </c>
      <c r="I337">
        <v>977.89</v>
      </c>
      <c r="J337">
        <v>977.89</v>
      </c>
      <c r="K337" t="s">
        <v>987</v>
      </c>
      <c r="L337" t="s">
        <v>19</v>
      </c>
    </row>
    <row r="338" spans="1:12" x14ac:dyDescent="0.35">
      <c r="A338" t="s">
        <v>1051</v>
      </c>
      <c r="B338" t="s">
        <v>518</v>
      </c>
      <c r="C338" t="s">
        <v>519</v>
      </c>
      <c r="D338" t="s">
        <v>32</v>
      </c>
      <c r="E338" t="s">
        <v>33</v>
      </c>
      <c r="F338" t="s">
        <v>42</v>
      </c>
      <c r="G338" t="s">
        <v>43</v>
      </c>
      <c r="H338">
        <v>5</v>
      </c>
      <c r="I338">
        <v>1329.79</v>
      </c>
      <c r="J338">
        <v>6648.95</v>
      </c>
      <c r="K338" t="s">
        <v>1052</v>
      </c>
      <c r="L338" t="s">
        <v>91</v>
      </c>
    </row>
    <row r="339" spans="1:12" x14ac:dyDescent="0.35">
      <c r="A339" t="s">
        <v>1053</v>
      </c>
      <c r="B339" t="s">
        <v>151</v>
      </c>
      <c r="C339" t="s">
        <v>152</v>
      </c>
      <c r="D339" t="s">
        <v>32</v>
      </c>
      <c r="E339" t="s">
        <v>33</v>
      </c>
      <c r="F339" t="s">
        <v>42</v>
      </c>
      <c r="G339" t="s">
        <v>170</v>
      </c>
      <c r="H339">
        <v>2</v>
      </c>
      <c r="I339">
        <v>84.21</v>
      </c>
      <c r="J339">
        <v>168.42</v>
      </c>
      <c r="K339" t="s">
        <v>1054</v>
      </c>
      <c r="L339" t="s">
        <v>36</v>
      </c>
    </row>
    <row r="340" spans="1:12" x14ac:dyDescent="0.35">
      <c r="A340" t="s">
        <v>1055</v>
      </c>
      <c r="B340" t="s">
        <v>590</v>
      </c>
      <c r="C340" t="s">
        <v>591</v>
      </c>
      <c r="D340" t="s">
        <v>67</v>
      </c>
      <c r="E340" t="s">
        <v>115</v>
      </c>
      <c r="F340" t="s">
        <v>16</v>
      </c>
      <c r="G340" t="s">
        <v>148</v>
      </c>
      <c r="H340">
        <v>2</v>
      </c>
      <c r="I340">
        <v>1432.53</v>
      </c>
      <c r="J340">
        <v>2865.06</v>
      </c>
      <c r="K340" t="s">
        <v>1056</v>
      </c>
      <c r="L340" t="s">
        <v>45</v>
      </c>
    </row>
    <row r="341" spans="1:12" x14ac:dyDescent="0.35">
      <c r="A341" t="s">
        <v>1057</v>
      </c>
      <c r="B341" t="s">
        <v>1058</v>
      </c>
      <c r="C341" t="s">
        <v>1059</v>
      </c>
      <c r="D341" t="s">
        <v>67</v>
      </c>
      <c r="E341" t="s">
        <v>68</v>
      </c>
      <c r="F341" t="s">
        <v>101</v>
      </c>
      <c r="G341" t="s">
        <v>649</v>
      </c>
      <c r="H341">
        <v>4</v>
      </c>
      <c r="I341">
        <v>246.87</v>
      </c>
      <c r="J341">
        <v>987.48</v>
      </c>
      <c r="K341" t="s">
        <v>1060</v>
      </c>
      <c r="L341" t="s">
        <v>36</v>
      </c>
    </row>
    <row r="342" spans="1:12" x14ac:dyDescent="0.35">
      <c r="A342" t="s">
        <v>1061</v>
      </c>
      <c r="B342" t="s">
        <v>113</v>
      </c>
      <c r="C342" t="s">
        <v>114</v>
      </c>
      <c r="D342" t="s">
        <v>32</v>
      </c>
      <c r="E342" t="s">
        <v>33</v>
      </c>
      <c r="F342" t="s">
        <v>25</v>
      </c>
      <c r="G342" t="s">
        <v>139</v>
      </c>
      <c r="H342">
        <v>5</v>
      </c>
      <c r="I342">
        <v>321.02</v>
      </c>
      <c r="J342">
        <v>1605.1</v>
      </c>
      <c r="K342" t="s">
        <v>1062</v>
      </c>
      <c r="L342" t="s">
        <v>28</v>
      </c>
    </row>
    <row r="343" spans="1:12" x14ac:dyDescent="0.35">
      <c r="A343" t="s">
        <v>1063</v>
      </c>
      <c r="B343" t="s">
        <v>536</v>
      </c>
      <c r="C343" t="s">
        <v>537</v>
      </c>
      <c r="D343" t="s">
        <v>14</v>
      </c>
      <c r="E343" t="s">
        <v>266</v>
      </c>
      <c r="F343" t="s">
        <v>16</v>
      </c>
      <c r="G343" t="s">
        <v>17</v>
      </c>
      <c r="H343">
        <v>5</v>
      </c>
      <c r="I343">
        <v>116.91</v>
      </c>
      <c r="J343">
        <v>584.54999999999995</v>
      </c>
      <c r="K343" t="s">
        <v>1064</v>
      </c>
      <c r="L343" t="s">
        <v>36</v>
      </c>
    </row>
    <row r="344" spans="1:12" x14ac:dyDescent="0.35">
      <c r="A344" t="s">
        <v>1065</v>
      </c>
      <c r="B344" t="s">
        <v>1066</v>
      </c>
      <c r="C344" t="s">
        <v>1067</v>
      </c>
      <c r="D344" t="s">
        <v>23</v>
      </c>
      <c r="E344" t="s">
        <v>49</v>
      </c>
      <c r="F344" t="s">
        <v>50</v>
      </c>
      <c r="G344" t="s">
        <v>216</v>
      </c>
      <c r="H344">
        <v>2</v>
      </c>
      <c r="I344">
        <v>811.47</v>
      </c>
      <c r="J344">
        <v>1622.94</v>
      </c>
      <c r="K344" t="s">
        <v>404</v>
      </c>
      <c r="L344" t="s">
        <v>45</v>
      </c>
    </row>
    <row r="345" spans="1:12" x14ac:dyDescent="0.35">
      <c r="A345" t="s">
        <v>1068</v>
      </c>
      <c r="B345" t="s">
        <v>128</v>
      </c>
      <c r="C345" t="s">
        <v>129</v>
      </c>
      <c r="D345" t="s">
        <v>40</v>
      </c>
      <c r="E345" t="s">
        <v>41</v>
      </c>
      <c r="F345" t="s">
        <v>101</v>
      </c>
      <c r="G345" t="s">
        <v>165</v>
      </c>
      <c r="H345">
        <v>1</v>
      </c>
      <c r="I345">
        <v>1483.33</v>
      </c>
      <c r="J345">
        <v>1483.33</v>
      </c>
      <c r="K345" t="s">
        <v>1069</v>
      </c>
      <c r="L345" t="s">
        <v>28</v>
      </c>
    </row>
    <row r="346" spans="1:12" x14ac:dyDescent="0.35">
      <c r="A346" t="s">
        <v>1070</v>
      </c>
      <c r="B346" t="s">
        <v>470</v>
      </c>
      <c r="C346" t="s">
        <v>471</v>
      </c>
      <c r="D346" t="s">
        <v>67</v>
      </c>
      <c r="E346" t="s">
        <v>130</v>
      </c>
      <c r="F346" t="s">
        <v>101</v>
      </c>
      <c r="G346" t="s">
        <v>649</v>
      </c>
      <c r="H346">
        <v>3</v>
      </c>
      <c r="I346">
        <v>817.08</v>
      </c>
      <c r="J346">
        <v>2451.2399999999998</v>
      </c>
      <c r="K346" t="s">
        <v>912</v>
      </c>
      <c r="L346" t="s">
        <v>45</v>
      </c>
    </row>
    <row r="347" spans="1:12" x14ac:dyDescent="0.35">
      <c r="A347" t="s">
        <v>1071</v>
      </c>
      <c r="B347" t="s">
        <v>450</v>
      </c>
      <c r="C347" t="s">
        <v>451</v>
      </c>
      <c r="D347" t="s">
        <v>14</v>
      </c>
      <c r="E347" t="s">
        <v>125</v>
      </c>
      <c r="F347" t="s">
        <v>25</v>
      </c>
      <c r="G347" t="s">
        <v>34</v>
      </c>
      <c r="H347">
        <v>1</v>
      </c>
      <c r="I347">
        <v>232.08</v>
      </c>
      <c r="J347">
        <v>232.08</v>
      </c>
      <c r="K347" t="s">
        <v>27</v>
      </c>
      <c r="L347" t="s">
        <v>19</v>
      </c>
    </row>
    <row r="348" spans="1:12" x14ac:dyDescent="0.35">
      <c r="A348" t="s">
        <v>1072</v>
      </c>
      <c r="B348" t="s">
        <v>1073</v>
      </c>
      <c r="C348" t="s">
        <v>1074</v>
      </c>
      <c r="D348" t="s">
        <v>67</v>
      </c>
      <c r="E348" t="s">
        <v>130</v>
      </c>
      <c r="F348" t="s">
        <v>25</v>
      </c>
      <c r="G348" t="s">
        <v>62</v>
      </c>
      <c r="H348">
        <v>3</v>
      </c>
      <c r="I348">
        <v>740.38</v>
      </c>
      <c r="J348">
        <v>2221.14</v>
      </c>
      <c r="K348" t="s">
        <v>1075</v>
      </c>
      <c r="L348" t="s">
        <v>91</v>
      </c>
    </row>
    <row r="349" spans="1:12" x14ac:dyDescent="0.35">
      <c r="A349" t="s">
        <v>1076</v>
      </c>
      <c r="B349" t="s">
        <v>352</v>
      </c>
      <c r="C349" t="s">
        <v>353</v>
      </c>
      <c r="D349" t="s">
        <v>32</v>
      </c>
      <c r="E349" t="s">
        <v>33</v>
      </c>
      <c r="F349" t="s">
        <v>25</v>
      </c>
      <c r="G349" t="s">
        <v>74</v>
      </c>
      <c r="H349">
        <v>1</v>
      </c>
      <c r="I349">
        <v>426.63</v>
      </c>
      <c r="J349">
        <v>426.63</v>
      </c>
      <c r="K349" t="s">
        <v>1077</v>
      </c>
      <c r="L349" t="s">
        <v>28</v>
      </c>
    </row>
    <row r="350" spans="1:12" x14ac:dyDescent="0.35">
      <c r="A350" t="s">
        <v>1078</v>
      </c>
      <c r="B350" t="s">
        <v>1079</v>
      </c>
      <c r="C350" t="s">
        <v>1080</v>
      </c>
      <c r="D350" t="s">
        <v>23</v>
      </c>
      <c r="E350" t="s">
        <v>49</v>
      </c>
      <c r="F350" t="s">
        <v>16</v>
      </c>
      <c r="G350" t="s">
        <v>177</v>
      </c>
      <c r="H350">
        <v>1</v>
      </c>
      <c r="I350">
        <v>1457.85</v>
      </c>
      <c r="J350">
        <v>1457.85</v>
      </c>
      <c r="K350" t="s">
        <v>1081</v>
      </c>
      <c r="L350" t="s">
        <v>19</v>
      </c>
    </row>
    <row r="351" spans="1:12" x14ac:dyDescent="0.35">
      <c r="A351" t="s">
        <v>1082</v>
      </c>
      <c r="B351" t="s">
        <v>321</v>
      </c>
      <c r="C351" t="s">
        <v>322</v>
      </c>
      <c r="D351" t="s">
        <v>40</v>
      </c>
      <c r="E351" t="s">
        <v>79</v>
      </c>
      <c r="F351" t="s">
        <v>42</v>
      </c>
      <c r="G351" t="s">
        <v>89</v>
      </c>
      <c r="H351">
        <v>1</v>
      </c>
      <c r="I351">
        <v>935.48</v>
      </c>
      <c r="J351">
        <v>935.48</v>
      </c>
      <c r="K351" t="s">
        <v>1083</v>
      </c>
      <c r="L351" t="s">
        <v>91</v>
      </c>
    </row>
    <row r="352" spans="1:12" x14ac:dyDescent="0.35">
      <c r="A352" t="s">
        <v>1084</v>
      </c>
      <c r="B352" t="s">
        <v>500</v>
      </c>
      <c r="C352" t="s">
        <v>501</v>
      </c>
      <c r="D352" t="s">
        <v>67</v>
      </c>
      <c r="E352" t="s">
        <v>68</v>
      </c>
      <c r="F352" t="s">
        <v>25</v>
      </c>
      <c r="G352" t="s">
        <v>26</v>
      </c>
      <c r="H352">
        <v>4</v>
      </c>
      <c r="I352">
        <v>1150.25</v>
      </c>
      <c r="J352">
        <v>4601</v>
      </c>
      <c r="K352" t="s">
        <v>1085</v>
      </c>
      <c r="L352" t="s">
        <v>19</v>
      </c>
    </row>
    <row r="353" spans="1:12" x14ac:dyDescent="0.35">
      <c r="A353" t="s">
        <v>1086</v>
      </c>
      <c r="B353" t="s">
        <v>1087</v>
      </c>
      <c r="C353" t="s">
        <v>1088</v>
      </c>
      <c r="D353" t="s">
        <v>23</v>
      </c>
      <c r="E353" t="s">
        <v>24</v>
      </c>
      <c r="F353" t="s">
        <v>25</v>
      </c>
      <c r="G353" t="s">
        <v>139</v>
      </c>
      <c r="H353">
        <v>4</v>
      </c>
      <c r="I353">
        <v>1020.97</v>
      </c>
      <c r="J353">
        <v>4083.88</v>
      </c>
      <c r="K353" t="s">
        <v>404</v>
      </c>
      <c r="L353" t="s">
        <v>36</v>
      </c>
    </row>
    <row r="354" spans="1:12" x14ac:dyDescent="0.35">
      <c r="A354" t="s">
        <v>1089</v>
      </c>
      <c r="B354" t="s">
        <v>273</v>
      </c>
      <c r="C354" t="s">
        <v>274</v>
      </c>
      <c r="D354" t="s">
        <v>23</v>
      </c>
      <c r="E354" t="s">
        <v>338</v>
      </c>
      <c r="F354" t="s">
        <v>42</v>
      </c>
      <c r="G354" t="s">
        <v>170</v>
      </c>
      <c r="H354">
        <v>4</v>
      </c>
      <c r="I354">
        <v>1211.29</v>
      </c>
      <c r="J354">
        <v>4845.16</v>
      </c>
      <c r="K354" t="s">
        <v>1090</v>
      </c>
      <c r="L354" t="s">
        <v>45</v>
      </c>
    </row>
    <row r="355" spans="1:12" x14ac:dyDescent="0.35">
      <c r="A355" t="s">
        <v>1091</v>
      </c>
      <c r="B355" t="s">
        <v>1092</v>
      </c>
      <c r="C355" t="s">
        <v>1093</v>
      </c>
      <c r="D355" t="s">
        <v>23</v>
      </c>
      <c r="E355" t="s">
        <v>49</v>
      </c>
      <c r="F355" t="s">
        <v>42</v>
      </c>
      <c r="G355" t="s">
        <v>89</v>
      </c>
      <c r="H355">
        <v>1</v>
      </c>
      <c r="I355">
        <v>1042.1500000000001</v>
      </c>
      <c r="J355">
        <v>1042.1500000000001</v>
      </c>
      <c r="K355" t="s">
        <v>1094</v>
      </c>
      <c r="L355" t="s">
        <v>19</v>
      </c>
    </row>
    <row r="356" spans="1:12" x14ac:dyDescent="0.35">
      <c r="A356" t="s">
        <v>1095</v>
      </c>
      <c r="B356" t="s">
        <v>214</v>
      </c>
      <c r="C356" t="s">
        <v>215</v>
      </c>
      <c r="D356" t="s">
        <v>67</v>
      </c>
      <c r="E356" t="s">
        <v>115</v>
      </c>
      <c r="F356" t="s">
        <v>101</v>
      </c>
      <c r="G356" t="s">
        <v>237</v>
      </c>
      <c r="H356">
        <v>1</v>
      </c>
      <c r="I356">
        <v>1015.04</v>
      </c>
      <c r="J356">
        <v>1015.04</v>
      </c>
      <c r="K356" t="s">
        <v>1096</v>
      </c>
      <c r="L356" t="s">
        <v>28</v>
      </c>
    </row>
    <row r="357" spans="1:12" x14ac:dyDescent="0.35">
      <c r="A357" t="s">
        <v>1097</v>
      </c>
      <c r="B357" t="s">
        <v>686</v>
      </c>
      <c r="C357" t="s">
        <v>687</v>
      </c>
      <c r="D357" t="s">
        <v>14</v>
      </c>
      <c r="E357" t="s">
        <v>15</v>
      </c>
      <c r="F357" t="s">
        <v>101</v>
      </c>
      <c r="G357" t="s">
        <v>649</v>
      </c>
      <c r="H357">
        <v>1</v>
      </c>
      <c r="I357">
        <v>686.02</v>
      </c>
      <c r="J357">
        <v>686.02</v>
      </c>
      <c r="K357" t="s">
        <v>1098</v>
      </c>
      <c r="L357" t="s">
        <v>45</v>
      </c>
    </row>
    <row r="358" spans="1:12" x14ac:dyDescent="0.35">
      <c r="A358" t="s">
        <v>1099</v>
      </c>
      <c r="B358" t="s">
        <v>264</v>
      </c>
      <c r="C358" t="s">
        <v>265</v>
      </c>
      <c r="D358" t="s">
        <v>32</v>
      </c>
      <c r="E358" t="s">
        <v>203</v>
      </c>
      <c r="F358" t="s">
        <v>101</v>
      </c>
      <c r="G358" t="s">
        <v>102</v>
      </c>
      <c r="H358">
        <v>1</v>
      </c>
      <c r="I358">
        <v>397.49</v>
      </c>
      <c r="J358">
        <v>397.49</v>
      </c>
      <c r="K358" t="s">
        <v>956</v>
      </c>
      <c r="L358" t="s">
        <v>28</v>
      </c>
    </row>
    <row r="359" spans="1:12" x14ac:dyDescent="0.35">
      <c r="A359" t="s">
        <v>1100</v>
      </c>
      <c r="B359" t="s">
        <v>1101</v>
      </c>
      <c r="C359" t="s">
        <v>1102</v>
      </c>
      <c r="D359" t="s">
        <v>23</v>
      </c>
      <c r="E359" t="s">
        <v>24</v>
      </c>
      <c r="F359" t="s">
        <v>42</v>
      </c>
      <c r="G359" t="s">
        <v>43</v>
      </c>
      <c r="H359">
        <v>1</v>
      </c>
      <c r="I359">
        <v>442.37</v>
      </c>
      <c r="J359">
        <v>442.37</v>
      </c>
      <c r="K359" t="s">
        <v>1103</v>
      </c>
      <c r="L359" t="s">
        <v>28</v>
      </c>
    </row>
    <row r="360" spans="1:12" x14ac:dyDescent="0.35">
      <c r="A360" t="s">
        <v>1104</v>
      </c>
      <c r="B360" t="s">
        <v>87</v>
      </c>
      <c r="C360" t="s">
        <v>88</v>
      </c>
      <c r="D360" t="s">
        <v>40</v>
      </c>
      <c r="E360" t="s">
        <v>41</v>
      </c>
      <c r="F360" t="s">
        <v>42</v>
      </c>
      <c r="G360" t="s">
        <v>80</v>
      </c>
      <c r="H360">
        <v>5</v>
      </c>
      <c r="I360">
        <v>1381.72</v>
      </c>
      <c r="J360">
        <v>6908.6</v>
      </c>
      <c r="K360" t="s">
        <v>390</v>
      </c>
      <c r="L360" t="s">
        <v>28</v>
      </c>
    </row>
    <row r="361" spans="1:12" x14ac:dyDescent="0.35">
      <c r="A361" t="s">
        <v>1105</v>
      </c>
      <c r="B361" t="s">
        <v>295</v>
      </c>
      <c r="C361" t="s">
        <v>296</v>
      </c>
      <c r="D361" t="s">
        <v>67</v>
      </c>
      <c r="E361" t="s">
        <v>130</v>
      </c>
      <c r="F361" t="s">
        <v>25</v>
      </c>
      <c r="G361" t="s">
        <v>26</v>
      </c>
      <c r="H361">
        <v>4</v>
      </c>
      <c r="I361">
        <v>526.94000000000005</v>
      </c>
      <c r="J361">
        <v>2107.7600000000002</v>
      </c>
      <c r="K361" t="s">
        <v>1106</v>
      </c>
      <c r="L361" t="s">
        <v>91</v>
      </c>
    </row>
    <row r="362" spans="1:12" x14ac:dyDescent="0.35">
      <c r="A362" t="s">
        <v>1107</v>
      </c>
      <c r="B362" t="s">
        <v>435</v>
      </c>
      <c r="C362" t="s">
        <v>436</v>
      </c>
      <c r="D362" t="s">
        <v>14</v>
      </c>
      <c r="E362" t="s">
        <v>266</v>
      </c>
      <c r="F362" t="s">
        <v>16</v>
      </c>
      <c r="G362" t="s">
        <v>177</v>
      </c>
      <c r="H362">
        <v>3</v>
      </c>
      <c r="I362">
        <v>1099.79</v>
      </c>
      <c r="J362">
        <v>3299.37</v>
      </c>
      <c r="K362" t="s">
        <v>1108</v>
      </c>
      <c r="L362" t="s">
        <v>91</v>
      </c>
    </row>
    <row r="363" spans="1:12" x14ac:dyDescent="0.35">
      <c r="A363" t="s">
        <v>1109</v>
      </c>
      <c r="B363" t="s">
        <v>960</v>
      </c>
      <c r="C363" t="s">
        <v>961</v>
      </c>
      <c r="D363" t="s">
        <v>14</v>
      </c>
      <c r="E363" t="s">
        <v>15</v>
      </c>
      <c r="F363" t="s">
        <v>42</v>
      </c>
      <c r="G363" t="s">
        <v>80</v>
      </c>
      <c r="H363">
        <v>3</v>
      </c>
      <c r="I363">
        <v>1051.9000000000001</v>
      </c>
      <c r="J363">
        <v>3155.7</v>
      </c>
      <c r="K363" t="s">
        <v>1110</v>
      </c>
      <c r="L363" t="s">
        <v>36</v>
      </c>
    </row>
    <row r="364" spans="1:12" x14ac:dyDescent="0.35">
      <c r="A364" t="s">
        <v>1111</v>
      </c>
      <c r="B364" t="s">
        <v>779</v>
      </c>
      <c r="C364" t="s">
        <v>780</v>
      </c>
      <c r="D364" t="s">
        <v>14</v>
      </c>
      <c r="E364" t="s">
        <v>125</v>
      </c>
      <c r="F364" t="s">
        <v>25</v>
      </c>
      <c r="G364" t="s">
        <v>62</v>
      </c>
      <c r="H364">
        <v>5</v>
      </c>
      <c r="I364">
        <v>842.81</v>
      </c>
      <c r="J364">
        <v>4214.05</v>
      </c>
      <c r="K364" t="s">
        <v>1112</v>
      </c>
      <c r="L364" t="s">
        <v>45</v>
      </c>
    </row>
    <row r="365" spans="1:12" x14ac:dyDescent="0.35">
      <c r="A365" t="s">
        <v>1113</v>
      </c>
      <c r="B365" t="s">
        <v>842</v>
      </c>
      <c r="C365" t="s">
        <v>843</v>
      </c>
      <c r="D365" t="s">
        <v>67</v>
      </c>
      <c r="E365" t="s">
        <v>68</v>
      </c>
      <c r="F365" t="s">
        <v>16</v>
      </c>
      <c r="G365" t="s">
        <v>182</v>
      </c>
      <c r="H365">
        <v>4</v>
      </c>
      <c r="I365">
        <v>549.74</v>
      </c>
      <c r="J365">
        <v>2198.96</v>
      </c>
      <c r="K365" t="s">
        <v>971</v>
      </c>
      <c r="L365" t="s">
        <v>28</v>
      </c>
    </row>
    <row r="366" spans="1:12" x14ac:dyDescent="0.35">
      <c r="A366" t="s">
        <v>1114</v>
      </c>
      <c r="B366" t="s">
        <v>496</v>
      </c>
      <c r="C366" t="s">
        <v>497</v>
      </c>
      <c r="D366" t="s">
        <v>40</v>
      </c>
      <c r="E366" t="s">
        <v>120</v>
      </c>
      <c r="F366" t="s">
        <v>25</v>
      </c>
      <c r="G366" t="s">
        <v>74</v>
      </c>
      <c r="H366">
        <v>3</v>
      </c>
      <c r="I366">
        <v>500.49</v>
      </c>
      <c r="J366">
        <v>1501.47</v>
      </c>
      <c r="K366" t="s">
        <v>650</v>
      </c>
      <c r="L366" t="s">
        <v>91</v>
      </c>
    </row>
    <row r="367" spans="1:12" x14ac:dyDescent="0.35">
      <c r="A367" t="s">
        <v>1115</v>
      </c>
      <c r="B367" t="s">
        <v>633</v>
      </c>
      <c r="C367" t="s">
        <v>634</v>
      </c>
      <c r="D367" t="s">
        <v>23</v>
      </c>
      <c r="E367" t="s">
        <v>338</v>
      </c>
      <c r="F367" t="s">
        <v>42</v>
      </c>
      <c r="G367" t="s">
        <v>89</v>
      </c>
      <c r="H367">
        <v>5</v>
      </c>
      <c r="I367">
        <v>1431.78</v>
      </c>
      <c r="J367">
        <v>7158.9</v>
      </c>
      <c r="K367" t="s">
        <v>1116</v>
      </c>
      <c r="L367" t="s">
        <v>19</v>
      </c>
    </row>
    <row r="368" spans="1:12" x14ac:dyDescent="0.35">
      <c r="A368" t="s">
        <v>1117</v>
      </c>
      <c r="B368" t="s">
        <v>555</v>
      </c>
      <c r="C368" t="s">
        <v>556</v>
      </c>
      <c r="D368" t="s">
        <v>40</v>
      </c>
      <c r="E368" t="s">
        <v>120</v>
      </c>
      <c r="F368" t="s">
        <v>16</v>
      </c>
      <c r="G368" t="s">
        <v>17</v>
      </c>
      <c r="H368">
        <v>5</v>
      </c>
      <c r="I368">
        <v>159.07</v>
      </c>
      <c r="J368">
        <v>795.35</v>
      </c>
      <c r="K368" t="s">
        <v>1118</v>
      </c>
      <c r="L368" t="s">
        <v>36</v>
      </c>
    </row>
    <row r="369" spans="1:12" x14ac:dyDescent="0.35">
      <c r="A369" t="s">
        <v>1119</v>
      </c>
      <c r="B369" t="s">
        <v>878</v>
      </c>
      <c r="C369" t="s">
        <v>879</v>
      </c>
      <c r="D369" t="s">
        <v>32</v>
      </c>
      <c r="E369" t="s">
        <v>61</v>
      </c>
      <c r="F369" t="s">
        <v>50</v>
      </c>
      <c r="G369" t="s">
        <v>56</v>
      </c>
      <c r="H369">
        <v>3</v>
      </c>
      <c r="I369">
        <v>450.39</v>
      </c>
      <c r="J369">
        <v>1351.17</v>
      </c>
      <c r="K369" t="s">
        <v>262</v>
      </c>
      <c r="L369" t="s">
        <v>36</v>
      </c>
    </row>
    <row r="370" spans="1:12" x14ac:dyDescent="0.35">
      <c r="A370" t="s">
        <v>1120</v>
      </c>
      <c r="B370" t="s">
        <v>12</v>
      </c>
      <c r="C370" t="s">
        <v>13</v>
      </c>
      <c r="D370" t="s">
        <v>23</v>
      </c>
      <c r="E370" t="s">
        <v>49</v>
      </c>
      <c r="F370" t="s">
        <v>50</v>
      </c>
      <c r="G370" t="s">
        <v>51</v>
      </c>
      <c r="H370">
        <v>3</v>
      </c>
      <c r="I370">
        <v>476.83</v>
      </c>
      <c r="J370">
        <v>1430.49</v>
      </c>
      <c r="K370" t="s">
        <v>894</v>
      </c>
      <c r="L370" t="s">
        <v>28</v>
      </c>
    </row>
    <row r="371" spans="1:12" x14ac:dyDescent="0.35">
      <c r="A371" t="s">
        <v>1121</v>
      </c>
      <c r="B371" t="s">
        <v>21</v>
      </c>
      <c r="C371" t="s">
        <v>22</v>
      </c>
      <c r="D371" t="s">
        <v>14</v>
      </c>
      <c r="E371" t="s">
        <v>15</v>
      </c>
      <c r="F371" t="s">
        <v>42</v>
      </c>
      <c r="G371" t="s">
        <v>43</v>
      </c>
      <c r="H371">
        <v>2</v>
      </c>
      <c r="I371">
        <v>580.32000000000005</v>
      </c>
      <c r="J371">
        <v>1160.6400000000001</v>
      </c>
      <c r="K371" t="s">
        <v>1122</v>
      </c>
      <c r="L371" t="s">
        <v>91</v>
      </c>
    </row>
    <row r="372" spans="1:12" x14ac:dyDescent="0.35">
      <c r="A372" t="s">
        <v>1123</v>
      </c>
      <c r="B372" t="s">
        <v>12</v>
      </c>
      <c r="C372" t="s">
        <v>13</v>
      </c>
      <c r="D372" t="s">
        <v>40</v>
      </c>
      <c r="E372" t="s">
        <v>79</v>
      </c>
      <c r="F372" t="s">
        <v>101</v>
      </c>
      <c r="G372" t="s">
        <v>237</v>
      </c>
      <c r="H372">
        <v>2</v>
      </c>
      <c r="I372">
        <v>1194.0899999999999</v>
      </c>
      <c r="J372">
        <v>2388.1799999999998</v>
      </c>
      <c r="K372" t="s">
        <v>1124</v>
      </c>
      <c r="L372" t="s">
        <v>45</v>
      </c>
    </row>
    <row r="373" spans="1:12" x14ac:dyDescent="0.35">
      <c r="A373" t="s">
        <v>1125</v>
      </c>
      <c r="B373" t="s">
        <v>838</v>
      </c>
      <c r="C373" t="s">
        <v>839</v>
      </c>
      <c r="D373" t="s">
        <v>14</v>
      </c>
      <c r="E373" t="s">
        <v>95</v>
      </c>
      <c r="F373" t="s">
        <v>50</v>
      </c>
      <c r="G373" t="s">
        <v>56</v>
      </c>
      <c r="H373">
        <v>3</v>
      </c>
      <c r="I373">
        <v>313.87</v>
      </c>
      <c r="J373">
        <v>941.61</v>
      </c>
      <c r="K373" t="s">
        <v>1126</v>
      </c>
      <c r="L373" t="s">
        <v>36</v>
      </c>
    </row>
    <row r="374" spans="1:12" x14ac:dyDescent="0.35">
      <c r="A374" t="s">
        <v>1127</v>
      </c>
      <c r="B374" t="s">
        <v>1128</v>
      </c>
      <c r="C374" t="s">
        <v>1129</v>
      </c>
      <c r="D374" t="s">
        <v>40</v>
      </c>
      <c r="E374" t="s">
        <v>41</v>
      </c>
      <c r="F374" t="s">
        <v>50</v>
      </c>
      <c r="G374" t="s">
        <v>170</v>
      </c>
      <c r="H374">
        <v>2</v>
      </c>
      <c r="I374">
        <v>213.99</v>
      </c>
      <c r="J374">
        <v>427.98</v>
      </c>
      <c r="K374" t="s">
        <v>1124</v>
      </c>
      <c r="L374" t="s">
        <v>45</v>
      </c>
    </row>
    <row r="375" spans="1:12" x14ac:dyDescent="0.35">
      <c r="A375" t="s">
        <v>1130</v>
      </c>
      <c r="B375" t="s">
        <v>1131</v>
      </c>
      <c r="C375" t="s">
        <v>1132</v>
      </c>
      <c r="D375" t="s">
        <v>67</v>
      </c>
      <c r="E375" t="s">
        <v>130</v>
      </c>
      <c r="F375" t="s">
        <v>50</v>
      </c>
      <c r="G375" t="s">
        <v>69</v>
      </c>
      <c r="H375">
        <v>1</v>
      </c>
      <c r="I375">
        <v>365.19</v>
      </c>
      <c r="J375">
        <v>365.19</v>
      </c>
      <c r="K375" t="s">
        <v>938</v>
      </c>
      <c r="L375" t="s">
        <v>91</v>
      </c>
    </row>
    <row r="376" spans="1:12" x14ac:dyDescent="0.35">
      <c r="A376" t="s">
        <v>1133</v>
      </c>
      <c r="B376" t="s">
        <v>439</v>
      </c>
      <c r="C376" t="s">
        <v>440</v>
      </c>
      <c r="D376" t="s">
        <v>67</v>
      </c>
      <c r="E376" t="s">
        <v>130</v>
      </c>
      <c r="F376" t="s">
        <v>101</v>
      </c>
      <c r="G376" t="s">
        <v>237</v>
      </c>
      <c r="H376">
        <v>3</v>
      </c>
      <c r="I376">
        <v>883.13</v>
      </c>
      <c r="J376">
        <v>2649.39</v>
      </c>
      <c r="K376" t="s">
        <v>1134</v>
      </c>
      <c r="L376" t="s">
        <v>28</v>
      </c>
    </row>
    <row r="377" spans="1:12" x14ac:dyDescent="0.35">
      <c r="A377" t="s">
        <v>1135</v>
      </c>
      <c r="B377" t="s">
        <v>341</v>
      </c>
      <c r="C377" t="s">
        <v>342</v>
      </c>
      <c r="D377" t="s">
        <v>14</v>
      </c>
      <c r="E377" t="s">
        <v>100</v>
      </c>
      <c r="F377" t="s">
        <v>101</v>
      </c>
      <c r="G377" t="s">
        <v>373</v>
      </c>
      <c r="H377">
        <v>2</v>
      </c>
      <c r="I377">
        <v>1134.27</v>
      </c>
      <c r="J377">
        <v>2268.54</v>
      </c>
      <c r="K377" t="s">
        <v>1009</v>
      </c>
      <c r="L377" t="s">
        <v>91</v>
      </c>
    </row>
    <row r="378" spans="1:12" x14ac:dyDescent="0.35">
      <c r="A378" t="s">
        <v>1136</v>
      </c>
      <c r="B378" t="s">
        <v>1137</v>
      </c>
      <c r="C378" t="s">
        <v>1138</v>
      </c>
      <c r="D378" t="s">
        <v>23</v>
      </c>
      <c r="E378" t="s">
        <v>49</v>
      </c>
      <c r="F378" t="s">
        <v>50</v>
      </c>
      <c r="G378" t="s">
        <v>216</v>
      </c>
      <c r="H378">
        <v>1</v>
      </c>
      <c r="I378">
        <v>1362.07</v>
      </c>
      <c r="J378">
        <v>1362.07</v>
      </c>
      <c r="K378" t="s">
        <v>70</v>
      </c>
      <c r="L378" t="s">
        <v>36</v>
      </c>
    </row>
    <row r="379" spans="1:12" x14ac:dyDescent="0.35">
      <c r="A379" t="s">
        <v>1139</v>
      </c>
      <c r="B379" t="s">
        <v>864</v>
      </c>
      <c r="C379" t="s">
        <v>865</v>
      </c>
      <c r="D379" t="s">
        <v>14</v>
      </c>
      <c r="E379" t="s">
        <v>100</v>
      </c>
      <c r="F379" t="s">
        <v>101</v>
      </c>
      <c r="G379" t="s">
        <v>165</v>
      </c>
      <c r="H379">
        <v>5</v>
      </c>
      <c r="I379">
        <v>978.8</v>
      </c>
      <c r="J379">
        <v>4894</v>
      </c>
      <c r="K379" t="s">
        <v>564</v>
      </c>
      <c r="L379" t="s">
        <v>45</v>
      </c>
    </row>
    <row r="380" spans="1:12" x14ac:dyDescent="0.35">
      <c r="A380" t="s">
        <v>1140</v>
      </c>
      <c r="B380" t="s">
        <v>707</v>
      </c>
      <c r="C380" t="s">
        <v>708</v>
      </c>
      <c r="D380" t="s">
        <v>40</v>
      </c>
      <c r="E380" t="s">
        <v>120</v>
      </c>
      <c r="F380" t="s">
        <v>25</v>
      </c>
      <c r="G380" t="s">
        <v>26</v>
      </c>
      <c r="H380">
        <v>1</v>
      </c>
      <c r="I380">
        <v>367.18</v>
      </c>
      <c r="J380">
        <v>367.18</v>
      </c>
      <c r="K380" t="s">
        <v>749</v>
      </c>
      <c r="L380" t="s">
        <v>91</v>
      </c>
    </row>
    <row r="381" spans="1:12" x14ac:dyDescent="0.35">
      <c r="A381" t="s">
        <v>1141</v>
      </c>
      <c r="B381" t="s">
        <v>210</v>
      </c>
      <c r="C381" t="s">
        <v>211</v>
      </c>
      <c r="D381" t="s">
        <v>23</v>
      </c>
      <c r="E381" t="s">
        <v>49</v>
      </c>
      <c r="F381" t="s">
        <v>101</v>
      </c>
      <c r="G381" t="s">
        <v>237</v>
      </c>
      <c r="H381">
        <v>5</v>
      </c>
      <c r="I381">
        <v>300.60000000000002</v>
      </c>
      <c r="J381">
        <v>1503</v>
      </c>
      <c r="K381" t="s">
        <v>246</v>
      </c>
      <c r="L381" t="s">
        <v>19</v>
      </c>
    </row>
    <row r="382" spans="1:12" x14ac:dyDescent="0.35">
      <c r="A382" t="s">
        <v>1142</v>
      </c>
      <c r="B382" t="s">
        <v>727</v>
      </c>
      <c r="C382" t="s">
        <v>728</v>
      </c>
      <c r="D382" t="s">
        <v>40</v>
      </c>
      <c r="E382" t="s">
        <v>79</v>
      </c>
      <c r="F382" t="s">
        <v>50</v>
      </c>
      <c r="G382" t="s">
        <v>56</v>
      </c>
      <c r="H382">
        <v>3</v>
      </c>
      <c r="I382">
        <v>548.57000000000005</v>
      </c>
      <c r="J382">
        <v>1645.71</v>
      </c>
      <c r="K382" t="s">
        <v>254</v>
      </c>
      <c r="L382" t="s">
        <v>45</v>
      </c>
    </row>
    <row r="383" spans="1:12" x14ac:dyDescent="0.35">
      <c r="A383" t="s">
        <v>1143</v>
      </c>
      <c r="B383" t="s">
        <v>1144</v>
      </c>
      <c r="C383" t="s">
        <v>1145</v>
      </c>
      <c r="D383" t="s">
        <v>23</v>
      </c>
      <c r="E383" t="s">
        <v>24</v>
      </c>
      <c r="F383" t="s">
        <v>16</v>
      </c>
      <c r="G383" t="s">
        <v>148</v>
      </c>
      <c r="H383">
        <v>3</v>
      </c>
      <c r="I383">
        <v>1496.63</v>
      </c>
      <c r="J383">
        <v>4489.8900000000003</v>
      </c>
      <c r="K383" t="s">
        <v>221</v>
      </c>
      <c r="L383" t="s">
        <v>91</v>
      </c>
    </row>
    <row r="384" spans="1:12" x14ac:dyDescent="0.35">
      <c r="A384" t="s">
        <v>1146</v>
      </c>
      <c r="B384" t="s">
        <v>168</v>
      </c>
      <c r="C384" t="s">
        <v>169</v>
      </c>
      <c r="D384" t="s">
        <v>32</v>
      </c>
      <c r="E384" t="s">
        <v>61</v>
      </c>
      <c r="F384" t="s">
        <v>16</v>
      </c>
      <c r="G384" t="s">
        <v>148</v>
      </c>
      <c r="H384">
        <v>1</v>
      </c>
      <c r="I384">
        <v>957.39</v>
      </c>
      <c r="J384">
        <v>957.39</v>
      </c>
      <c r="K384" t="s">
        <v>1147</v>
      </c>
      <c r="L384" t="s">
        <v>45</v>
      </c>
    </row>
    <row r="385" spans="1:12" x14ac:dyDescent="0.35">
      <c r="A385" t="s">
        <v>1148</v>
      </c>
      <c r="B385" t="s">
        <v>1149</v>
      </c>
      <c r="C385" t="s">
        <v>1150</v>
      </c>
      <c r="D385" t="s">
        <v>14</v>
      </c>
      <c r="E385" t="s">
        <v>95</v>
      </c>
      <c r="F385" t="s">
        <v>42</v>
      </c>
      <c r="G385" t="s">
        <v>89</v>
      </c>
      <c r="H385">
        <v>4</v>
      </c>
      <c r="I385">
        <v>459.49</v>
      </c>
      <c r="J385">
        <v>1837.96</v>
      </c>
      <c r="K385" t="s">
        <v>1151</v>
      </c>
      <c r="L385" t="s">
        <v>19</v>
      </c>
    </row>
    <row r="386" spans="1:12" x14ac:dyDescent="0.35">
      <c r="A386" t="s">
        <v>1152</v>
      </c>
      <c r="B386" t="s">
        <v>1153</v>
      </c>
      <c r="C386" t="s">
        <v>1154</v>
      </c>
      <c r="D386" t="s">
        <v>32</v>
      </c>
      <c r="E386" t="s">
        <v>203</v>
      </c>
      <c r="F386" t="s">
        <v>101</v>
      </c>
      <c r="G386" t="s">
        <v>165</v>
      </c>
      <c r="H386">
        <v>5</v>
      </c>
      <c r="I386">
        <v>143.69</v>
      </c>
      <c r="J386">
        <v>718.45</v>
      </c>
      <c r="K386" t="s">
        <v>365</v>
      </c>
      <c r="L386" t="s">
        <v>36</v>
      </c>
    </row>
    <row r="387" spans="1:12" x14ac:dyDescent="0.35">
      <c r="A387" t="s">
        <v>1155</v>
      </c>
      <c r="B387" t="s">
        <v>311</v>
      </c>
      <c r="C387" t="s">
        <v>312</v>
      </c>
      <c r="D387" t="s">
        <v>40</v>
      </c>
      <c r="E387" t="s">
        <v>79</v>
      </c>
      <c r="F387" t="s">
        <v>16</v>
      </c>
      <c r="G387" t="s">
        <v>182</v>
      </c>
      <c r="H387">
        <v>3</v>
      </c>
      <c r="I387">
        <v>1196.2</v>
      </c>
      <c r="J387">
        <v>3588.6</v>
      </c>
      <c r="K387" t="s">
        <v>546</v>
      </c>
      <c r="L387" t="s">
        <v>45</v>
      </c>
    </row>
    <row r="388" spans="1:12" x14ac:dyDescent="0.35">
      <c r="A388" t="s">
        <v>1156</v>
      </c>
      <c r="B388" t="s">
        <v>240</v>
      </c>
      <c r="C388" t="s">
        <v>241</v>
      </c>
      <c r="D388" t="s">
        <v>14</v>
      </c>
      <c r="E388" t="s">
        <v>125</v>
      </c>
      <c r="F388" t="s">
        <v>101</v>
      </c>
      <c r="G388" t="s">
        <v>102</v>
      </c>
      <c r="H388">
        <v>4</v>
      </c>
      <c r="I388">
        <v>567.47</v>
      </c>
      <c r="J388">
        <v>2269.88</v>
      </c>
      <c r="K388" t="s">
        <v>1157</v>
      </c>
      <c r="L388" t="s">
        <v>45</v>
      </c>
    </row>
    <row r="389" spans="1:12" x14ac:dyDescent="0.35">
      <c r="A389" t="s">
        <v>1158</v>
      </c>
      <c r="B389" t="s">
        <v>1159</v>
      </c>
      <c r="C389" t="s">
        <v>1160</v>
      </c>
      <c r="D389" t="s">
        <v>40</v>
      </c>
      <c r="E389" t="s">
        <v>120</v>
      </c>
      <c r="F389" t="s">
        <v>42</v>
      </c>
      <c r="G389" t="s">
        <v>80</v>
      </c>
      <c r="H389">
        <v>3</v>
      </c>
      <c r="I389">
        <v>597.19000000000005</v>
      </c>
      <c r="J389">
        <v>1791.57</v>
      </c>
      <c r="K389" t="s">
        <v>1161</v>
      </c>
      <c r="L389" t="s">
        <v>19</v>
      </c>
    </row>
    <row r="390" spans="1:12" x14ac:dyDescent="0.35">
      <c r="A390" t="s">
        <v>1162</v>
      </c>
      <c r="B390" t="s">
        <v>1163</v>
      </c>
      <c r="C390" t="s">
        <v>1164</v>
      </c>
      <c r="D390" t="s">
        <v>67</v>
      </c>
      <c r="E390" t="s">
        <v>115</v>
      </c>
      <c r="F390" t="s">
        <v>50</v>
      </c>
      <c r="G390" t="s">
        <v>170</v>
      </c>
      <c r="H390">
        <v>5</v>
      </c>
      <c r="I390">
        <v>672.15</v>
      </c>
      <c r="J390">
        <v>3360.75</v>
      </c>
      <c r="K390" t="s">
        <v>1165</v>
      </c>
      <c r="L390" t="s">
        <v>36</v>
      </c>
    </row>
    <row r="391" spans="1:12" x14ac:dyDescent="0.35">
      <c r="A391" t="s">
        <v>1166</v>
      </c>
      <c r="B391" t="s">
        <v>1167</v>
      </c>
      <c r="C391" t="s">
        <v>1168</v>
      </c>
      <c r="D391" t="s">
        <v>67</v>
      </c>
      <c r="E391" t="s">
        <v>130</v>
      </c>
      <c r="F391" t="s">
        <v>25</v>
      </c>
      <c r="G391" t="s">
        <v>62</v>
      </c>
      <c r="H391">
        <v>1</v>
      </c>
      <c r="I391">
        <v>1087.71</v>
      </c>
      <c r="J391">
        <v>1087.71</v>
      </c>
      <c r="K391" t="s">
        <v>1122</v>
      </c>
      <c r="L391" t="s">
        <v>28</v>
      </c>
    </row>
    <row r="392" spans="1:12" x14ac:dyDescent="0.35">
      <c r="A392" t="s">
        <v>1169</v>
      </c>
      <c r="B392" t="s">
        <v>1170</v>
      </c>
      <c r="C392" t="s">
        <v>1171</v>
      </c>
      <c r="D392" t="s">
        <v>14</v>
      </c>
      <c r="E392" t="s">
        <v>95</v>
      </c>
      <c r="F392" t="s">
        <v>50</v>
      </c>
      <c r="G392" t="s">
        <v>51</v>
      </c>
      <c r="H392">
        <v>5</v>
      </c>
      <c r="I392">
        <v>800.67</v>
      </c>
      <c r="J392">
        <v>4003.35</v>
      </c>
      <c r="K392" t="s">
        <v>1172</v>
      </c>
      <c r="L392" t="s">
        <v>36</v>
      </c>
    </row>
    <row r="393" spans="1:12" x14ac:dyDescent="0.35">
      <c r="A393" t="s">
        <v>1173</v>
      </c>
      <c r="B393" t="s">
        <v>446</v>
      </c>
      <c r="C393" t="s">
        <v>447</v>
      </c>
      <c r="D393" t="s">
        <v>32</v>
      </c>
      <c r="E393" t="s">
        <v>61</v>
      </c>
      <c r="F393" t="s">
        <v>101</v>
      </c>
      <c r="G393" t="s">
        <v>102</v>
      </c>
      <c r="H393">
        <v>2</v>
      </c>
      <c r="I393">
        <v>529</v>
      </c>
      <c r="J393">
        <v>1058</v>
      </c>
      <c r="K393" t="s">
        <v>1174</v>
      </c>
      <c r="L393" t="s">
        <v>36</v>
      </c>
    </row>
    <row r="394" spans="1:12" x14ac:dyDescent="0.35">
      <c r="A394" t="s">
        <v>1175</v>
      </c>
      <c r="B394" t="s">
        <v>1176</v>
      </c>
      <c r="C394" t="s">
        <v>1177</v>
      </c>
      <c r="D394" t="s">
        <v>32</v>
      </c>
      <c r="E394" t="s">
        <v>203</v>
      </c>
      <c r="F394" t="s">
        <v>16</v>
      </c>
      <c r="G394" t="s">
        <v>148</v>
      </c>
      <c r="H394">
        <v>3</v>
      </c>
      <c r="I394">
        <v>1178.83</v>
      </c>
      <c r="J394">
        <v>3536.49</v>
      </c>
      <c r="K394" t="s">
        <v>793</v>
      </c>
      <c r="L394" t="s">
        <v>36</v>
      </c>
    </row>
    <row r="395" spans="1:12" x14ac:dyDescent="0.35">
      <c r="A395" t="s">
        <v>1178</v>
      </c>
      <c r="B395" t="s">
        <v>1179</v>
      </c>
      <c r="C395" t="s">
        <v>1180</v>
      </c>
      <c r="D395" t="s">
        <v>40</v>
      </c>
      <c r="E395" t="s">
        <v>120</v>
      </c>
      <c r="F395" t="s">
        <v>16</v>
      </c>
      <c r="G395" t="s">
        <v>17</v>
      </c>
      <c r="H395">
        <v>5</v>
      </c>
      <c r="I395">
        <v>478.69</v>
      </c>
      <c r="J395">
        <v>2393.4499999999998</v>
      </c>
      <c r="K395" t="s">
        <v>1181</v>
      </c>
      <c r="L395" t="s">
        <v>19</v>
      </c>
    </row>
    <row r="396" spans="1:12" x14ac:dyDescent="0.35">
      <c r="A396" t="s">
        <v>1182</v>
      </c>
      <c r="B396" t="s">
        <v>228</v>
      </c>
      <c r="C396" t="s">
        <v>229</v>
      </c>
      <c r="D396" t="s">
        <v>67</v>
      </c>
      <c r="E396" t="s">
        <v>130</v>
      </c>
      <c r="F396" t="s">
        <v>42</v>
      </c>
      <c r="G396" t="s">
        <v>43</v>
      </c>
      <c r="H396">
        <v>2</v>
      </c>
      <c r="I396">
        <v>176.72</v>
      </c>
      <c r="J396">
        <v>353.44</v>
      </c>
      <c r="K396" t="s">
        <v>313</v>
      </c>
      <c r="L396" t="s">
        <v>91</v>
      </c>
    </row>
    <row r="397" spans="1:12" x14ac:dyDescent="0.35">
      <c r="A397" t="s">
        <v>1183</v>
      </c>
      <c r="B397" t="s">
        <v>264</v>
      </c>
      <c r="C397" t="s">
        <v>265</v>
      </c>
      <c r="D397" t="s">
        <v>40</v>
      </c>
      <c r="E397" t="s">
        <v>41</v>
      </c>
      <c r="F397" t="s">
        <v>16</v>
      </c>
      <c r="G397" t="s">
        <v>182</v>
      </c>
      <c r="H397">
        <v>4</v>
      </c>
      <c r="I397">
        <v>1062.27</v>
      </c>
      <c r="J397">
        <v>4249.08</v>
      </c>
      <c r="K397" t="s">
        <v>1184</v>
      </c>
      <c r="L397" t="s">
        <v>36</v>
      </c>
    </row>
    <row r="398" spans="1:12" x14ac:dyDescent="0.35">
      <c r="A398" t="s">
        <v>1185</v>
      </c>
      <c r="B398" t="s">
        <v>602</v>
      </c>
      <c r="C398" t="s">
        <v>603</v>
      </c>
      <c r="D398" t="s">
        <v>67</v>
      </c>
      <c r="E398" t="s">
        <v>115</v>
      </c>
      <c r="F398" t="s">
        <v>25</v>
      </c>
      <c r="G398" t="s">
        <v>34</v>
      </c>
      <c r="H398">
        <v>1</v>
      </c>
      <c r="I398">
        <v>56.98</v>
      </c>
      <c r="J398">
        <v>56.98</v>
      </c>
      <c r="K398" t="s">
        <v>1186</v>
      </c>
      <c r="L398" t="s">
        <v>28</v>
      </c>
    </row>
    <row r="399" spans="1:12" x14ac:dyDescent="0.35">
      <c r="A399" t="s">
        <v>1187</v>
      </c>
      <c r="B399" t="s">
        <v>775</v>
      </c>
      <c r="C399" t="s">
        <v>776</v>
      </c>
      <c r="D399" t="s">
        <v>14</v>
      </c>
      <c r="E399" t="s">
        <v>100</v>
      </c>
      <c r="F399" t="s">
        <v>25</v>
      </c>
      <c r="G399" t="s">
        <v>34</v>
      </c>
      <c r="H399">
        <v>3</v>
      </c>
      <c r="I399">
        <v>20.53</v>
      </c>
      <c r="J399">
        <v>61.59</v>
      </c>
      <c r="K399" t="s">
        <v>1188</v>
      </c>
      <c r="L399" t="s">
        <v>19</v>
      </c>
    </row>
    <row r="400" spans="1:12" x14ac:dyDescent="0.35">
      <c r="A400" t="s">
        <v>1189</v>
      </c>
      <c r="B400" t="s">
        <v>155</v>
      </c>
      <c r="C400" t="s">
        <v>156</v>
      </c>
      <c r="D400" t="s">
        <v>40</v>
      </c>
      <c r="E400" t="s">
        <v>120</v>
      </c>
      <c r="F400" t="s">
        <v>16</v>
      </c>
      <c r="G400" t="s">
        <v>182</v>
      </c>
      <c r="H400">
        <v>3</v>
      </c>
      <c r="I400">
        <v>165.62</v>
      </c>
      <c r="J400">
        <v>496.86</v>
      </c>
      <c r="K400" t="s">
        <v>886</v>
      </c>
      <c r="L400" t="s">
        <v>45</v>
      </c>
    </row>
    <row r="401" spans="1:12" x14ac:dyDescent="0.35">
      <c r="A401" t="s">
        <v>1190</v>
      </c>
      <c r="B401" t="s">
        <v>1191</v>
      </c>
      <c r="C401" t="s">
        <v>1192</v>
      </c>
      <c r="D401" t="s">
        <v>67</v>
      </c>
      <c r="E401" t="s">
        <v>130</v>
      </c>
      <c r="F401" t="s">
        <v>42</v>
      </c>
      <c r="G401" t="s">
        <v>170</v>
      </c>
      <c r="H401">
        <v>3</v>
      </c>
      <c r="I401">
        <v>1015.21</v>
      </c>
      <c r="J401">
        <v>3045.63</v>
      </c>
      <c r="K401" t="s">
        <v>550</v>
      </c>
      <c r="L401" t="s">
        <v>19</v>
      </c>
    </row>
    <row r="402" spans="1:12" x14ac:dyDescent="0.35">
      <c r="A402" t="s">
        <v>1193</v>
      </c>
      <c r="B402" t="s">
        <v>291</v>
      </c>
      <c r="C402" t="s">
        <v>292</v>
      </c>
      <c r="D402" t="s">
        <v>14</v>
      </c>
      <c r="E402" t="s">
        <v>15</v>
      </c>
      <c r="F402" t="s">
        <v>50</v>
      </c>
      <c r="G402" t="s">
        <v>170</v>
      </c>
      <c r="H402">
        <v>3</v>
      </c>
      <c r="I402">
        <v>211.56</v>
      </c>
      <c r="J402">
        <v>634.67999999999995</v>
      </c>
      <c r="K402" t="s">
        <v>1194</v>
      </c>
      <c r="L402" t="s">
        <v>19</v>
      </c>
    </row>
    <row r="403" spans="1:12" x14ac:dyDescent="0.35">
      <c r="A403" t="s">
        <v>1195</v>
      </c>
      <c r="B403" t="s">
        <v>1196</v>
      </c>
      <c r="C403" t="s">
        <v>1197</v>
      </c>
      <c r="D403" t="s">
        <v>23</v>
      </c>
      <c r="E403" t="s">
        <v>24</v>
      </c>
      <c r="F403" t="s">
        <v>25</v>
      </c>
      <c r="G403" t="s">
        <v>139</v>
      </c>
      <c r="H403">
        <v>5</v>
      </c>
      <c r="I403">
        <v>1188.76</v>
      </c>
      <c r="J403">
        <v>5943.8</v>
      </c>
      <c r="K403" t="s">
        <v>175</v>
      </c>
      <c r="L403" t="s">
        <v>36</v>
      </c>
    </row>
    <row r="404" spans="1:12" x14ac:dyDescent="0.35">
      <c r="A404" t="s">
        <v>1198</v>
      </c>
      <c r="B404" t="s">
        <v>500</v>
      </c>
      <c r="C404" t="s">
        <v>501</v>
      </c>
      <c r="D404" t="s">
        <v>32</v>
      </c>
      <c r="E404" t="s">
        <v>61</v>
      </c>
      <c r="F404" t="s">
        <v>50</v>
      </c>
      <c r="G404" t="s">
        <v>69</v>
      </c>
      <c r="H404">
        <v>1</v>
      </c>
      <c r="I404">
        <v>1497.44</v>
      </c>
      <c r="J404">
        <v>1497.44</v>
      </c>
      <c r="K404" t="s">
        <v>1199</v>
      </c>
      <c r="L404" t="s">
        <v>45</v>
      </c>
    </row>
    <row r="405" spans="1:12" x14ac:dyDescent="0.35">
      <c r="A405" t="s">
        <v>1200</v>
      </c>
      <c r="B405" t="s">
        <v>797</v>
      </c>
      <c r="C405" t="s">
        <v>798</v>
      </c>
      <c r="D405" t="s">
        <v>23</v>
      </c>
      <c r="E405" t="s">
        <v>49</v>
      </c>
      <c r="F405" t="s">
        <v>50</v>
      </c>
      <c r="G405" t="s">
        <v>51</v>
      </c>
      <c r="H405">
        <v>1</v>
      </c>
      <c r="I405">
        <v>1160.3900000000001</v>
      </c>
      <c r="J405">
        <v>1160.3900000000001</v>
      </c>
      <c r="K405" t="s">
        <v>1003</v>
      </c>
      <c r="L405" t="s">
        <v>19</v>
      </c>
    </row>
    <row r="406" spans="1:12" x14ac:dyDescent="0.35">
      <c r="A406" t="s">
        <v>1201</v>
      </c>
      <c r="B406" t="s">
        <v>83</v>
      </c>
      <c r="C406" t="s">
        <v>84</v>
      </c>
      <c r="D406" t="s">
        <v>67</v>
      </c>
      <c r="E406" t="s">
        <v>130</v>
      </c>
      <c r="F406" t="s">
        <v>42</v>
      </c>
      <c r="G406" t="s">
        <v>80</v>
      </c>
      <c r="H406">
        <v>5</v>
      </c>
      <c r="I406">
        <v>514.25</v>
      </c>
      <c r="J406">
        <v>2571.25</v>
      </c>
      <c r="K406" t="s">
        <v>494</v>
      </c>
      <c r="L406" t="s">
        <v>91</v>
      </c>
    </row>
    <row r="407" spans="1:12" x14ac:dyDescent="0.35">
      <c r="A407" t="s">
        <v>1202</v>
      </c>
      <c r="B407" t="s">
        <v>1203</v>
      </c>
      <c r="C407" t="s">
        <v>1204</v>
      </c>
      <c r="D407" t="s">
        <v>32</v>
      </c>
      <c r="E407" t="s">
        <v>61</v>
      </c>
      <c r="F407" t="s">
        <v>25</v>
      </c>
      <c r="G407" t="s">
        <v>26</v>
      </c>
      <c r="H407">
        <v>2</v>
      </c>
      <c r="I407">
        <v>400.84</v>
      </c>
      <c r="J407">
        <v>801.68</v>
      </c>
      <c r="K407" t="s">
        <v>1205</v>
      </c>
      <c r="L407" t="s">
        <v>36</v>
      </c>
    </row>
    <row r="408" spans="1:12" x14ac:dyDescent="0.35">
      <c r="A408" t="s">
        <v>1206</v>
      </c>
      <c r="B408" t="s">
        <v>690</v>
      </c>
      <c r="C408" t="s">
        <v>691</v>
      </c>
      <c r="D408" t="s">
        <v>14</v>
      </c>
      <c r="E408" t="s">
        <v>95</v>
      </c>
      <c r="F408" t="s">
        <v>101</v>
      </c>
      <c r="G408" t="s">
        <v>649</v>
      </c>
      <c r="H408">
        <v>3</v>
      </c>
      <c r="I408">
        <v>634.26</v>
      </c>
      <c r="J408">
        <v>1902.78</v>
      </c>
      <c r="K408" t="s">
        <v>1207</v>
      </c>
      <c r="L408" t="s">
        <v>19</v>
      </c>
    </row>
    <row r="409" spans="1:12" x14ac:dyDescent="0.35">
      <c r="A409" t="s">
        <v>1208</v>
      </c>
      <c r="B409" t="s">
        <v>1170</v>
      </c>
      <c r="C409" t="s">
        <v>1171</v>
      </c>
      <c r="D409" t="s">
        <v>32</v>
      </c>
      <c r="E409" t="s">
        <v>61</v>
      </c>
      <c r="F409" t="s">
        <v>42</v>
      </c>
      <c r="G409" t="s">
        <v>43</v>
      </c>
      <c r="H409">
        <v>2</v>
      </c>
      <c r="I409">
        <v>997.9</v>
      </c>
      <c r="J409">
        <v>1995.8</v>
      </c>
      <c r="K409" t="s">
        <v>1209</v>
      </c>
      <c r="L409" t="s">
        <v>19</v>
      </c>
    </row>
    <row r="410" spans="1:12" x14ac:dyDescent="0.35">
      <c r="A410" t="s">
        <v>1210</v>
      </c>
      <c r="B410" t="s">
        <v>856</v>
      </c>
      <c r="C410" t="s">
        <v>857</v>
      </c>
      <c r="D410" t="s">
        <v>14</v>
      </c>
      <c r="E410" t="s">
        <v>266</v>
      </c>
      <c r="F410" t="s">
        <v>50</v>
      </c>
      <c r="G410" t="s">
        <v>51</v>
      </c>
      <c r="H410">
        <v>3</v>
      </c>
      <c r="I410">
        <v>551.16999999999996</v>
      </c>
      <c r="J410">
        <v>1653.51</v>
      </c>
      <c r="K410" t="s">
        <v>757</v>
      </c>
      <c r="L410" t="s">
        <v>19</v>
      </c>
    </row>
    <row r="411" spans="1:12" x14ac:dyDescent="0.35">
      <c r="A411" t="s">
        <v>1211</v>
      </c>
      <c r="B411" t="s">
        <v>1212</v>
      </c>
      <c r="C411" t="s">
        <v>1213</v>
      </c>
      <c r="D411" t="s">
        <v>14</v>
      </c>
      <c r="E411" t="s">
        <v>100</v>
      </c>
      <c r="F411" t="s">
        <v>16</v>
      </c>
      <c r="G411" t="s">
        <v>177</v>
      </c>
      <c r="H411">
        <v>5</v>
      </c>
      <c r="I411">
        <v>946.1</v>
      </c>
      <c r="J411">
        <v>4730.5</v>
      </c>
      <c r="K411" t="s">
        <v>1214</v>
      </c>
      <c r="L411" t="s">
        <v>19</v>
      </c>
    </row>
    <row r="412" spans="1:12" x14ac:dyDescent="0.35">
      <c r="A412" t="s">
        <v>1215</v>
      </c>
      <c r="B412" t="s">
        <v>248</v>
      </c>
      <c r="C412" t="s">
        <v>249</v>
      </c>
      <c r="D412" t="s">
        <v>40</v>
      </c>
      <c r="E412" t="s">
        <v>41</v>
      </c>
      <c r="F412" t="s">
        <v>16</v>
      </c>
      <c r="G412" t="s">
        <v>230</v>
      </c>
      <c r="H412">
        <v>5</v>
      </c>
      <c r="I412">
        <v>491.72</v>
      </c>
      <c r="J412">
        <v>2458.6</v>
      </c>
      <c r="K412" t="s">
        <v>1081</v>
      </c>
      <c r="L412" t="s">
        <v>91</v>
      </c>
    </row>
    <row r="413" spans="1:12" x14ac:dyDescent="0.35">
      <c r="A413" t="s">
        <v>1216</v>
      </c>
      <c r="B413" t="s">
        <v>785</v>
      </c>
      <c r="C413" t="s">
        <v>786</v>
      </c>
      <c r="D413" t="s">
        <v>32</v>
      </c>
      <c r="E413" t="s">
        <v>203</v>
      </c>
      <c r="F413" t="s">
        <v>101</v>
      </c>
      <c r="G413" t="s">
        <v>373</v>
      </c>
      <c r="H413">
        <v>1</v>
      </c>
      <c r="I413">
        <v>1399.79</v>
      </c>
      <c r="J413">
        <v>1399.79</v>
      </c>
      <c r="K413" t="s">
        <v>1217</v>
      </c>
      <c r="L413" t="s">
        <v>36</v>
      </c>
    </row>
    <row r="414" spans="1:12" x14ac:dyDescent="0.35">
      <c r="A414" t="s">
        <v>1218</v>
      </c>
      <c r="B414" t="s">
        <v>307</v>
      </c>
      <c r="C414" t="s">
        <v>308</v>
      </c>
      <c r="D414" t="s">
        <v>23</v>
      </c>
      <c r="E414" t="s">
        <v>24</v>
      </c>
      <c r="F414" t="s">
        <v>101</v>
      </c>
      <c r="G414" t="s">
        <v>649</v>
      </c>
      <c r="H414">
        <v>3</v>
      </c>
      <c r="I414">
        <v>1176.55</v>
      </c>
      <c r="J414">
        <v>3529.65</v>
      </c>
      <c r="K414" t="s">
        <v>1219</v>
      </c>
      <c r="L414" t="s">
        <v>19</v>
      </c>
    </row>
    <row r="415" spans="1:12" x14ac:dyDescent="0.35">
      <c r="A415" t="s">
        <v>1220</v>
      </c>
      <c r="B415" t="s">
        <v>206</v>
      </c>
      <c r="C415" t="s">
        <v>207</v>
      </c>
      <c r="D415" t="s">
        <v>67</v>
      </c>
      <c r="E415" t="s">
        <v>68</v>
      </c>
      <c r="F415" t="s">
        <v>25</v>
      </c>
      <c r="G415" t="s">
        <v>34</v>
      </c>
      <c r="H415">
        <v>2</v>
      </c>
      <c r="I415">
        <v>1096.8900000000001</v>
      </c>
      <c r="J415">
        <v>2193.7800000000002</v>
      </c>
      <c r="K415" t="s">
        <v>433</v>
      </c>
      <c r="L415" t="s">
        <v>36</v>
      </c>
    </row>
    <row r="416" spans="1:12" x14ac:dyDescent="0.35">
      <c r="A416" t="s">
        <v>1221</v>
      </c>
      <c r="B416" t="s">
        <v>311</v>
      </c>
      <c r="C416" t="s">
        <v>312</v>
      </c>
      <c r="D416" t="s">
        <v>67</v>
      </c>
      <c r="E416" t="s">
        <v>115</v>
      </c>
      <c r="F416" t="s">
        <v>50</v>
      </c>
      <c r="G416" t="s">
        <v>216</v>
      </c>
      <c r="H416">
        <v>5</v>
      </c>
      <c r="I416">
        <v>454.27</v>
      </c>
      <c r="J416">
        <v>2271.35</v>
      </c>
      <c r="K416" t="s">
        <v>357</v>
      </c>
      <c r="L416" t="s">
        <v>91</v>
      </c>
    </row>
    <row r="417" spans="1:12" x14ac:dyDescent="0.35">
      <c r="A417" t="s">
        <v>1222</v>
      </c>
      <c r="B417" t="s">
        <v>180</v>
      </c>
      <c r="C417" t="s">
        <v>181</v>
      </c>
      <c r="D417" t="s">
        <v>40</v>
      </c>
      <c r="E417" t="s">
        <v>120</v>
      </c>
      <c r="F417" t="s">
        <v>42</v>
      </c>
      <c r="G417" t="s">
        <v>43</v>
      </c>
      <c r="H417">
        <v>1</v>
      </c>
      <c r="I417">
        <v>892.74</v>
      </c>
      <c r="J417">
        <v>892.74</v>
      </c>
      <c r="K417" t="s">
        <v>592</v>
      </c>
      <c r="L417" t="s">
        <v>45</v>
      </c>
    </row>
    <row r="418" spans="1:12" x14ac:dyDescent="0.35">
      <c r="A418" t="s">
        <v>1223</v>
      </c>
      <c r="B418" t="s">
        <v>1176</v>
      </c>
      <c r="C418" t="s">
        <v>1177</v>
      </c>
      <c r="D418" t="s">
        <v>67</v>
      </c>
      <c r="E418" t="s">
        <v>115</v>
      </c>
      <c r="F418" t="s">
        <v>42</v>
      </c>
      <c r="G418" t="s">
        <v>225</v>
      </c>
      <c r="H418">
        <v>3</v>
      </c>
      <c r="I418">
        <v>872.42</v>
      </c>
      <c r="J418">
        <v>2617.2600000000002</v>
      </c>
      <c r="K418" t="s">
        <v>1224</v>
      </c>
      <c r="L418" t="s">
        <v>45</v>
      </c>
    </row>
    <row r="419" spans="1:12" x14ac:dyDescent="0.35">
      <c r="A419" t="s">
        <v>1225</v>
      </c>
      <c r="B419" t="s">
        <v>1226</v>
      </c>
      <c r="C419" t="s">
        <v>1227</v>
      </c>
      <c r="D419" t="s">
        <v>23</v>
      </c>
      <c r="E419" t="s">
        <v>49</v>
      </c>
      <c r="F419" t="s">
        <v>16</v>
      </c>
      <c r="G419" t="s">
        <v>230</v>
      </c>
      <c r="H419">
        <v>2</v>
      </c>
      <c r="I419">
        <v>73.39</v>
      </c>
      <c r="J419">
        <v>146.78</v>
      </c>
      <c r="K419" t="s">
        <v>1228</v>
      </c>
      <c r="L419" t="s">
        <v>91</v>
      </c>
    </row>
    <row r="420" spans="1:12" x14ac:dyDescent="0.35">
      <c r="A420" t="s">
        <v>1229</v>
      </c>
      <c r="B420" t="s">
        <v>348</v>
      </c>
      <c r="C420" t="s">
        <v>349</v>
      </c>
      <c r="D420" t="s">
        <v>40</v>
      </c>
      <c r="E420" t="s">
        <v>79</v>
      </c>
      <c r="F420" t="s">
        <v>16</v>
      </c>
      <c r="G420" t="s">
        <v>177</v>
      </c>
      <c r="H420">
        <v>3</v>
      </c>
      <c r="I420">
        <v>538.55999999999995</v>
      </c>
      <c r="J420">
        <v>1615.68</v>
      </c>
      <c r="K420" t="s">
        <v>1230</v>
      </c>
      <c r="L420" t="s">
        <v>19</v>
      </c>
    </row>
    <row r="421" spans="1:12" x14ac:dyDescent="0.35">
      <c r="A421" t="s">
        <v>1231</v>
      </c>
      <c r="B421" t="s">
        <v>925</v>
      </c>
      <c r="C421" t="s">
        <v>926</v>
      </c>
      <c r="D421" t="s">
        <v>40</v>
      </c>
      <c r="E421" t="s">
        <v>120</v>
      </c>
      <c r="F421" t="s">
        <v>50</v>
      </c>
      <c r="G421" t="s">
        <v>51</v>
      </c>
      <c r="H421">
        <v>4</v>
      </c>
      <c r="I421">
        <v>960.28</v>
      </c>
      <c r="J421">
        <v>3841.12</v>
      </c>
      <c r="K421" t="s">
        <v>187</v>
      </c>
      <c r="L421" t="s">
        <v>45</v>
      </c>
    </row>
    <row r="422" spans="1:12" x14ac:dyDescent="0.35">
      <c r="A422" t="s">
        <v>1232</v>
      </c>
      <c r="B422" t="s">
        <v>287</v>
      </c>
      <c r="C422" t="s">
        <v>288</v>
      </c>
      <c r="D422" t="s">
        <v>40</v>
      </c>
      <c r="E422" t="s">
        <v>120</v>
      </c>
      <c r="F422" t="s">
        <v>16</v>
      </c>
      <c r="G422" t="s">
        <v>230</v>
      </c>
      <c r="H422">
        <v>2</v>
      </c>
      <c r="I422">
        <v>358.92</v>
      </c>
      <c r="J422">
        <v>717.84</v>
      </c>
      <c r="K422" t="s">
        <v>872</v>
      </c>
      <c r="L422" t="s">
        <v>19</v>
      </c>
    </row>
    <row r="423" spans="1:12" x14ac:dyDescent="0.35">
      <c r="A423" t="s">
        <v>1233</v>
      </c>
      <c r="B423" t="s">
        <v>168</v>
      </c>
      <c r="C423" t="s">
        <v>169</v>
      </c>
      <c r="D423" t="s">
        <v>40</v>
      </c>
      <c r="E423" t="s">
        <v>79</v>
      </c>
      <c r="F423" t="s">
        <v>16</v>
      </c>
      <c r="G423" t="s">
        <v>230</v>
      </c>
      <c r="H423">
        <v>2</v>
      </c>
      <c r="I423">
        <v>457.02</v>
      </c>
      <c r="J423">
        <v>914.04</v>
      </c>
      <c r="K423" t="s">
        <v>713</v>
      </c>
      <c r="L423" t="s">
        <v>91</v>
      </c>
    </row>
    <row r="424" spans="1:12" x14ac:dyDescent="0.35">
      <c r="A424" t="s">
        <v>1234</v>
      </c>
      <c r="B424" t="s">
        <v>555</v>
      </c>
      <c r="C424" t="s">
        <v>556</v>
      </c>
      <c r="D424" t="s">
        <v>67</v>
      </c>
      <c r="E424" t="s">
        <v>68</v>
      </c>
      <c r="F424" t="s">
        <v>101</v>
      </c>
      <c r="G424" t="s">
        <v>165</v>
      </c>
      <c r="H424">
        <v>1</v>
      </c>
      <c r="I424">
        <v>1251.6600000000001</v>
      </c>
      <c r="J424">
        <v>1251.6600000000001</v>
      </c>
      <c r="K424" t="s">
        <v>1235</v>
      </c>
      <c r="L424" t="s">
        <v>91</v>
      </c>
    </row>
    <row r="425" spans="1:12" x14ac:dyDescent="0.35">
      <c r="A425" t="s">
        <v>1236</v>
      </c>
      <c r="B425" t="s">
        <v>180</v>
      </c>
      <c r="C425" t="s">
        <v>181</v>
      </c>
      <c r="D425" t="s">
        <v>67</v>
      </c>
      <c r="E425" t="s">
        <v>130</v>
      </c>
      <c r="F425" t="s">
        <v>50</v>
      </c>
      <c r="G425" t="s">
        <v>51</v>
      </c>
      <c r="H425">
        <v>1</v>
      </c>
      <c r="I425">
        <v>1170.75</v>
      </c>
      <c r="J425">
        <v>1170.75</v>
      </c>
      <c r="K425" t="s">
        <v>1237</v>
      </c>
      <c r="L425" t="s">
        <v>91</v>
      </c>
    </row>
    <row r="426" spans="1:12" x14ac:dyDescent="0.35">
      <c r="A426" t="s">
        <v>1238</v>
      </c>
      <c r="B426" t="s">
        <v>54</v>
      </c>
      <c r="C426" t="s">
        <v>55</v>
      </c>
      <c r="D426" t="s">
        <v>40</v>
      </c>
      <c r="E426" t="s">
        <v>41</v>
      </c>
      <c r="F426" t="s">
        <v>25</v>
      </c>
      <c r="G426" t="s">
        <v>74</v>
      </c>
      <c r="H426">
        <v>1</v>
      </c>
      <c r="I426">
        <v>1362.68</v>
      </c>
      <c r="J426">
        <v>1362.68</v>
      </c>
      <c r="K426" t="s">
        <v>1239</v>
      </c>
      <c r="L426" t="s">
        <v>28</v>
      </c>
    </row>
    <row r="427" spans="1:12" x14ac:dyDescent="0.35">
      <c r="A427" t="s">
        <v>1240</v>
      </c>
      <c r="B427" t="s">
        <v>947</v>
      </c>
      <c r="C427" t="s">
        <v>948</v>
      </c>
      <c r="D427" t="s">
        <v>23</v>
      </c>
      <c r="E427" t="s">
        <v>49</v>
      </c>
      <c r="F427" t="s">
        <v>50</v>
      </c>
      <c r="G427" t="s">
        <v>69</v>
      </c>
      <c r="H427">
        <v>3</v>
      </c>
      <c r="I427">
        <v>322.94</v>
      </c>
      <c r="J427">
        <v>968.82</v>
      </c>
      <c r="K427" t="s">
        <v>1241</v>
      </c>
      <c r="L427" t="s">
        <v>45</v>
      </c>
    </row>
    <row r="428" spans="1:12" x14ac:dyDescent="0.35">
      <c r="A428" t="s">
        <v>1242</v>
      </c>
      <c r="B428" t="s">
        <v>1131</v>
      </c>
      <c r="C428" t="s">
        <v>1132</v>
      </c>
      <c r="D428" t="s">
        <v>40</v>
      </c>
      <c r="E428" t="s">
        <v>41</v>
      </c>
      <c r="F428" t="s">
        <v>25</v>
      </c>
      <c r="G428" t="s">
        <v>26</v>
      </c>
      <c r="H428">
        <v>4</v>
      </c>
      <c r="I428">
        <v>1154.6400000000001</v>
      </c>
      <c r="J428">
        <v>4618.5600000000004</v>
      </c>
      <c r="K428" t="s">
        <v>390</v>
      </c>
      <c r="L428" t="s">
        <v>36</v>
      </c>
    </row>
    <row r="429" spans="1:12" x14ac:dyDescent="0.35">
      <c r="A429" t="s">
        <v>1243</v>
      </c>
      <c r="B429" t="s">
        <v>1196</v>
      </c>
      <c r="C429" t="s">
        <v>1197</v>
      </c>
      <c r="D429" t="s">
        <v>32</v>
      </c>
      <c r="E429" t="s">
        <v>203</v>
      </c>
      <c r="F429" t="s">
        <v>42</v>
      </c>
      <c r="G429" t="s">
        <v>225</v>
      </c>
      <c r="H429">
        <v>4</v>
      </c>
      <c r="I429">
        <v>527.41999999999996</v>
      </c>
      <c r="J429">
        <v>2109.6799999999998</v>
      </c>
      <c r="K429" t="s">
        <v>1244</v>
      </c>
      <c r="L429" t="s">
        <v>28</v>
      </c>
    </row>
    <row r="430" spans="1:12" x14ac:dyDescent="0.35">
      <c r="A430" t="s">
        <v>1245</v>
      </c>
      <c r="B430" t="s">
        <v>1246</v>
      </c>
      <c r="C430" t="s">
        <v>1247</v>
      </c>
      <c r="D430" t="s">
        <v>32</v>
      </c>
      <c r="E430" t="s">
        <v>33</v>
      </c>
      <c r="F430" t="s">
        <v>42</v>
      </c>
      <c r="G430" t="s">
        <v>89</v>
      </c>
      <c r="H430">
        <v>2</v>
      </c>
      <c r="I430">
        <v>818.96</v>
      </c>
      <c r="J430">
        <v>1637.92</v>
      </c>
      <c r="K430" t="s">
        <v>1248</v>
      </c>
      <c r="L430" t="s">
        <v>91</v>
      </c>
    </row>
    <row r="431" spans="1:12" x14ac:dyDescent="0.35">
      <c r="A431" t="s">
        <v>1249</v>
      </c>
      <c r="B431" t="s">
        <v>380</v>
      </c>
      <c r="C431" t="s">
        <v>381</v>
      </c>
      <c r="D431" t="s">
        <v>67</v>
      </c>
      <c r="E431" t="s">
        <v>115</v>
      </c>
      <c r="F431" t="s">
        <v>50</v>
      </c>
      <c r="G431" t="s">
        <v>56</v>
      </c>
      <c r="H431">
        <v>5</v>
      </c>
      <c r="I431">
        <v>1368.37</v>
      </c>
      <c r="J431">
        <v>6841.85</v>
      </c>
      <c r="K431" t="s">
        <v>398</v>
      </c>
      <c r="L431" t="s">
        <v>28</v>
      </c>
    </row>
    <row r="432" spans="1:12" x14ac:dyDescent="0.35">
      <c r="A432" t="s">
        <v>1250</v>
      </c>
      <c r="B432" t="s">
        <v>1046</v>
      </c>
      <c r="C432" t="s">
        <v>1047</v>
      </c>
      <c r="D432" t="s">
        <v>14</v>
      </c>
      <c r="E432" t="s">
        <v>266</v>
      </c>
      <c r="F432" t="s">
        <v>16</v>
      </c>
      <c r="G432" t="s">
        <v>177</v>
      </c>
      <c r="H432">
        <v>4</v>
      </c>
      <c r="I432">
        <v>902.58</v>
      </c>
      <c r="J432">
        <v>3610.32</v>
      </c>
      <c r="K432" t="s">
        <v>1251</v>
      </c>
      <c r="L432" t="s">
        <v>91</v>
      </c>
    </row>
    <row r="433" spans="1:12" x14ac:dyDescent="0.35">
      <c r="A433" t="s">
        <v>1252</v>
      </c>
      <c r="B433" t="s">
        <v>65</v>
      </c>
      <c r="C433" t="s">
        <v>66</v>
      </c>
      <c r="D433" t="s">
        <v>32</v>
      </c>
      <c r="E433" t="s">
        <v>61</v>
      </c>
      <c r="F433" t="s">
        <v>25</v>
      </c>
      <c r="G433" t="s">
        <v>34</v>
      </c>
      <c r="H433">
        <v>3</v>
      </c>
      <c r="I433">
        <v>1330.32</v>
      </c>
      <c r="J433">
        <v>3990.96</v>
      </c>
      <c r="K433" t="s">
        <v>488</v>
      </c>
      <c r="L433" t="s">
        <v>19</v>
      </c>
    </row>
    <row r="434" spans="1:12" x14ac:dyDescent="0.35">
      <c r="A434" t="s">
        <v>1253</v>
      </c>
      <c r="B434" t="s">
        <v>868</v>
      </c>
      <c r="C434" t="s">
        <v>869</v>
      </c>
      <c r="D434" t="s">
        <v>23</v>
      </c>
      <c r="E434" t="s">
        <v>24</v>
      </c>
      <c r="F434" t="s">
        <v>16</v>
      </c>
      <c r="G434" t="s">
        <v>17</v>
      </c>
      <c r="H434">
        <v>1</v>
      </c>
      <c r="I434">
        <v>689.87</v>
      </c>
      <c r="J434">
        <v>689.87</v>
      </c>
      <c r="K434" t="s">
        <v>1254</v>
      </c>
      <c r="L434" t="s">
        <v>45</v>
      </c>
    </row>
    <row r="435" spans="1:12" x14ac:dyDescent="0.35">
      <c r="A435" t="s">
        <v>1255</v>
      </c>
      <c r="B435" t="s">
        <v>925</v>
      </c>
      <c r="C435" t="s">
        <v>926</v>
      </c>
      <c r="D435" t="s">
        <v>14</v>
      </c>
      <c r="E435" t="s">
        <v>125</v>
      </c>
      <c r="F435" t="s">
        <v>16</v>
      </c>
      <c r="G435" t="s">
        <v>230</v>
      </c>
      <c r="H435">
        <v>1</v>
      </c>
      <c r="I435">
        <v>1172.26</v>
      </c>
      <c r="J435">
        <v>1172.26</v>
      </c>
      <c r="K435" t="s">
        <v>1256</v>
      </c>
      <c r="L435" t="s">
        <v>91</v>
      </c>
    </row>
    <row r="436" spans="1:12" x14ac:dyDescent="0.35">
      <c r="A436" t="s">
        <v>1257</v>
      </c>
      <c r="B436" t="s">
        <v>699</v>
      </c>
      <c r="C436" t="s">
        <v>700</v>
      </c>
      <c r="D436" t="s">
        <v>67</v>
      </c>
      <c r="E436" t="s">
        <v>68</v>
      </c>
      <c r="F436" t="s">
        <v>101</v>
      </c>
      <c r="G436" t="s">
        <v>237</v>
      </c>
      <c r="H436">
        <v>2</v>
      </c>
      <c r="I436">
        <v>1252.74</v>
      </c>
      <c r="J436">
        <v>2505.48</v>
      </c>
      <c r="K436" t="s">
        <v>1258</v>
      </c>
      <c r="L436" t="s">
        <v>36</v>
      </c>
    </row>
    <row r="437" spans="1:12" x14ac:dyDescent="0.35">
      <c r="A437" t="s">
        <v>1259</v>
      </c>
      <c r="B437" t="s">
        <v>1260</v>
      </c>
      <c r="C437" t="s">
        <v>1261</v>
      </c>
      <c r="D437" t="s">
        <v>23</v>
      </c>
      <c r="E437" t="s">
        <v>338</v>
      </c>
      <c r="F437" t="s">
        <v>25</v>
      </c>
      <c r="G437" t="s">
        <v>139</v>
      </c>
      <c r="H437">
        <v>4</v>
      </c>
      <c r="I437">
        <v>1023.49</v>
      </c>
      <c r="J437">
        <v>4093.96</v>
      </c>
      <c r="K437" t="s">
        <v>1262</v>
      </c>
      <c r="L437" t="s">
        <v>19</v>
      </c>
    </row>
    <row r="438" spans="1:12" x14ac:dyDescent="0.35">
      <c r="A438" t="s">
        <v>1263</v>
      </c>
      <c r="B438" t="s">
        <v>1246</v>
      </c>
      <c r="C438" t="s">
        <v>1247</v>
      </c>
      <c r="D438" t="s">
        <v>32</v>
      </c>
      <c r="E438" t="s">
        <v>203</v>
      </c>
      <c r="F438" t="s">
        <v>101</v>
      </c>
      <c r="G438" t="s">
        <v>649</v>
      </c>
      <c r="H438">
        <v>3</v>
      </c>
      <c r="I438">
        <v>831.47</v>
      </c>
      <c r="J438">
        <v>2494.41</v>
      </c>
      <c r="K438" t="s">
        <v>1264</v>
      </c>
      <c r="L438" t="s">
        <v>45</v>
      </c>
    </row>
    <row r="439" spans="1:12" x14ac:dyDescent="0.35">
      <c r="A439" t="s">
        <v>1265</v>
      </c>
      <c r="B439" t="s">
        <v>878</v>
      </c>
      <c r="C439" t="s">
        <v>879</v>
      </c>
      <c r="D439" t="s">
        <v>23</v>
      </c>
      <c r="E439" t="s">
        <v>49</v>
      </c>
      <c r="F439" t="s">
        <v>42</v>
      </c>
      <c r="G439" t="s">
        <v>43</v>
      </c>
      <c r="H439">
        <v>4</v>
      </c>
      <c r="I439">
        <v>703.49</v>
      </c>
      <c r="J439">
        <v>2813.96</v>
      </c>
      <c r="K439" t="s">
        <v>1266</v>
      </c>
      <c r="L439" t="s">
        <v>45</v>
      </c>
    </row>
    <row r="440" spans="1:12" x14ac:dyDescent="0.35">
      <c r="A440" t="s">
        <v>1267</v>
      </c>
      <c r="B440" t="s">
        <v>759</v>
      </c>
      <c r="C440" t="s">
        <v>760</v>
      </c>
      <c r="D440" t="s">
        <v>67</v>
      </c>
      <c r="E440" t="s">
        <v>68</v>
      </c>
      <c r="F440" t="s">
        <v>42</v>
      </c>
      <c r="G440" t="s">
        <v>225</v>
      </c>
      <c r="H440">
        <v>5</v>
      </c>
      <c r="I440">
        <v>629.58000000000004</v>
      </c>
      <c r="J440">
        <v>3147.9</v>
      </c>
      <c r="K440" t="s">
        <v>1268</v>
      </c>
      <c r="L440" t="s">
        <v>36</v>
      </c>
    </row>
    <row r="441" spans="1:12" x14ac:dyDescent="0.35">
      <c r="A441" t="s">
        <v>1269</v>
      </c>
      <c r="B441" t="s">
        <v>960</v>
      </c>
      <c r="C441" t="s">
        <v>961</v>
      </c>
      <c r="D441" t="s">
        <v>14</v>
      </c>
      <c r="E441" t="s">
        <v>125</v>
      </c>
      <c r="F441" t="s">
        <v>101</v>
      </c>
      <c r="G441" t="s">
        <v>102</v>
      </c>
      <c r="H441">
        <v>4</v>
      </c>
      <c r="I441">
        <v>613.36</v>
      </c>
      <c r="J441">
        <v>2453.44</v>
      </c>
      <c r="K441" t="s">
        <v>1270</v>
      </c>
      <c r="L441" t="s">
        <v>36</v>
      </c>
    </row>
    <row r="442" spans="1:12" x14ac:dyDescent="0.35">
      <c r="A442" t="s">
        <v>1271</v>
      </c>
      <c r="B442" t="s">
        <v>622</v>
      </c>
      <c r="C442" t="s">
        <v>623</v>
      </c>
      <c r="D442" t="s">
        <v>14</v>
      </c>
      <c r="E442" t="s">
        <v>15</v>
      </c>
      <c r="F442" t="s">
        <v>42</v>
      </c>
      <c r="G442" t="s">
        <v>225</v>
      </c>
      <c r="H442">
        <v>1</v>
      </c>
      <c r="I442">
        <v>493.22</v>
      </c>
      <c r="J442">
        <v>493.22</v>
      </c>
      <c r="K442" t="s">
        <v>577</v>
      </c>
      <c r="L442" t="s">
        <v>19</v>
      </c>
    </row>
    <row r="443" spans="1:12" x14ac:dyDescent="0.35">
      <c r="A443" t="s">
        <v>1272</v>
      </c>
      <c r="B443" t="s">
        <v>201</v>
      </c>
      <c r="C443" t="s">
        <v>202</v>
      </c>
      <c r="D443" t="s">
        <v>23</v>
      </c>
      <c r="E443" t="s">
        <v>24</v>
      </c>
      <c r="F443" t="s">
        <v>16</v>
      </c>
      <c r="G443" t="s">
        <v>177</v>
      </c>
      <c r="H443">
        <v>5</v>
      </c>
      <c r="I443">
        <v>211.98</v>
      </c>
      <c r="J443">
        <v>1059.9000000000001</v>
      </c>
      <c r="K443" t="s">
        <v>929</v>
      </c>
      <c r="L443" t="s">
        <v>19</v>
      </c>
    </row>
    <row r="444" spans="1:12" x14ac:dyDescent="0.35">
      <c r="A444" t="s">
        <v>1273</v>
      </c>
      <c r="B444" t="s">
        <v>1046</v>
      </c>
      <c r="C444" t="s">
        <v>1047</v>
      </c>
      <c r="D444" t="s">
        <v>67</v>
      </c>
      <c r="E444" t="s">
        <v>115</v>
      </c>
      <c r="F444" t="s">
        <v>50</v>
      </c>
      <c r="G444" t="s">
        <v>51</v>
      </c>
      <c r="H444">
        <v>1</v>
      </c>
      <c r="I444">
        <v>852.86</v>
      </c>
      <c r="J444">
        <v>852.86</v>
      </c>
      <c r="K444" t="s">
        <v>85</v>
      </c>
      <c r="L444" t="s">
        <v>91</v>
      </c>
    </row>
    <row r="445" spans="1:12" x14ac:dyDescent="0.35">
      <c r="A445" t="s">
        <v>1274</v>
      </c>
      <c r="B445" t="s">
        <v>1046</v>
      </c>
      <c r="C445" t="s">
        <v>1047</v>
      </c>
      <c r="D445" t="s">
        <v>67</v>
      </c>
      <c r="E445" t="s">
        <v>115</v>
      </c>
      <c r="F445" t="s">
        <v>16</v>
      </c>
      <c r="G445" t="s">
        <v>148</v>
      </c>
      <c r="H445">
        <v>4</v>
      </c>
      <c r="I445">
        <v>589.12</v>
      </c>
      <c r="J445">
        <v>2356.48</v>
      </c>
      <c r="K445" t="s">
        <v>305</v>
      </c>
      <c r="L445" t="s">
        <v>19</v>
      </c>
    </row>
    <row r="446" spans="1:12" x14ac:dyDescent="0.35">
      <c r="A446" t="s">
        <v>1275</v>
      </c>
      <c r="B446" t="s">
        <v>359</v>
      </c>
      <c r="C446" t="s">
        <v>360</v>
      </c>
      <c r="D446" t="s">
        <v>14</v>
      </c>
      <c r="E446" t="s">
        <v>100</v>
      </c>
      <c r="F446" t="s">
        <v>50</v>
      </c>
      <c r="G446" t="s">
        <v>216</v>
      </c>
      <c r="H446">
        <v>4</v>
      </c>
      <c r="I446">
        <v>230.21</v>
      </c>
      <c r="J446">
        <v>920.84</v>
      </c>
      <c r="K446" t="s">
        <v>1276</v>
      </c>
      <c r="L446" t="s">
        <v>19</v>
      </c>
    </row>
    <row r="447" spans="1:12" x14ac:dyDescent="0.35">
      <c r="A447" t="s">
        <v>1277</v>
      </c>
      <c r="B447" t="s">
        <v>1278</v>
      </c>
      <c r="C447" t="s">
        <v>1279</v>
      </c>
      <c r="D447" t="s">
        <v>14</v>
      </c>
      <c r="E447" t="s">
        <v>15</v>
      </c>
      <c r="F447" t="s">
        <v>16</v>
      </c>
      <c r="G447" t="s">
        <v>182</v>
      </c>
      <c r="H447">
        <v>2</v>
      </c>
      <c r="I447">
        <v>1101.01</v>
      </c>
      <c r="J447">
        <v>2202.02</v>
      </c>
      <c r="K447" t="s">
        <v>279</v>
      </c>
      <c r="L447" t="s">
        <v>91</v>
      </c>
    </row>
    <row r="448" spans="1:12" x14ac:dyDescent="0.35">
      <c r="A448" t="s">
        <v>1280</v>
      </c>
      <c r="B448" t="s">
        <v>1281</v>
      </c>
      <c r="C448" t="s">
        <v>1282</v>
      </c>
      <c r="D448" t="s">
        <v>32</v>
      </c>
      <c r="E448" t="s">
        <v>203</v>
      </c>
      <c r="F448" t="s">
        <v>50</v>
      </c>
      <c r="G448" t="s">
        <v>216</v>
      </c>
      <c r="H448">
        <v>3</v>
      </c>
      <c r="I448">
        <v>1062.81</v>
      </c>
      <c r="J448">
        <v>3188.43</v>
      </c>
      <c r="K448" t="s">
        <v>807</v>
      </c>
      <c r="L448" t="s">
        <v>91</v>
      </c>
    </row>
    <row r="449" spans="1:12" x14ac:dyDescent="0.35">
      <c r="A449" t="s">
        <v>1283</v>
      </c>
      <c r="B449" t="s">
        <v>1018</v>
      </c>
      <c r="C449" t="s">
        <v>1019</v>
      </c>
      <c r="D449" t="s">
        <v>23</v>
      </c>
      <c r="E449" t="s">
        <v>49</v>
      </c>
      <c r="F449" t="s">
        <v>42</v>
      </c>
      <c r="G449" t="s">
        <v>43</v>
      </c>
      <c r="H449">
        <v>3</v>
      </c>
      <c r="I449">
        <v>927.77</v>
      </c>
      <c r="J449">
        <v>2783.31</v>
      </c>
      <c r="K449" t="s">
        <v>267</v>
      </c>
      <c r="L449" t="s">
        <v>28</v>
      </c>
    </row>
    <row r="450" spans="1:12" x14ac:dyDescent="0.35">
      <c r="A450" t="s">
        <v>1284</v>
      </c>
      <c r="B450" t="s">
        <v>1285</v>
      </c>
      <c r="C450" t="s">
        <v>1286</v>
      </c>
      <c r="D450" t="s">
        <v>32</v>
      </c>
      <c r="E450" t="s">
        <v>33</v>
      </c>
      <c r="F450" t="s">
        <v>25</v>
      </c>
      <c r="G450" t="s">
        <v>74</v>
      </c>
      <c r="H450">
        <v>1</v>
      </c>
      <c r="I450">
        <v>806.22</v>
      </c>
      <c r="J450">
        <v>806.22</v>
      </c>
      <c r="K450" t="s">
        <v>1287</v>
      </c>
      <c r="L450" t="s">
        <v>28</v>
      </c>
    </row>
    <row r="451" spans="1:12" x14ac:dyDescent="0.35">
      <c r="A451" t="s">
        <v>1288</v>
      </c>
      <c r="B451" t="s">
        <v>396</v>
      </c>
      <c r="C451" t="s">
        <v>397</v>
      </c>
      <c r="D451" t="s">
        <v>14</v>
      </c>
      <c r="E451" t="s">
        <v>15</v>
      </c>
      <c r="F451" t="s">
        <v>25</v>
      </c>
      <c r="G451" t="s">
        <v>139</v>
      </c>
      <c r="H451">
        <v>3</v>
      </c>
      <c r="I451">
        <v>340.08</v>
      </c>
      <c r="J451">
        <v>1020.24</v>
      </c>
      <c r="K451" t="s">
        <v>1289</v>
      </c>
      <c r="L451" t="s">
        <v>28</v>
      </c>
    </row>
    <row r="452" spans="1:12" x14ac:dyDescent="0.35">
      <c r="A452" t="s">
        <v>1290</v>
      </c>
      <c r="B452" t="s">
        <v>555</v>
      </c>
      <c r="C452" t="s">
        <v>556</v>
      </c>
      <c r="D452" t="s">
        <v>67</v>
      </c>
      <c r="E452" t="s">
        <v>130</v>
      </c>
      <c r="F452" t="s">
        <v>101</v>
      </c>
      <c r="G452" t="s">
        <v>237</v>
      </c>
      <c r="H452">
        <v>3</v>
      </c>
      <c r="I452">
        <v>1104.6300000000001</v>
      </c>
      <c r="J452">
        <v>3313.89</v>
      </c>
      <c r="K452" t="s">
        <v>1291</v>
      </c>
      <c r="L452" t="s">
        <v>36</v>
      </c>
    </row>
    <row r="453" spans="1:12" x14ac:dyDescent="0.35">
      <c r="A453" t="s">
        <v>1292</v>
      </c>
      <c r="B453" t="s">
        <v>536</v>
      </c>
      <c r="C453" t="s">
        <v>537</v>
      </c>
      <c r="D453" t="s">
        <v>14</v>
      </c>
      <c r="E453" t="s">
        <v>95</v>
      </c>
      <c r="F453" t="s">
        <v>101</v>
      </c>
      <c r="G453" t="s">
        <v>373</v>
      </c>
      <c r="H453">
        <v>1</v>
      </c>
      <c r="I453">
        <v>230.59</v>
      </c>
      <c r="J453">
        <v>230.59</v>
      </c>
      <c r="K453" t="s">
        <v>1293</v>
      </c>
      <c r="L453" t="s">
        <v>36</v>
      </c>
    </row>
    <row r="454" spans="1:12" x14ac:dyDescent="0.35">
      <c r="A454" t="s">
        <v>1294</v>
      </c>
      <c r="B454" t="s">
        <v>341</v>
      </c>
      <c r="C454" t="s">
        <v>342</v>
      </c>
      <c r="D454" t="s">
        <v>40</v>
      </c>
      <c r="E454" t="s">
        <v>120</v>
      </c>
      <c r="F454" t="s">
        <v>16</v>
      </c>
      <c r="G454" t="s">
        <v>230</v>
      </c>
      <c r="H454">
        <v>5</v>
      </c>
      <c r="I454">
        <v>842.88</v>
      </c>
      <c r="J454">
        <v>4214.3999999999996</v>
      </c>
      <c r="K454" t="s">
        <v>1241</v>
      </c>
      <c r="L454" t="s">
        <v>91</v>
      </c>
    </row>
    <row r="455" spans="1:12" x14ac:dyDescent="0.35">
      <c r="A455" t="s">
        <v>1295</v>
      </c>
      <c r="B455" t="s">
        <v>579</v>
      </c>
      <c r="C455" t="s">
        <v>580</v>
      </c>
      <c r="D455" t="s">
        <v>23</v>
      </c>
      <c r="E455" t="s">
        <v>24</v>
      </c>
      <c r="F455" t="s">
        <v>50</v>
      </c>
      <c r="G455" t="s">
        <v>69</v>
      </c>
      <c r="H455">
        <v>3</v>
      </c>
      <c r="I455">
        <v>684.96</v>
      </c>
      <c r="J455">
        <v>2054.88</v>
      </c>
      <c r="K455" t="s">
        <v>153</v>
      </c>
      <c r="L455" t="s">
        <v>91</v>
      </c>
    </row>
    <row r="456" spans="1:12" x14ac:dyDescent="0.35">
      <c r="A456" t="s">
        <v>1296</v>
      </c>
      <c r="B456" t="s">
        <v>1179</v>
      </c>
      <c r="C456" t="s">
        <v>1180</v>
      </c>
      <c r="D456" t="s">
        <v>14</v>
      </c>
      <c r="E456" t="s">
        <v>15</v>
      </c>
      <c r="F456" t="s">
        <v>25</v>
      </c>
      <c r="G456" t="s">
        <v>26</v>
      </c>
      <c r="H456">
        <v>2</v>
      </c>
      <c r="I456">
        <v>360.66</v>
      </c>
      <c r="J456">
        <v>721.32</v>
      </c>
      <c r="K456" t="s">
        <v>1297</v>
      </c>
      <c r="L456" t="s">
        <v>36</v>
      </c>
    </row>
    <row r="457" spans="1:12" x14ac:dyDescent="0.35">
      <c r="A457" t="s">
        <v>1298</v>
      </c>
      <c r="B457" t="s">
        <v>133</v>
      </c>
      <c r="C457" t="s">
        <v>134</v>
      </c>
      <c r="D457" t="s">
        <v>67</v>
      </c>
      <c r="E457" t="s">
        <v>115</v>
      </c>
      <c r="F457" t="s">
        <v>50</v>
      </c>
      <c r="G457" t="s">
        <v>216</v>
      </c>
      <c r="H457">
        <v>4</v>
      </c>
      <c r="I457">
        <v>59.44</v>
      </c>
      <c r="J457">
        <v>237.76</v>
      </c>
      <c r="K457" t="s">
        <v>1299</v>
      </c>
      <c r="L457" t="s">
        <v>28</v>
      </c>
    </row>
    <row r="458" spans="1:12" x14ac:dyDescent="0.35">
      <c r="A458" t="s">
        <v>1300</v>
      </c>
      <c r="B458" t="s">
        <v>1301</v>
      </c>
      <c r="C458" t="s">
        <v>1302</v>
      </c>
      <c r="D458" t="s">
        <v>40</v>
      </c>
      <c r="E458" t="s">
        <v>41</v>
      </c>
      <c r="F458" t="s">
        <v>50</v>
      </c>
      <c r="G458" t="s">
        <v>51</v>
      </c>
      <c r="H458">
        <v>5</v>
      </c>
      <c r="I458">
        <v>1448.05</v>
      </c>
      <c r="J458">
        <v>7240.25</v>
      </c>
      <c r="K458" t="s">
        <v>271</v>
      </c>
      <c r="L458" t="s">
        <v>19</v>
      </c>
    </row>
    <row r="459" spans="1:12" x14ac:dyDescent="0.35">
      <c r="A459" t="s">
        <v>1303</v>
      </c>
      <c r="B459" t="s">
        <v>481</v>
      </c>
      <c r="C459" t="s">
        <v>482</v>
      </c>
      <c r="D459" t="s">
        <v>23</v>
      </c>
      <c r="E459" t="s">
        <v>338</v>
      </c>
      <c r="F459" t="s">
        <v>42</v>
      </c>
      <c r="G459" t="s">
        <v>89</v>
      </c>
      <c r="H459">
        <v>4</v>
      </c>
      <c r="I459">
        <v>1398.41</v>
      </c>
      <c r="J459">
        <v>5593.64</v>
      </c>
      <c r="K459" t="s">
        <v>191</v>
      </c>
      <c r="L459" t="s">
        <v>36</v>
      </c>
    </row>
    <row r="460" spans="1:12" x14ac:dyDescent="0.35">
      <c r="A460" t="s">
        <v>1304</v>
      </c>
      <c r="B460" t="s">
        <v>109</v>
      </c>
      <c r="C460" t="s">
        <v>110</v>
      </c>
      <c r="D460" t="s">
        <v>14</v>
      </c>
      <c r="E460" t="s">
        <v>95</v>
      </c>
      <c r="F460" t="s">
        <v>25</v>
      </c>
      <c r="G460" t="s">
        <v>26</v>
      </c>
      <c r="H460">
        <v>5</v>
      </c>
      <c r="I460">
        <v>1051.1600000000001</v>
      </c>
      <c r="J460">
        <v>5255.8</v>
      </c>
      <c r="K460" t="s">
        <v>1305</v>
      </c>
      <c r="L460" t="s">
        <v>19</v>
      </c>
    </row>
    <row r="461" spans="1:12" x14ac:dyDescent="0.35">
      <c r="A461" t="s">
        <v>1306</v>
      </c>
      <c r="B461" t="s">
        <v>1307</v>
      </c>
      <c r="C461" t="s">
        <v>1308</v>
      </c>
      <c r="D461" t="s">
        <v>23</v>
      </c>
      <c r="E461" t="s">
        <v>49</v>
      </c>
      <c r="F461" t="s">
        <v>101</v>
      </c>
      <c r="G461" t="s">
        <v>373</v>
      </c>
      <c r="H461">
        <v>5</v>
      </c>
      <c r="I461">
        <v>874.1</v>
      </c>
      <c r="J461">
        <v>4370.5</v>
      </c>
      <c r="K461" t="s">
        <v>1309</v>
      </c>
      <c r="L461" t="s">
        <v>28</v>
      </c>
    </row>
    <row r="462" spans="1:12" x14ac:dyDescent="0.35">
      <c r="A462" t="s">
        <v>1310</v>
      </c>
      <c r="B462" t="s">
        <v>1066</v>
      </c>
      <c r="C462" t="s">
        <v>1067</v>
      </c>
      <c r="D462" t="s">
        <v>40</v>
      </c>
      <c r="E462" t="s">
        <v>120</v>
      </c>
      <c r="F462" t="s">
        <v>16</v>
      </c>
      <c r="G462" t="s">
        <v>148</v>
      </c>
      <c r="H462">
        <v>1</v>
      </c>
      <c r="I462">
        <v>1370.41</v>
      </c>
      <c r="J462">
        <v>1370.41</v>
      </c>
      <c r="K462" t="s">
        <v>1230</v>
      </c>
      <c r="L462" t="s">
        <v>45</v>
      </c>
    </row>
    <row r="463" spans="1:12" x14ac:dyDescent="0.35">
      <c r="A463" t="s">
        <v>1311</v>
      </c>
      <c r="B463" t="s">
        <v>1312</v>
      </c>
      <c r="C463" t="s">
        <v>1313</v>
      </c>
      <c r="D463" t="s">
        <v>32</v>
      </c>
      <c r="E463" t="s">
        <v>61</v>
      </c>
      <c r="F463" t="s">
        <v>50</v>
      </c>
      <c r="G463" t="s">
        <v>170</v>
      </c>
      <c r="H463">
        <v>5</v>
      </c>
      <c r="I463">
        <v>594.96</v>
      </c>
      <c r="J463">
        <v>2974.8</v>
      </c>
      <c r="K463" t="s">
        <v>1314</v>
      </c>
      <c r="L463" t="s">
        <v>19</v>
      </c>
    </row>
    <row r="464" spans="1:12" x14ac:dyDescent="0.35">
      <c r="A464" t="s">
        <v>1315</v>
      </c>
      <c r="B464" t="s">
        <v>325</v>
      </c>
      <c r="C464" t="s">
        <v>326</v>
      </c>
      <c r="D464" t="s">
        <v>32</v>
      </c>
      <c r="E464" t="s">
        <v>203</v>
      </c>
      <c r="F464" t="s">
        <v>25</v>
      </c>
      <c r="G464" t="s">
        <v>26</v>
      </c>
      <c r="H464">
        <v>4</v>
      </c>
      <c r="I464">
        <v>642.53</v>
      </c>
      <c r="J464">
        <v>2570.12</v>
      </c>
      <c r="K464" t="s">
        <v>1316</v>
      </c>
      <c r="L464" t="s">
        <v>45</v>
      </c>
    </row>
    <row r="465" spans="1:12" x14ac:dyDescent="0.35">
      <c r="A465" t="s">
        <v>1317</v>
      </c>
      <c r="B465" t="s">
        <v>518</v>
      </c>
      <c r="C465" t="s">
        <v>519</v>
      </c>
      <c r="D465" t="s">
        <v>32</v>
      </c>
      <c r="E465" t="s">
        <v>61</v>
      </c>
      <c r="F465" t="s">
        <v>101</v>
      </c>
      <c r="G465" t="s">
        <v>373</v>
      </c>
      <c r="H465">
        <v>4</v>
      </c>
      <c r="I465">
        <v>1454.59</v>
      </c>
      <c r="J465">
        <v>5818.36</v>
      </c>
      <c r="K465" t="s">
        <v>183</v>
      </c>
      <c r="L465" t="s">
        <v>91</v>
      </c>
    </row>
    <row r="466" spans="1:12" x14ac:dyDescent="0.35">
      <c r="A466" t="s">
        <v>1318</v>
      </c>
      <c r="B466" t="s">
        <v>842</v>
      </c>
      <c r="C466" t="s">
        <v>843</v>
      </c>
      <c r="D466" t="s">
        <v>32</v>
      </c>
      <c r="E466" t="s">
        <v>33</v>
      </c>
      <c r="F466" t="s">
        <v>16</v>
      </c>
      <c r="G466" t="s">
        <v>182</v>
      </c>
      <c r="H466">
        <v>2</v>
      </c>
      <c r="I466">
        <v>479.98</v>
      </c>
      <c r="J466">
        <v>959.96</v>
      </c>
      <c r="K466" t="s">
        <v>1319</v>
      </c>
      <c r="L466" t="s">
        <v>28</v>
      </c>
    </row>
    <row r="467" spans="1:12" x14ac:dyDescent="0.35">
      <c r="A467" t="s">
        <v>1320</v>
      </c>
      <c r="B467" t="s">
        <v>681</v>
      </c>
      <c r="C467" t="s">
        <v>682</v>
      </c>
      <c r="D467" t="s">
        <v>67</v>
      </c>
      <c r="E467" t="s">
        <v>130</v>
      </c>
      <c r="F467" t="s">
        <v>101</v>
      </c>
      <c r="G467" t="s">
        <v>102</v>
      </c>
      <c r="H467">
        <v>3</v>
      </c>
      <c r="I467">
        <v>712.54</v>
      </c>
      <c r="J467">
        <v>2137.62</v>
      </c>
      <c r="K467" t="s">
        <v>1321</v>
      </c>
      <c r="L467" t="s">
        <v>19</v>
      </c>
    </row>
    <row r="468" spans="1:12" x14ac:dyDescent="0.35">
      <c r="A468" t="s">
        <v>1322</v>
      </c>
      <c r="B468" t="s">
        <v>1079</v>
      </c>
      <c r="C468" t="s">
        <v>1080</v>
      </c>
      <c r="D468" t="s">
        <v>32</v>
      </c>
      <c r="E468" t="s">
        <v>61</v>
      </c>
      <c r="F468" t="s">
        <v>16</v>
      </c>
      <c r="G468" t="s">
        <v>148</v>
      </c>
      <c r="H468">
        <v>1</v>
      </c>
      <c r="I468">
        <v>1064.79</v>
      </c>
      <c r="J468">
        <v>1064.79</v>
      </c>
      <c r="K468" t="s">
        <v>888</v>
      </c>
      <c r="L468" t="s">
        <v>91</v>
      </c>
    </row>
    <row r="469" spans="1:12" x14ac:dyDescent="0.35">
      <c r="A469" t="s">
        <v>1323</v>
      </c>
      <c r="B469" t="s">
        <v>223</v>
      </c>
      <c r="C469" t="s">
        <v>224</v>
      </c>
      <c r="D469" t="s">
        <v>40</v>
      </c>
      <c r="E469" t="s">
        <v>79</v>
      </c>
      <c r="F469" t="s">
        <v>25</v>
      </c>
      <c r="G469" t="s">
        <v>62</v>
      </c>
      <c r="H469">
        <v>3</v>
      </c>
      <c r="I469">
        <v>1084.8599999999999</v>
      </c>
      <c r="J469">
        <v>3254.58</v>
      </c>
      <c r="K469" t="s">
        <v>1324</v>
      </c>
      <c r="L469" t="s">
        <v>19</v>
      </c>
    </row>
    <row r="470" spans="1:12" x14ac:dyDescent="0.35">
      <c r="A470" t="s">
        <v>1325</v>
      </c>
      <c r="B470" t="s">
        <v>878</v>
      </c>
      <c r="C470" t="s">
        <v>879</v>
      </c>
      <c r="D470" t="s">
        <v>40</v>
      </c>
      <c r="E470" t="s">
        <v>41</v>
      </c>
      <c r="F470" t="s">
        <v>25</v>
      </c>
      <c r="G470" t="s">
        <v>74</v>
      </c>
      <c r="H470">
        <v>5</v>
      </c>
      <c r="I470">
        <v>1318.82</v>
      </c>
      <c r="J470">
        <v>6594.1</v>
      </c>
      <c r="K470" t="s">
        <v>1217</v>
      </c>
      <c r="L470" t="s">
        <v>45</v>
      </c>
    </row>
    <row r="471" spans="1:12" x14ac:dyDescent="0.35">
      <c r="A471" t="s">
        <v>1326</v>
      </c>
      <c r="B471" t="s">
        <v>658</v>
      </c>
      <c r="C471" t="s">
        <v>659</v>
      </c>
      <c r="D471" t="s">
        <v>32</v>
      </c>
      <c r="E471" t="s">
        <v>203</v>
      </c>
      <c r="F471" t="s">
        <v>42</v>
      </c>
      <c r="G471" t="s">
        <v>225</v>
      </c>
      <c r="H471">
        <v>1</v>
      </c>
      <c r="I471">
        <v>1162.02</v>
      </c>
      <c r="J471">
        <v>1162.02</v>
      </c>
      <c r="K471" t="s">
        <v>1327</v>
      </c>
      <c r="L471" t="s">
        <v>19</v>
      </c>
    </row>
    <row r="472" spans="1:12" x14ac:dyDescent="0.35">
      <c r="A472" t="s">
        <v>1328</v>
      </c>
      <c r="B472" t="s">
        <v>1226</v>
      </c>
      <c r="C472" t="s">
        <v>1227</v>
      </c>
      <c r="D472" t="s">
        <v>67</v>
      </c>
      <c r="E472" t="s">
        <v>115</v>
      </c>
      <c r="F472" t="s">
        <v>16</v>
      </c>
      <c r="G472" t="s">
        <v>230</v>
      </c>
      <c r="H472">
        <v>5</v>
      </c>
      <c r="I472">
        <v>718.59</v>
      </c>
      <c r="J472">
        <v>3592.95</v>
      </c>
      <c r="K472" t="s">
        <v>111</v>
      </c>
      <c r="L472" t="s">
        <v>45</v>
      </c>
    </row>
    <row r="473" spans="1:12" x14ac:dyDescent="0.35">
      <c r="A473" t="s">
        <v>1329</v>
      </c>
      <c r="B473" t="s">
        <v>321</v>
      </c>
      <c r="C473" t="s">
        <v>322</v>
      </c>
      <c r="D473" t="s">
        <v>67</v>
      </c>
      <c r="E473" t="s">
        <v>68</v>
      </c>
      <c r="F473" t="s">
        <v>101</v>
      </c>
      <c r="G473" t="s">
        <v>165</v>
      </c>
      <c r="H473">
        <v>2</v>
      </c>
      <c r="I473">
        <v>1497.26</v>
      </c>
      <c r="J473">
        <v>2994.52</v>
      </c>
      <c r="K473" t="s">
        <v>1214</v>
      </c>
      <c r="L473" t="s">
        <v>36</v>
      </c>
    </row>
    <row r="474" spans="1:12" x14ac:dyDescent="0.35">
      <c r="A474" t="s">
        <v>1330</v>
      </c>
      <c r="B474" t="s">
        <v>235</v>
      </c>
      <c r="C474" t="s">
        <v>236</v>
      </c>
      <c r="D474" t="s">
        <v>32</v>
      </c>
      <c r="E474" t="s">
        <v>33</v>
      </c>
      <c r="F474" t="s">
        <v>16</v>
      </c>
      <c r="G474" t="s">
        <v>230</v>
      </c>
      <c r="H474">
        <v>4</v>
      </c>
      <c r="I474">
        <v>765.93</v>
      </c>
      <c r="J474">
        <v>3063.72</v>
      </c>
      <c r="K474" t="s">
        <v>1230</v>
      </c>
      <c r="L474" t="s">
        <v>91</v>
      </c>
    </row>
    <row r="475" spans="1:12" x14ac:dyDescent="0.35">
      <c r="A475" t="s">
        <v>1331</v>
      </c>
      <c r="B475" t="s">
        <v>146</v>
      </c>
      <c r="C475" t="s">
        <v>147</v>
      </c>
      <c r="D475" t="s">
        <v>67</v>
      </c>
      <c r="E475" t="s">
        <v>68</v>
      </c>
      <c r="F475" t="s">
        <v>50</v>
      </c>
      <c r="G475" t="s">
        <v>170</v>
      </c>
      <c r="H475">
        <v>5</v>
      </c>
      <c r="I475">
        <v>153</v>
      </c>
      <c r="J475">
        <v>765</v>
      </c>
      <c r="K475" t="s">
        <v>1332</v>
      </c>
      <c r="L475" t="s">
        <v>91</v>
      </c>
    </row>
    <row r="476" spans="1:12" x14ac:dyDescent="0.35">
      <c r="A476" t="s">
        <v>1333</v>
      </c>
      <c r="B476" t="s">
        <v>1260</v>
      </c>
      <c r="C476" t="s">
        <v>1261</v>
      </c>
      <c r="D476" t="s">
        <v>32</v>
      </c>
      <c r="E476" t="s">
        <v>203</v>
      </c>
      <c r="F476" t="s">
        <v>16</v>
      </c>
      <c r="G476" t="s">
        <v>230</v>
      </c>
      <c r="H476">
        <v>3</v>
      </c>
      <c r="I476">
        <v>149.56</v>
      </c>
      <c r="J476">
        <v>448.68</v>
      </c>
      <c r="K476" t="s">
        <v>1334</v>
      </c>
      <c r="L476" t="s">
        <v>28</v>
      </c>
    </row>
    <row r="477" spans="1:12" x14ac:dyDescent="0.35">
      <c r="A477" t="s">
        <v>1335</v>
      </c>
      <c r="B477" t="s">
        <v>228</v>
      </c>
      <c r="C477" t="s">
        <v>229</v>
      </c>
      <c r="D477" t="s">
        <v>23</v>
      </c>
      <c r="E477" t="s">
        <v>338</v>
      </c>
      <c r="F477" t="s">
        <v>25</v>
      </c>
      <c r="G477" t="s">
        <v>74</v>
      </c>
      <c r="H477">
        <v>1</v>
      </c>
      <c r="I477">
        <v>1090.1400000000001</v>
      </c>
      <c r="J477">
        <v>1090.1400000000001</v>
      </c>
      <c r="K477" t="s">
        <v>1336</v>
      </c>
      <c r="L477" t="s">
        <v>28</v>
      </c>
    </row>
    <row r="478" spans="1:12" x14ac:dyDescent="0.35">
      <c r="A478" t="s">
        <v>1337</v>
      </c>
      <c r="B478" t="s">
        <v>901</v>
      </c>
      <c r="C478" t="s">
        <v>902</v>
      </c>
      <c r="D478" t="s">
        <v>14</v>
      </c>
      <c r="E478" t="s">
        <v>100</v>
      </c>
      <c r="F478" t="s">
        <v>25</v>
      </c>
      <c r="G478" t="s">
        <v>26</v>
      </c>
      <c r="H478">
        <v>4</v>
      </c>
      <c r="I478">
        <v>363.65</v>
      </c>
      <c r="J478">
        <v>1454.6</v>
      </c>
      <c r="K478" t="s">
        <v>1338</v>
      </c>
      <c r="L478" t="s">
        <v>19</v>
      </c>
    </row>
    <row r="479" spans="1:12" x14ac:dyDescent="0.35">
      <c r="A479" t="s">
        <v>1339</v>
      </c>
      <c r="B479" t="s">
        <v>1340</v>
      </c>
      <c r="C479" t="s">
        <v>1341</v>
      </c>
      <c r="D479" t="s">
        <v>32</v>
      </c>
      <c r="E479" t="s">
        <v>33</v>
      </c>
      <c r="F479" t="s">
        <v>50</v>
      </c>
      <c r="G479" t="s">
        <v>170</v>
      </c>
      <c r="H479">
        <v>2</v>
      </c>
      <c r="I479">
        <v>100.76</v>
      </c>
      <c r="J479">
        <v>201.52</v>
      </c>
      <c r="K479" t="s">
        <v>327</v>
      </c>
      <c r="L479" t="s">
        <v>19</v>
      </c>
    </row>
    <row r="480" spans="1:12" x14ac:dyDescent="0.35">
      <c r="A480" t="s">
        <v>1342</v>
      </c>
      <c r="B480" t="s">
        <v>206</v>
      </c>
      <c r="C480" t="s">
        <v>207</v>
      </c>
      <c r="D480" t="s">
        <v>32</v>
      </c>
      <c r="E480" t="s">
        <v>61</v>
      </c>
      <c r="F480" t="s">
        <v>101</v>
      </c>
      <c r="G480" t="s">
        <v>165</v>
      </c>
      <c r="H480">
        <v>1</v>
      </c>
      <c r="I480">
        <v>768.04</v>
      </c>
      <c r="J480">
        <v>768.04</v>
      </c>
      <c r="K480" t="s">
        <v>343</v>
      </c>
      <c r="L480" t="s">
        <v>91</v>
      </c>
    </row>
    <row r="481" spans="1:12" x14ac:dyDescent="0.35">
      <c r="A481" t="s">
        <v>1343</v>
      </c>
      <c r="B481" t="s">
        <v>755</v>
      </c>
      <c r="C481" t="s">
        <v>756</v>
      </c>
      <c r="D481" t="s">
        <v>67</v>
      </c>
      <c r="E481" t="s">
        <v>68</v>
      </c>
      <c r="F481" t="s">
        <v>101</v>
      </c>
      <c r="G481" t="s">
        <v>165</v>
      </c>
      <c r="H481">
        <v>1</v>
      </c>
      <c r="I481">
        <v>1491.87</v>
      </c>
      <c r="J481">
        <v>1491.87</v>
      </c>
      <c r="K481" t="s">
        <v>1344</v>
      </c>
      <c r="L481" t="s">
        <v>36</v>
      </c>
    </row>
    <row r="482" spans="1:12" x14ac:dyDescent="0.35">
      <c r="A482" t="s">
        <v>1345</v>
      </c>
      <c r="B482" t="s">
        <v>1346</v>
      </c>
      <c r="C482" t="s">
        <v>1347</v>
      </c>
      <c r="D482" t="s">
        <v>14</v>
      </c>
      <c r="E482" t="s">
        <v>95</v>
      </c>
      <c r="F482" t="s">
        <v>42</v>
      </c>
      <c r="G482" t="s">
        <v>170</v>
      </c>
      <c r="H482">
        <v>2</v>
      </c>
      <c r="I482">
        <v>137.02000000000001</v>
      </c>
      <c r="J482">
        <v>274.04000000000002</v>
      </c>
      <c r="K482" t="s">
        <v>1348</v>
      </c>
      <c r="L482" t="s">
        <v>19</v>
      </c>
    </row>
    <row r="483" spans="1:12" x14ac:dyDescent="0.35">
      <c r="A483" t="s">
        <v>1349</v>
      </c>
      <c r="B483" t="s">
        <v>380</v>
      </c>
      <c r="C483" t="s">
        <v>381</v>
      </c>
      <c r="D483" t="s">
        <v>14</v>
      </c>
      <c r="E483" t="s">
        <v>15</v>
      </c>
      <c r="F483" t="s">
        <v>25</v>
      </c>
      <c r="G483" t="s">
        <v>139</v>
      </c>
      <c r="H483">
        <v>4</v>
      </c>
      <c r="I483">
        <v>320.81</v>
      </c>
      <c r="J483">
        <v>1283.24</v>
      </c>
      <c r="K483" t="s">
        <v>1350</v>
      </c>
      <c r="L483" t="s">
        <v>91</v>
      </c>
    </row>
    <row r="484" spans="1:12" x14ac:dyDescent="0.35">
      <c r="A484" t="s">
        <v>1351</v>
      </c>
      <c r="B484" t="s">
        <v>295</v>
      </c>
      <c r="C484" t="s">
        <v>296</v>
      </c>
      <c r="D484" t="s">
        <v>14</v>
      </c>
      <c r="E484" t="s">
        <v>15</v>
      </c>
      <c r="F484" t="s">
        <v>50</v>
      </c>
      <c r="G484" t="s">
        <v>51</v>
      </c>
      <c r="H484">
        <v>1</v>
      </c>
      <c r="I484">
        <v>393.38</v>
      </c>
      <c r="J484">
        <v>393.38</v>
      </c>
      <c r="K484" t="s">
        <v>1352</v>
      </c>
      <c r="L484" t="s">
        <v>28</v>
      </c>
    </row>
    <row r="485" spans="1:12" x14ac:dyDescent="0.35">
      <c r="A485" t="s">
        <v>1353</v>
      </c>
      <c r="B485" t="s">
        <v>1354</v>
      </c>
      <c r="C485" t="s">
        <v>1355</v>
      </c>
      <c r="D485" t="s">
        <v>67</v>
      </c>
      <c r="E485" t="s">
        <v>68</v>
      </c>
      <c r="F485" t="s">
        <v>101</v>
      </c>
      <c r="G485" t="s">
        <v>102</v>
      </c>
      <c r="H485">
        <v>1</v>
      </c>
      <c r="I485">
        <v>221.07</v>
      </c>
      <c r="J485">
        <v>221.07</v>
      </c>
      <c r="K485" t="s">
        <v>1126</v>
      </c>
      <c r="L485" t="s">
        <v>28</v>
      </c>
    </row>
    <row r="486" spans="1:12" x14ac:dyDescent="0.35">
      <c r="A486" t="s">
        <v>1356</v>
      </c>
      <c r="B486" t="s">
        <v>779</v>
      </c>
      <c r="C486" t="s">
        <v>780</v>
      </c>
      <c r="D486" t="s">
        <v>40</v>
      </c>
      <c r="E486" t="s">
        <v>41</v>
      </c>
      <c r="F486" t="s">
        <v>50</v>
      </c>
      <c r="G486" t="s">
        <v>51</v>
      </c>
      <c r="H486">
        <v>4</v>
      </c>
      <c r="I486">
        <v>1350.55</v>
      </c>
      <c r="J486">
        <v>5402.2</v>
      </c>
      <c r="K486" t="s">
        <v>1305</v>
      </c>
      <c r="L486" t="s">
        <v>19</v>
      </c>
    </row>
    <row r="487" spans="1:12" x14ac:dyDescent="0.35">
      <c r="A487" t="s">
        <v>1357</v>
      </c>
      <c r="B487" t="s">
        <v>1340</v>
      </c>
      <c r="C487" t="s">
        <v>1341</v>
      </c>
      <c r="D487" t="s">
        <v>67</v>
      </c>
      <c r="E487" t="s">
        <v>68</v>
      </c>
      <c r="F487" t="s">
        <v>16</v>
      </c>
      <c r="G487" t="s">
        <v>182</v>
      </c>
      <c r="H487">
        <v>3</v>
      </c>
      <c r="I487">
        <v>19.87</v>
      </c>
      <c r="J487">
        <v>59.61</v>
      </c>
      <c r="K487" t="s">
        <v>1316</v>
      </c>
      <c r="L487" t="s">
        <v>36</v>
      </c>
    </row>
    <row r="488" spans="1:12" x14ac:dyDescent="0.35">
      <c r="A488" t="s">
        <v>1358</v>
      </c>
      <c r="B488" t="s">
        <v>206</v>
      </c>
      <c r="C488" t="s">
        <v>207</v>
      </c>
      <c r="D488" t="s">
        <v>14</v>
      </c>
      <c r="E488" t="s">
        <v>100</v>
      </c>
      <c r="F488" t="s">
        <v>42</v>
      </c>
      <c r="G488" t="s">
        <v>89</v>
      </c>
      <c r="H488">
        <v>3</v>
      </c>
      <c r="I488">
        <v>749.78</v>
      </c>
      <c r="J488">
        <v>2249.34</v>
      </c>
      <c r="K488" t="s">
        <v>1348</v>
      </c>
      <c r="L488" t="s">
        <v>36</v>
      </c>
    </row>
    <row r="489" spans="1:12" x14ac:dyDescent="0.35">
      <c r="A489" t="s">
        <v>1359</v>
      </c>
      <c r="B489" t="s">
        <v>686</v>
      </c>
      <c r="C489" t="s">
        <v>687</v>
      </c>
      <c r="D489" t="s">
        <v>67</v>
      </c>
      <c r="E489" t="s">
        <v>115</v>
      </c>
      <c r="F489" t="s">
        <v>16</v>
      </c>
      <c r="G489" t="s">
        <v>182</v>
      </c>
      <c r="H489">
        <v>5</v>
      </c>
      <c r="I489">
        <v>1159.95</v>
      </c>
      <c r="J489">
        <v>5799.75</v>
      </c>
      <c r="K489" t="s">
        <v>660</v>
      </c>
      <c r="L489" t="s">
        <v>91</v>
      </c>
    </row>
    <row r="490" spans="1:12" x14ac:dyDescent="0.35">
      <c r="A490" t="s">
        <v>1360</v>
      </c>
      <c r="B490" t="s">
        <v>228</v>
      </c>
      <c r="C490" t="s">
        <v>229</v>
      </c>
      <c r="D490" t="s">
        <v>23</v>
      </c>
      <c r="E490" t="s">
        <v>24</v>
      </c>
      <c r="F490" t="s">
        <v>25</v>
      </c>
      <c r="G490" t="s">
        <v>74</v>
      </c>
      <c r="H490">
        <v>3</v>
      </c>
      <c r="I490">
        <v>1304.96</v>
      </c>
      <c r="J490">
        <v>3914.88</v>
      </c>
      <c r="K490" t="s">
        <v>705</v>
      </c>
      <c r="L490" t="s">
        <v>91</v>
      </c>
    </row>
    <row r="491" spans="1:12" x14ac:dyDescent="0.35">
      <c r="A491" t="s">
        <v>1361</v>
      </c>
      <c r="B491" t="s">
        <v>1212</v>
      </c>
      <c r="C491" t="s">
        <v>1213</v>
      </c>
      <c r="D491" t="s">
        <v>14</v>
      </c>
      <c r="E491" t="s">
        <v>15</v>
      </c>
      <c r="F491" t="s">
        <v>101</v>
      </c>
      <c r="G491" t="s">
        <v>102</v>
      </c>
      <c r="H491">
        <v>5</v>
      </c>
      <c r="I491">
        <v>1073.49</v>
      </c>
      <c r="J491">
        <v>5367.45</v>
      </c>
      <c r="K491" t="s">
        <v>1297</v>
      </c>
      <c r="L491" t="s">
        <v>28</v>
      </c>
    </row>
    <row r="492" spans="1:12" x14ac:dyDescent="0.35">
      <c r="A492" t="s">
        <v>1362</v>
      </c>
      <c r="B492" t="s">
        <v>1203</v>
      </c>
      <c r="C492" t="s">
        <v>1204</v>
      </c>
      <c r="D492" t="s">
        <v>32</v>
      </c>
      <c r="E492" t="s">
        <v>203</v>
      </c>
      <c r="F492" t="s">
        <v>25</v>
      </c>
      <c r="G492" t="s">
        <v>34</v>
      </c>
      <c r="H492">
        <v>1</v>
      </c>
      <c r="I492">
        <v>249.09</v>
      </c>
      <c r="J492">
        <v>249.09</v>
      </c>
      <c r="K492" t="s">
        <v>1363</v>
      </c>
      <c r="L492" t="s">
        <v>19</v>
      </c>
    </row>
    <row r="493" spans="1:12" x14ac:dyDescent="0.35">
      <c r="A493" t="s">
        <v>1364</v>
      </c>
      <c r="B493" t="s">
        <v>429</v>
      </c>
      <c r="C493" t="s">
        <v>430</v>
      </c>
      <c r="D493" t="s">
        <v>32</v>
      </c>
      <c r="E493" t="s">
        <v>61</v>
      </c>
      <c r="F493" t="s">
        <v>16</v>
      </c>
      <c r="G493" t="s">
        <v>182</v>
      </c>
      <c r="H493">
        <v>3</v>
      </c>
      <c r="I493">
        <v>629.9</v>
      </c>
      <c r="J493">
        <v>1889.7</v>
      </c>
      <c r="K493" t="s">
        <v>1365</v>
      </c>
      <c r="L493" t="s">
        <v>28</v>
      </c>
    </row>
    <row r="494" spans="1:12" x14ac:dyDescent="0.35">
      <c r="A494" t="s">
        <v>1366</v>
      </c>
      <c r="B494" t="s">
        <v>443</v>
      </c>
      <c r="C494" t="s">
        <v>444</v>
      </c>
      <c r="D494" t="s">
        <v>23</v>
      </c>
      <c r="E494" t="s">
        <v>338</v>
      </c>
      <c r="F494" t="s">
        <v>101</v>
      </c>
      <c r="G494" t="s">
        <v>649</v>
      </c>
      <c r="H494">
        <v>3</v>
      </c>
      <c r="I494">
        <v>1276.78</v>
      </c>
      <c r="J494">
        <v>3830.34</v>
      </c>
      <c r="K494" t="s">
        <v>1367</v>
      </c>
      <c r="L494" t="s">
        <v>28</v>
      </c>
    </row>
    <row r="495" spans="1:12" x14ac:dyDescent="0.35">
      <c r="A495" t="s">
        <v>1368</v>
      </c>
      <c r="B495" t="s">
        <v>1369</v>
      </c>
      <c r="C495" t="s">
        <v>1370</v>
      </c>
      <c r="D495" t="s">
        <v>67</v>
      </c>
      <c r="E495" t="s">
        <v>130</v>
      </c>
      <c r="F495" t="s">
        <v>101</v>
      </c>
      <c r="G495" t="s">
        <v>237</v>
      </c>
      <c r="H495">
        <v>1</v>
      </c>
      <c r="I495">
        <v>1164.33</v>
      </c>
      <c r="J495">
        <v>1164.33</v>
      </c>
      <c r="K495" t="s">
        <v>1371</v>
      </c>
      <c r="L495" t="s">
        <v>36</v>
      </c>
    </row>
    <row r="496" spans="1:12" x14ac:dyDescent="0.35">
      <c r="A496" t="s">
        <v>1372</v>
      </c>
      <c r="B496" t="s">
        <v>235</v>
      </c>
      <c r="C496" t="s">
        <v>236</v>
      </c>
      <c r="D496" t="s">
        <v>40</v>
      </c>
      <c r="E496" t="s">
        <v>120</v>
      </c>
      <c r="F496" t="s">
        <v>16</v>
      </c>
      <c r="G496" t="s">
        <v>177</v>
      </c>
      <c r="H496">
        <v>2</v>
      </c>
      <c r="I496">
        <v>328.41</v>
      </c>
      <c r="J496">
        <v>656.82</v>
      </c>
      <c r="K496" t="s">
        <v>1373</v>
      </c>
      <c r="L496" t="s">
        <v>91</v>
      </c>
    </row>
    <row r="497" spans="1:12" x14ac:dyDescent="0.35">
      <c r="A497" t="s">
        <v>1374</v>
      </c>
      <c r="B497" t="s">
        <v>964</v>
      </c>
      <c r="C497" t="s">
        <v>965</v>
      </c>
      <c r="D497" t="s">
        <v>40</v>
      </c>
      <c r="E497" t="s">
        <v>120</v>
      </c>
      <c r="F497" t="s">
        <v>16</v>
      </c>
      <c r="G497" t="s">
        <v>230</v>
      </c>
      <c r="H497">
        <v>1</v>
      </c>
      <c r="I497">
        <v>982.46</v>
      </c>
      <c r="J497">
        <v>982.46</v>
      </c>
      <c r="K497" t="s">
        <v>850</v>
      </c>
      <c r="L497" t="s">
        <v>36</v>
      </c>
    </row>
    <row r="498" spans="1:12" x14ac:dyDescent="0.35">
      <c r="A498" t="s">
        <v>1375</v>
      </c>
      <c r="B498" t="s">
        <v>820</v>
      </c>
      <c r="C498" t="s">
        <v>821</v>
      </c>
      <c r="D498" t="s">
        <v>40</v>
      </c>
      <c r="E498" t="s">
        <v>41</v>
      </c>
      <c r="F498" t="s">
        <v>101</v>
      </c>
      <c r="G498" t="s">
        <v>102</v>
      </c>
      <c r="H498">
        <v>3</v>
      </c>
      <c r="I498">
        <v>1143.97</v>
      </c>
      <c r="J498">
        <v>3431.91</v>
      </c>
      <c r="K498" t="s">
        <v>650</v>
      </c>
      <c r="L498" t="s">
        <v>36</v>
      </c>
    </row>
    <row r="499" spans="1:12" x14ac:dyDescent="0.35">
      <c r="A499" t="s">
        <v>1376</v>
      </c>
      <c r="B499" t="s">
        <v>201</v>
      </c>
      <c r="C499" t="s">
        <v>202</v>
      </c>
      <c r="D499" t="s">
        <v>14</v>
      </c>
      <c r="E499" t="s">
        <v>100</v>
      </c>
      <c r="F499" t="s">
        <v>50</v>
      </c>
      <c r="G499" t="s">
        <v>69</v>
      </c>
      <c r="H499">
        <v>5</v>
      </c>
      <c r="I499">
        <v>595.12</v>
      </c>
      <c r="J499">
        <v>2975.6</v>
      </c>
      <c r="K499" t="s">
        <v>1174</v>
      </c>
      <c r="L499" t="s">
        <v>36</v>
      </c>
    </row>
    <row r="500" spans="1:12" x14ac:dyDescent="0.35">
      <c r="A500" t="s">
        <v>1377</v>
      </c>
      <c r="B500" t="s">
        <v>759</v>
      </c>
      <c r="C500" t="s">
        <v>760</v>
      </c>
      <c r="D500" t="s">
        <v>40</v>
      </c>
      <c r="E500" t="s">
        <v>120</v>
      </c>
      <c r="F500" t="s">
        <v>16</v>
      </c>
      <c r="G500" t="s">
        <v>230</v>
      </c>
      <c r="H500">
        <v>4</v>
      </c>
      <c r="I500">
        <v>1143.97</v>
      </c>
      <c r="J500">
        <v>4575.88</v>
      </c>
      <c r="K500" t="s">
        <v>1378</v>
      </c>
      <c r="L500" t="s">
        <v>36</v>
      </c>
    </row>
    <row r="501" spans="1:12" x14ac:dyDescent="0.35">
      <c r="A501" t="s">
        <v>1379</v>
      </c>
      <c r="B501" t="s">
        <v>1260</v>
      </c>
      <c r="C501" t="s">
        <v>1261</v>
      </c>
      <c r="D501" t="s">
        <v>14</v>
      </c>
      <c r="E501" t="s">
        <v>125</v>
      </c>
      <c r="F501" t="s">
        <v>16</v>
      </c>
      <c r="G501" t="s">
        <v>148</v>
      </c>
      <c r="H501">
        <v>5</v>
      </c>
      <c r="I501">
        <v>1030.06</v>
      </c>
      <c r="J501">
        <v>5150.3</v>
      </c>
      <c r="K501" t="s">
        <v>1380</v>
      </c>
      <c r="L501" t="s">
        <v>91</v>
      </c>
    </row>
    <row r="502" spans="1:12" x14ac:dyDescent="0.35">
      <c r="A502" t="s">
        <v>1381</v>
      </c>
      <c r="B502" t="s">
        <v>801</v>
      </c>
      <c r="C502" t="s">
        <v>802</v>
      </c>
      <c r="D502" t="s">
        <v>32</v>
      </c>
      <c r="E502" t="s">
        <v>203</v>
      </c>
      <c r="F502" t="s">
        <v>42</v>
      </c>
      <c r="G502" t="s">
        <v>43</v>
      </c>
      <c r="H502">
        <v>2</v>
      </c>
      <c r="I502">
        <v>618.59</v>
      </c>
      <c r="J502">
        <v>1237.18</v>
      </c>
      <c r="K502" t="s">
        <v>1382</v>
      </c>
      <c r="L502" t="s">
        <v>19</v>
      </c>
    </row>
    <row r="503" spans="1:12" x14ac:dyDescent="0.35">
      <c r="A503" t="s">
        <v>1383</v>
      </c>
      <c r="B503" t="s">
        <v>454</v>
      </c>
      <c r="C503" t="s">
        <v>455</v>
      </c>
      <c r="D503" t="s">
        <v>32</v>
      </c>
      <c r="E503" t="s">
        <v>33</v>
      </c>
      <c r="F503" t="s">
        <v>25</v>
      </c>
      <c r="G503" t="s">
        <v>26</v>
      </c>
      <c r="H503">
        <v>2</v>
      </c>
      <c r="I503">
        <v>501.07</v>
      </c>
      <c r="J503">
        <v>1002.14</v>
      </c>
      <c r="K503" t="s">
        <v>85</v>
      </c>
      <c r="L503" t="s">
        <v>45</v>
      </c>
    </row>
    <row r="504" spans="1:12" x14ac:dyDescent="0.35">
      <c r="A504" t="s">
        <v>1384</v>
      </c>
      <c r="B504" t="s">
        <v>93</v>
      </c>
      <c r="C504" t="s">
        <v>94</v>
      </c>
      <c r="D504" t="s">
        <v>32</v>
      </c>
      <c r="E504" t="s">
        <v>33</v>
      </c>
      <c r="F504" t="s">
        <v>101</v>
      </c>
      <c r="G504" t="s">
        <v>649</v>
      </c>
      <c r="H504">
        <v>1</v>
      </c>
      <c r="I504">
        <v>724.57</v>
      </c>
      <c r="J504">
        <v>724.57</v>
      </c>
      <c r="K504" t="s">
        <v>1385</v>
      </c>
      <c r="L504" t="s">
        <v>91</v>
      </c>
    </row>
    <row r="505" spans="1:12" x14ac:dyDescent="0.35">
      <c r="A505" t="s">
        <v>1386</v>
      </c>
      <c r="B505" t="s">
        <v>552</v>
      </c>
      <c r="C505" t="s">
        <v>553</v>
      </c>
      <c r="D505" t="s">
        <v>23</v>
      </c>
      <c r="E505" t="s">
        <v>49</v>
      </c>
      <c r="F505" t="s">
        <v>25</v>
      </c>
      <c r="G505" t="s">
        <v>26</v>
      </c>
      <c r="H505">
        <v>3</v>
      </c>
      <c r="I505">
        <v>1426.76</v>
      </c>
      <c r="J505">
        <v>4280.28</v>
      </c>
      <c r="K505" t="s">
        <v>1373</v>
      </c>
      <c r="L505" t="s">
        <v>45</v>
      </c>
    </row>
    <row r="506" spans="1:12" x14ac:dyDescent="0.35">
      <c r="A506" t="s">
        <v>1387</v>
      </c>
      <c r="B506" t="s">
        <v>771</v>
      </c>
      <c r="C506" t="s">
        <v>772</v>
      </c>
      <c r="D506" t="s">
        <v>67</v>
      </c>
      <c r="E506" t="s">
        <v>115</v>
      </c>
      <c r="F506" t="s">
        <v>101</v>
      </c>
      <c r="G506" t="s">
        <v>237</v>
      </c>
      <c r="H506">
        <v>2</v>
      </c>
      <c r="I506">
        <v>899.79</v>
      </c>
      <c r="J506">
        <v>1799.58</v>
      </c>
      <c r="K506" t="s">
        <v>725</v>
      </c>
      <c r="L506" t="s">
        <v>19</v>
      </c>
    </row>
    <row r="507" spans="1:12" x14ac:dyDescent="0.35">
      <c r="A507" t="s">
        <v>1388</v>
      </c>
      <c r="B507" t="s">
        <v>1260</v>
      </c>
      <c r="C507" t="s">
        <v>1261</v>
      </c>
      <c r="D507" t="s">
        <v>40</v>
      </c>
      <c r="E507" t="s">
        <v>79</v>
      </c>
      <c r="F507" t="s">
        <v>42</v>
      </c>
      <c r="G507" t="s">
        <v>89</v>
      </c>
      <c r="H507">
        <v>4</v>
      </c>
      <c r="I507">
        <v>95.19</v>
      </c>
      <c r="J507">
        <v>380.76</v>
      </c>
      <c r="K507" t="s">
        <v>526</v>
      </c>
      <c r="L507" t="s">
        <v>45</v>
      </c>
    </row>
    <row r="508" spans="1:12" x14ac:dyDescent="0.35">
      <c r="A508" t="s">
        <v>1389</v>
      </c>
      <c r="B508" t="s">
        <v>355</v>
      </c>
      <c r="C508" t="s">
        <v>356</v>
      </c>
      <c r="D508" t="s">
        <v>32</v>
      </c>
      <c r="E508" t="s">
        <v>203</v>
      </c>
      <c r="F508" t="s">
        <v>16</v>
      </c>
      <c r="G508" t="s">
        <v>17</v>
      </c>
      <c r="H508">
        <v>5</v>
      </c>
      <c r="I508">
        <v>504.56</v>
      </c>
      <c r="J508">
        <v>2522.8000000000002</v>
      </c>
      <c r="K508" t="s">
        <v>876</v>
      </c>
      <c r="L508" t="s">
        <v>45</v>
      </c>
    </row>
    <row r="509" spans="1:12" x14ac:dyDescent="0.35">
      <c r="A509" t="s">
        <v>1390</v>
      </c>
      <c r="B509" t="s">
        <v>853</v>
      </c>
      <c r="C509" t="s">
        <v>854</v>
      </c>
      <c r="D509" t="s">
        <v>23</v>
      </c>
      <c r="E509" t="s">
        <v>49</v>
      </c>
      <c r="F509" t="s">
        <v>16</v>
      </c>
      <c r="G509" t="s">
        <v>182</v>
      </c>
      <c r="H509">
        <v>5</v>
      </c>
      <c r="I509">
        <v>234.67</v>
      </c>
      <c r="J509">
        <v>1173.3499999999999</v>
      </c>
      <c r="K509" t="s">
        <v>1391</v>
      </c>
      <c r="L509" t="s">
        <v>19</v>
      </c>
    </row>
    <row r="510" spans="1:12" x14ac:dyDescent="0.35">
      <c r="A510" t="s">
        <v>1392</v>
      </c>
      <c r="B510" t="s">
        <v>1131</v>
      </c>
      <c r="C510" t="s">
        <v>1132</v>
      </c>
      <c r="D510" t="s">
        <v>23</v>
      </c>
      <c r="E510" t="s">
        <v>338</v>
      </c>
      <c r="F510" t="s">
        <v>101</v>
      </c>
      <c r="G510" t="s">
        <v>237</v>
      </c>
      <c r="H510">
        <v>2</v>
      </c>
      <c r="I510">
        <v>1336.42</v>
      </c>
      <c r="J510">
        <v>2672.84</v>
      </c>
      <c r="K510" t="s">
        <v>1393</v>
      </c>
      <c r="L510" t="s">
        <v>91</v>
      </c>
    </row>
    <row r="511" spans="1:12" x14ac:dyDescent="0.35">
      <c r="A511" t="s">
        <v>1394</v>
      </c>
      <c r="B511" t="s">
        <v>163</v>
      </c>
      <c r="C511" t="s">
        <v>164</v>
      </c>
      <c r="D511" t="s">
        <v>32</v>
      </c>
      <c r="E511" t="s">
        <v>61</v>
      </c>
      <c r="F511" t="s">
        <v>101</v>
      </c>
      <c r="G511" t="s">
        <v>649</v>
      </c>
      <c r="H511">
        <v>5</v>
      </c>
      <c r="I511">
        <v>81.12</v>
      </c>
      <c r="J511">
        <v>405.6</v>
      </c>
      <c r="K511" t="s">
        <v>1395</v>
      </c>
      <c r="L511" t="s">
        <v>36</v>
      </c>
    </row>
    <row r="512" spans="1:12" x14ac:dyDescent="0.35">
      <c r="A512" t="s">
        <v>1396</v>
      </c>
      <c r="B512" t="s">
        <v>352</v>
      </c>
      <c r="C512" t="s">
        <v>353</v>
      </c>
      <c r="D512" t="s">
        <v>40</v>
      </c>
      <c r="E512" t="s">
        <v>120</v>
      </c>
      <c r="F512" t="s">
        <v>101</v>
      </c>
      <c r="G512" t="s">
        <v>649</v>
      </c>
      <c r="H512">
        <v>2</v>
      </c>
      <c r="I512">
        <v>627.35</v>
      </c>
      <c r="J512">
        <v>1254.7</v>
      </c>
      <c r="K512" t="s">
        <v>1397</v>
      </c>
      <c r="L512" t="s">
        <v>28</v>
      </c>
    </row>
    <row r="513" spans="1:12" x14ac:dyDescent="0.35">
      <c r="A513" t="s">
        <v>1398</v>
      </c>
      <c r="B513" t="s">
        <v>355</v>
      </c>
      <c r="C513" t="s">
        <v>356</v>
      </c>
      <c r="D513" t="s">
        <v>40</v>
      </c>
      <c r="E513" t="s">
        <v>120</v>
      </c>
      <c r="F513" t="s">
        <v>42</v>
      </c>
      <c r="G513" t="s">
        <v>225</v>
      </c>
      <c r="H513">
        <v>4</v>
      </c>
      <c r="I513">
        <v>1476.09</v>
      </c>
      <c r="J513">
        <v>5904.36</v>
      </c>
      <c r="K513" t="s">
        <v>1397</v>
      </c>
      <c r="L513" t="s">
        <v>28</v>
      </c>
    </row>
    <row r="514" spans="1:12" x14ac:dyDescent="0.35">
      <c r="A514" t="s">
        <v>1399</v>
      </c>
      <c r="B514" t="s">
        <v>558</v>
      </c>
      <c r="C514" t="s">
        <v>559</v>
      </c>
      <c r="D514" t="s">
        <v>14</v>
      </c>
      <c r="E514" t="s">
        <v>100</v>
      </c>
      <c r="F514" t="s">
        <v>101</v>
      </c>
      <c r="G514" t="s">
        <v>102</v>
      </c>
      <c r="H514">
        <v>4</v>
      </c>
      <c r="I514">
        <v>918.14</v>
      </c>
      <c r="J514">
        <v>3672.56</v>
      </c>
      <c r="K514" t="s">
        <v>490</v>
      </c>
      <c r="L514" t="s">
        <v>91</v>
      </c>
    </row>
    <row r="515" spans="1:12" x14ac:dyDescent="0.35">
      <c r="A515" t="s">
        <v>1400</v>
      </c>
      <c r="B515" t="s">
        <v>686</v>
      </c>
      <c r="C515" t="s">
        <v>687</v>
      </c>
      <c r="D515" t="s">
        <v>32</v>
      </c>
      <c r="E515" t="s">
        <v>33</v>
      </c>
      <c r="F515" t="s">
        <v>50</v>
      </c>
      <c r="G515" t="s">
        <v>216</v>
      </c>
      <c r="H515">
        <v>3</v>
      </c>
      <c r="I515">
        <v>185.99</v>
      </c>
      <c r="J515">
        <v>557.97</v>
      </c>
      <c r="K515" t="s">
        <v>1401</v>
      </c>
      <c r="L515" t="s">
        <v>91</v>
      </c>
    </row>
    <row r="516" spans="1:12" x14ac:dyDescent="0.35">
      <c r="A516" t="s">
        <v>1402</v>
      </c>
      <c r="B516" t="s">
        <v>960</v>
      </c>
      <c r="C516" t="s">
        <v>961</v>
      </c>
      <c r="D516" t="s">
        <v>40</v>
      </c>
      <c r="E516" t="s">
        <v>120</v>
      </c>
      <c r="F516" t="s">
        <v>42</v>
      </c>
      <c r="G516" t="s">
        <v>89</v>
      </c>
      <c r="H516">
        <v>5</v>
      </c>
      <c r="I516">
        <v>1395.67</v>
      </c>
      <c r="J516">
        <v>6978.35</v>
      </c>
      <c r="K516" t="s">
        <v>882</v>
      </c>
      <c r="L516" t="s">
        <v>36</v>
      </c>
    </row>
    <row r="517" spans="1:12" x14ac:dyDescent="0.35">
      <c r="A517" t="s">
        <v>1403</v>
      </c>
      <c r="B517" t="s">
        <v>590</v>
      </c>
      <c r="C517" t="s">
        <v>591</v>
      </c>
      <c r="D517" t="s">
        <v>14</v>
      </c>
      <c r="E517" t="s">
        <v>266</v>
      </c>
      <c r="F517" t="s">
        <v>16</v>
      </c>
      <c r="G517" t="s">
        <v>17</v>
      </c>
      <c r="H517">
        <v>1</v>
      </c>
      <c r="I517">
        <v>210.73</v>
      </c>
      <c r="J517">
        <v>210.73</v>
      </c>
      <c r="K517" t="s">
        <v>1404</v>
      </c>
      <c r="L517" t="s">
        <v>36</v>
      </c>
    </row>
    <row r="518" spans="1:12" x14ac:dyDescent="0.35">
      <c r="A518" t="s">
        <v>1405</v>
      </c>
      <c r="B518" t="s">
        <v>1159</v>
      </c>
      <c r="C518" t="s">
        <v>1160</v>
      </c>
      <c r="D518" t="s">
        <v>14</v>
      </c>
      <c r="E518" t="s">
        <v>15</v>
      </c>
      <c r="F518" t="s">
        <v>42</v>
      </c>
      <c r="G518" t="s">
        <v>225</v>
      </c>
      <c r="H518">
        <v>4</v>
      </c>
      <c r="I518">
        <v>425.18</v>
      </c>
      <c r="J518">
        <v>1700.72</v>
      </c>
      <c r="K518" t="s">
        <v>1406</v>
      </c>
      <c r="L518" t="s">
        <v>45</v>
      </c>
    </row>
    <row r="519" spans="1:12" x14ac:dyDescent="0.35">
      <c r="A519" t="s">
        <v>1407</v>
      </c>
      <c r="B519" t="s">
        <v>295</v>
      </c>
      <c r="C519" t="s">
        <v>296</v>
      </c>
      <c r="D519" t="s">
        <v>23</v>
      </c>
      <c r="E519" t="s">
        <v>24</v>
      </c>
      <c r="F519" t="s">
        <v>16</v>
      </c>
      <c r="G519" t="s">
        <v>148</v>
      </c>
      <c r="H519">
        <v>5</v>
      </c>
      <c r="I519">
        <v>1392.61</v>
      </c>
      <c r="J519">
        <v>6963.05</v>
      </c>
      <c r="K519" t="s">
        <v>1408</v>
      </c>
      <c r="L519" t="s">
        <v>19</v>
      </c>
    </row>
    <row r="520" spans="1:12" x14ac:dyDescent="0.35">
      <c r="A520" t="s">
        <v>1409</v>
      </c>
      <c r="B520" t="s">
        <v>367</v>
      </c>
      <c r="C520" t="s">
        <v>368</v>
      </c>
      <c r="D520" t="s">
        <v>40</v>
      </c>
      <c r="E520" t="s">
        <v>120</v>
      </c>
      <c r="F520" t="s">
        <v>16</v>
      </c>
      <c r="G520" t="s">
        <v>148</v>
      </c>
      <c r="H520">
        <v>4</v>
      </c>
      <c r="I520">
        <v>1292.22</v>
      </c>
      <c r="J520">
        <v>5168.88</v>
      </c>
      <c r="K520" t="s">
        <v>1268</v>
      </c>
      <c r="L520" t="s">
        <v>28</v>
      </c>
    </row>
    <row r="521" spans="1:12" x14ac:dyDescent="0.35">
      <c r="A521" t="s">
        <v>1410</v>
      </c>
      <c r="B521" t="s">
        <v>738</v>
      </c>
      <c r="C521" t="s">
        <v>739</v>
      </c>
      <c r="D521" t="s">
        <v>14</v>
      </c>
      <c r="E521" t="s">
        <v>15</v>
      </c>
      <c r="F521" t="s">
        <v>25</v>
      </c>
      <c r="G521" t="s">
        <v>62</v>
      </c>
      <c r="H521">
        <v>3</v>
      </c>
      <c r="I521">
        <v>20.239999999999998</v>
      </c>
      <c r="J521">
        <v>60.72</v>
      </c>
      <c r="K521" t="s">
        <v>1411</v>
      </c>
      <c r="L521" t="s">
        <v>28</v>
      </c>
    </row>
    <row r="522" spans="1:12" x14ac:dyDescent="0.35">
      <c r="A522" t="s">
        <v>1412</v>
      </c>
      <c r="B522" t="s">
        <v>311</v>
      </c>
      <c r="C522" t="s">
        <v>312</v>
      </c>
      <c r="D522" t="s">
        <v>23</v>
      </c>
      <c r="E522" t="s">
        <v>338</v>
      </c>
      <c r="F522" t="s">
        <v>25</v>
      </c>
      <c r="G522" t="s">
        <v>26</v>
      </c>
      <c r="H522">
        <v>4</v>
      </c>
      <c r="I522">
        <v>332.68</v>
      </c>
      <c r="J522">
        <v>1330.72</v>
      </c>
      <c r="K522" t="s">
        <v>1413</v>
      </c>
      <c r="L522" t="s">
        <v>45</v>
      </c>
    </row>
    <row r="523" spans="1:12" x14ac:dyDescent="0.35">
      <c r="A523" t="s">
        <v>1414</v>
      </c>
      <c r="B523" t="s">
        <v>392</v>
      </c>
      <c r="C523" t="s">
        <v>393</v>
      </c>
      <c r="D523" t="s">
        <v>67</v>
      </c>
      <c r="E523" t="s">
        <v>68</v>
      </c>
      <c r="F523" t="s">
        <v>25</v>
      </c>
      <c r="G523" t="s">
        <v>62</v>
      </c>
      <c r="H523">
        <v>5</v>
      </c>
      <c r="I523">
        <v>628.66</v>
      </c>
      <c r="J523">
        <v>3143.3</v>
      </c>
      <c r="K523" t="s">
        <v>1415</v>
      </c>
      <c r="L523" t="s">
        <v>36</v>
      </c>
    </row>
    <row r="524" spans="1:12" x14ac:dyDescent="0.35">
      <c r="A524" t="s">
        <v>1416</v>
      </c>
      <c r="B524" t="s">
        <v>742</v>
      </c>
      <c r="C524" t="s">
        <v>743</v>
      </c>
      <c r="D524" t="s">
        <v>14</v>
      </c>
      <c r="E524" t="s">
        <v>15</v>
      </c>
      <c r="F524" t="s">
        <v>50</v>
      </c>
      <c r="G524" t="s">
        <v>170</v>
      </c>
      <c r="H524">
        <v>5</v>
      </c>
      <c r="I524">
        <v>805.92</v>
      </c>
      <c r="J524">
        <v>4029.6</v>
      </c>
      <c r="K524" t="s">
        <v>1417</v>
      </c>
      <c r="L524" t="s">
        <v>45</v>
      </c>
    </row>
    <row r="525" spans="1:12" x14ac:dyDescent="0.35">
      <c r="A525" t="s">
        <v>1418</v>
      </c>
      <c r="B525" t="s">
        <v>1419</v>
      </c>
      <c r="C525" t="s">
        <v>1420</v>
      </c>
      <c r="D525" t="s">
        <v>67</v>
      </c>
      <c r="E525" t="s">
        <v>130</v>
      </c>
      <c r="F525" t="s">
        <v>16</v>
      </c>
      <c r="G525" t="s">
        <v>182</v>
      </c>
      <c r="H525">
        <v>4</v>
      </c>
      <c r="I525">
        <v>1391.21</v>
      </c>
      <c r="J525">
        <v>5564.84</v>
      </c>
      <c r="K525" t="s">
        <v>1421</v>
      </c>
      <c r="L525" t="s">
        <v>36</v>
      </c>
    </row>
    <row r="526" spans="1:12" x14ac:dyDescent="0.35">
      <c r="A526" t="s">
        <v>1422</v>
      </c>
      <c r="B526" t="s">
        <v>1423</v>
      </c>
      <c r="C526" t="s">
        <v>1424</v>
      </c>
      <c r="D526" t="s">
        <v>23</v>
      </c>
      <c r="E526" t="s">
        <v>338</v>
      </c>
      <c r="F526" t="s">
        <v>101</v>
      </c>
      <c r="G526" t="s">
        <v>237</v>
      </c>
      <c r="H526">
        <v>2</v>
      </c>
      <c r="I526">
        <v>809.88</v>
      </c>
      <c r="J526">
        <v>1619.76</v>
      </c>
      <c r="K526" t="s">
        <v>1425</v>
      </c>
      <c r="L526" t="s">
        <v>19</v>
      </c>
    </row>
    <row r="527" spans="1:12" x14ac:dyDescent="0.35">
      <c r="A527" t="s">
        <v>1426</v>
      </c>
      <c r="B527" t="s">
        <v>838</v>
      </c>
      <c r="C527" t="s">
        <v>839</v>
      </c>
      <c r="D527" t="s">
        <v>67</v>
      </c>
      <c r="E527" t="s">
        <v>130</v>
      </c>
      <c r="F527" t="s">
        <v>25</v>
      </c>
      <c r="G527" t="s">
        <v>26</v>
      </c>
      <c r="H527">
        <v>3</v>
      </c>
      <c r="I527">
        <v>290.62</v>
      </c>
      <c r="J527">
        <v>871.86</v>
      </c>
      <c r="K527" t="s">
        <v>600</v>
      </c>
      <c r="L527" t="s">
        <v>36</v>
      </c>
    </row>
    <row r="528" spans="1:12" x14ac:dyDescent="0.35">
      <c r="A528" t="s">
        <v>1427</v>
      </c>
      <c r="B528" t="s">
        <v>1428</v>
      </c>
      <c r="C528" t="s">
        <v>1429</v>
      </c>
      <c r="D528" t="s">
        <v>40</v>
      </c>
      <c r="E528" t="s">
        <v>79</v>
      </c>
      <c r="F528" t="s">
        <v>16</v>
      </c>
      <c r="G528" t="s">
        <v>148</v>
      </c>
      <c r="H528">
        <v>1</v>
      </c>
      <c r="I528">
        <v>1478.95</v>
      </c>
      <c r="J528">
        <v>1478.95</v>
      </c>
      <c r="K528" t="s">
        <v>566</v>
      </c>
      <c r="L528" t="s">
        <v>91</v>
      </c>
    </row>
    <row r="529" spans="1:12" x14ac:dyDescent="0.35">
      <c r="A529" t="s">
        <v>1430</v>
      </c>
      <c r="B529" t="s">
        <v>718</v>
      </c>
      <c r="C529" t="s">
        <v>719</v>
      </c>
      <c r="D529" t="s">
        <v>67</v>
      </c>
      <c r="E529" t="s">
        <v>130</v>
      </c>
      <c r="F529" t="s">
        <v>16</v>
      </c>
      <c r="G529" t="s">
        <v>230</v>
      </c>
      <c r="H529">
        <v>4</v>
      </c>
      <c r="I529">
        <v>1428.67</v>
      </c>
      <c r="J529">
        <v>5714.68</v>
      </c>
      <c r="K529" t="s">
        <v>1032</v>
      </c>
      <c r="L529" t="s">
        <v>36</v>
      </c>
    </row>
    <row r="530" spans="1:12" x14ac:dyDescent="0.35">
      <c r="A530" t="s">
        <v>1431</v>
      </c>
      <c r="B530" t="s">
        <v>707</v>
      </c>
      <c r="C530" t="s">
        <v>708</v>
      </c>
      <c r="D530" t="s">
        <v>23</v>
      </c>
      <c r="E530" t="s">
        <v>49</v>
      </c>
      <c r="F530" t="s">
        <v>42</v>
      </c>
      <c r="G530" t="s">
        <v>80</v>
      </c>
      <c r="H530">
        <v>2</v>
      </c>
      <c r="I530">
        <v>595.11</v>
      </c>
      <c r="J530">
        <v>1190.22</v>
      </c>
      <c r="K530" t="s">
        <v>1432</v>
      </c>
      <c r="L530" t="s">
        <v>19</v>
      </c>
    </row>
    <row r="531" spans="1:12" x14ac:dyDescent="0.35">
      <c r="A531" t="s">
        <v>1433</v>
      </c>
      <c r="B531" t="s">
        <v>947</v>
      </c>
      <c r="C531" t="s">
        <v>948</v>
      </c>
      <c r="D531" t="s">
        <v>32</v>
      </c>
      <c r="E531" t="s">
        <v>33</v>
      </c>
      <c r="F531" t="s">
        <v>42</v>
      </c>
      <c r="G531" t="s">
        <v>80</v>
      </c>
      <c r="H531">
        <v>2</v>
      </c>
      <c r="I531">
        <v>49.78</v>
      </c>
      <c r="J531">
        <v>99.56</v>
      </c>
      <c r="K531" t="s">
        <v>1219</v>
      </c>
      <c r="L531" t="s">
        <v>36</v>
      </c>
    </row>
    <row r="532" spans="1:12" x14ac:dyDescent="0.35">
      <c r="A532" t="s">
        <v>1434</v>
      </c>
      <c r="B532" t="s">
        <v>1024</v>
      </c>
      <c r="C532" t="s">
        <v>1025</v>
      </c>
      <c r="D532" t="s">
        <v>23</v>
      </c>
      <c r="E532" t="s">
        <v>49</v>
      </c>
      <c r="F532" t="s">
        <v>25</v>
      </c>
      <c r="G532" t="s">
        <v>62</v>
      </c>
      <c r="H532">
        <v>3</v>
      </c>
      <c r="I532">
        <v>1162.32</v>
      </c>
      <c r="J532">
        <v>3486.96</v>
      </c>
      <c r="K532" t="s">
        <v>309</v>
      </c>
      <c r="L532" t="s">
        <v>45</v>
      </c>
    </row>
    <row r="533" spans="1:12" x14ac:dyDescent="0.35">
      <c r="A533" t="s">
        <v>1435</v>
      </c>
      <c r="B533" t="s">
        <v>105</v>
      </c>
      <c r="C533" t="s">
        <v>106</v>
      </c>
      <c r="D533" t="s">
        <v>23</v>
      </c>
      <c r="E533" t="s">
        <v>338</v>
      </c>
      <c r="F533" t="s">
        <v>42</v>
      </c>
      <c r="G533" t="s">
        <v>89</v>
      </c>
      <c r="H533">
        <v>1</v>
      </c>
      <c r="I533">
        <v>1222.07</v>
      </c>
      <c r="J533">
        <v>1222.07</v>
      </c>
      <c r="K533" t="s">
        <v>1436</v>
      </c>
      <c r="L533" t="s">
        <v>91</v>
      </c>
    </row>
    <row r="534" spans="1:12" x14ac:dyDescent="0.35">
      <c r="A534" t="s">
        <v>1437</v>
      </c>
      <c r="B534" t="s">
        <v>1438</v>
      </c>
      <c r="C534" t="s">
        <v>1439</v>
      </c>
      <c r="D534" t="s">
        <v>23</v>
      </c>
      <c r="E534" t="s">
        <v>338</v>
      </c>
      <c r="F534" t="s">
        <v>16</v>
      </c>
      <c r="G534" t="s">
        <v>230</v>
      </c>
      <c r="H534">
        <v>5</v>
      </c>
      <c r="I534">
        <v>254.1</v>
      </c>
      <c r="J534">
        <v>1270.5</v>
      </c>
      <c r="K534" t="s">
        <v>1440</v>
      </c>
      <c r="L534" t="s">
        <v>19</v>
      </c>
    </row>
    <row r="535" spans="1:12" x14ac:dyDescent="0.35">
      <c r="A535" t="s">
        <v>1441</v>
      </c>
      <c r="B535" t="s">
        <v>618</v>
      </c>
      <c r="C535" t="s">
        <v>619</v>
      </c>
      <c r="D535" t="s">
        <v>67</v>
      </c>
      <c r="E535" t="s">
        <v>68</v>
      </c>
      <c r="F535" t="s">
        <v>16</v>
      </c>
      <c r="G535" t="s">
        <v>182</v>
      </c>
      <c r="H535">
        <v>2</v>
      </c>
      <c r="I535">
        <v>828.64</v>
      </c>
      <c r="J535">
        <v>1657.28</v>
      </c>
      <c r="K535" t="s">
        <v>1110</v>
      </c>
      <c r="L535" t="s">
        <v>19</v>
      </c>
    </row>
    <row r="536" spans="1:12" x14ac:dyDescent="0.35">
      <c r="A536" t="s">
        <v>1442</v>
      </c>
      <c r="B536" t="s">
        <v>1137</v>
      </c>
      <c r="C536" t="s">
        <v>1138</v>
      </c>
      <c r="D536" t="s">
        <v>14</v>
      </c>
      <c r="E536" t="s">
        <v>100</v>
      </c>
      <c r="F536" t="s">
        <v>42</v>
      </c>
      <c r="G536" t="s">
        <v>89</v>
      </c>
      <c r="H536">
        <v>3</v>
      </c>
      <c r="I536">
        <v>427.36</v>
      </c>
      <c r="J536">
        <v>1282.08</v>
      </c>
      <c r="K536" t="s">
        <v>75</v>
      </c>
      <c r="L536" t="s">
        <v>28</v>
      </c>
    </row>
    <row r="537" spans="1:12" x14ac:dyDescent="0.35">
      <c r="A537" t="s">
        <v>1443</v>
      </c>
      <c r="B537" t="s">
        <v>1444</v>
      </c>
      <c r="C537" t="s">
        <v>1445</v>
      </c>
      <c r="D537" t="s">
        <v>23</v>
      </c>
      <c r="E537" t="s">
        <v>338</v>
      </c>
      <c r="F537" t="s">
        <v>101</v>
      </c>
      <c r="G537" t="s">
        <v>373</v>
      </c>
      <c r="H537">
        <v>5</v>
      </c>
      <c r="I537">
        <v>741.38</v>
      </c>
      <c r="J537">
        <v>3706.9</v>
      </c>
      <c r="K537" t="s">
        <v>1446</v>
      </c>
      <c r="L537" t="s">
        <v>91</v>
      </c>
    </row>
    <row r="538" spans="1:12" x14ac:dyDescent="0.35">
      <c r="A538" t="s">
        <v>1447</v>
      </c>
      <c r="B538" t="s">
        <v>345</v>
      </c>
      <c r="C538" t="s">
        <v>346</v>
      </c>
      <c r="D538" t="s">
        <v>67</v>
      </c>
      <c r="E538" t="s">
        <v>130</v>
      </c>
      <c r="F538" t="s">
        <v>42</v>
      </c>
      <c r="G538" t="s">
        <v>89</v>
      </c>
      <c r="H538">
        <v>3</v>
      </c>
      <c r="I538">
        <v>417.82</v>
      </c>
      <c r="J538">
        <v>1253.46</v>
      </c>
      <c r="K538" t="s">
        <v>1448</v>
      </c>
      <c r="L538" t="s">
        <v>19</v>
      </c>
    </row>
    <row r="539" spans="1:12" x14ac:dyDescent="0.35">
      <c r="A539" t="s">
        <v>1449</v>
      </c>
      <c r="B539" t="s">
        <v>38</v>
      </c>
      <c r="C539" t="s">
        <v>39</v>
      </c>
      <c r="D539" t="s">
        <v>67</v>
      </c>
      <c r="E539" t="s">
        <v>115</v>
      </c>
      <c r="F539" t="s">
        <v>25</v>
      </c>
      <c r="G539" t="s">
        <v>139</v>
      </c>
      <c r="H539">
        <v>5</v>
      </c>
      <c r="I539">
        <v>1104.94</v>
      </c>
      <c r="J539">
        <v>5524.7</v>
      </c>
      <c r="K539" t="s">
        <v>1450</v>
      </c>
      <c r="L539" t="s">
        <v>91</v>
      </c>
    </row>
    <row r="540" spans="1:12" x14ac:dyDescent="0.35">
      <c r="A540" t="s">
        <v>1451</v>
      </c>
      <c r="B540" t="s">
        <v>699</v>
      </c>
      <c r="C540" t="s">
        <v>700</v>
      </c>
      <c r="D540" t="s">
        <v>23</v>
      </c>
      <c r="E540" t="s">
        <v>49</v>
      </c>
      <c r="F540" t="s">
        <v>42</v>
      </c>
      <c r="G540" t="s">
        <v>89</v>
      </c>
      <c r="H540">
        <v>2</v>
      </c>
      <c r="I540">
        <v>1073.8800000000001</v>
      </c>
      <c r="J540">
        <v>2147.7600000000002</v>
      </c>
      <c r="K540" t="s">
        <v>1452</v>
      </c>
      <c r="L540" t="s">
        <v>45</v>
      </c>
    </row>
    <row r="541" spans="1:12" x14ac:dyDescent="0.35">
      <c r="A541" t="s">
        <v>1453</v>
      </c>
      <c r="B541" t="s">
        <v>514</v>
      </c>
      <c r="C541" t="s">
        <v>515</v>
      </c>
      <c r="D541" t="s">
        <v>14</v>
      </c>
      <c r="E541" t="s">
        <v>15</v>
      </c>
      <c r="F541" t="s">
        <v>16</v>
      </c>
      <c r="G541" t="s">
        <v>148</v>
      </c>
      <c r="H541">
        <v>2</v>
      </c>
      <c r="I541">
        <v>948.82</v>
      </c>
      <c r="J541">
        <v>1897.64</v>
      </c>
      <c r="K541" t="s">
        <v>671</v>
      </c>
      <c r="L541" t="s">
        <v>19</v>
      </c>
    </row>
    <row r="542" spans="1:12" x14ac:dyDescent="0.35">
      <c r="A542" t="s">
        <v>1454</v>
      </c>
      <c r="B542" t="s">
        <v>1005</v>
      </c>
      <c r="C542" t="s">
        <v>1006</v>
      </c>
      <c r="D542" t="s">
        <v>40</v>
      </c>
      <c r="E542" t="s">
        <v>41</v>
      </c>
      <c r="F542" t="s">
        <v>42</v>
      </c>
      <c r="G542" t="s">
        <v>43</v>
      </c>
      <c r="H542">
        <v>3</v>
      </c>
      <c r="I542">
        <v>201.56</v>
      </c>
      <c r="J542">
        <v>604.67999999999995</v>
      </c>
      <c r="K542" t="s">
        <v>1455</v>
      </c>
      <c r="L542" t="s">
        <v>91</v>
      </c>
    </row>
    <row r="543" spans="1:12" x14ac:dyDescent="0.35">
      <c r="A543" t="s">
        <v>1456</v>
      </c>
      <c r="B543" t="s">
        <v>1354</v>
      </c>
      <c r="C543" t="s">
        <v>1355</v>
      </c>
      <c r="D543" t="s">
        <v>14</v>
      </c>
      <c r="E543" t="s">
        <v>266</v>
      </c>
      <c r="F543" t="s">
        <v>25</v>
      </c>
      <c r="G543" t="s">
        <v>74</v>
      </c>
      <c r="H543">
        <v>4</v>
      </c>
      <c r="I543">
        <v>423.65</v>
      </c>
      <c r="J543">
        <v>1694.6</v>
      </c>
      <c r="K543" t="s">
        <v>650</v>
      </c>
      <c r="L543" t="s">
        <v>45</v>
      </c>
    </row>
    <row r="544" spans="1:12" x14ac:dyDescent="0.35">
      <c r="A544" t="s">
        <v>1457</v>
      </c>
      <c r="B544" t="s">
        <v>521</v>
      </c>
      <c r="C544" t="s">
        <v>522</v>
      </c>
      <c r="D544" t="s">
        <v>14</v>
      </c>
      <c r="E544" t="s">
        <v>15</v>
      </c>
      <c r="F544" t="s">
        <v>25</v>
      </c>
      <c r="G544" t="s">
        <v>26</v>
      </c>
      <c r="H544">
        <v>4</v>
      </c>
      <c r="I544">
        <v>1309.9000000000001</v>
      </c>
      <c r="J544">
        <v>5239.6000000000004</v>
      </c>
      <c r="K544" t="s">
        <v>1458</v>
      </c>
      <c r="L544" t="s">
        <v>45</v>
      </c>
    </row>
    <row r="545" spans="1:12" x14ac:dyDescent="0.35">
      <c r="A545" t="s">
        <v>1459</v>
      </c>
      <c r="B545" t="s">
        <v>1428</v>
      </c>
      <c r="C545" t="s">
        <v>1429</v>
      </c>
      <c r="D545" t="s">
        <v>14</v>
      </c>
      <c r="E545" t="s">
        <v>15</v>
      </c>
      <c r="F545" t="s">
        <v>101</v>
      </c>
      <c r="G545" t="s">
        <v>373</v>
      </c>
      <c r="H545">
        <v>5</v>
      </c>
      <c r="I545">
        <v>588.08000000000004</v>
      </c>
      <c r="J545">
        <v>2940.4</v>
      </c>
      <c r="K545" t="s">
        <v>1460</v>
      </c>
      <c r="L545" t="s">
        <v>28</v>
      </c>
    </row>
    <row r="546" spans="1:12" x14ac:dyDescent="0.35">
      <c r="A546" t="s">
        <v>1461</v>
      </c>
      <c r="B546" t="s">
        <v>791</v>
      </c>
      <c r="C546" t="s">
        <v>792</v>
      </c>
      <c r="D546" t="s">
        <v>32</v>
      </c>
      <c r="E546" t="s">
        <v>61</v>
      </c>
      <c r="F546" t="s">
        <v>16</v>
      </c>
      <c r="G546" t="s">
        <v>148</v>
      </c>
      <c r="H546">
        <v>4</v>
      </c>
      <c r="I546">
        <v>309</v>
      </c>
      <c r="J546">
        <v>1236</v>
      </c>
      <c r="K546" t="s">
        <v>1157</v>
      </c>
      <c r="L546" t="s">
        <v>45</v>
      </c>
    </row>
    <row r="547" spans="1:12" x14ac:dyDescent="0.35">
      <c r="A547" t="s">
        <v>1462</v>
      </c>
      <c r="B547" t="s">
        <v>264</v>
      </c>
      <c r="C547" t="s">
        <v>265</v>
      </c>
      <c r="D547" t="s">
        <v>40</v>
      </c>
      <c r="E547" t="s">
        <v>79</v>
      </c>
      <c r="F547" t="s">
        <v>101</v>
      </c>
      <c r="G547" t="s">
        <v>102</v>
      </c>
      <c r="H547">
        <v>1</v>
      </c>
      <c r="I547">
        <v>429.26</v>
      </c>
      <c r="J547">
        <v>429.26</v>
      </c>
      <c r="K547" t="s">
        <v>277</v>
      </c>
      <c r="L547" t="s">
        <v>91</v>
      </c>
    </row>
    <row r="548" spans="1:12" x14ac:dyDescent="0.35">
      <c r="A548" t="s">
        <v>1463</v>
      </c>
      <c r="B548" t="s">
        <v>1464</v>
      </c>
      <c r="C548" t="s">
        <v>1465</v>
      </c>
      <c r="D548" t="s">
        <v>32</v>
      </c>
      <c r="E548" t="s">
        <v>61</v>
      </c>
      <c r="F548" t="s">
        <v>25</v>
      </c>
      <c r="G548" t="s">
        <v>34</v>
      </c>
      <c r="H548">
        <v>5</v>
      </c>
      <c r="I548">
        <v>428.54</v>
      </c>
      <c r="J548">
        <v>2142.6999999999998</v>
      </c>
      <c r="K548" t="s">
        <v>1466</v>
      </c>
      <c r="L548" t="s">
        <v>45</v>
      </c>
    </row>
    <row r="549" spans="1:12" x14ac:dyDescent="0.35">
      <c r="A549" t="s">
        <v>1467</v>
      </c>
      <c r="B549" t="s">
        <v>98</v>
      </c>
      <c r="C549" t="s">
        <v>99</v>
      </c>
      <c r="D549" t="s">
        <v>14</v>
      </c>
      <c r="E549" t="s">
        <v>266</v>
      </c>
      <c r="F549" t="s">
        <v>50</v>
      </c>
      <c r="G549" t="s">
        <v>56</v>
      </c>
      <c r="H549">
        <v>1</v>
      </c>
      <c r="I549">
        <v>199.9</v>
      </c>
      <c r="J549">
        <v>199.9</v>
      </c>
      <c r="K549" t="s">
        <v>1468</v>
      </c>
      <c r="L549" t="s">
        <v>36</v>
      </c>
    </row>
    <row r="550" spans="1:12" x14ac:dyDescent="0.35">
      <c r="A550" t="s">
        <v>1469</v>
      </c>
      <c r="B550" t="s">
        <v>922</v>
      </c>
      <c r="C550" t="s">
        <v>923</v>
      </c>
      <c r="D550" t="s">
        <v>40</v>
      </c>
      <c r="E550" t="s">
        <v>79</v>
      </c>
      <c r="F550" t="s">
        <v>25</v>
      </c>
      <c r="G550" t="s">
        <v>62</v>
      </c>
      <c r="H550">
        <v>4</v>
      </c>
      <c r="I550">
        <v>1373.03</v>
      </c>
      <c r="J550">
        <v>5492.12</v>
      </c>
      <c r="K550" t="s">
        <v>1470</v>
      </c>
      <c r="L550" t="s">
        <v>45</v>
      </c>
    </row>
    <row r="551" spans="1:12" x14ac:dyDescent="0.35">
      <c r="A551" t="s">
        <v>1471</v>
      </c>
      <c r="B551" t="s">
        <v>817</v>
      </c>
      <c r="C551" t="s">
        <v>818</v>
      </c>
      <c r="D551" t="s">
        <v>67</v>
      </c>
      <c r="E551" t="s">
        <v>68</v>
      </c>
      <c r="F551" t="s">
        <v>50</v>
      </c>
      <c r="G551" t="s">
        <v>51</v>
      </c>
      <c r="H551">
        <v>1</v>
      </c>
      <c r="I551">
        <v>566.27</v>
      </c>
      <c r="J551">
        <v>566.27</v>
      </c>
      <c r="K551" t="s">
        <v>546</v>
      </c>
      <c r="L551" t="s">
        <v>36</v>
      </c>
    </row>
    <row r="552" spans="1:12" x14ac:dyDescent="0.35">
      <c r="A552" t="s">
        <v>1472</v>
      </c>
      <c r="B552" t="s">
        <v>947</v>
      </c>
      <c r="C552" t="s">
        <v>948</v>
      </c>
      <c r="D552" t="s">
        <v>67</v>
      </c>
      <c r="E552" t="s">
        <v>68</v>
      </c>
      <c r="F552" t="s">
        <v>42</v>
      </c>
      <c r="G552" t="s">
        <v>89</v>
      </c>
      <c r="H552">
        <v>1</v>
      </c>
      <c r="I552">
        <v>1359.58</v>
      </c>
      <c r="J552">
        <v>1359.58</v>
      </c>
      <c r="K552" t="s">
        <v>1075</v>
      </c>
      <c r="L552" t="s">
        <v>45</v>
      </c>
    </row>
    <row r="553" spans="1:12" x14ac:dyDescent="0.35">
      <c r="A553" t="s">
        <v>1473</v>
      </c>
      <c r="B553" t="s">
        <v>113</v>
      </c>
      <c r="C553" t="s">
        <v>114</v>
      </c>
      <c r="D553" t="s">
        <v>23</v>
      </c>
      <c r="E553" t="s">
        <v>49</v>
      </c>
      <c r="F553" t="s">
        <v>16</v>
      </c>
      <c r="G553" t="s">
        <v>182</v>
      </c>
      <c r="H553">
        <v>5</v>
      </c>
      <c r="I553">
        <v>181.94</v>
      </c>
      <c r="J553">
        <v>909.7</v>
      </c>
      <c r="K553" t="s">
        <v>1474</v>
      </c>
      <c r="L553" t="s">
        <v>91</v>
      </c>
    </row>
    <row r="554" spans="1:12" x14ac:dyDescent="0.35">
      <c r="A554" t="s">
        <v>1475</v>
      </c>
      <c r="B554" t="s">
        <v>59</v>
      </c>
      <c r="C554" t="s">
        <v>60</v>
      </c>
      <c r="D554" t="s">
        <v>67</v>
      </c>
      <c r="E554" t="s">
        <v>68</v>
      </c>
      <c r="F554" t="s">
        <v>101</v>
      </c>
      <c r="G554" t="s">
        <v>237</v>
      </c>
      <c r="H554">
        <v>5</v>
      </c>
      <c r="I554">
        <v>163.15</v>
      </c>
      <c r="J554">
        <v>815.75</v>
      </c>
      <c r="K554" t="s">
        <v>906</v>
      </c>
      <c r="L554" t="s">
        <v>36</v>
      </c>
    </row>
    <row r="555" spans="1:12" x14ac:dyDescent="0.35">
      <c r="A555" t="s">
        <v>1476</v>
      </c>
      <c r="B555" t="s">
        <v>460</v>
      </c>
      <c r="C555" t="s">
        <v>461</v>
      </c>
      <c r="D555" t="s">
        <v>40</v>
      </c>
      <c r="E555" t="s">
        <v>79</v>
      </c>
      <c r="F555" t="s">
        <v>50</v>
      </c>
      <c r="G555" t="s">
        <v>51</v>
      </c>
      <c r="H555">
        <v>2</v>
      </c>
      <c r="I555">
        <v>229.11</v>
      </c>
      <c r="J555">
        <v>458.22</v>
      </c>
      <c r="K555" t="s">
        <v>1054</v>
      </c>
      <c r="L555" t="s">
        <v>28</v>
      </c>
    </row>
    <row r="556" spans="1:12" x14ac:dyDescent="0.35">
      <c r="A556" t="s">
        <v>1477</v>
      </c>
      <c r="B556" t="s">
        <v>633</v>
      </c>
      <c r="C556" t="s">
        <v>634</v>
      </c>
      <c r="D556" t="s">
        <v>40</v>
      </c>
      <c r="E556" t="s">
        <v>120</v>
      </c>
      <c r="F556" t="s">
        <v>50</v>
      </c>
      <c r="G556" t="s">
        <v>56</v>
      </c>
      <c r="H556">
        <v>2</v>
      </c>
      <c r="I556">
        <v>890.12</v>
      </c>
      <c r="J556">
        <v>1780.24</v>
      </c>
      <c r="K556" t="s">
        <v>795</v>
      </c>
      <c r="L556" t="s">
        <v>19</v>
      </c>
    </row>
    <row r="557" spans="1:12" x14ac:dyDescent="0.35">
      <c r="A557" t="s">
        <v>1478</v>
      </c>
      <c r="B557" t="s">
        <v>1128</v>
      </c>
      <c r="C557" t="s">
        <v>1129</v>
      </c>
      <c r="D557" t="s">
        <v>40</v>
      </c>
      <c r="E557" t="s">
        <v>41</v>
      </c>
      <c r="F557" t="s">
        <v>25</v>
      </c>
      <c r="G557" t="s">
        <v>139</v>
      </c>
      <c r="H557">
        <v>4</v>
      </c>
      <c r="I557">
        <v>143.49</v>
      </c>
      <c r="J557">
        <v>573.96</v>
      </c>
      <c r="K557" t="s">
        <v>1479</v>
      </c>
      <c r="L557" t="s">
        <v>91</v>
      </c>
    </row>
    <row r="558" spans="1:12" x14ac:dyDescent="0.35">
      <c r="A558" t="s">
        <v>1480</v>
      </c>
      <c r="B558" t="s">
        <v>59</v>
      </c>
      <c r="C558" t="s">
        <v>60</v>
      </c>
      <c r="D558" t="s">
        <v>14</v>
      </c>
      <c r="E558" t="s">
        <v>100</v>
      </c>
      <c r="F558" t="s">
        <v>42</v>
      </c>
      <c r="G558" t="s">
        <v>80</v>
      </c>
      <c r="H558">
        <v>1</v>
      </c>
      <c r="I558">
        <v>349.2</v>
      </c>
      <c r="J558">
        <v>349.2</v>
      </c>
      <c r="K558" t="s">
        <v>1481</v>
      </c>
      <c r="L558" t="s">
        <v>36</v>
      </c>
    </row>
    <row r="559" spans="1:12" x14ac:dyDescent="0.35">
      <c r="A559" t="s">
        <v>1482</v>
      </c>
      <c r="B559" t="s">
        <v>1312</v>
      </c>
      <c r="C559" t="s">
        <v>1313</v>
      </c>
      <c r="D559" t="s">
        <v>23</v>
      </c>
      <c r="E559" t="s">
        <v>24</v>
      </c>
      <c r="F559" t="s">
        <v>25</v>
      </c>
      <c r="G559" t="s">
        <v>74</v>
      </c>
      <c r="H559">
        <v>3</v>
      </c>
      <c r="I559">
        <v>504.62</v>
      </c>
      <c r="J559">
        <v>1513.86</v>
      </c>
      <c r="K559" t="s">
        <v>1483</v>
      </c>
      <c r="L559" t="s">
        <v>28</v>
      </c>
    </row>
    <row r="560" spans="1:12" x14ac:dyDescent="0.35">
      <c r="A560" t="s">
        <v>1484</v>
      </c>
      <c r="B560" t="s">
        <v>206</v>
      </c>
      <c r="C560" t="s">
        <v>207</v>
      </c>
      <c r="D560" t="s">
        <v>67</v>
      </c>
      <c r="E560" t="s">
        <v>68</v>
      </c>
      <c r="F560" t="s">
        <v>50</v>
      </c>
      <c r="G560" t="s">
        <v>170</v>
      </c>
      <c r="H560">
        <v>4</v>
      </c>
      <c r="I560">
        <v>852.25</v>
      </c>
      <c r="J560">
        <v>3409</v>
      </c>
      <c r="K560" t="s">
        <v>1485</v>
      </c>
      <c r="L560" t="s">
        <v>36</v>
      </c>
    </row>
    <row r="561" spans="1:12" x14ac:dyDescent="0.35">
      <c r="A561" t="s">
        <v>1486</v>
      </c>
      <c r="B561" t="s">
        <v>446</v>
      </c>
      <c r="C561" t="s">
        <v>447</v>
      </c>
      <c r="D561" t="s">
        <v>32</v>
      </c>
      <c r="E561" t="s">
        <v>33</v>
      </c>
      <c r="F561" t="s">
        <v>42</v>
      </c>
      <c r="G561" t="s">
        <v>80</v>
      </c>
      <c r="H561">
        <v>5</v>
      </c>
      <c r="I561">
        <v>682.54</v>
      </c>
      <c r="J561">
        <v>3412.7</v>
      </c>
      <c r="K561" t="s">
        <v>1487</v>
      </c>
      <c r="L561" t="s">
        <v>28</v>
      </c>
    </row>
    <row r="562" spans="1:12" x14ac:dyDescent="0.35">
      <c r="A562" t="s">
        <v>1488</v>
      </c>
      <c r="B562" t="s">
        <v>1046</v>
      </c>
      <c r="C562" t="s">
        <v>1047</v>
      </c>
      <c r="D562" t="s">
        <v>67</v>
      </c>
      <c r="E562" t="s">
        <v>115</v>
      </c>
      <c r="F562" t="s">
        <v>50</v>
      </c>
      <c r="G562" t="s">
        <v>216</v>
      </c>
      <c r="H562">
        <v>4</v>
      </c>
      <c r="I562">
        <v>752.43</v>
      </c>
      <c r="J562">
        <v>3009.72</v>
      </c>
      <c r="K562" t="s">
        <v>1489</v>
      </c>
      <c r="L562" t="s">
        <v>45</v>
      </c>
    </row>
    <row r="563" spans="1:12" x14ac:dyDescent="0.35">
      <c r="A563" t="s">
        <v>1490</v>
      </c>
      <c r="B563" t="s">
        <v>1179</v>
      </c>
      <c r="C563" t="s">
        <v>1180</v>
      </c>
      <c r="D563" t="s">
        <v>67</v>
      </c>
      <c r="E563" t="s">
        <v>130</v>
      </c>
      <c r="F563" t="s">
        <v>50</v>
      </c>
      <c r="G563" t="s">
        <v>216</v>
      </c>
      <c r="H563">
        <v>4</v>
      </c>
      <c r="I563">
        <v>525.16</v>
      </c>
      <c r="J563">
        <v>2100.64</v>
      </c>
      <c r="K563" t="s">
        <v>1491</v>
      </c>
      <c r="L563" t="s">
        <v>19</v>
      </c>
    </row>
    <row r="564" spans="1:12" x14ac:dyDescent="0.35">
      <c r="A564" t="s">
        <v>1492</v>
      </c>
      <c r="B564" t="s">
        <v>791</v>
      </c>
      <c r="C564" t="s">
        <v>792</v>
      </c>
      <c r="D564" t="s">
        <v>67</v>
      </c>
      <c r="E564" t="s">
        <v>115</v>
      </c>
      <c r="F564" t="s">
        <v>25</v>
      </c>
      <c r="G564" t="s">
        <v>34</v>
      </c>
      <c r="H564">
        <v>4</v>
      </c>
      <c r="I564">
        <v>495.86</v>
      </c>
      <c r="J564">
        <v>1983.44</v>
      </c>
      <c r="K564" t="s">
        <v>906</v>
      </c>
      <c r="L564" t="s">
        <v>91</v>
      </c>
    </row>
    <row r="565" spans="1:12" x14ac:dyDescent="0.35">
      <c r="A565" t="s">
        <v>1493</v>
      </c>
      <c r="B565" t="s">
        <v>686</v>
      </c>
      <c r="C565" t="s">
        <v>687</v>
      </c>
      <c r="D565" t="s">
        <v>32</v>
      </c>
      <c r="E565" t="s">
        <v>203</v>
      </c>
      <c r="F565" t="s">
        <v>50</v>
      </c>
      <c r="G565" t="s">
        <v>56</v>
      </c>
      <c r="H565">
        <v>5</v>
      </c>
      <c r="I565">
        <v>177.93</v>
      </c>
      <c r="J565">
        <v>889.65</v>
      </c>
      <c r="K565" t="s">
        <v>1494</v>
      </c>
      <c r="L565" t="s">
        <v>19</v>
      </c>
    </row>
    <row r="566" spans="1:12" x14ac:dyDescent="0.35">
      <c r="A566" t="s">
        <v>1495</v>
      </c>
      <c r="B566" t="s">
        <v>1496</v>
      </c>
      <c r="C566" t="s">
        <v>1497</v>
      </c>
      <c r="D566" t="s">
        <v>67</v>
      </c>
      <c r="E566" t="s">
        <v>68</v>
      </c>
      <c r="F566" t="s">
        <v>25</v>
      </c>
      <c r="G566" t="s">
        <v>139</v>
      </c>
      <c r="H566">
        <v>5</v>
      </c>
      <c r="I566">
        <v>125.97</v>
      </c>
      <c r="J566">
        <v>629.85</v>
      </c>
      <c r="K566" t="s">
        <v>1498</v>
      </c>
      <c r="L566" t="s">
        <v>28</v>
      </c>
    </row>
    <row r="567" spans="1:12" x14ac:dyDescent="0.35">
      <c r="A567" t="s">
        <v>1499</v>
      </c>
      <c r="B567" t="s">
        <v>755</v>
      </c>
      <c r="C567" t="s">
        <v>756</v>
      </c>
      <c r="D567" t="s">
        <v>23</v>
      </c>
      <c r="E567" t="s">
        <v>24</v>
      </c>
      <c r="F567" t="s">
        <v>16</v>
      </c>
      <c r="G567" t="s">
        <v>17</v>
      </c>
      <c r="H567">
        <v>5</v>
      </c>
      <c r="I567">
        <v>887.4</v>
      </c>
      <c r="J567">
        <v>4437</v>
      </c>
      <c r="K567" t="s">
        <v>1336</v>
      </c>
      <c r="L567" t="s">
        <v>45</v>
      </c>
    </row>
    <row r="568" spans="1:12" x14ac:dyDescent="0.35">
      <c r="A568" t="s">
        <v>1500</v>
      </c>
      <c r="B568" t="s">
        <v>1191</v>
      </c>
      <c r="C568" t="s">
        <v>1192</v>
      </c>
      <c r="D568" t="s">
        <v>14</v>
      </c>
      <c r="E568" t="s">
        <v>100</v>
      </c>
      <c r="F568" t="s">
        <v>25</v>
      </c>
      <c r="G568" t="s">
        <v>34</v>
      </c>
      <c r="H568">
        <v>2</v>
      </c>
      <c r="I568">
        <v>588.36</v>
      </c>
      <c r="J568">
        <v>1176.72</v>
      </c>
      <c r="K568" t="s">
        <v>1501</v>
      </c>
      <c r="L568" t="s">
        <v>19</v>
      </c>
    </row>
    <row r="569" spans="1:12" x14ac:dyDescent="0.35">
      <c r="A569" t="s">
        <v>1502</v>
      </c>
      <c r="B569" t="s">
        <v>228</v>
      </c>
      <c r="C569" t="s">
        <v>229</v>
      </c>
      <c r="D569" t="s">
        <v>32</v>
      </c>
      <c r="E569" t="s">
        <v>33</v>
      </c>
      <c r="F569" t="s">
        <v>16</v>
      </c>
      <c r="G569" t="s">
        <v>230</v>
      </c>
      <c r="H569">
        <v>5</v>
      </c>
      <c r="I569">
        <v>324.95999999999998</v>
      </c>
      <c r="J569">
        <v>1624.8</v>
      </c>
      <c r="K569" t="s">
        <v>1503</v>
      </c>
      <c r="L569" t="s">
        <v>19</v>
      </c>
    </row>
    <row r="570" spans="1:12" x14ac:dyDescent="0.35">
      <c r="A570" t="s">
        <v>1504</v>
      </c>
      <c r="B570" t="s">
        <v>77</v>
      </c>
      <c r="C570" t="s">
        <v>78</v>
      </c>
      <c r="D570" t="s">
        <v>32</v>
      </c>
      <c r="E570" t="s">
        <v>33</v>
      </c>
      <c r="F570" t="s">
        <v>50</v>
      </c>
      <c r="G570" t="s">
        <v>216</v>
      </c>
      <c r="H570">
        <v>5</v>
      </c>
      <c r="I570">
        <v>599.14</v>
      </c>
      <c r="J570">
        <v>2995.7</v>
      </c>
      <c r="K570" t="s">
        <v>1505</v>
      </c>
      <c r="L570" t="s">
        <v>36</v>
      </c>
    </row>
    <row r="571" spans="1:12" x14ac:dyDescent="0.35">
      <c r="A571" t="s">
        <v>1506</v>
      </c>
      <c r="B571" t="s">
        <v>189</v>
      </c>
      <c r="C571" t="s">
        <v>190</v>
      </c>
      <c r="D571" t="s">
        <v>40</v>
      </c>
      <c r="E571" t="s">
        <v>79</v>
      </c>
      <c r="F571" t="s">
        <v>101</v>
      </c>
      <c r="G571" t="s">
        <v>237</v>
      </c>
      <c r="H571">
        <v>1</v>
      </c>
      <c r="I571">
        <v>1493.16</v>
      </c>
      <c r="J571">
        <v>1493.16</v>
      </c>
      <c r="K571" t="s">
        <v>1507</v>
      </c>
      <c r="L571" t="s">
        <v>19</v>
      </c>
    </row>
    <row r="572" spans="1:12" x14ac:dyDescent="0.35">
      <c r="A572" t="s">
        <v>1508</v>
      </c>
      <c r="B572" t="s">
        <v>47</v>
      </c>
      <c r="C572" t="s">
        <v>48</v>
      </c>
      <c r="D572" t="s">
        <v>14</v>
      </c>
      <c r="E572" t="s">
        <v>95</v>
      </c>
      <c r="F572" t="s">
        <v>25</v>
      </c>
      <c r="G572" t="s">
        <v>26</v>
      </c>
      <c r="H572">
        <v>1</v>
      </c>
      <c r="I572">
        <v>1376.21</v>
      </c>
      <c r="J572">
        <v>1376.21</v>
      </c>
      <c r="K572" t="s">
        <v>107</v>
      </c>
      <c r="L572" t="s">
        <v>36</v>
      </c>
    </row>
    <row r="573" spans="1:12" x14ac:dyDescent="0.35">
      <c r="A573" t="s">
        <v>1509</v>
      </c>
      <c r="B573" t="s">
        <v>1510</v>
      </c>
      <c r="C573" t="s">
        <v>1511</v>
      </c>
      <c r="D573" t="s">
        <v>67</v>
      </c>
      <c r="E573" t="s">
        <v>68</v>
      </c>
      <c r="F573" t="s">
        <v>42</v>
      </c>
      <c r="G573" t="s">
        <v>170</v>
      </c>
      <c r="H573">
        <v>2</v>
      </c>
      <c r="I573">
        <v>493.84</v>
      </c>
      <c r="J573">
        <v>987.68</v>
      </c>
      <c r="K573" t="s">
        <v>1512</v>
      </c>
      <c r="L573" t="s">
        <v>19</v>
      </c>
    </row>
    <row r="574" spans="1:12" x14ac:dyDescent="0.35">
      <c r="A574" t="s">
        <v>1513</v>
      </c>
      <c r="B574" t="s">
        <v>180</v>
      </c>
      <c r="C574" t="s">
        <v>181</v>
      </c>
      <c r="D574" t="s">
        <v>67</v>
      </c>
      <c r="E574" t="s">
        <v>115</v>
      </c>
      <c r="F574" t="s">
        <v>16</v>
      </c>
      <c r="G574" t="s">
        <v>230</v>
      </c>
      <c r="H574">
        <v>1</v>
      </c>
      <c r="I574">
        <v>1222.45</v>
      </c>
      <c r="J574">
        <v>1222.45</v>
      </c>
      <c r="K574" t="s">
        <v>952</v>
      </c>
      <c r="L574" t="s">
        <v>28</v>
      </c>
    </row>
    <row r="575" spans="1:12" x14ac:dyDescent="0.35">
      <c r="A575" t="s">
        <v>1514</v>
      </c>
      <c r="B575" t="s">
        <v>1496</v>
      </c>
      <c r="C575" t="s">
        <v>1497</v>
      </c>
      <c r="D575" t="s">
        <v>14</v>
      </c>
      <c r="E575" t="s">
        <v>15</v>
      </c>
      <c r="F575" t="s">
        <v>50</v>
      </c>
      <c r="G575" t="s">
        <v>51</v>
      </c>
      <c r="H575">
        <v>3</v>
      </c>
      <c r="I575">
        <v>1251</v>
      </c>
      <c r="J575">
        <v>3753</v>
      </c>
      <c r="K575" t="s">
        <v>1048</v>
      </c>
      <c r="L575" t="s">
        <v>45</v>
      </c>
    </row>
    <row r="576" spans="1:12" x14ac:dyDescent="0.35">
      <c r="A576" t="s">
        <v>1515</v>
      </c>
      <c r="B576" t="s">
        <v>1516</v>
      </c>
      <c r="C576" t="s">
        <v>1517</v>
      </c>
      <c r="D576" t="s">
        <v>14</v>
      </c>
      <c r="E576" t="s">
        <v>125</v>
      </c>
      <c r="F576" t="s">
        <v>16</v>
      </c>
      <c r="G576" t="s">
        <v>230</v>
      </c>
      <c r="H576">
        <v>4</v>
      </c>
      <c r="I576">
        <v>1028.29</v>
      </c>
      <c r="J576">
        <v>4113.16</v>
      </c>
      <c r="K576" t="s">
        <v>1518</v>
      </c>
      <c r="L576" t="s">
        <v>28</v>
      </c>
    </row>
    <row r="577" spans="1:12" x14ac:dyDescent="0.35">
      <c r="A577" t="s">
        <v>1519</v>
      </c>
      <c r="B577" t="s">
        <v>435</v>
      </c>
      <c r="C577" t="s">
        <v>436</v>
      </c>
      <c r="D577" t="s">
        <v>67</v>
      </c>
      <c r="E577" t="s">
        <v>130</v>
      </c>
      <c r="F577" t="s">
        <v>42</v>
      </c>
      <c r="G577" t="s">
        <v>170</v>
      </c>
      <c r="H577">
        <v>5</v>
      </c>
      <c r="I577">
        <v>1387.23</v>
      </c>
      <c r="J577">
        <v>6936.15</v>
      </c>
      <c r="K577" t="s">
        <v>1520</v>
      </c>
      <c r="L577" t="s">
        <v>36</v>
      </c>
    </row>
    <row r="578" spans="1:12" x14ac:dyDescent="0.35">
      <c r="A578" t="s">
        <v>1521</v>
      </c>
      <c r="B578" t="s">
        <v>470</v>
      </c>
      <c r="C578" t="s">
        <v>471</v>
      </c>
      <c r="D578" t="s">
        <v>23</v>
      </c>
      <c r="E578" t="s">
        <v>338</v>
      </c>
      <c r="F578" t="s">
        <v>101</v>
      </c>
      <c r="G578" t="s">
        <v>237</v>
      </c>
      <c r="H578">
        <v>2</v>
      </c>
      <c r="I578">
        <v>613.28</v>
      </c>
      <c r="J578">
        <v>1226.56</v>
      </c>
      <c r="K578" t="s">
        <v>371</v>
      </c>
      <c r="L578" t="s">
        <v>45</v>
      </c>
    </row>
    <row r="579" spans="1:12" x14ac:dyDescent="0.35">
      <c r="A579" t="s">
        <v>1522</v>
      </c>
      <c r="B579" t="s">
        <v>1523</v>
      </c>
      <c r="C579" t="s">
        <v>1524</v>
      </c>
      <c r="D579" t="s">
        <v>32</v>
      </c>
      <c r="E579" t="s">
        <v>203</v>
      </c>
      <c r="F579" t="s">
        <v>16</v>
      </c>
      <c r="G579" t="s">
        <v>177</v>
      </c>
      <c r="H579">
        <v>3</v>
      </c>
      <c r="I579">
        <v>450.84</v>
      </c>
      <c r="J579">
        <v>1352.52</v>
      </c>
      <c r="K579" t="s">
        <v>1103</v>
      </c>
      <c r="L579" t="s">
        <v>36</v>
      </c>
    </row>
    <row r="580" spans="1:12" x14ac:dyDescent="0.35">
      <c r="A580" t="s">
        <v>1525</v>
      </c>
      <c r="B580" t="s">
        <v>785</v>
      </c>
      <c r="C580" t="s">
        <v>786</v>
      </c>
      <c r="D580" t="s">
        <v>32</v>
      </c>
      <c r="E580" t="s">
        <v>203</v>
      </c>
      <c r="F580" t="s">
        <v>16</v>
      </c>
      <c r="G580" t="s">
        <v>230</v>
      </c>
      <c r="H580">
        <v>1</v>
      </c>
      <c r="I580">
        <v>77.56</v>
      </c>
      <c r="J580">
        <v>77.56</v>
      </c>
      <c r="K580" t="s">
        <v>1032</v>
      </c>
      <c r="L580" t="s">
        <v>91</v>
      </c>
    </row>
    <row r="581" spans="1:12" x14ac:dyDescent="0.35">
      <c r="A581" t="s">
        <v>1526</v>
      </c>
      <c r="B581" t="s">
        <v>1340</v>
      </c>
      <c r="C581" t="s">
        <v>1341</v>
      </c>
      <c r="D581" t="s">
        <v>23</v>
      </c>
      <c r="E581" t="s">
        <v>338</v>
      </c>
      <c r="F581" t="s">
        <v>16</v>
      </c>
      <c r="G581" t="s">
        <v>230</v>
      </c>
      <c r="H581">
        <v>2</v>
      </c>
      <c r="I581">
        <v>1286.54</v>
      </c>
      <c r="J581">
        <v>2573.08</v>
      </c>
      <c r="K581" t="s">
        <v>697</v>
      </c>
      <c r="L581" t="s">
        <v>91</v>
      </c>
    </row>
    <row r="582" spans="1:12" x14ac:dyDescent="0.35">
      <c r="A582" t="s">
        <v>1527</v>
      </c>
      <c r="B582" t="s">
        <v>711</v>
      </c>
      <c r="C582" t="s">
        <v>712</v>
      </c>
      <c r="D582" t="s">
        <v>14</v>
      </c>
      <c r="E582" t="s">
        <v>100</v>
      </c>
      <c r="F582" t="s">
        <v>101</v>
      </c>
      <c r="G582" t="s">
        <v>373</v>
      </c>
      <c r="H582">
        <v>1</v>
      </c>
      <c r="I582">
        <v>1422.83</v>
      </c>
      <c r="J582">
        <v>1422.83</v>
      </c>
      <c r="K582" t="s">
        <v>1528</v>
      </c>
      <c r="L582" t="s">
        <v>36</v>
      </c>
    </row>
    <row r="583" spans="1:12" x14ac:dyDescent="0.35">
      <c r="A583" t="s">
        <v>1529</v>
      </c>
      <c r="B583" t="s">
        <v>703</v>
      </c>
      <c r="C583" t="s">
        <v>704</v>
      </c>
      <c r="D583" t="s">
        <v>14</v>
      </c>
      <c r="E583" t="s">
        <v>15</v>
      </c>
      <c r="F583" t="s">
        <v>25</v>
      </c>
      <c r="G583" t="s">
        <v>74</v>
      </c>
      <c r="H583">
        <v>3</v>
      </c>
      <c r="I583">
        <v>133.82</v>
      </c>
      <c r="J583">
        <v>401.46</v>
      </c>
      <c r="K583" t="s">
        <v>1530</v>
      </c>
      <c r="L583" t="s">
        <v>45</v>
      </c>
    </row>
    <row r="584" spans="1:12" x14ac:dyDescent="0.35">
      <c r="A584" t="s">
        <v>1531</v>
      </c>
      <c r="B584" t="s">
        <v>1532</v>
      </c>
      <c r="C584" t="s">
        <v>1533</v>
      </c>
      <c r="D584" t="s">
        <v>14</v>
      </c>
      <c r="E584" t="s">
        <v>15</v>
      </c>
      <c r="F584" t="s">
        <v>42</v>
      </c>
      <c r="G584" t="s">
        <v>80</v>
      </c>
      <c r="H584">
        <v>4</v>
      </c>
      <c r="I584">
        <v>264.35000000000002</v>
      </c>
      <c r="J584">
        <v>1057.4000000000001</v>
      </c>
      <c r="K584" t="s">
        <v>1534</v>
      </c>
      <c r="L584" t="s">
        <v>91</v>
      </c>
    </row>
    <row r="585" spans="1:12" x14ac:dyDescent="0.35">
      <c r="A585" t="s">
        <v>1535</v>
      </c>
      <c r="B585" t="s">
        <v>87</v>
      </c>
      <c r="C585" t="s">
        <v>88</v>
      </c>
      <c r="D585" t="s">
        <v>67</v>
      </c>
      <c r="E585" t="s">
        <v>130</v>
      </c>
      <c r="F585" t="s">
        <v>50</v>
      </c>
      <c r="G585" t="s">
        <v>51</v>
      </c>
      <c r="H585">
        <v>1</v>
      </c>
      <c r="I585">
        <v>1346.64</v>
      </c>
      <c r="J585">
        <v>1346.64</v>
      </c>
      <c r="K585" t="s">
        <v>1536</v>
      </c>
      <c r="L585" t="s">
        <v>91</v>
      </c>
    </row>
    <row r="586" spans="1:12" x14ac:dyDescent="0.35">
      <c r="A586" t="s">
        <v>1537</v>
      </c>
      <c r="B586" t="s">
        <v>1159</v>
      </c>
      <c r="C586" t="s">
        <v>1160</v>
      </c>
      <c r="D586" t="s">
        <v>23</v>
      </c>
      <c r="E586" t="s">
        <v>338</v>
      </c>
      <c r="F586" t="s">
        <v>42</v>
      </c>
      <c r="G586" t="s">
        <v>225</v>
      </c>
      <c r="H586">
        <v>2</v>
      </c>
      <c r="I586">
        <v>1449.05</v>
      </c>
      <c r="J586">
        <v>2898.1</v>
      </c>
      <c r="K586" t="s">
        <v>679</v>
      </c>
      <c r="L586" t="s">
        <v>45</v>
      </c>
    </row>
    <row r="587" spans="1:12" x14ac:dyDescent="0.35">
      <c r="A587" t="s">
        <v>1538</v>
      </c>
      <c r="B587" t="s">
        <v>1153</v>
      </c>
      <c r="C587" t="s">
        <v>1154</v>
      </c>
      <c r="D587" t="s">
        <v>23</v>
      </c>
      <c r="E587" t="s">
        <v>24</v>
      </c>
      <c r="F587" t="s">
        <v>16</v>
      </c>
      <c r="G587" t="s">
        <v>182</v>
      </c>
      <c r="H587">
        <v>4</v>
      </c>
      <c r="I587">
        <v>914.54</v>
      </c>
      <c r="J587">
        <v>3658.16</v>
      </c>
      <c r="K587" t="s">
        <v>662</v>
      </c>
      <c r="L587" t="s">
        <v>36</v>
      </c>
    </row>
    <row r="588" spans="1:12" x14ac:dyDescent="0.35">
      <c r="A588" t="s">
        <v>1539</v>
      </c>
      <c r="B588" t="s">
        <v>412</v>
      </c>
      <c r="C588" t="s">
        <v>413</v>
      </c>
      <c r="D588" t="s">
        <v>14</v>
      </c>
      <c r="E588" t="s">
        <v>266</v>
      </c>
      <c r="F588" t="s">
        <v>50</v>
      </c>
      <c r="G588" t="s">
        <v>69</v>
      </c>
      <c r="H588">
        <v>4</v>
      </c>
      <c r="I588">
        <v>1476.69</v>
      </c>
      <c r="J588">
        <v>5906.76</v>
      </c>
      <c r="K588" t="s">
        <v>1540</v>
      </c>
      <c r="L588" t="s">
        <v>36</v>
      </c>
    </row>
    <row r="589" spans="1:12" x14ac:dyDescent="0.35">
      <c r="A589" t="s">
        <v>1541</v>
      </c>
      <c r="B589" t="s">
        <v>146</v>
      </c>
      <c r="C589" t="s">
        <v>147</v>
      </c>
      <c r="D589" t="s">
        <v>32</v>
      </c>
      <c r="E589" t="s">
        <v>33</v>
      </c>
      <c r="F589" t="s">
        <v>101</v>
      </c>
      <c r="G589" t="s">
        <v>237</v>
      </c>
      <c r="H589">
        <v>3</v>
      </c>
      <c r="I589">
        <v>782.71</v>
      </c>
      <c r="J589">
        <v>2348.13</v>
      </c>
      <c r="K589" t="s">
        <v>1542</v>
      </c>
      <c r="L589" t="s">
        <v>45</v>
      </c>
    </row>
    <row r="590" spans="1:12" x14ac:dyDescent="0.35">
      <c r="A590" t="s">
        <v>1543</v>
      </c>
      <c r="B590" t="s">
        <v>1464</v>
      </c>
      <c r="C590" t="s">
        <v>1465</v>
      </c>
      <c r="D590" t="s">
        <v>23</v>
      </c>
      <c r="E590" t="s">
        <v>338</v>
      </c>
      <c r="F590" t="s">
        <v>25</v>
      </c>
      <c r="G590" t="s">
        <v>74</v>
      </c>
      <c r="H590">
        <v>4</v>
      </c>
      <c r="I590">
        <v>1358.09</v>
      </c>
      <c r="J590">
        <v>5432.36</v>
      </c>
      <c r="K590" t="s">
        <v>1544</v>
      </c>
      <c r="L590" t="s">
        <v>36</v>
      </c>
    </row>
    <row r="591" spans="1:12" x14ac:dyDescent="0.35">
      <c r="A591" t="s">
        <v>1545</v>
      </c>
      <c r="B591" t="s">
        <v>1428</v>
      </c>
      <c r="C591" t="s">
        <v>1429</v>
      </c>
      <c r="D591" t="s">
        <v>23</v>
      </c>
      <c r="E591" t="s">
        <v>24</v>
      </c>
      <c r="F591" t="s">
        <v>42</v>
      </c>
      <c r="G591" t="s">
        <v>43</v>
      </c>
      <c r="H591">
        <v>5</v>
      </c>
      <c r="I591">
        <v>383.1</v>
      </c>
      <c r="J591">
        <v>1915.5</v>
      </c>
      <c r="K591" t="s">
        <v>27</v>
      </c>
      <c r="L591" t="s">
        <v>28</v>
      </c>
    </row>
    <row r="592" spans="1:12" x14ac:dyDescent="0.35">
      <c r="A592" t="s">
        <v>1546</v>
      </c>
      <c r="B592" t="s">
        <v>1191</v>
      </c>
      <c r="C592" t="s">
        <v>1192</v>
      </c>
      <c r="D592" t="s">
        <v>40</v>
      </c>
      <c r="E592" t="s">
        <v>41</v>
      </c>
      <c r="F592" t="s">
        <v>16</v>
      </c>
      <c r="G592" t="s">
        <v>17</v>
      </c>
      <c r="H592">
        <v>5</v>
      </c>
      <c r="I592">
        <v>1399.21</v>
      </c>
      <c r="J592">
        <v>6996.05</v>
      </c>
      <c r="K592" t="s">
        <v>1547</v>
      </c>
      <c r="L592" t="s">
        <v>45</v>
      </c>
    </row>
    <row r="593" spans="1:12" x14ac:dyDescent="0.35">
      <c r="A593" t="s">
        <v>1548</v>
      </c>
      <c r="B593" t="s">
        <v>853</v>
      </c>
      <c r="C593" t="s">
        <v>854</v>
      </c>
      <c r="D593" t="s">
        <v>32</v>
      </c>
      <c r="E593" t="s">
        <v>33</v>
      </c>
      <c r="F593" t="s">
        <v>50</v>
      </c>
      <c r="G593" t="s">
        <v>69</v>
      </c>
      <c r="H593">
        <v>1</v>
      </c>
      <c r="I593">
        <v>563.28</v>
      </c>
      <c r="J593">
        <v>563.28</v>
      </c>
      <c r="K593" t="s">
        <v>1549</v>
      </c>
      <c r="L593" t="s">
        <v>45</v>
      </c>
    </row>
    <row r="594" spans="1:12" x14ac:dyDescent="0.35">
      <c r="A594" t="s">
        <v>1550</v>
      </c>
      <c r="B594" t="s">
        <v>1149</v>
      </c>
      <c r="C594" t="s">
        <v>1150</v>
      </c>
      <c r="D594" t="s">
        <v>23</v>
      </c>
      <c r="E594" t="s">
        <v>24</v>
      </c>
      <c r="F594" t="s">
        <v>50</v>
      </c>
      <c r="G594" t="s">
        <v>56</v>
      </c>
      <c r="H594">
        <v>1</v>
      </c>
      <c r="I594">
        <v>979.64</v>
      </c>
      <c r="J594">
        <v>979.64</v>
      </c>
      <c r="K594" t="s">
        <v>1551</v>
      </c>
      <c r="L594" t="s">
        <v>91</v>
      </c>
    </row>
    <row r="595" spans="1:12" x14ac:dyDescent="0.35">
      <c r="A595" t="s">
        <v>1552</v>
      </c>
      <c r="B595" t="s">
        <v>98</v>
      </c>
      <c r="C595" t="s">
        <v>99</v>
      </c>
      <c r="D595" t="s">
        <v>67</v>
      </c>
      <c r="E595" t="s">
        <v>115</v>
      </c>
      <c r="F595" t="s">
        <v>101</v>
      </c>
      <c r="G595" t="s">
        <v>165</v>
      </c>
      <c r="H595">
        <v>1</v>
      </c>
      <c r="I595">
        <v>301.27999999999997</v>
      </c>
      <c r="J595">
        <v>301.27999999999997</v>
      </c>
      <c r="K595" t="s">
        <v>1553</v>
      </c>
      <c r="L595" t="s">
        <v>45</v>
      </c>
    </row>
    <row r="596" spans="1:12" x14ac:dyDescent="0.35">
      <c r="A596" t="s">
        <v>1554</v>
      </c>
      <c r="B596" t="s">
        <v>904</v>
      </c>
      <c r="C596" t="s">
        <v>905</v>
      </c>
      <c r="D596" t="s">
        <v>40</v>
      </c>
      <c r="E596" t="s">
        <v>79</v>
      </c>
      <c r="F596" t="s">
        <v>16</v>
      </c>
      <c r="G596" t="s">
        <v>177</v>
      </c>
      <c r="H596">
        <v>1</v>
      </c>
      <c r="I596">
        <v>437.48</v>
      </c>
      <c r="J596">
        <v>437.48</v>
      </c>
      <c r="K596" t="s">
        <v>862</v>
      </c>
      <c r="L596" t="s">
        <v>19</v>
      </c>
    </row>
    <row r="597" spans="1:12" x14ac:dyDescent="0.35">
      <c r="A597" t="s">
        <v>1555</v>
      </c>
      <c r="B597" t="s">
        <v>1444</v>
      </c>
      <c r="C597" t="s">
        <v>1445</v>
      </c>
      <c r="D597" t="s">
        <v>32</v>
      </c>
      <c r="E597" t="s">
        <v>33</v>
      </c>
      <c r="F597" t="s">
        <v>42</v>
      </c>
      <c r="G597" t="s">
        <v>225</v>
      </c>
      <c r="H597">
        <v>3</v>
      </c>
      <c r="I597">
        <v>717.95</v>
      </c>
      <c r="J597">
        <v>2153.85</v>
      </c>
      <c r="K597" t="s">
        <v>277</v>
      </c>
      <c r="L597" t="s">
        <v>19</v>
      </c>
    </row>
    <row r="598" spans="1:12" x14ac:dyDescent="0.35">
      <c r="A598" t="s">
        <v>1556</v>
      </c>
      <c r="B598" t="s">
        <v>751</v>
      </c>
      <c r="C598" t="s">
        <v>752</v>
      </c>
      <c r="D598" t="s">
        <v>32</v>
      </c>
      <c r="E598" t="s">
        <v>61</v>
      </c>
      <c r="F598" t="s">
        <v>42</v>
      </c>
      <c r="G598" t="s">
        <v>89</v>
      </c>
      <c r="H598">
        <v>5</v>
      </c>
      <c r="I598">
        <v>1293.53</v>
      </c>
      <c r="J598">
        <v>6467.65</v>
      </c>
      <c r="K598" t="s">
        <v>546</v>
      </c>
      <c r="L598" t="s">
        <v>91</v>
      </c>
    </row>
    <row r="599" spans="1:12" x14ac:dyDescent="0.35">
      <c r="A599" t="s">
        <v>1557</v>
      </c>
      <c r="B599" t="s">
        <v>105</v>
      </c>
      <c r="C599" t="s">
        <v>106</v>
      </c>
      <c r="D599" t="s">
        <v>23</v>
      </c>
      <c r="E599" t="s">
        <v>338</v>
      </c>
      <c r="F599" t="s">
        <v>25</v>
      </c>
      <c r="G599" t="s">
        <v>62</v>
      </c>
      <c r="H599">
        <v>3</v>
      </c>
      <c r="I599">
        <v>148.72</v>
      </c>
      <c r="J599">
        <v>446.16</v>
      </c>
      <c r="K599" t="s">
        <v>1558</v>
      </c>
      <c r="L599" t="s">
        <v>28</v>
      </c>
    </row>
    <row r="600" spans="1:12" x14ac:dyDescent="0.35">
      <c r="A600" t="s">
        <v>1559</v>
      </c>
      <c r="B600" t="s">
        <v>109</v>
      </c>
      <c r="C600" t="s">
        <v>110</v>
      </c>
      <c r="D600" t="s">
        <v>67</v>
      </c>
      <c r="E600" t="s">
        <v>68</v>
      </c>
      <c r="F600" t="s">
        <v>42</v>
      </c>
      <c r="G600" t="s">
        <v>43</v>
      </c>
      <c r="H600">
        <v>3</v>
      </c>
      <c r="I600">
        <v>811.33</v>
      </c>
      <c r="J600">
        <v>2433.9899999999998</v>
      </c>
      <c r="K600" t="s">
        <v>1560</v>
      </c>
      <c r="L600" t="s">
        <v>91</v>
      </c>
    </row>
    <row r="601" spans="1:12" x14ac:dyDescent="0.35">
      <c r="A601" t="s">
        <v>1561</v>
      </c>
      <c r="B601" t="s">
        <v>751</v>
      </c>
      <c r="C601" t="s">
        <v>752</v>
      </c>
      <c r="D601" t="s">
        <v>67</v>
      </c>
      <c r="E601" t="s">
        <v>115</v>
      </c>
      <c r="F601" t="s">
        <v>25</v>
      </c>
      <c r="G601" t="s">
        <v>74</v>
      </c>
      <c r="H601">
        <v>3</v>
      </c>
      <c r="I601">
        <v>1029.08</v>
      </c>
      <c r="J601">
        <v>3087.24</v>
      </c>
      <c r="K601" t="s">
        <v>1562</v>
      </c>
      <c r="L601" t="s">
        <v>28</v>
      </c>
    </row>
    <row r="602" spans="1:12" x14ac:dyDescent="0.35">
      <c r="A602" t="s">
        <v>1563</v>
      </c>
      <c r="B602" t="s">
        <v>699</v>
      </c>
      <c r="C602" t="s">
        <v>700</v>
      </c>
      <c r="D602" t="s">
        <v>67</v>
      </c>
      <c r="E602" t="s">
        <v>130</v>
      </c>
      <c r="F602" t="s">
        <v>50</v>
      </c>
      <c r="G602" t="s">
        <v>56</v>
      </c>
      <c r="H602">
        <v>4</v>
      </c>
      <c r="I602">
        <v>731.28</v>
      </c>
      <c r="J602">
        <v>2925.12</v>
      </c>
      <c r="K602" t="s">
        <v>1564</v>
      </c>
      <c r="L602" t="s">
        <v>45</v>
      </c>
    </row>
    <row r="603" spans="1:12" x14ac:dyDescent="0.35">
      <c r="A603" t="s">
        <v>1565</v>
      </c>
      <c r="B603" t="s">
        <v>602</v>
      </c>
      <c r="C603" t="s">
        <v>603</v>
      </c>
      <c r="D603" t="s">
        <v>67</v>
      </c>
      <c r="E603" t="s">
        <v>68</v>
      </c>
      <c r="F603" t="s">
        <v>42</v>
      </c>
      <c r="G603" t="s">
        <v>170</v>
      </c>
      <c r="H603">
        <v>5</v>
      </c>
      <c r="I603">
        <v>987.87</v>
      </c>
      <c r="J603">
        <v>4939.3500000000004</v>
      </c>
      <c r="K603" t="s">
        <v>777</v>
      </c>
      <c r="L603" t="s">
        <v>28</v>
      </c>
    </row>
    <row r="604" spans="1:12" x14ac:dyDescent="0.35">
      <c r="A604" t="s">
        <v>1566</v>
      </c>
      <c r="B604" t="s">
        <v>552</v>
      </c>
      <c r="C604" t="s">
        <v>553</v>
      </c>
      <c r="D604" t="s">
        <v>40</v>
      </c>
      <c r="E604" t="s">
        <v>120</v>
      </c>
      <c r="F604" t="s">
        <v>42</v>
      </c>
      <c r="G604" t="s">
        <v>43</v>
      </c>
      <c r="H604">
        <v>5</v>
      </c>
      <c r="I604">
        <v>1375.61</v>
      </c>
      <c r="J604">
        <v>6878.05</v>
      </c>
      <c r="K604" t="s">
        <v>1567</v>
      </c>
      <c r="L604" t="s">
        <v>36</v>
      </c>
    </row>
    <row r="605" spans="1:12" x14ac:dyDescent="0.35">
      <c r="A605" t="s">
        <v>1568</v>
      </c>
      <c r="B605" t="s">
        <v>868</v>
      </c>
      <c r="C605" t="s">
        <v>869</v>
      </c>
      <c r="D605" t="s">
        <v>23</v>
      </c>
      <c r="E605" t="s">
        <v>24</v>
      </c>
      <c r="F605" t="s">
        <v>25</v>
      </c>
      <c r="G605" t="s">
        <v>26</v>
      </c>
      <c r="H605">
        <v>5</v>
      </c>
      <c r="I605">
        <v>1375.24</v>
      </c>
      <c r="J605">
        <v>6876.2</v>
      </c>
      <c r="K605" t="s">
        <v>1569</v>
      </c>
      <c r="L605" t="s">
        <v>19</v>
      </c>
    </row>
    <row r="606" spans="1:12" x14ac:dyDescent="0.35">
      <c r="A606" t="s">
        <v>1570</v>
      </c>
      <c r="B606" t="s">
        <v>291</v>
      </c>
      <c r="C606" t="s">
        <v>292</v>
      </c>
      <c r="D606" t="s">
        <v>23</v>
      </c>
      <c r="E606" t="s">
        <v>49</v>
      </c>
      <c r="F606" t="s">
        <v>42</v>
      </c>
      <c r="G606" t="s">
        <v>170</v>
      </c>
      <c r="H606">
        <v>2</v>
      </c>
      <c r="I606">
        <v>820.77</v>
      </c>
      <c r="J606">
        <v>1641.54</v>
      </c>
      <c r="K606" t="s">
        <v>277</v>
      </c>
      <c r="L606" t="s">
        <v>45</v>
      </c>
    </row>
    <row r="607" spans="1:12" x14ac:dyDescent="0.35">
      <c r="A607" t="s">
        <v>1571</v>
      </c>
      <c r="B607" t="s">
        <v>598</v>
      </c>
      <c r="C607" t="s">
        <v>599</v>
      </c>
      <c r="D607" t="s">
        <v>32</v>
      </c>
      <c r="E607" t="s">
        <v>61</v>
      </c>
      <c r="F607" t="s">
        <v>42</v>
      </c>
      <c r="G607" t="s">
        <v>225</v>
      </c>
      <c r="H607">
        <v>4</v>
      </c>
      <c r="I607">
        <v>184.37</v>
      </c>
      <c r="J607">
        <v>737.48</v>
      </c>
      <c r="K607" t="s">
        <v>675</v>
      </c>
      <c r="L607" t="s">
        <v>45</v>
      </c>
    </row>
    <row r="608" spans="1:12" x14ac:dyDescent="0.35">
      <c r="A608" t="s">
        <v>1572</v>
      </c>
      <c r="B608" t="s">
        <v>1523</v>
      </c>
      <c r="C608" t="s">
        <v>1524</v>
      </c>
      <c r="D608" t="s">
        <v>14</v>
      </c>
      <c r="E608" t="s">
        <v>95</v>
      </c>
      <c r="F608" t="s">
        <v>101</v>
      </c>
      <c r="G608" t="s">
        <v>165</v>
      </c>
      <c r="H608">
        <v>1</v>
      </c>
      <c r="I608">
        <v>420.93</v>
      </c>
      <c r="J608">
        <v>420.93</v>
      </c>
      <c r="K608" t="s">
        <v>157</v>
      </c>
      <c r="L608" t="s">
        <v>36</v>
      </c>
    </row>
    <row r="609" spans="1:12" x14ac:dyDescent="0.35">
      <c r="A609" t="s">
        <v>1573</v>
      </c>
      <c r="B609" t="s">
        <v>779</v>
      </c>
      <c r="C609" t="s">
        <v>780</v>
      </c>
      <c r="D609" t="s">
        <v>32</v>
      </c>
      <c r="E609" t="s">
        <v>33</v>
      </c>
      <c r="F609" t="s">
        <v>25</v>
      </c>
      <c r="G609" t="s">
        <v>139</v>
      </c>
      <c r="H609">
        <v>5</v>
      </c>
      <c r="I609">
        <v>1132.54</v>
      </c>
      <c r="J609">
        <v>5662.7</v>
      </c>
      <c r="K609" t="s">
        <v>1040</v>
      </c>
      <c r="L609" t="s">
        <v>36</v>
      </c>
    </row>
    <row r="610" spans="1:12" x14ac:dyDescent="0.35">
      <c r="A610" t="s">
        <v>1574</v>
      </c>
      <c r="B610" t="s">
        <v>47</v>
      </c>
      <c r="C610" t="s">
        <v>48</v>
      </c>
      <c r="D610" t="s">
        <v>23</v>
      </c>
      <c r="E610" t="s">
        <v>338</v>
      </c>
      <c r="F610" t="s">
        <v>101</v>
      </c>
      <c r="G610" t="s">
        <v>165</v>
      </c>
      <c r="H610">
        <v>5</v>
      </c>
      <c r="I610">
        <v>1219.0899999999999</v>
      </c>
      <c r="J610">
        <v>6095.45</v>
      </c>
      <c r="K610" t="s">
        <v>1575</v>
      </c>
      <c r="L610" t="s">
        <v>45</v>
      </c>
    </row>
    <row r="611" spans="1:12" x14ac:dyDescent="0.35">
      <c r="A611" t="s">
        <v>1576</v>
      </c>
      <c r="B611" t="s">
        <v>817</v>
      </c>
      <c r="C611" t="s">
        <v>818</v>
      </c>
      <c r="D611" t="s">
        <v>23</v>
      </c>
      <c r="E611" t="s">
        <v>49</v>
      </c>
      <c r="F611" t="s">
        <v>25</v>
      </c>
      <c r="G611" t="s">
        <v>34</v>
      </c>
      <c r="H611">
        <v>5</v>
      </c>
      <c r="I611">
        <v>926.54</v>
      </c>
      <c r="J611">
        <v>4632.7</v>
      </c>
      <c r="K611" t="s">
        <v>1577</v>
      </c>
      <c r="L611" t="s">
        <v>28</v>
      </c>
    </row>
    <row r="612" spans="1:12" x14ac:dyDescent="0.35">
      <c r="A612" t="s">
        <v>1578</v>
      </c>
      <c r="B612" t="s">
        <v>1179</v>
      </c>
      <c r="C612" t="s">
        <v>1180</v>
      </c>
      <c r="D612" t="s">
        <v>40</v>
      </c>
      <c r="E612" t="s">
        <v>41</v>
      </c>
      <c r="F612" t="s">
        <v>42</v>
      </c>
      <c r="G612" t="s">
        <v>80</v>
      </c>
      <c r="H612">
        <v>2</v>
      </c>
      <c r="I612">
        <v>583.23</v>
      </c>
      <c r="J612">
        <v>1166.46</v>
      </c>
      <c r="K612" t="s">
        <v>1579</v>
      </c>
      <c r="L612" t="s">
        <v>19</v>
      </c>
    </row>
    <row r="613" spans="1:12" x14ac:dyDescent="0.35">
      <c r="A613" t="s">
        <v>1580</v>
      </c>
      <c r="B613" t="s">
        <v>544</v>
      </c>
      <c r="C613" t="s">
        <v>545</v>
      </c>
      <c r="D613" t="s">
        <v>67</v>
      </c>
      <c r="E613" t="s">
        <v>115</v>
      </c>
      <c r="F613" t="s">
        <v>25</v>
      </c>
      <c r="G613" t="s">
        <v>139</v>
      </c>
      <c r="H613">
        <v>3</v>
      </c>
      <c r="I613">
        <v>81.319999999999993</v>
      </c>
      <c r="J613">
        <v>243.96</v>
      </c>
      <c r="K613" t="s">
        <v>1581</v>
      </c>
      <c r="L613" t="s">
        <v>91</v>
      </c>
    </row>
    <row r="614" spans="1:12" x14ac:dyDescent="0.35">
      <c r="A614" t="s">
        <v>1582</v>
      </c>
      <c r="B614" t="s">
        <v>201</v>
      </c>
      <c r="C614" t="s">
        <v>202</v>
      </c>
      <c r="D614" t="s">
        <v>67</v>
      </c>
      <c r="E614" t="s">
        <v>115</v>
      </c>
      <c r="F614" t="s">
        <v>25</v>
      </c>
      <c r="G614" t="s">
        <v>62</v>
      </c>
      <c r="H614">
        <v>1</v>
      </c>
      <c r="I614">
        <v>189.57</v>
      </c>
      <c r="J614">
        <v>189.57</v>
      </c>
      <c r="K614" t="s">
        <v>1583</v>
      </c>
      <c r="L614" t="s">
        <v>19</v>
      </c>
    </row>
    <row r="615" spans="1:12" x14ac:dyDescent="0.35">
      <c r="A615" t="s">
        <v>1584</v>
      </c>
      <c r="B615" t="s">
        <v>1523</v>
      </c>
      <c r="C615" t="s">
        <v>1524</v>
      </c>
      <c r="D615" t="s">
        <v>32</v>
      </c>
      <c r="E615" t="s">
        <v>33</v>
      </c>
      <c r="F615" t="s">
        <v>101</v>
      </c>
      <c r="G615" t="s">
        <v>237</v>
      </c>
      <c r="H615">
        <v>5</v>
      </c>
      <c r="I615">
        <v>59.54</v>
      </c>
      <c r="J615">
        <v>297.7</v>
      </c>
      <c r="K615" t="s">
        <v>1585</v>
      </c>
      <c r="L615" t="s">
        <v>36</v>
      </c>
    </row>
    <row r="616" spans="1:12" x14ac:dyDescent="0.35">
      <c r="A616" t="s">
        <v>1586</v>
      </c>
      <c r="B616" t="s">
        <v>518</v>
      </c>
      <c r="C616" t="s">
        <v>519</v>
      </c>
      <c r="D616" t="s">
        <v>32</v>
      </c>
      <c r="E616" t="s">
        <v>61</v>
      </c>
      <c r="F616" t="s">
        <v>50</v>
      </c>
      <c r="G616" t="s">
        <v>170</v>
      </c>
      <c r="H616">
        <v>4</v>
      </c>
      <c r="I616">
        <v>1402.58</v>
      </c>
      <c r="J616">
        <v>5610.32</v>
      </c>
      <c r="K616" t="s">
        <v>1452</v>
      </c>
      <c r="L616" t="s">
        <v>36</v>
      </c>
    </row>
    <row r="617" spans="1:12" x14ac:dyDescent="0.35">
      <c r="A617" t="s">
        <v>1587</v>
      </c>
      <c r="B617" t="s">
        <v>742</v>
      </c>
      <c r="C617" t="s">
        <v>743</v>
      </c>
      <c r="D617" t="s">
        <v>67</v>
      </c>
      <c r="E617" t="s">
        <v>130</v>
      </c>
      <c r="F617" t="s">
        <v>25</v>
      </c>
      <c r="G617" t="s">
        <v>139</v>
      </c>
      <c r="H617">
        <v>5</v>
      </c>
      <c r="I617">
        <v>895.47</v>
      </c>
      <c r="J617">
        <v>4477.3500000000004</v>
      </c>
      <c r="K617" t="s">
        <v>1588</v>
      </c>
      <c r="L617" t="s">
        <v>19</v>
      </c>
    </row>
    <row r="618" spans="1:12" x14ac:dyDescent="0.35">
      <c r="A618" t="s">
        <v>1589</v>
      </c>
      <c r="B618" t="s">
        <v>210</v>
      </c>
      <c r="C618" t="s">
        <v>211</v>
      </c>
      <c r="D618" t="s">
        <v>32</v>
      </c>
      <c r="E618" t="s">
        <v>203</v>
      </c>
      <c r="F618" t="s">
        <v>101</v>
      </c>
      <c r="G618" t="s">
        <v>102</v>
      </c>
      <c r="H618">
        <v>1</v>
      </c>
      <c r="I618">
        <v>1226.8699999999999</v>
      </c>
      <c r="J618">
        <v>1226.8699999999999</v>
      </c>
      <c r="K618" t="s">
        <v>131</v>
      </c>
      <c r="L618" t="s">
        <v>91</v>
      </c>
    </row>
    <row r="619" spans="1:12" x14ac:dyDescent="0.35">
      <c r="A619" t="s">
        <v>1590</v>
      </c>
      <c r="B619" t="s">
        <v>450</v>
      </c>
      <c r="C619" t="s">
        <v>451</v>
      </c>
      <c r="D619" t="s">
        <v>67</v>
      </c>
      <c r="E619" t="s">
        <v>115</v>
      </c>
      <c r="F619" t="s">
        <v>42</v>
      </c>
      <c r="G619" t="s">
        <v>89</v>
      </c>
      <c r="H619">
        <v>5</v>
      </c>
      <c r="I619">
        <v>1390.5</v>
      </c>
      <c r="J619">
        <v>6952.5</v>
      </c>
      <c r="K619" t="s">
        <v>952</v>
      </c>
      <c r="L619" t="s">
        <v>19</v>
      </c>
    </row>
    <row r="620" spans="1:12" x14ac:dyDescent="0.35">
      <c r="A620" t="s">
        <v>1591</v>
      </c>
      <c r="B620" t="s">
        <v>1176</v>
      </c>
      <c r="C620" t="s">
        <v>1177</v>
      </c>
      <c r="D620" t="s">
        <v>14</v>
      </c>
      <c r="E620" t="s">
        <v>125</v>
      </c>
      <c r="F620" t="s">
        <v>16</v>
      </c>
      <c r="G620" t="s">
        <v>182</v>
      </c>
      <c r="H620">
        <v>5</v>
      </c>
      <c r="I620">
        <v>1272.1300000000001</v>
      </c>
      <c r="J620">
        <v>6360.65</v>
      </c>
      <c r="K620" t="s">
        <v>662</v>
      </c>
      <c r="L620" t="s">
        <v>91</v>
      </c>
    </row>
    <row r="621" spans="1:12" x14ac:dyDescent="0.35">
      <c r="A621" t="s">
        <v>1592</v>
      </c>
      <c r="B621" t="s">
        <v>325</v>
      </c>
      <c r="C621" t="s">
        <v>326</v>
      </c>
      <c r="D621" t="s">
        <v>40</v>
      </c>
      <c r="E621" t="s">
        <v>120</v>
      </c>
      <c r="F621" t="s">
        <v>16</v>
      </c>
      <c r="G621" t="s">
        <v>148</v>
      </c>
      <c r="H621">
        <v>2</v>
      </c>
      <c r="I621">
        <v>208.25</v>
      </c>
      <c r="J621">
        <v>416.5</v>
      </c>
      <c r="K621" t="s">
        <v>512</v>
      </c>
      <c r="L621" t="s">
        <v>36</v>
      </c>
    </row>
    <row r="622" spans="1:12" x14ac:dyDescent="0.35">
      <c r="A622" t="s">
        <v>1593</v>
      </c>
      <c r="B622" t="s">
        <v>1594</v>
      </c>
      <c r="C622" t="s">
        <v>1595</v>
      </c>
      <c r="D622" t="s">
        <v>40</v>
      </c>
      <c r="E622" t="s">
        <v>120</v>
      </c>
      <c r="F622" t="s">
        <v>16</v>
      </c>
      <c r="G622" t="s">
        <v>17</v>
      </c>
      <c r="H622">
        <v>1</v>
      </c>
      <c r="I622">
        <v>307.17</v>
      </c>
      <c r="J622">
        <v>307.17</v>
      </c>
      <c r="K622" t="s">
        <v>1596</v>
      </c>
      <c r="L622" t="s">
        <v>91</v>
      </c>
    </row>
    <row r="623" spans="1:12" x14ac:dyDescent="0.35">
      <c r="A623" t="s">
        <v>1597</v>
      </c>
      <c r="B623" t="s">
        <v>291</v>
      </c>
      <c r="C623" t="s">
        <v>292</v>
      </c>
      <c r="D623" t="s">
        <v>14</v>
      </c>
      <c r="E623" t="s">
        <v>125</v>
      </c>
      <c r="F623" t="s">
        <v>42</v>
      </c>
      <c r="G623" t="s">
        <v>225</v>
      </c>
      <c r="H623">
        <v>2</v>
      </c>
      <c r="I623">
        <v>445.45</v>
      </c>
      <c r="J623">
        <v>890.9</v>
      </c>
      <c r="K623" t="s">
        <v>1598</v>
      </c>
      <c r="L623" t="s">
        <v>91</v>
      </c>
    </row>
    <row r="624" spans="1:12" x14ac:dyDescent="0.35">
      <c r="A624" t="s">
        <v>1599</v>
      </c>
      <c r="B624" t="s">
        <v>677</v>
      </c>
      <c r="C624" t="s">
        <v>678</v>
      </c>
      <c r="D624" t="s">
        <v>23</v>
      </c>
      <c r="E624" t="s">
        <v>49</v>
      </c>
      <c r="F624" t="s">
        <v>25</v>
      </c>
      <c r="G624" t="s">
        <v>34</v>
      </c>
      <c r="H624">
        <v>5</v>
      </c>
      <c r="I624">
        <v>281.68</v>
      </c>
      <c r="J624">
        <v>1408.4</v>
      </c>
      <c r="K624" t="s">
        <v>1600</v>
      </c>
      <c r="L624" t="s">
        <v>91</v>
      </c>
    </row>
    <row r="625" spans="1:12" x14ac:dyDescent="0.35">
      <c r="A625" t="s">
        <v>1601</v>
      </c>
      <c r="B625" t="s">
        <v>590</v>
      </c>
      <c r="C625" t="s">
        <v>591</v>
      </c>
      <c r="D625" t="s">
        <v>14</v>
      </c>
      <c r="E625" t="s">
        <v>266</v>
      </c>
      <c r="F625" t="s">
        <v>16</v>
      </c>
      <c r="G625" t="s">
        <v>148</v>
      </c>
      <c r="H625">
        <v>4</v>
      </c>
      <c r="I625">
        <v>438.62</v>
      </c>
      <c r="J625">
        <v>1754.48</v>
      </c>
      <c r="K625" t="s">
        <v>1367</v>
      </c>
      <c r="L625" t="s">
        <v>91</v>
      </c>
    </row>
    <row r="626" spans="1:12" x14ac:dyDescent="0.35">
      <c r="A626" t="s">
        <v>1602</v>
      </c>
      <c r="B626" t="s">
        <v>1144</v>
      </c>
      <c r="C626" t="s">
        <v>1145</v>
      </c>
      <c r="D626" t="s">
        <v>40</v>
      </c>
      <c r="E626" t="s">
        <v>79</v>
      </c>
      <c r="F626" t="s">
        <v>50</v>
      </c>
      <c r="G626" t="s">
        <v>170</v>
      </c>
      <c r="H626">
        <v>1</v>
      </c>
      <c r="I626">
        <v>17.63</v>
      </c>
      <c r="J626">
        <v>17.63</v>
      </c>
      <c r="K626" t="s">
        <v>1603</v>
      </c>
      <c r="L626" t="s">
        <v>36</v>
      </c>
    </row>
    <row r="627" spans="1:12" x14ac:dyDescent="0.35">
      <c r="A627" t="s">
        <v>1604</v>
      </c>
      <c r="B627" t="s">
        <v>860</v>
      </c>
      <c r="C627" t="s">
        <v>861</v>
      </c>
      <c r="D627" t="s">
        <v>32</v>
      </c>
      <c r="E627" t="s">
        <v>33</v>
      </c>
      <c r="F627" t="s">
        <v>101</v>
      </c>
      <c r="G627" t="s">
        <v>165</v>
      </c>
      <c r="H627">
        <v>5</v>
      </c>
      <c r="I627">
        <v>1486.35</v>
      </c>
      <c r="J627">
        <v>7431.75</v>
      </c>
      <c r="K627" t="s">
        <v>1605</v>
      </c>
      <c r="L627" t="s">
        <v>36</v>
      </c>
    </row>
    <row r="628" spans="1:12" x14ac:dyDescent="0.35">
      <c r="A628" t="s">
        <v>1606</v>
      </c>
      <c r="B628" t="s">
        <v>137</v>
      </c>
      <c r="C628" t="s">
        <v>138</v>
      </c>
      <c r="D628" t="s">
        <v>23</v>
      </c>
      <c r="E628" t="s">
        <v>49</v>
      </c>
      <c r="F628" t="s">
        <v>50</v>
      </c>
      <c r="G628" t="s">
        <v>216</v>
      </c>
      <c r="H628">
        <v>4</v>
      </c>
      <c r="I628">
        <v>1170.96</v>
      </c>
      <c r="J628">
        <v>4683.84</v>
      </c>
      <c r="K628" t="s">
        <v>1540</v>
      </c>
      <c r="L628" t="s">
        <v>91</v>
      </c>
    </row>
    <row r="629" spans="1:12" x14ac:dyDescent="0.35">
      <c r="A629" t="s">
        <v>1607</v>
      </c>
      <c r="B629" t="s">
        <v>677</v>
      </c>
      <c r="C629" t="s">
        <v>678</v>
      </c>
      <c r="D629" t="s">
        <v>40</v>
      </c>
      <c r="E629" t="s">
        <v>79</v>
      </c>
      <c r="F629" t="s">
        <v>16</v>
      </c>
      <c r="G629" t="s">
        <v>177</v>
      </c>
      <c r="H629">
        <v>3</v>
      </c>
      <c r="I629">
        <v>1381.36</v>
      </c>
      <c r="J629">
        <v>4144.08</v>
      </c>
      <c r="K629" t="s">
        <v>1608</v>
      </c>
      <c r="L629" t="s">
        <v>19</v>
      </c>
    </row>
    <row r="630" spans="1:12" x14ac:dyDescent="0.35">
      <c r="A630" t="s">
        <v>1609</v>
      </c>
      <c r="B630" t="s">
        <v>677</v>
      </c>
      <c r="C630" t="s">
        <v>678</v>
      </c>
      <c r="D630" t="s">
        <v>67</v>
      </c>
      <c r="E630" t="s">
        <v>115</v>
      </c>
      <c r="F630" t="s">
        <v>42</v>
      </c>
      <c r="G630" t="s">
        <v>89</v>
      </c>
      <c r="H630">
        <v>1</v>
      </c>
      <c r="I630">
        <v>1192.6500000000001</v>
      </c>
      <c r="J630">
        <v>1192.6500000000001</v>
      </c>
      <c r="K630" t="s">
        <v>1610</v>
      </c>
      <c r="L630" t="s">
        <v>45</v>
      </c>
    </row>
    <row r="631" spans="1:12" x14ac:dyDescent="0.35">
      <c r="A631" t="s">
        <v>1611</v>
      </c>
      <c r="B631" t="s">
        <v>779</v>
      </c>
      <c r="C631" t="s">
        <v>780</v>
      </c>
      <c r="D631" t="s">
        <v>23</v>
      </c>
      <c r="E631" t="s">
        <v>24</v>
      </c>
      <c r="F631" t="s">
        <v>16</v>
      </c>
      <c r="G631" t="s">
        <v>177</v>
      </c>
      <c r="H631">
        <v>5</v>
      </c>
      <c r="I631">
        <v>1476.68</v>
      </c>
      <c r="J631">
        <v>7383.4</v>
      </c>
      <c r="K631" t="s">
        <v>1612</v>
      </c>
      <c r="L631" t="s">
        <v>36</v>
      </c>
    </row>
    <row r="632" spans="1:12" x14ac:dyDescent="0.35">
      <c r="A632" t="s">
        <v>1613</v>
      </c>
      <c r="B632" t="s">
        <v>429</v>
      </c>
      <c r="C632" t="s">
        <v>430</v>
      </c>
      <c r="D632" t="s">
        <v>14</v>
      </c>
      <c r="E632" t="s">
        <v>95</v>
      </c>
      <c r="F632" t="s">
        <v>25</v>
      </c>
      <c r="G632" t="s">
        <v>74</v>
      </c>
      <c r="H632">
        <v>1</v>
      </c>
      <c r="I632">
        <v>892.43</v>
      </c>
      <c r="J632">
        <v>892.43</v>
      </c>
      <c r="K632" t="s">
        <v>1614</v>
      </c>
      <c r="L632" t="s">
        <v>28</v>
      </c>
    </row>
    <row r="633" spans="1:12" x14ac:dyDescent="0.35">
      <c r="A633" t="s">
        <v>1615</v>
      </c>
      <c r="B633" t="s">
        <v>1079</v>
      </c>
      <c r="C633" t="s">
        <v>1080</v>
      </c>
      <c r="D633" t="s">
        <v>40</v>
      </c>
      <c r="E633" t="s">
        <v>120</v>
      </c>
      <c r="F633" t="s">
        <v>50</v>
      </c>
      <c r="G633" t="s">
        <v>216</v>
      </c>
      <c r="H633">
        <v>3</v>
      </c>
      <c r="I633">
        <v>9.49</v>
      </c>
      <c r="J633">
        <v>28.47</v>
      </c>
      <c r="K633" t="s">
        <v>374</v>
      </c>
      <c r="L633" t="s">
        <v>91</v>
      </c>
    </row>
    <row r="634" spans="1:12" x14ac:dyDescent="0.35">
      <c r="A634" t="s">
        <v>1616</v>
      </c>
      <c r="B634" t="s">
        <v>536</v>
      </c>
      <c r="C634" t="s">
        <v>537</v>
      </c>
      <c r="D634" t="s">
        <v>23</v>
      </c>
      <c r="E634" t="s">
        <v>338</v>
      </c>
      <c r="F634" t="s">
        <v>42</v>
      </c>
      <c r="G634" t="s">
        <v>89</v>
      </c>
      <c r="H634">
        <v>5</v>
      </c>
      <c r="I634">
        <v>146.93</v>
      </c>
      <c r="J634">
        <v>734.65</v>
      </c>
      <c r="K634" t="s">
        <v>846</v>
      </c>
      <c r="L634" t="s">
        <v>28</v>
      </c>
    </row>
    <row r="635" spans="1:12" x14ac:dyDescent="0.35">
      <c r="A635" t="s">
        <v>1617</v>
      </c>
      <c r="B635" t="s">
        <v>303</v>
      </c>
      <c r="C635" t="s">
        <v>304</v>
      </c>
      <c r="D635" t="s">
        <v>40</v>
      </c>
      <c r="E635" t="s">
        <v>120</v>
      </c>
      <c r="F635" t="s">
        <v>101</v>
      </c>
      <c r="G635" t="s">
        <v>165</v>
      </c>
      <c r="H635">
        <v>4</v>
      </c>
      <c r="I635">
        <v>1499.6</v>
      </c>
      <c r="J635">
        <v>5998.4</v>
      </c>
      <c r="K635" t="s">
        <v>254</v>
      </c>
      <c r="L635" t="s">
        <v>19</v>
      </c>
    </row>
    <row r="636" spans="1:12" x14ac:dyDescent="0.35">
      <c r="A636" t="s">
        <v>1618</v>
      </c>
      <c r="B636" t="s">
        <v>878</v>
      </c>
      <c r="C636" t="s">
        <v>879</v>
      </c>
      <c r="D636" t="s">
        <v>23</v>
      </c>
      <c r="E636" t="s">
        <v>49</v>
      </c>
      <c r="F636" t="s">
        <v>16</v>
      </c>
      <c r="G636" t="s">
        <v>177</v>
      </c>
      <c r="H636">
        <v>3</v>
      </c>
      <c r="I636">
        <v>491.36</v>
      </c>
      <c r="J636">
        <v>1474.08</v>
      </c>
      <c r="K636" t="s">
        <v>709</v>
      </c>
      <c r="L636" t="s">
        <v>28</v>
      </c>
    </row>
    <row r="637" spans="1:12" x14ac:dyDescent="0.35">
      <c r="A637" t="s">
        <v>1619</v>
      </c>
      <c r="B637" t="s">
        <v>47</v>
      </c>
      <c r="C637" t="s">
        <v>48</v>
      </c>
      <c r="D637" t="s">
        <v>67</v>
      </c>
      <c r="E637" t="s">
        <v>130</v>
      </c>
      <c r="F637" t="s">
        <v>25</v>
      </c>
      <c r="G637" t="s">
        <v>62</v>
      </c>
      <c r="H637">
        <v>2</v>
      </c>
      <c r="I637">
        <v>226.71</v>
      </c>
      <c r="J637">
        <v>453.42</v>
      </c>
      <c r="K637" t="s">
        <v>1235</v>
      </c>
      <c r="L637" t="s">
        <v>45</v>
      </c>
    </row>
    <row r="638" spans="1:12" x14ac:dyDescent="0.35">
      <c r="A638" t="s">
        <v>1620</v>
      </c>
      <c r="B638" t="s">
        <v>552</v>
      </c>
      <c r="C638" t="s">
        <v>553</v>
      </c>
      <c r="D638" t="s">
        <v>14</v>
      </c>
      <c r="E638" t="s">
        <v>100</v>
      </c>
      <c r="F638" t="s">
        <v>42</v>
      </c>
      <c r="G638" t="s">
        <v>170</v>
      </c>
      <c r="H638">
        <v>1</v>
      </c>
      <c r="I638">
        <v>573.35</v>
      </c>
      <c r="J638">
        <v>573.35</v>
      </c>
      <c r="K638" t="s">
        <v>1026</v>
      </c>
      <c r="L638" t="s">
        <v>91</v>
      </c>
    </row>
    <row r="639" spans="1:12" x14ac:dyDescent="0.35">
      <c r="A639" t="s">
        <v>1621</v>
      </c>
      <c r="B639" t="s">
        <v>832</v>
      </c>
      <c r="C639" t="s">
        <v>833</v>
      </c>
      <c r="D639" t="s">
        <v>40</v>
      </c>
      <c r="E639" t="s">
        <v>120</v>
      </c>
      <c r="F639" t="s">
        <v>42</v>
      </c>
      <c r="G639" t="s">
        <v>225</v>
      </c>
      <c r="H639">
        <v>4</v>
      </c>
      <c r="I639">
        <v>1132.1600000000001</v>
      </c>
      <c r="J639">
        <v>4528.6400000000003</v>
      </c>
      <c r="K639" t="s">
        <v>1622</v>
      </c>
      <c r="L639" t="s">
        <v>45</v>
      </c>
    </row>
    <row r="640" spans="1:12" x14ac:dyDescent="0.35">
      <c r="A640" t="s">
        <v>1623</v>
      </c>
      <c r="B640" t="s">
        <v>450</v>
      </c>
      <c r="C640" t="s">
        <v>451</v>
      </c>
      <c r="D640" t="s">
        <v>14</v>
      </c>
      <c r="E640" t="s">
        <v>100</v>
      </c>
      <c r="F640" t="s">
        <v>101</v>
      </c>
      <c r="G640" t="s">
        <v>649</v>
      </c>
      <c r="H640">
        <v>5</v>
      </c>
      <c r="I640">
        <v>968.27</v>
      </c>
      <c r="J640">
        <v>4841.3500000000004</v>
      </c>
      <c r="K640" t="s">
        <v>1624</v>
      </c>
      <c r="L640" t="s">
        <v>28</v>
      </c>
    </row>
    <row r="641" spans="1:12" x14ac:dyDescent="0.35">
      <c r="A641" t="s">
        <v>1625</v>
      </c>
      <c r="B641" t="s">
        <v>1423</v>
      </c>
      <c r="C641" t="s">
        <v>1424</v>
      </c>
      <c r="D641" t="s">
        <v>40</v>
      </c>
      <c r="E641" t="s">
        <v>79</v>
      </c>
      <c r="F641" t="s">
        <v>101</v>
      </c>
      <c r="G641" t="s">
        <v>165</v>
      </c>
      <c r="H641">
        <v>3</v>
      </c>
      <c r="I641">
        <v>618.26</v>
      </c>
      <c r="J641">
        <v>1854.78</v>
      </c>
      <c r="K641" t="s">
        <v>420</v>
      </c>
      <c r="L641" t="s">
        <v>45</v>
      </c>
    </row>
    <row r="642" spans="1:12" x14ac:dyDescent="0.35">
      <c r="A642" t="s">
        <v>1626</v>
      </c>
      <c r="B642" t="s">
        <v>548</v>
      </c>
      <c r="C642" t="s">
        <v>549</v>
      </c>
      <c r="D642" t="s">
        <v>14</v>
      </c>
      <c r="E642" t="s">
        <v>266</v>
      </c>
      <c r="F642" t="s">
        <v>16</v>
      </c>
      <c r="G642" t="s">
        <v>17</v>
      </c>
      <c r="H642">
        <v>3</v>
      </c>
      <c r="I642">
        <v>998.88</v>
      </c>
      <c r="J642">
        <v>2996.64</v>
      </c>
      <c r="K642" t="s">
        <v>1258</v>
      </c>
      <c r="L642" t="s">
        <v>45</v>
      </c>
    </row>
    <row r="643" spans="1:12" x14ac:dyDescent="0.35">
      <c r="A643" t="s">
        <v>1627</v>
      </c>
      <c r="B643" t="s">
        <v>518</v>
      </c>
      <c r="C643" t="s">
        <v>519</v>
      </c>
      <c r="D643" t="s">
        <v>23</v>
      </c>
      <c r="E643" t="s">
        <v>49</v>
      </c>
      <c r="F643" t="s">
        <v>50</v>
      </c>
      <c r="G643" t="s">
        <v>216</v>
      </c>
      <c r="H643">
        <v>1</v>
      </c>
      <c r="I643">
        <v>320.63</v>
      </c>
      <c r="J643">
        <v>320.63</v>
      </c>
      <c r="K643" t="s">
        <v>283</v>
      </c>
      <c r="L643" t="s">
        <v>36</v>
      </c>
    </row>
    <row r="644" spans="1:12" x14ac:dyDescent="0.35">
      <c r="A644" t="s">
        <v>1628</v>
      </c>
      <c r="B644" t="s">
        <v>856</v>
      </c>
      <c r="C644" t="s">
        <v>857</v>
      </c>
      <c r="D644" t="s">
        <v>23</v>
      </c>
      <c r="E644" t="s">
        <v>24</v>
      </c>
      <c r="F644" t="s">
        <v>25</v>
      </c>
      <c r="G644" t="s">
        <v>74</v>
      </c>
      <c r="H644">
        <v>4</v>
      </c>
      <c r="I644">
        <v>975.06</v>
      </c>
      <c r="J644">
        <v>3900.24</v>
      </c>
      <c r="K644" t="s">
        <v>1629</v>
      </c>
      <c r="L644" t="s">
        <v>45</v>
      </c>
    </row>
    <row r="645" spans="1:12" x14ac:dyDescent="0.35">
      <c r="A645" t="s">
        <v>1630</v>
      </c>
      <c r="B645" t="s">
        <v>801</v>
      </c>
      <c r="C645" t="s">
        <v>802</v>
      </c>
      <c r="D645" t="s">
        <v>40</v>
      </c>
      <c r="E645" t="s">
        <v>79</v>
      </c>
      <c r="F645" t="s">
        <v>50</v>
      </c>
      <c r="G645" t="s">
        <v>56</v>
      </c>
      <c r="H645">
        <v>3</v>
      </c>
      <c r="I645">
        <v>1278.8499999999999</v>
      </c>
      <c r="J645">
        <v>3836.55</v>
      </c>
      <c r="K645" t="s">
        <v>1631</v>
      </c>
      <c r="L645" t="s">
        <v>19</v>
      </c>
    </row>
    <row r="646" spans="1:12" x14ac:dyDescent="0.35">
      <c r="A646" t="s">
        <v>1632</v>
      </c>
      <c r="B646" t="s">
        <v>633</v>
      </c>
      <c r="C646" t="s">
        <v>634</v>
      </c>
      <c r="D646" t="s">
        <v>32</v>
      </c>
      <c r="E646" t="s">
        <v>61</v>
      </c>
      <c r="F646" t="s">
        <v>50</v>
      </c>
      <c r="G646" t="s">
        <v>51</v>
      </c>
      <c r="H646">
        <v>1</v>
      </c>
      <c r="I646">
        <v>967.2</v>
      </c>
      <c r="J646">
        <v>967.2</v>
      </c>
      <c r="K646" t="s">
        <v>577</v>
      </c>
      <c r="L646" t="s">
        <v>45</v>
      </c>
    </row>
    <row r="647" spans="1:12" x14ac:dyDescent="0.35">
      <c r="A647" t="s">
        <v>1633</v>
      </c>
      <c r="B647" t="s">
        <v>248</v>
      </c>
      <c r="C647" t="s">
        <v>249</v>
      </c>
      <c r="D647" t="s">
        <v>14</v>
      </c>
      <c r="E647" t="s">
        <v>125</v>
      </c>
      <c r="F647" t="s">
        <v>16</v>
      </c>
      <c r="G647" t="s">
        <v>148</v>
      </c>
      <c r="H647">
        <v>4</v>
      </c>
      <c r="I647">
        <v>553.14</v>
      </c>
      <c r="J647">
        <v>2212.56</v>
      </c>
      <c r="K647" t="s">
        <v>866</v>
      </c>
      <c r="L647" t="s">
        <v>28</v>
      </c>
    </row>
    <row r="648" spans="1:12" x14ac:dyDescent="0.35">
      <c r="A648" t="s">
        <v>1634</v>
      </c>
      <c r="B648" t="s">
        <v>180</v>
      </c>
      <c r="C648" t="s">
        <v>181</v>
      </c>
      <c r="D648" t="s">
        <v>14</v>
      </c>
      <c r="E648" t="s">
        <v>100</v>
      </c>
      <c r="F648" t="s">
        <v>16</v>
      </c>
      <c r="G648" t="s">
        <v>148</v>
      </c>
      <c r="H648">
        <v>2</v>
      </c>
      <c r="I648">
        <v>984.54</v>
      </c>
      <c r="J648">
        <v>1969.08</v>
      </c>
      <c r="K648" t="s">
        <v>1635</v>
      </c>
      <c r="L648" t="s">
        <v>91</v>
      </c>
    </row>
    <row r="649" spans="1:12" x14ac:dyDescent="0.35">
      <c r="A649" t="s">
        <v>1636</v>
      </c>
      <c r="B649" t="s">
        <v>579</v>
      </c>
      <c r="C649" t="s">
        <v>580</v>
      </c>
      <c r="D649" t="s">
        <v>14</v>
      </c>
      <c r="E649" t="s">
        <v>100</v>
      </c>
      <c r="F649" t="s">
        <v>101</v>
      </c>
      <c r="G649" t="s">
        <v>373</v>
      </c>
      <c r="H649">
        <v>3</v>
      </c>
      <c r="I649">
        <v>432.15</v>
      </c>
      <c r="J649">
        <v>1296.45</v>
      </c>
      <c r="K649" t="s">
        <v>1230</v>
      </c>
      <c r="L649" t="s">
        <v>91</v>
      </c>
    </row>
    <row r="650" spans="1:12" x14ac:dyDescent="0.35">
      <c r="A650" t="s">
        <v>1637</v>
      </c>
      <c r="B650" t="s">
        <v>352</v>
      </c>
      <c r="C650" t="s">
        <v>353</v>
      </c>
      <c r="D650" t="s">
        <v>23</v>
      </c>
      <c r="E650" t="s">
        <v>338</v>
      </c>
      <c r="F650" t="s">
        <v>50</v>
      </c>
      <c r="G650" t="s">
        <v>216</v>
      </c>
      <c r="H650">
        <v>3</v>
      </c>
      <c r="I650">
        <v>60.5</v>
      </c>
      <c r="J650">
        <v>181.5</v>
      </c>
      <c r="K650" t="s">
        <v>654</v>
      </c>
      <c r="L650" t="s">
        <v>19</v>
      </c>
    </row>
    <row r="651" spans="1:12" x14ac:dyDescent="0.35">
      <c r="A651" t="s">
        <v>1638</v>
      </c>
      <c r="B651" t="s">
        <v>856</v>
      </c>
      <c r="C651" t="s">
        <v>857</v>
      </c>
      <c r="D651" t="s">
        <v>14</v>
      </c>
      <c r="E651" t="s">
        <v>100</v>
      </c>
      <c r="F651" t="s">
        <v>101</v>
      </c>
      <c r="G651" t="s">
        <v>165</v>
      </c>
      <c r="H651">
        <v>4</v>
      </c>
      <c r="I651">
        <v>845.66</v>
      </c>
      <c r="J651">
        <v>3382.64</v>
      </c>
      <c r="K651" t="s">
        <v>1639</v>
      </c>
      <c r="L651" t="s">
        <v>19</v>
      </c>
    </row>
    <row r="652" spans="1:12" x14ac:dyDescent="0.35">
      <c r="A652" t="s">
        <v>1640</v>
      </c>
      <c r="B652" t="s">
        <v>1428</v>
      </c>
      <c r="C652" t="s">
        <v>1429</v>
      </c>
      <c r="D652" t="s">
        <v>67</v>
      </c>
      <c r="E652" t="s">
        <v>115</v>
      </c>
      <c r="F652" t="s">
        <v>101</v>
      </c>
      <c r="G652" t="s">
        <v>373</v>
      </c>
      <c r="H652">
        <v>3</v>
      </c>
      <c r="I652">
        <v>1122.6600000000001</v>
      </c>
      <c r="J652">
        <v>3367.98</v>
      </c>
      <c r="K652" t="s">
        <v>510</v>
      </c>
      <c r="L652" t="s">
        <v>91</v>
      </c>
    </row>
    <row r="653" spans="1:12" x14ac:dyDescent="0.35">
      <c r="A653" t="s">
        <v>1641</v>
      </c>
      <c r="B653" t="s">
        <v>321</v>
      </c>
      <c r="C653" t="s">
        <v>322</v>
      </c>
      <c r="D653" t="s">
        <v>14</v>
      </c>
      <c r="E653" t="s">
        <v>266</v>
      </c>
      <c r="F653" t="s">
        <v>50</v>
      </c>
      <c r="G653" t="s">
        <v>56</v>
      </c>
      <c r="H653">
        <v>2</v>
      </c>
      <c r="I653">
        <v>99.57</v>
      </c>
      <c r="J653">
        <v>199.14</v>
      </c>
      <c r="K653" t="s">
        <v>927</v>
      </c>
      <c r="L653" t="s">
        <v>36</v>
      </c>
    </row>
    <row r="654" spans="1:12" x14ac:dyDescent="0.35">
      <c r="A654" t="s">
        <v>1642</v>
      </c>
      <c r="B654" t="s">
        <v>536</v>
      </c>
      <c r="C654" t="s">
        <v>537</v>
      </c>
      <c r="D654" t="s">
        <v>14</v>
      </c>
      <c r="E654" t="s">
        <v>95</v>
      </c>
      <c r="F654" t="s">
        <v>101</v>
      </c>
      <c r="G654" t="s">
        <v>373</v>
      </c>
      <c r="H654">
        <v>3</v>
      </c>
      <c r="I654">
        <v>1043.25</v>
      </c>
      <c r="J654">
        <v>3129.75</v>
      </c>
      <c r="K654" t="s">
        <v>327</v>
      </c>
      <c r="L654" t="s">
        <v>28</v>
      </c>
    </row>
    <row r="655" spans="1:12" x14ac:dyDescent="0.35">
      <c r="A655" t="s">
        <v>1643</v>
      </c>
      <c r="B655" t="s">
        <v>868</v>
      </c>
      <c r="C655" t="s">
        <v>869</v>
      </c>
      <c r="D655" t="s">
        <v>40</v>
      </c>
      <c r="E655" t="s">
        <v>120</v>
      </c>
      <c r="F655" t="s">
        <v>101</v>
      </c>
      <c r="G655" t="s">
        <v>102</v>
      </c>
      <c r="H655">
        <v>5</v>
      </c>
      <c r="I655">
        <v>488.08</v>
      </c>
      <c r="J655">
        <v>2440.4</v>
      </c>
      <c r="K655" t="s">
        <v>892</v>
      </c>
      <c r="L655" t="s">
        <v>19</v>
      </c>
    </row>
    <row r="656" spans="1:12" x14ac:dyDescent="0.35">
      <c r="A656" t="s">
        <v>1644</v>
      </c>
      <c r="B656" t="s">
        <v>201</v>
      </c>
      <c r="C656" t="s">
        <v>202</v>
      </c>
      <c r="D656" t="s">
        <v>67</v>
      </c>
      <c r="E656" t="s">
        <v>130</v>
      </c>
      <c r="F656" t="s">
        <v>16</v>
      </c>
      <c r="G656" t="s">
        <v>17</v>
      </c>
      <c r="H656">
        <v>4</v>
      </c>
      <c r="I656">
        <v>326.93</v>
      </c>
      <c r="J656">
        <v>1307.72</v>
      </c>
      <c r="K656" t="s">
        <v>357</v>
      </c>
      <c r="L656" t="s">
        <v>28</v>
      </c>
    </row>
    <row r="657" spans="1:12" x14ac:dyDescent="0.35">
      <c r="A657" t="s">
        <v>1645</v>
      </c>
      <c r="B657" t="s">
        <v>1516</v>
      </c>
      <c r="C657" t="s">
        <v>1517</v>
      </c>
      <c r="D657" t="s">
        <v>67</v>
      </c>
      <c r="E657" t="s">
        <v>68</v>
      </c>
      <c r="F657" t="s">
        <v>25</v>
      </c>
      <c r="G657" t="s">
        <v>62</v>
      </c>
      <c r="H657">
        <v>4</v>
      </c>
      <c r="I657">
        <v>856.58</v>
      </c>
      <c r="J657">
        <v>3426.32</v>
      </c>
      <c r="K657" t="s">
        <v>1494</v>
      </c>
      <c r="L657" t="s">
        <v>45</v>
      </c>
    </row>
    <row r="658" spans="1:12" x14ac:dyDescent="0.35">
      <c r="A658" t="s">
        <v>1646</v>
      </c>
      <c r="B658" t="s">
        <v>602</v>
      </c>
      <c r="C658" t="s">
        <v>603</v>
      </c>
      <c r="D658" t="s">
        <v>32</v>
      </c>
      <c r="E658" t="s">
        <v>203</v>
      </c>
      <c r="F658" t="s">
        <v>42</v>
      </c>
      <c r="G658" t="s">
        <v>89</v>
      </c>
      <c r="H658">
        <v>2</v>
      </c>
      <c r="I658">
        <v>1237.53</v>
      </c>
      <c r="J658">
        <v>2475.06</v>
      </c>
      <c r="K658" t="s">
        <v>331</v>
      </c>
      <c r="L658" t="s">
        <v>45</v>
      </c>
    </row>
    <row r="659" spans="1:12" x14ac:dyDescent="0.35">
      <c r="A659" t="s">
        <v>1647</v>
      </c>
      <c r="B659" t="s">
        <v>163</v>
      </c>
      <c r="C659" t="s">
        <v>164</v>
      </c>
      <c r="D659" t="s">
        <v>40</v>
      </c>
      <c r="E659" t="s">
        <v>79</v>
      </c>
      <c r="F659" t="s">
        <v>50</v>
      </c>
      <c r="G659" t="s">
        <v>69</v>
      </c>
      <c r="H659">
        <v>1</v>
      </c>
      <c r="I659">
        <v>872.34</v>
      </c>
      <c r="J659">
        <v>872.34</v>
      </c>
      <c r="K659" t="s">
        <v>692</v>
      </c>
      <c r="L659" t="s">
        <v>36</v>
      </c>
    </row>
    <row r="660" spans="1:12" x14ac:dyDescent="0.35">
      <c r="A660" t="s">
        <v>1648</v>
      </c>
      <c r="B660" t="s">
        <v>738</v>
      </c>
      <c r="C660" t="s">
        <v>739</v>
      </c>
      <c r="D660" t="s">
        <v>14</v>
      </c>
      <c r="E660" t="s">
        <v>15</v>
      </c>
      <c r="F660" t="s">
        <v>101</v>
      </c>
      <c r="G660" t="s">
        <v>649</v>
      </c>
      <c r="H660">
        <v>2</v>
      </c>
      <c r="I660">
        <v>1467.5</v>
      </c>
      <c r="J660">
        <v>2935</v>
      </c>
      <c r="K660" t="s">
        <v>1649</v>
      </c>
      <c r="L660" t="s">
        <v>19</v>
      </c>
    </row>
    <row r="661" spans="1:12" x14ac:dyDescent="0.35">
      <c r="A661" t="s">
        <v>1650</v>
      </c>
      <c r="B661" t="s">
        <v>252</v>
      </c>
      <c r="C661" t="s">
        <v>253</v>
      </c>
      <c r="D661" t="s">
        <v>23</v>
      </c>
      <c r="E661" t="s">
        <v>338</v>
      </c>
      <c r="F661" t="s">
        <v>16</v>
      </c>
      <c r="G661" t="s">
        <v>177</v>
      </c>
      <c r="H661">
        <v>5</v>
      </c>
      <c r="I661">
        <v>1246</v>
      </c>
      <c r="J661">
        <v>6230</v>
      </c>
      <c r="K661" t="s">
        <v>749</v>
      </c>
      <c r="L661" t="s">
        <v>36</v>
      </c>
    </row>
    <row r="662" spans="1:12" x14ac:dyDescent="0.35">
      <c r="A662" t="s">
        <v>1651</v>
      </c>
      <c r="B662" t="s">
        <v>1307</v>
      </c>
      <c r="C662" t="s">
        <v>1308</v>
      </c>
      <c r="D662" t="s">
        <v>67</v>
      </c>
      <c r="E662" t="s">
        <v>115</v>
      </c>
      <c r="F662" t="s">
        <v>101</v>
      </c>
      <c r="G662" t="s">
        <v>237</v>
      </c>
      <c r="H662">
        <v>1</v>
      </c>
      <c r="I662">
        <v>487.58</v>
      </c>
      <c r="J662">
        <v>487.58</v>
      </c>
      <c r="K662" t="s">
        <v>956</v>
      </c>
      <c r="L662" t="s">
        <v>28</v>
      </c>
    </row>
    <row r="663" spans="1:12" x14ac:dyDescent="0.35">
      <c r="A663" t="s">
        <v>1652</v>
      </c>
      <c r="B663" t="s">
        <v>878</v>
      </c>
      <c r="C663" t="s">
        <v>879</v>
      </c>
      <c r="D663" t="s">
        <v>40</v>
      </c>
      <c r="E663" t="s">
        <v>120</v>
      </c>
      <c r="F663" t="s">
        <v>25</v>
      </c>
      <c r="G663" t="s">
        <v>139</v>
      </c>
      <c r="H663">
        <v>1</v>
      </c>
      <c r="I663">
        <v>1258.8</v>
      </c>
      <c r="J663">
        <v>1258.8</v>
      </c>
      <c r="K663" t="s">
        <v>317</v>
      </c>
      <c r="L663" t="s">
        <v>36</v>
      </c>
    </row>
    <row r="664" spans="1:12" x14ac:dyDescent="0.35">
      <c r="A664" t="s">
        <v>1653</v>
      </c>
      <c r="B664" t="s">
        <v>715</v>
      </c>
      <c r="C664" t="s">
        <v>716</v>
      </c>
      <c r="D664" t="s">
        <v>67</v>
      </c>
      <c r="E664" t="s">
        <v>115</v>
      </c>
      <c r="F664" t="s">
        <v>50</v>
      </c>
      <c r="G664" t="s">
        <v>216</v>
      </c>
      <c r="H664">
        <v>3</v>
      </c>
      <c r="I664">
        <v>245.28</v>
      </c>
      <c r="J664">
        <v>735.84</v>
      </c>
      <c r="K664" t="s">
        <v>1654</v>
      </c>
      <c r="L664" t="s">
        <v>45</v>
      </c>
    </row>
    <row r="665" spans="1:12" x14ac:dyDescent="0.35">
      <c r="A665" t="s">
        <v>1655</v>
      </c>
      <c r="B665" t="s">
        <v>299</v>
      </c>
      <c r="C665" t="s">
        <v>300</v>
      </c>
      <c r="D665" t="s">
        <v>40</v>
      </c>
      <c r="E665" t="s">
        <v>120</v>
      </c>
      <c r="F665" t="s">
        <v>42</v>
      </c>
      <c r="G665" t="s">
        <v>89</v>
      </c>
      <c r="H665">
        <v>3</v>
      </c>
      <c r="I665">
        <v>562.92999999999995</v>
      </c>
      <c r="J665">
        <v>1688.79</v>
      </c>
      <c r="K665" t="s">
        <v>1656</v>
      </c>
      <c r="L665" t="s">
        <v>36</v>
      </c>
    </row>
    <row r="666" spans="1:12" x14ac:dyDescent="0.35">
      <c r="A666" t="s">
        <v>1657</v>
      </c>
      <c r="B666" t="s">
        <v>827</v>
      </c>
      <c r="C666" t="s">
        <v>828</v>
      </c>
      <c r="D666" t="s">
        <v>32</v>
      </c>
      <c r="E666" t="s">
        <v>61</v>
      </c>
      <c r="F666" t="s">
        <v>101</v>
      </c>
      <c r="G666" t="s">
        <v>102</v>
      </c>
      <c r="H666">
        <v>5</v>
      </c>
      <c r="I666">
        <v>514.92999999999995</v>
      </c>
      <c r="J666">
        <v>2574.65</v>
      </c>
      <c r="K666" t="s">
        <v>1406</v>
      </c>
      <c r="L666" t="s">
        <v>91</v>
      </c>
    </row>
    <row r="667" spans="1:12" x14ac:dyDescent="0.35">
      <c r="A667" t="s">
        <v>1658</v>
      </c>
      <c r="B667" t="s">
        <v>1203</v>
      </c>
      <c r="C667" t="s">
        <v>1204</v>
      </c>
      <c r="D667" t="s">
        <v>23</v>
      </c>
      <c r="E667" t="s">
        <v>338</v>
      </c>
      <c r="F667" t="s">
        <v>101</v>
      </c>
      <c r="G667" t="s">
        <v>165</v>
      </c>
      <c r="H667">
        <v>2</v>
      </c>
      <c r="I667">
        <v>328.17</v>
      </c>
      <c r="J667">
        <v>656.34</v>
      </c>
      <c r="K667" t="s">
        <v>262</v>
      </c>
      <c r="L667" t="s">
        <v>28</v>
      </c>
    </row>
    <row r="668" spans="1:12" x14ac:dyDescent="0.35">
      <c r="A668" t="s">
        <v>1659</v>
      </c>
      <c r="B668" t="s">
        <v>446</v>
      </c>
      <c r="C668" t="s">
        <v>447</v>
      </c>
      <c r="D668" t="s">
        <v>67</v>
      </c>
      <c r="E668" t="s">
        <v>115</v>
      </c>
      <c r="F668" t="s">
        <v>25</v>
      </c>
      <c r="G668" t="s">
        <v>139</v>
      </c>
      <c r="H668">
        <v>4</v>
      </c>
      <c r="I668">
        <v>1106.67</v>
      </c>
      <c r="J668">
        <v>4426.68</v>
      </c>
      <c r="K668" t="s">
        <v>1660</v>
      </c>
      <c r="L668" t="s">
        <v>28</v>
      </c>
    </row>
    <row r="669" spans="1:12" x14ac:dyDescent="0.35">
      <c r="A669" t="s">
        <v>1661</v>
      </c>
      <c r="B669" t="s">
        <v>1662</v>
      </c>
      <c r="C669" t="s">
        <v>1663</v>
      </c>
      <c r="D669" t="s">
        <v>67</v>
      </c>
      <c r="E669" t="s">
        <v>130</v>
      </c>
      <c r="F669" t="s">
        <v>25</v>
      </c>
      <c r="G669" t="s">
        <v>62</v>
      </c>
      <c r="H669">
        <v>1</v>
      </c>
      <c r="I669">
        <v>497.82</v>
      </c>
      <c r="J669">
        <v>497.82</v>
      </c>
      <c r="K669" t="s">
        <v>103</v>
      </c>
      <c r="L669" t="s">
        <v>28</v>
      </c>
    </row>
    <row r="670" spans="1:12" x14ac:dyDescent="0.35">
      <c r="A670" t="s">
        <v>1664</v>
      </c>
      <c r="B670" t="s">
        <v>969</v>
      </c>
      <c r="C670" t="s">
        <v>970</v>
      </c>
      <c r="D670" t="s">
        <v>67</v>
      </c>
      <c r="E670" t="s">
        <v>130</v>
      </c>
      <c r="F670" t="s">
        <v>16</v>
      </c>
      <c r="G670" t="s">
        <v>177</v>
      </c>
      <c r="H670">
        <v>1</v>
      </c>
      <c r="I670">
        <v>415.94</v>
      </c>
      <c r="J670">
        <v>415.94</v>
      </c>
      <c r="K670" t="s">
        <v>1665</v>
      </c>
      <c r="L670" t="s">
        <v>36</v>
      </c>
    </row>
    <row r="671" spans="1:12" x14ac:dyDescent="0.35">
      <c r="A671" t="s">
        <v>1666</v>
      </c>
      <c r="B671" t="s">
        <v>1369</v>
      </c>
      <c r="C671" t="s">
        <v>1370</v>
      </c>
      <c r="D671" t="s">
        <v>32</v>
      </c>
      <c r="E671" t="s">
        <v>203</v>
      </c>
      <c r="F671" t="s">
        <v>50</v>
      </c>
      <c r="G671" t="s">
        <v>170</v>
      </c>
      <c r="H671">
        <v>3</v>
      </c>
      <c r="I671">
        <v>968.56</v>
      </c>
      <c r="J671">
        <v>2905.68</v>
      </c>
      <c r="K671" t="s">
        <v>175</v>
      </c>
      <c r="L671" t="s">
        <v>19</v>
      </c>
    </row>
    <row r="672" spans="1:12" x14ac:dyDescent="0.35">
      <c r="A672" t="s">
        <v>1667</v>
      </c>
      <c r="B672" t="s">
        <v>562</v>
      </c>
      <c r="C672" t="s">
        <v>563</v>
      </c>
      <c r="D672" t="s">
        <v>23</v>
      </c>
      <c r="E672" t="s">
        <v>24</v>
      </c>
      <c r="F672" t="s">
        <v>50</v>
      </c>
      <c r="G672" t="s">
        <v>56</v>
      </c>
      <c r="H672">
        <v>3</v>
      </c>
      <c r="I672">
        <v>1079.72</v>
      </c>
      <c r="J672">
        <v>3239.16</v>
      </c>
      <c r="K672" t="s">
        <v>530</v>
      </c>
      <c r="L672" t="s">
        <v>91</v>
      </c>
    </row>
    <row r="673" spans="1:12" x14ac:dyDescent="0.35">
      <c r="A673" t="s">
        <v>1668</v>
      </c>
      <c r="B673" t="s">
        <v>72</v>
      </c>
      <c r="C673" t="s">
        <v>73</v>
      </c>
      <c r="D673" t="s">
        <v>67</v>
      </c>
      <c r="E673" t="s">
        <v>68</v>
      </c>
      <c r="F673" t="s">
        <v>50</v>
      </c>
      <c r="G673" t="s">
        <v>69</v>
      </c>
      <c r="H673">
        <v>3</v>
      </c>
      <c r="I673">
        <v>458.19</v>
      </c>
      <c r="J673">
        <v>1374.57</v>
      </c>
      <c r="K673" t="s">
        <v>1669</v>
      </c>
      <c r="L673" t="s">
        <v>91</v>
      </c>
    </row>
    <row r="674" spans="1:12" x14ac:dyDescent="0.35">
      <c r="A674" t="s">
        <v>1670</v>
      </c>
      <c r="B674" t="s">
        <v>146</v>
      </c>
      <c r="C674" t="s">
        <v>147</v>
      </c>
      <c r="D674" t="s">
        <v>67</v>
      </c>
      <c r="E674" t="s">
        <v>115</v>
      </c>
      <c r="F674" t="s">
        <v>25</v>
      </c>
      <c r="G674" t="s">
        <v>139</v>
      </c>
      <c r="H674">
        <v>2</v>
      </c>
      <c r="I674">
        <v>1178.8800000000001</v>
      </c>
      <c r="J674">
        <v>2357.7600000000002</v>
      </c>
      <c r="K674" t="s">
        <v>75</v>
      </c>
      <c r="L674" t="s">
        <v>91</v>
      </c>
    </row>
    <row r="675" spans="1:12" x14ac:dyDescent="0.35">
      <c r="A675" t="s">
        <v>1671</v>
      </c>
      <c r="B675" t="s">
        <v>842</v>
      </c>
      <c r="C675" t="s">
        <v>843</v>
      </c>
      <c r="D675" t="s">
        <v>40</v>
      </c>
      <c r="E675" t="s">
        <v>79</v>
      </c>
      <c r="F675" t="s">
        <v>42</v>
      </c>
      <c r="G675" t="s">
        <v>170</v>
      </c>
      <c r="H675">
        <v>2</v>
      </c>
      <c r="I675">
        <v>642.19000000000005</v>
      </c>
      <c r="J675">
        <v>1284.3800000000001</v>
      </c>
      <c r="K675" t="s">
        <v>1672</v>
      </c>
      <c r="L675" t="s">
        <v>36</v>
      </c>
    </row>
    <row r="676" spans="1:12" x14ac:dyDescent="0.35">
      <c r="A676" t="s">
        <v>1673</v>
      </c>
      <c r="B676" t="s">
        <v>1281</v>
      </c>
      <c r="C676" t="s">
        <v>1282</v>
      </c>
      <c r="D676" t="s">
        <v>14</v>
      </c>
      <c r="E676" t="s">
        <v>266</v>
      </c>
      <c r="F676" t="s">
        <v>42</v>
      </c>
      <c r="G676" t="s">
        <v>80</v>
      </c>
      <c r="H676">
        <v>2</v>
      </c>
      <c r="I676">
        <v>909.59</v>
      </c>
      <c r="J676">
        <v>1819.18</v>
      </c>
      <c r="K676" t="s">
        <v>1270</v>
      </c>
      <c r="L676" t="s">
        <v>36</v>
      </c>
    </row>
    <row r="677" spans="1:12" x14ac:dyDescent="0.35">
      <c r="A677" t="s">
        <v>1674</v>
      </c>
      <c r="B677" t="s">
        <v>128</v>
      </c>
      <c r="C677" t="s">
        <v>129</v>
      </c>
      <c r="D677" t="s">
        <v>67</v>
      </c>
      <c r="E677" t="s">
        <v>115</v>
      </c>
      <c r="F677" t="s">
        <v>101</v>
      </c>
      <c r="G677" t="s">
        <v>165</v>
      </c>
      <c r="H677">
        <v>3</v>
      </c>
      <c r="I677">
        <v>449.42</v>
      </c>
      <c r="J677">
        <v>1348.26</v>
      </c>
      <c r="K677" t="s">
        <v>1675</v>
      </c>
      <c r="L677" t="s">
        <v>45</v>
      </c>
    </row>
    <row r="678" spans="1:12" x14ac:dyDescent="0.35">
      <c r="A678" t="s">
        <v>1676</v>
      </c>
      <c r="B678" t="s">
        <v>1677</v>
      </c>
      <c r="C678" t="s">
        <v>1678</v>
      </c>
      <c r="D678" t="s">
        <v>67</v>
      </c>
      <c r="E678" t="s">
        <v>115</v>
      </c>
      <c r="F678" t="s">
        <v>42</v>
      </c>
      <c r="G678" t="s">
        <v>43</v>
      </c>
      <c r="H678">
        <v>2</v>
      </c>
      <c r="I678">
        <v>916.31</v>
      </c>
      <c r="J678">
        <v>1832.62</v>
      </c>
      <c r="K678" t="s">
        <v>572</v>
      </c>
      <c r="L678" t="s">
        <v>36</v>
      </c>
    </row>
    <row r="679" spans="1:12" x14ac:dyDescent="0.35">
      <c r="A679" t="s">
        <v>1679</v>
      </c>
      <c r="B679" t="s">
        <v>201</v>
      </c>
      <c r="C679" t="s">
        <v>202</v>
      </c>
      <c r="D679" t="s">
        <v>67</v>
      </c>
      <c r="E679" t="s">
        <v>68</v>
      </c>
      <c r="F679" t="s">
        <v>50</v>
      </c>
      <c r="G679" t="s">
        <v>51</v>
      </c>
      <c r="H679">
        <v>4</v>
      </c>
      <c r="I679">
        <v>359.55</v>
      </c>
      <c r="J679">
        <v>1438.2</v>
      </c>
      <c r="K679" t="s">
        <v>1610</v>
      </c>
      <c r="L679" t="s">
        <v>19</v>
      </c>
    </row>
    <row r="680" spans="1:12" x14ac:dyDescent="0.35">
      <c r="A680" t="s">
        <v>1680</v>
      </c>
      <c r="B680" t="s">
        <v>1681</v>
      </c>
      <c r="C680" t="s">
        <v>1682</v>
      </c>
      <c r="D680" t="s">
        <v>67</v>
      </c>
      <c r="E680" t="s">
        <v>115</v>
      </c>
      <c r="F680" t="s">
        <v>50</v>
      </c>
      <c r="G680" t="s">
        <v>69</v>
      </c>
      <c r="H680">
        <v>4</v>
      </c>
      <c r="I680">
        <v>1327.92</v>
      </c>
      <c r="J680">
        <v>5311.68</v>
      </c>
      <c r="K680" t="s">
        <v>1683</v>
      </c>
      <c r="L680" t="s">
        <v>45</v>
      </c>
    </row>
    <row r="681" spans="1:12" x14ac:dyDescent="0.35">
      <c r="A681" t="s">
        <v>1684</v>
      </c>
      <c r="B681" t="s">
        <v>1312</v>
      </c>
      <c r="C681" t="s">
        <v>1313</v>
      </c>
      <c r="D681" t="s">
        <v>23</v>
      </c>
      <c r="E681" t="s">
        <v>49</v>
      </c>
      <c r="F681" t="s">
        <v>16</v>
      </c>
      <c r="G681" t="s">
        <v>182</v>
      </c>
      <c r="H681">
        <v>5</v>
      </c>
      <c r="I681">
        <v>291.36</v>
      </c>
      <c r="J681">
        <v>1456.8</v>
      </c>
      <c r="K681" t="s">
        <v>1579</v>
      </c>
      <c r="L681" t="s">
        <v>91</v>
      </c>
    </row>
    <row r="682" spans="1:12" x14ac:dyDescent="0.35">
      <c r="A682" t="s">
        <v>1685</v>
      </c>
      <c r="B682" t="s">
        <v>454</v>
      </c>
      <c r="C682" t="s">
        <v>455</v>
      </c>
      <c r="D682" t="s">
        <v>67</v>
      </c>
      <c r="E682" t="s">
        <v>130</v>
      </c>
      <c r="F682" t="s">
        <v>42</v>
      </c>
      <c r="G682" t="s">
        <v>43</v>
      </c>
      <c r="H682">
        <v>5</v>
      </c>
      <c r="I682">
        <v>807.17</v>
      </c>
      <c r="J682">
        <v>4035.85</v>
      </c>
      <c r="K682" t="s">
        <v>1487</v>
      </c>
      <c r="L682" t="s">
        <v>36</v>
      </c>
    </row>
    <row r="683" spans="1:12" x14ac:dyDescent="0.35">
      <c r="A683" t="s">
        <v>1686</v>
      </c>
      <c r="B683" t="s">
        <v>1246</v>
      </c>
      <c r="C683" t="s">
        <v>1247</v>
      </c>
      <c r="D683" t="s">
        <v>23</v>
      </c>
      <c r="E683" t="s">
        <v>49</v>
      </c>
      <c r="F683" t="s">
        <v>42</v>
      </c>
      <c r="G683" t="s">
        <v>170</v>
      </c>
      <c r="H683">
        <v>3</v>
      </c>
      <c r="I683">
        <v>295.20999999999998</v>
      </c>
      <c r="J683">
        <v>885.63</v>
      </c>
      <c r="K683" t="s">
        <v>448</v>
      </c>
      <c r="L683" t="s">
        <v>36</v>
      </c>
    </row>
    <row r="684" spans="1:12" x14ac:dyDescent="0.35">
      <c r="A684" t="s">
        <v>1687</v>
      </c>
      <c r="B684" t="s">
        <v>832</v>
      </c>
      <c r="C684" t="s">
        <v>833</v>
      </c>
      <c r="D684" t="s">
        <v>40</v>
      </c>
      <c r="E684" t="s">
        <v>79</v>
      </c>
      <c r="F684" t="s">
        <v>16</v>
      </c>
      <c r="G684" t="s">
        <v>177</v>
      </c>
      <c r="H684">
        <v>1</v>
      </c>
      <c r="I684">
        <v>786.56</v>
      </c>
      <c r="J684">
        <v>786.56</v>
      </c>
      <c r="K684" t="s">
        <v>662</v>
      </c>
      <c r="L684" t="s">
        <v>45</v>
      </c>
    </row>
    <row r="685" spans="1:12" x14ac:dyDescent="0.35">
      <c r="A685" t="s">
        <v>1688</v>
      </c>
      <c r="B685" t="s">
        <v>355</v>
      </c>
      <c r="C685" t="s">
        <v>356</v>
      </c>
      <c r="D685" t="s">
        <v>32</v>
      </c>
      <c r="E685" t="s">
        <v>61</v>
      </c>
      <c r="F685" t="s">
        <v>42</v>
      </c>
      <c r="G685" t="s">
        <v>89</v>
      </c>
      <c r="H685">
        <v>2</v>
      </c>
      <c r="I685">
        <v>1239.6099999999999</v>
      </c>
      <c r="J685">
        <v>2479.2199999999998</v>
      </c>
      <c r="K685" t="s">
        <v>799</v>
      </c>
      <c r="L685" t="s">
        <v>19</v>
      </c>
    </row>
    <row r="686" spans="1:12" x14ac:dyDescent="0.35">
      <c r="A686" t="s">
        <v>1689</v>
      </c>
      <c r="B686" t="s">
        <v>72</v>
      </c>
      <c r="C686" t="s">
        <v>73</v>
      </c>
      <c r="D686" t="s">
        <v>14</v>
      </c>
      <c r="E686" t="s">
        <v>100</v>
      </c>
      <c r="F686" t="s">
        <v>101</v>
      </c>
      <c r="G686" t="s">
        <v>649</v>
      </c>
      <c r="H686">
        <v>4</v>
      </c>
      <c r="I686">
        <v>201.6</v>
      </c>
      <c r="J686">
        <v>806.4</v>
      </c>
      <c r="K686" t="s">
        <v>811</v>
      </c>
      <c r="L686" t="s">
        <v>28</v>
      </c>
    </row>
    <row r="687" spans="1:12" x14ac:dyDescent="0.35">
      <c r="A687" t="s">
        <v>1690</v>
      </c>
      <c r="B687" t="s">
        <v>128</v>
      </c>
      <c r="C687" t="s">
        <v>129</v>
      </c>
      <c r="D687" t="s">
        <v>14</v>
      </c>
      <c r="E687" t="s">
        <v>95</v>
      </c>
      <c r="F687" t="s">
        <v>16</v>
      </c>
      <c r="G687" t="s">
        <v>148</v>
      </c>
      <c r="H687">
        <v>3</v>
      </c>
      <c r="I687">
        <v>815.02</v>
      </c>
      <c r="J687">
        <v>2445.06</v>
      </c>
      <c r="K687" t="s">
        <v>1691</v>
      </c>
      <c r="L687" t="s">
        <v>91</v>
      </c>
    </row>
    <row r="688" spans="1:12" x14ac:dyDescent="0.35">
      <c r="A688" t="s">
        <v>1692</v>
      </c>
      <c r="B688" t="s">
        <v>586</v>
      </c>
      <c r="C688" t="s">
        <v>587</v>
      </c>
      <c r="D688" t="s">
        <v>14</v>
      </c>
      <c r="E688" t="s">
        <v>125</v>
      </c>
      <c r="F688" t="s">
        <v>101</v>
      </c>
      <c r="G688" t="s">
        <v>649</v>
      </c>
      <c r="H688">
        <v>4</v>
      </c>
      <c r="I688">
        <v>1147.6099999999999</v>
      </c>
      <c r="J688">
        <v>4590.4399999999996</v>
      </c>
      <c r="K688" t="s">
        <v>1693</v>
      </c>
      <c r="L688" t="s">
        <v>36</v>
      </c>
    </row>
    <row r="689" spans="1:12" x14ac:dyDescent="0.35">
      <c r="A689" t="s">
        <v>1694</v>
      </c>
      <c r="B689" t="s">
        <v>210</v>
      </c>
      <c r="C689" t="s">
        <v>211</v>
      </c>
      <c r="D689" t="s">
        <v>67</v>
      </c>
      <c r="E689" t="s">
        <v>68</v>
      </c>
      <c r="F689" t="s">
        <v>50</v>
      </c>
      <c r="G689" t="s">
        <v>56</v>
      </c>
      <c r="H689">
        <v>2</v>
      </c>
      <c r="I689">
        <v>1196.05</v>
      </c>
      <c r="J689">
        <v>2392.1</v>
      </c>
      <c r="K689" t="s">
        <v>1219</v>
      </c>
      <c r="L689" t="s">
        <v>45</v>
      </c>
    </row>
    <row r="690" spans="1:12" x14ac:dyDescent="0.35">
      <c r="A690" t="s">
        <v>1695</v>
      </c>
      <c r="B690" t="s">
        <v>767</v>
      </c>
      <c r="C690" t="s">
        <v>768</v>
      </c>
      <c r="D690" t="s">
        <v>32</v>
      </c>
      <c r="E690" t="s">
        <v>203</v>
      </c>
      <c r="F690" t="s">
        <v>50</v>
      </c>
      <c r="G690" t="s">
        <v>170</v>
      </c>
      <c r="H690">
        <v>5</v>
      </c>
      <c r="I690">
        <v>445.07</v>
      </c>
      <c r="J690">
        <v>2225.35</v>
      </c>
      <c r="K690" t="s">
        <v>1293</v>
      </c>
      <c r="L690" t="s">
        <v>19</v>
      </c>
    </row>
    <row r="691" spans="1:12" x14ac:dyDescent="0.35">
      <c r="A691" t="s">
        <v>1696</v>
      </c>
      <c r="B691" t="s">
        <v>809</v>
      </c>
      <c r="C691" t="s">
        <v>810</v>
      </c>
      <c r="D691" t="s">
        <v>32</v>
      </c>
      <c r="E691" t="s">
        <v>61</v>
      </c>
      <c r="F691" t="s">
        <v>16</v>
      </c>
      <c r="G691" t="s">
        <v>182</v>
      </c>
      <c r="H691">
        <v>1</v>
      </c>
      <c r="I691">
        <v>409.39</v>
      </c>
      <c r="J691">
        <v>409.39</v>
      </c>
      <c r="K691" t="s">
        <v>757</v>
      </c>
      <c r="L691" t="s">
        <v>36</v>
      </c>
    </row>
    <row r="692" spans="1:12" x14ac:dyDescent="0.35">
      <c r="A692" t="s">
        <v>1697</v>
      </c>
      <c r="B692" t="s">
        <v>1246</v>
      </c>
      <c r="C692" t="s">
        <v>1247</v>
      </c>
      <c r="D692" t="s">
        <v>23</v>
      </c>
      <c r="E692" t="s">
        <v>49</v>
      </c>
      <c r="F692" t="s">
        <v>101</v>
      </c>
      <c r="G692" t="s">
        <v>165</v>
      </c>
      <c r="H692">
        <v>1</v>
      </c>
      <c r="I692">
        <v>513.25</v>
      </c>
      <c r="J692">
        <v>513.25</v>
      </c>
      <c r="K692" t="s">
        <v>1172</v>
      </c>
      <c r="L692" t="s">
        <v>28</v>
      </c>
    </row>
    <row r="693" spans="1:12" x14ac:dyDescent="0.35">
      <c r="A693" t="s">
        <v>1698</v>
      </c>
      <c r="B693" t="s">
        <v>1167</v>
      </c>
      <c r="C693" t="s">
        <v>1168</v>
      </c>
      <c r="D693" t="s">
        <v>40</v>
      </c>
      <c r="E693" t="s">
        <v>41</v>
      </c>
      <c r="F693" t="s">
        <v>101</v>
      </c>
      <c r="G693" t="s">
        <v>649</v>
      </c>
      <c r="H693">
        <v>2</v>
      </c>
      <c r="I693">
        <v>910.38</v>
      </c>
      <c r="J693">
        <v>1820.76</v>
      </c>
      <c r="K693" t="s">
        <v>973</v>
      </c>
      <c r="L693" t="s">
        <v>36</v>
      </c>
    </row>
    <row r="694" spans="1:12" x14ac:dyDescent="0.35">
      <c r="A694" t="s">
        <v>1699</v>
      </c>
      <c r="B694" t="s">
        <v>1149</v>
      </c>
      <c r="C694" t="s">
        <v>1150</v>
      </c>
      <c r="D694" t="s">
        <v>40</v>
      </c>
      <c r="E694" t="s">
        <v>79</v>
      </c>
      <c r="F694" t="s">
        <v>42</v>
      </c>
      <c r="G694" t="s">
        <v>43</v>
      </c>
      <c r="H694">
        <v>2</v>
      </c>
      <c r="I694">
        <v>630.57000000000005</v>
      </c>
      <c r="J694">
        <v>1261.1400000000001</v>
      </c>
      <c r="K694" t="s">
        <v>153</v>
      </c>
      <c r="L694" t="s">
        <v>45</v>
      </c>
    </row>
    <row r="695" spans="1:12" x14ac:dyDescent="0.35">
      <c r="A695" t="s">
        <v>1700</v>
      </c>
      <c r="B695" t="s">
        <v>443</v>
      </c>
      <c r="C695" t="s">
        <v>444</v>
      </c>
      <c r="D695" t="s">
        <v>14</v>
      </c>
      <c r="E695" t="s">
        <v>95</v>
      </c>
      <c r="F695" t="s">
        <v>42</v>
      </c>
      <c r="G695" t="s">
        <v>89</v>
      </c>
      <c r="H695">
        <v>2</v>
      </c>
      <c r="I695">
        <v>70.7</v>
      </c>
      <c r="J695">
        <v>141.4</v>
      </c>
      <c r="K695" t="s">
        <v>1701</v>
      </c>
      <c r="L695" t="s">
        <v>91</v>
      </c>
    </row>
    <row r="696" spans="1:12" x14ac:dyDescent="0.35">
      <c r="A696" t="s">
        <v>1702</v>
      </c>
      <c r="B696" t="s">
        <v>611</v>
      </c>
      <c r="C696" t="s">
        <v>612</v>
      </c>
      <c r="D696" t="s">
        <v>23</v>
      </c>
      <c r="E696" t="s">
        <v>338</v>
      </c>
      <c r="F696" t="s">
        <v>101</v>
      </c>
      <c r="G696" t="s">
        <v>165</v>
      </c>
      <c r="H696">
        <v>2</v>
      </c>
      <c r="I696">
        <v>1100.47</v>
      </c>
      <c r="J696">
        <v>2200.94</v>
      </c>
      <c r="K696" t="s">
        <v>1703</v>
      </c>
      <c r="L696" t="s">
        <v>28</v>
      </c>
    </row>
    <row r="697" spans="1:12" x14ac:dyDescent="0.35">
      <c r="A697" t="s">
        <v>1704</v>
      </c>
      <c r="B697" t="s">
        <v>359</v>
      </c>
      <c r="C697" t="s">
        <v>360</v>
      </c>
      <c r="D697" t="s">
        <v>23</v>
      </c>
      <c r="E697" t="s">
        <v>338</v>
      </c>
      <c r="F697" t="s">
        <v>42</v>
      </c>
      <c r="G697" t="s">
        <v>89</v>
      </c>
      <c r="H697">
        <v>5</v>
      </c>
      <c r="I697">
        <v>556.80999999999995</v>
      </c>
      <c r="J697">
        <v>2784.05</v>
      </c>
      <c r="K697" t="s">
        <v>1264</v>
      </c>
      <c r="L697" t="s">
        <v>36</v>
      </c>
    </row>
    <row r="698" spans="1:12" x14ac:dyDescent="0.35">
      <c r="A698" t="s">
        <v>1705</v>
      </c>
      <c r="B698" t="s">
        <v>1203</v>
      </c>
      <c r="C698" t="s">
        <v>1204</v>
      </c>
      <c r="D698" t="s">
        <v>40</v>
      </c>
      <c r="E698" t="s">
        <v>79</v>
      </c>
      <c r="F698" t="s">
        <v>50</v>
      </c>
      <c r="G698" t="s">
        <v>216</v>
      </c>
      <c r="H698">
        <v>4</v>
      </c>
      <c r="I698">
        <v>497.99</v>
      </c>
      <c r="J698">
        <v>1991.96</v>
      </c>
      <c r="K698" t="s">
        <v>1034</v>
      </c>
      <c r="L698" t="s">
        <v>45</v>
      </c>
    </row>
    <row r="699" spans="1:12" x14ac:dyDescent="0.35">
      <c r="A699" t="s">
        <v>1706</v>
      </c>
      <c r="B699" t="s">
        <v>1707</v>
      </c>
      <c r="C699" t="s">
        <v>1708</v>
      </c>
      <c r="D699" t="s">
        <v>14</v>
      </c>
      <c r="E699" t="s">
        <v>15</v>
      </c>
      <c r="F699" t="s">
        <v>25</v>
      </c>
      <c r="G699" t="s">
        <v>62</v>
      </c>
      <c r="H699">
        <v>5</v>
      </c>
      <c r="I699">
        <v>1013.89</v>
      </c>
      <c r="J699">
        <v>5069.45</v>
      </c>
      <c r="K699" t="s">
        <v>1479</v>
      </c>
      <c r="L699" t="s">
        <v>19</v>
      </c>
    </row>
    <row r="700" spans="1:12" x14ac:dyDescent="0.35">
      <c r="A700" t="s">
        <v>1709</v>
      </c>
      <c r="B700" t="s">
        <v>252</v>
      </c>
      <c r="C700" t="s">
        <v>253</v>
      </c>
      <c r="D700" t="s">
        <v>67</v>
      </c>
      <c r="E700" t="s">
        <v>115</v>
      </c>
      <c r="F700" t="s">
        <v>16</v>
      </c>
      <c r="G700" t="s">
        <v>148</v>
      </c>
      <c r="H700">
        <v>2</v>
      </c>
      <c r="I700">
        <v>968.61</v>
      </c>
      <c r="J700">
        <v>1937.22</v>
      </c>
      <c r="K700" t="s">
        <v>692</v>
      </c>
      <c r="L700" t="s">
        <v>45</v>
      </c>
    </row>
    <row r="701" spans="1:12" x14ac:dyDescent="0.35">
      <c r="A701" t="s">
        <v>1710</v>
      </c>
      <c r="B701" t="s">
        <v>574</v>
      </c>
      <c r="C701" t="s">
        <v>575</v>
      </c>
      <c r="D701" t="s">
        <v>40</v>
      </c>
      <c r="E701" t="s">
        <v>120</v>
      </c>
      <c r="F701" t="s">
        <v>16</v>
      </c>
      <c r="G701" t="s">
        <v>182</v>
      </c>
      <c r="H701">
        <v>2</v>
      </c>
      <c r="I701">
        <v>1201.21</v>
      </c>
      <c r="J701">
        <v>2402.42</v>
      </c>
      <c r="K701" t="s">
        <v>1536</v>
      </c>
      <c r="L701" t="s">
        <v>28</v>
      </c>
    </row>
    <row r="702" spans="1:12" x14ac:dyDescent="0.35">
      <c r="A702" t="s">
        <v>1711</v>
      </c>
      <c r="B702" t="s">
        <v>159</v>
      </c>
      <c r="C702" t="s">
        <v>160</v>
      </c>
      <c r="D702" t="s">
        <v>32</v>
      </c>
      <c r="E702" t="s">
        <v>33</v>
      </c>
      <c r="F702" t="s">
        <v>42</v>
      </c>
      <c r="G702" t="s">
        <v>170</v>
      </c>
      <c r="H702">
        <v>1</v>
      </c>
      <c r="I702">
        <v>96.9</v>
      </c>
      <c r="J702">
        <v>96.9</v>
      </c>
      <c r="K702" t="s">
        <v>550</v>
      </c>
      <c r="L702" t="s">
        <v>45</v>
      </c>
    </row>
    <row r="703" spans="1:12" x14ac:dyDescent="0.35">
      <c r="A703" t="s">
        <v>1712</v>
      </c>
      <c r="B703" t="s">
        <v>536</v>
      </c>
      <c r="C703" t="s">
        <v>537</v>
      </c>
      <c r="D703" t="s">
        <v>23</v>
      </c>
      <c r="E703" t="s">
        <v>338</v>
      </c>
      <c r="F703" t="s">
        <v>101</v>
      </c>
      <c r="G703" t="s">
        <v>102</v>
      </c>
      <c r="H703">
        <v>3</v>
      </c>
      <c r="I703">
        <v>608.33000000000004</v>
      </c>
      <c r="J703">
        <v>1824.99</v>
      </c>
      <c r="K703" t="s">
        <v>35</v>
      </c>
      <c r="L703" t="s">
        <v>36</v>
      </c>
    </row>
    <row r="704" spans="1:12" x14ac:dyDescent="0.35">
      <c r="A704" t="s">
        <v>1713</v>
      </c>
      <c r="B704" t="s">
        <v>1058</v>
      </c>
      <c r="C704" t="s">
        <v>1059</v>
      </c>
      <c r="D704" t="s">
        <v>14</v>
      </c>
      <c r="E704" t="s">
        <v>15</v>
      </c>
      <c r="F704" t="s">
        <v>25</v>
      </c>
      <c r="G704" t="s">
        <v>62</v>
      </c>
      <c r="H704">
        <v>5</v>
      </c>
      <c r="I704">
        <v>363.01</v>
      </c>
      <c r="J704">
        <v>1815.05</v>
      </c>
      <c r="K704" t="s">
        <v>1714</v>
      </c>
      <c r="L704" t="s">
        <v>91</v>
      </c>
    </row>
    <row r="705" spans="1:12" x14ac:dyDescent="0.35">
      <c r="A705" t="s">
        <v>1715</v>
      </c>
      <c r="B705" t="s">
        <v>435</v>
      </c>
      <c r="C705" t="s">
        <v>436</v>
      </c>
      <c r="D705" t="s">
        <v>14</v>
      </c>
      <c r="E705" t="s">
        <v>15</v>
      </c>
      <c r="F705" t="s">
        <v>50</v>
      </c>
      <c r="G705" t="s">
        <v>51</v>
      </c>
      <c r="H705">
        <v>4</v>
      </c>
      <c r="I705">
        <v>434.1</v>
      </c>
      <c r="J705">
        <v>1736.4</v>
      </c>
      <c r="K705" t="s">
        <v>1716</v>
      </c>
      <c r="L705" t="s">
        <v>91</v>
      </c>
    </row>
    <row r="706" spans="1:12" x14ac:dyDescent="0.35">
      <c r="A706" t="s">
        <v>1717</v>
      </c>
      <c r="B706" t="s">
        <v>652</v>
      </c>
      <c r="C706" t="s">
        <v>653</v>
      </c>
      <c r="D706" t="s">
        <v>23</v>
      </c>
      <c r="E706" t="s">
        <v>49</v>
      </c>
      <c r="F706" t="s">
        <v>101</v>
      </c>
      <c r="G706" t="s">
        <v>102</v>
      </c>
      <c r="H706">
        <v>4</v>
      </c>
      <c r="I706">
        <v>1039.49</v>
      </c>
      <c r="J706">
        <v>4157.96</v>
      </c>
      <c r="K706" t="s">
        <v>1228</v>
      </c>
      <c r="L706" t="s">
        <v>91</v>
      </c>
    </row>
    <row r="707" spans="1:12" x14ac:dyDescent="0.35">
      <c r="A707" t="s">
        <v>1718</v>
      </c>
      <c r="B707" t="s">
        <v>1087</v>
      </c>
      <c r="C707" t="s">
        <v>1088</v>
      </c>
      <c r="D707" t="s">
        <v>23</v>
      </c>
      <c r="E707" t="s">
        <v>24</v>
      </c>
      <c r="F707" t="s">
        <v>16</v>
      </c>
      <c r="G707" t="s">
        <v>148</v>
      </c>
      <c r="H707">
        <v>2</v>
      </c>
      <c r="I707">
        <v>511.05</v>
      </c>
      <c r="J707">
        <v>1022.1</v>
      </c>
      <c r="K707" t="s">
        <v>468</v>
      </c>
      <c r="L707" t="s">
        <v>45</v>
      </c>
    </row>
    <row r="708" spans="1:12" x14ac:dyDescent="0.35">
      <c r="A708" t="s">
        <v>1719</v>
      </c>
      <c r="B708" t="s">
        <v>922</v>
      </c>
      <c r="C708" t="s">
        <v>923</v>
      </c>
      <c r="D708" t="s">
        <v>32</v>
      </c>
      <c r="E708" t="s">
        <v>33</v>
      </c>
      <c r="F708" t="s">
        <v>50</v>
      </c>
      <c r="G708" t="s">
        <v>216</v>
      </c>
      <c r="H708">
        <v>5</v>
      </c>
      <c r="I708">
        <v>1058.1400000000001</v>
      </c>
      <c r="J708">
        <v>5290.7</v>
      </c>
      <c r="K708" t="s">
        <v>361</v>
      </c>
      <c r="L708" t="s">
        <v>19</v>
      </c>
    </row>
    <row r="709" spans="1:12" x14ac:dyDescent="0.35">
      <c r="A709" t="s">
        <v>1720</v>
      </c>
      <c r="B709" t="s">
        <v>536</v>
      </c>
      <c r="C709" t="s">
        <v>537</v>
      </c>
      <c r="D709" t="s">
        <v>32</v>
      </c>
      <c r="E709" t="s">
        <v>33</v>
      </c>
      <c r="F709" t="s">
        <v>101</v>
      </c>
      <c r="G709" t="s">
        <v>165</v>
      </c>
      <c r="H709">
        <v>3</v>
      </c>
      <c r="I709">
        <v>231.78</v>
      </c>
      <c r="J709">
        <v>695.34</v>
      </c>
      <c r="K709" t="s">
        <v>1181</v>
      </c>
      <c r="L709" t="s">
        <v>36</v>
      </c>
    </row>
    <row r="710" spans="1:12" x14ac:dyDescent="0.35">
      <c r="A710" t="s">
        <v>1721</v>
      </c>
      <c r="B710" t="s">
        <v>1159</v>
      </c>
      <c r="C710" t="s">
        <v>1160</v>
      </c>
      <c r="D710" t="s">
        <v>14</v>
      </c>
      <c r="E710" t="s">
        <v>100</v>
      </c>
      <c r="F710" t="s">
        <v>50</v>
      </c>
      <c r="G710" t="s">
        <v>56</v>
      </c>
      <c r="H710">
        <v>2</v>
      </c>
      <c r="I710">
        <v>1188.3900000000001</v>
      </c>
      <c r="J710">
        <v>2376.7800000000002</v>
      </c>
      <c r="K710" t="s">
        <v>1722</v>
      </c>
      <c r="L710" t="s">
        <v>36</v>
      </c>
    </row>
    <row r="711" spans="1:12" x14ac:dyDescent="0.35">
      <c r="A711" t="s">
        <v>1723</v>
      </c>
      <c r="B711" t="s">
        <v>1281</v>
      </c>
      <c r="C711" t="s">
        <v>1282</v>
      </c>
      <c r="D711" t="s">
        <v>40</v>
      </c>
      <c r="E711" t="s">
        <v>79</v>
      </c>
      <c r="F711" t="s">
        <v>25</v>
      </c>
      <c r="G711" t="s">
        <v>74</v>
      </c>
      <c r="H711">
        <v>3</v>
      </c>
      <c r="I711">
        <v>146.03</v>
      </c>
      <c r="J711">
        <v>438.09</v>
      </c>
      <c r="K711" t="s">
        <v>850</v>
      </c>
      <c r="L711" t="s">
        <v>19</v>
      </c>
    </row>
    <row r="712" spans="1:12" x14ac:dyDescent="0.35">
      <c r="A712" t="s">
        <v>1724</v>
      </c>
      <c r="B712" t="s">
        <v>755</v>
      </c>
      <c r="C712" t="s">
        <v>756</v>
      </c>
      <c r="D712" t="s">
        <v>32</v>
      </c>
      <c r="E712" t="s">
        <v>203</v>
      </c>
      <c r="F712" t="s">
        <v>16</v>
      </c>
      <c r="G712" t="s">
        <v>17</v>
      </c>
      <c r="H712">
        <v>5</v>
      </c>
      <c r="I712">
        <v>78.31</v>
      </c>
      <c r="J712">
        <v>391.55</v>
      </c>
      <c r="K712" t="s">
        <v>1716</v>
      </c>
      <c r="L712" t="s">
        <v>28</v>
      </c>
    </row>
    <row r="713" spans="1:12" x14ac:dyDescent="0.35">
      <c r="A713" t="s">
        <v>1725</v>
      </c>
      <c r="B713" t="s">
        <v>960</v>
      </c>
      <c r="C713" t="s">
        <v>961</v>
      </c>
      <c r="D713" t="s">
        <v>14</v>
      </c>
      <c r="E713" t="s">
        <v>15</v>
      </c>
      <c r="F713" t="s">
        <v>16</v>
      </c>
      <c r="G713" t="s">
        <v>17</v>
      </c>
      <c r="H713">
        <v>5</v>
      </c>
      <c r="I713">
        <v>820.06</v>
      </c>
      <c r="J713">
        <v>4100.3</v>
      </c>
      <c r="K713" t="s">
        <v>912</v>
      </c>
      <c r="L713" t="s">
        <v>28</v>
      </c>
    </row>
    <row r="714" spans="1:12" x14ac:dyDescent="0.35">
      <c r="A714" t="s">
        <v>1726</v>
      </c>
      <c r="B714" t="s">
        <v>113</v>
      </c>
      <c r="C714" t="s">
        <v>114</v>
      </c>
      <c r="D714" t="s">
        <v>23</v>
      </c>
      <c r="E714" t="s">
        <v>24</v>
      </c>
      <c r="F714" t="s">
        <v>101</v>
      </c>
      <c r="G714" t="s">
        <v>373</v>
      </c>
      <c r="H714">
        <v>1</v>
      </c>
      <c r="I714">
        <v>138.81</v>
      </c>
      <c r="J714">
        <v>138.81</v>
      </c>
      <c r="K714" t="s">
        <v>1727</v>
      </c>
      <c r="L714" t="s">
        <v>91</v>
      </c>
    </row>
    <row r="715" spans="1:12" x14ac:dyDescent="0.35">
      <c r="A715" t="s">
        <v>1728</v>
      </c>
      <c r="B715" t="s">
        <v>105</v>
      </c>
      <c r="C715" t="s">
        <v>106</v>
      </c>
      <c r="D715" t="s">
        <v>67</v>
      </c>
      <c r="E715" t="s">
        <v>115</v>
      </c>
      <c r="F715" t="s">
        <v>101</v>
      </c>
      <c r="G715" t="s">
        <v>165</v>
      </c>
      <c r="H715">
        <v>3</v>
      </c>
      <c r="I715">
        <v>1436.55</v>
      </c>
      <c r="J715">
        <v>4309.6499999999996</v>
      </c>
      <c r="K715" t="s">
        <v>468</v>
      </c>
      <c r="L715" t="s">
        <v>28</v>
      </c>
    </row>
    <row r="716" spans="1:12" x14ac:dyDescent="0.35">
      <c r="A716" t="s">
        <v>1729</v>
      </c>
      <c r="B716" t="s">
        <v>396</v>
      </c>
      <c r="C716" t="s">
        <v>397</v>
      </c>
      <c r="D716" t="s">
        <v>40</v>
      </c>
      <c r="E716" t="s">
        <v>120</v>
      </c>
      <c r="F716" t="s">
        <v>25</v>
      </c>
      <c r="G716" t="s">
        <v>139</v>
      </c>
      <c r="H716">
        <v>5</v>
      </c>
      <c r="I716">
        <v>930.35</v>
      </c>
      <c r="J716">
        <v>4651.75</v>
      </c>
      <c r="K716" t="s">
        <v>1542</v>
      </c>
      <c r="L716" t="s">
        <v>91</v>
      </c>
    </row>
    <row r="717" spans="1:12" x14ac:dyDescent="0.35">
      <c r="A717" t="s">
        <v>1730</v>
      </c>
      <c r="B717" t="s">
        <v>686</v>
      </c>
      <c r="C717" t="s">
        <v>687</v>
      </c>
      <c r="D717" t="s">
        <v>67</v>
      </c>
      <c r="E717" t="s">
        <v>130</v>
      </c>
      <c r="F717" t="s">
        <v>25</v>
      </c>
      <c r="G717" t="s">
        <v>62</v>
      </c>
      <c r="H717">
        <v>2</v>
      </c>
      <c r="I717">
        <v>1095.54</v>
      </c>
      <c r="J717">
        <v>2191.08</v>
      </c>
      <c r="K717" t="s">
        <v>1731</v>
      </c>
      <c r="L717" t="s">
        <v>91</v>
      </c>
    </row>
    <row r="718" spans="1:12" x14ac:dyDescent="0.35">
      <c r="A718" t="s">
        <v>1732</v>
      </c>
      <c r="B718" t="s">
        <v>723</v>
      </c>
      <c r="C718" t="s">
        <v>724</v>
      </c>
      <c r="D718" t="s">
        <v>40</v>
      </c>
      <c r="E718" t="s">
        <v>41</v>
      </c>
      <c r="F718" t="s">
        <v>16</v>
      </c>
      <c r="G718" t="s">
        <v>230</v>
      </c>
      <c r="H718">
        <v>4</v>
      </c>
      <c r="I718">
        <v>168.6</v>
      </c>
      <c r="J718">
        <v>674.4</v>
      </c>
      <c r="K718" t="s">
        <v>1733</v>
      </c>
      <c r="L718" t="s">
        <v>91</v>
      </c>
    </row>
    <row r="719" spans="1:12" x14ac:dyDescent="0.35">
      <c r="A719" t="s">
        <v>1734</v>
      </c>
      <c r="B719" t="s">
        <v>1153</v>
      </c>
      <c r="C719" t="s">
        <v>1154</v>
      </c>
      <c r="D719" t="s">
        <v>32</v>
      </c>
      <c r="E719" t="s">
        <v>203</v>
      </c>
      <c r="F719" t="s">
        <v>42</v>
      </c>
      <c r="G719" t="s">
        <v>80</v>
      </c>
      <c r="H719">
        <v>1</v>
      </c>
      <c r="I719">
        <v>1024.06</v>
      </c>
      <c r="J719">
        <v>1024.06</v>
      </c>
      <c r="K719" t="s">
        <v>1735</v>
      </c>
      <c r="L719" t="s">
        <v>19</v>
      </c>
    </row>
    <row r="720" spans="1:12" x14ac:dyDescent="0.35">
      <c r="A720" t="s">
        <v>1736</v>
      </c>
      <c r="B720" t="s">
        <v>460</v>
      </c>
      <c r="C720" t="s">
        <v>461</v>
      </c>
      <c r="D720" t="s">
        <v>67</v>
      </c>
      <c r="E720" t="s">
        <v>68</v>
      </c>
      <c r="F720" t="s">
        <v>50</v>
      </c>
      <c r="G720" t="s">
        <v>170</v>
      </c>
      <c r="H720">
        <v>2</v>
      </c>
      <c r="I720">
        <v>567.33000000000004</v>
      </c>
      <c r="J720">
        <v>1134.6600000000001</v>
      </c>
      <c r="K720" t="s">
        <v>1737</v>
      </c>
      <c r="L720" t="s">
        <v>45</v>
      </c>
    </row>
    <row r="721" spans="1:12" x14ac:dyDescent="0.35">
      <c r="A721" t="s">
        <v>1738</v>
      </c>
      <c r="B721" t="s">
        <v>1005</v>
      </c>
      <c r="C721" t="s">
        <v>1006</v>
      </c>
      <c r="D721" t="s">
        <v>40</v>
      </c>
      <c r="E721" t="s">
        <v>41</v>
      </c>
      <c r="F721" t="s">
        <v>16</v>
      </c>
      <c r="G721" t="s">
        <v>177</v>
      </c>
      <c r="H721">
        <v>4</v>
      </c>
      <c r="I721">
        <v>1041.58</v>
      </c>
      <c r="J721">
        <v>4166.32</v>
      </c>
      <c r="K721" t="s">
        <v>70</v>
      </c>
      <c r="L721" t="s">
        <v>28</v>
      </c>
    </row>
    <row r="722" spans="1:12" x14ac:dyDescent="0.35">
      <c r="A722" t="s">
        <v>1739</v>
      </c>
      <c r="B722" t="s">
        <v>248</v>
      </c>
      <c r="C722" t="s">
        <v>249</v>
      </c>
      <c r="D722" t="s">
        <v>67</v>
      </c>
      <c r="E722" t="s">
        <v>115</v>
      </c>
      <c r="F722" t="s">
        <v>101</v>
      </c>
      <c r="G722" t="s">
        <v>165</v>
      </c>
      <c r="H722">
        <v>5</v>
      </c>
      <c r="I722">
        <v>602.66</v>
      </c>
      <c r="J722">
        <v>3013.3</v>
      </c>
      <c r="K722" t="s">
        <v>757</v>
      </c>
      <c r="L722" t="s">
        <v>28</v>
      </c>
    </row>
    <row r="723" spans="1:12" x14ac:dyDescent="0.35">
      <c r="A723" t="s">
        <v>1740</v>
      </c>
      <c r="B723" t="s">
        <v>1260</v>
      </c>
      <c r="C723" t="s">
        <v>1261</v>
      </c>
      <c r="D723" t="s">
        <v>14</v>
      </c>
      <c r="E723" t="s">
        <v>125</v>
      </c>
      <c r="F723" t="s">
        <v>16</v>
      </c>
      <c r="G723" t="s">
        <v>177</v>
      </c>
      <c r="H723">
        <v>2</v>
      </c>
      <c r="I723">
        <v>1452.01</v>
      </c>
      <c r="J723">
        <v>2904.02</v>
      </c>
      <c r="K723" t="s">
        <v>1741</v>
      </c>
      <c r="L723" t="s">
        <v>19</v>
      </c>
    </row>
    <row r="724" spans="1:12" x14ac:dyDescent="0.35">
      <c r="A724" t="s">
        <v>1742</v>
      </c>
      <c r="B724" t="s">
        <v>1743</v>
      </c>
      <c r="C724" t="s">
        <v>1744</v>
      </c>
      <c r="D724" t="s">
        <v>23</v>
      </c>
      <c r="E724" t="s">
        <v>338</v>
      </c>
      <c r="F724" t="s">
        <v>42</v>
      </c>
      <c r="G724" t="s">
        <v>89</v>
      </c>
      <c r="H724">
        <v>4</v>
      </c>
      <c r="I724">
        <v>586.48</v>
      </c>
      <c r="J724">
        <v>2345.92</v>
      </c>
      <c r="K724" t="s">
        <v>309</v>
      </c>
      <c r="L724" t="s">
        <v>91</v>
      </c>
    </row>
    <row r="725" spans="1:12" x14ac:dyDescent="0.35">
      <c r="A725" t="s">
        <v>1745</v>
      </c>
      <c r="B725" t="s">
        <v>481</v>
      </c>
      <c r="C725" t="s">
        <v>482</v>
      </c>
      <c r="D725" t="s">
        <v>40</v>
      </c>
      <c r="E725" t="s">
        <v>79</v>
      </c>
      <c r="F725" t="s">
        <v>25</v>
      </c>
      <c r="G725" t="s">
        <v>74</v>
      </c>
      <c r="H725">
        <v>1</v>
      </c>
      <c r="I725">
        <v>731.53</v>
      </c>
      <c r="J725">
        <v>731.53</v>
      </c>
      <c r="K725" t="s">
        <v>624</v>
      </c>
      <c r="L725" t="s">
        <v>36</v>
      </c>
    </row>
    <row r="726" spans="1:12" x14ac:dyDescent="0.35">
      <c r="A726" t="s">
        <v>1746</v>
      </c>
      <c r="B726" t="s">
        <v>690</v>
      </c>
      <c r="C726" t="s">
        <v>691</v>
      </c>
      <c r="D726" t="s">
        <v>40</v>
      </c>
      <c r="E726" t="s">
        <v>41</v>
      </c>
      <c r="F726" t="s">
        <v>25</v>
      </c>
      <c r="G726" t="s">
        <v>74</v>
      </c>
      <c r="H726">
        <v>3</v>
      </c>
      <c r="I726">
        <v>851.78</v>
      </c>
      <c r="J726">
        <v>2555.34</v>
      </c>
      <c r="K726" t="s">
        <v>1747</v>
      </c>
      <c r="L726" t="s">
        <v>45</v>
      </c>
    </row>
    <row r="727" spans="1:12" x14ac:dyDescent="0.35">
      <c r="A727" t="s">
        <v>1748</v>
      </c>
      <c r="B727" t="s">
        <v>1749</v>
      </c>
      <c r="C727" t="s">
        <v>1750</v>
      </c>
      <c r="D727" t="s">
        <v>14</v>
      </c>
      <c r="E727" t="s">
        <v>125</v>
      </c>
      <c r="F727" t="s">
        <v>50</v>
      </c>
      <c r="G727" t="s">
        <v>51</v>
      </c>
      <c r="H727">
        <v>5</v>
      </c>
      <c r="I727">
        <v>652.11</v>
      </c>
      <c r="J727">
        <v>3260.55</v>
      </c>
      <c r="K727" t="s">
        <v>1287</v>
      </c>
      <c r="L727" t="s">
        <v>45</v>
      </c>
    </row>
    <row r="728" spans="1:12" x14ac:dyDescent="0.35">
      <c r="A728" t="s">
        <v>1751</v>
      </c>
      <c r="B728" t="s">
        <v>180</v>
      </c>
      <c r="C728" t="s">
        <v>181</v>
      </c>
      <c r="D728" t="s">
        <v>14</v>
      </c>
      <c r="E728" t="s">
        <v>95</v>
      </c>
      <c r="F728" t="s">
        <v>25</v>
      </c>
      <c r="G728" t="s">
        <v>139</v>
      </c>
      <c r="H728">
        <v>1</v>
      </c>
      <c r="I728">
        <v>584.95000000000005</v>
      </c>
      <c r="J728">
        <v>584.95000000000005</v>
      </c>
      <c r="K728" t="s">
        <v>283</v>
      </c>
      <c r="L728" t="s">
        <v>36</v>
      </c>
    </row>
    <row r="729" spans="1:12" x14ac:dyDescent="0.35">
      <c r="A729" t="s">
        <v>1752</v>
      </c>
      <c r="B729" t="s">
        <v>936</v>
      </c>
      <c r="C729" t="s">
        <v>937</v>
      </c>
      <c r="D729" t="s">
        <v>67</v>
      </c>
      <c r="E729" t="s">
        <v>115</v>
      </c>
      <c r="F729" t="s">
        <v>25</v>
      </c>
      <c r="G729" t="s">
        <v>62</v>
      </c>
      <c r="H729">
        <v>1</v>
      </c>
      <c r="I729">
        <v>1291.7</v>
      </c>
      <c r="J729">
        <v>1291.7</v>
      </c>
      <c r="K729" t="s">
        <v>1498</v>
      </c>
      <c r="L729" t="s">
        <v>28</v>
      </c>
    </row>
    <row r="730" spans="1:12" x14ac:dyDescent="0.35">
      <c r="A730" t="s">
        <v>1753</v>
      </c>
      <c r="B730" t="s">
        <v>936</v>
      </c>
      <c r="C730" t="s">
        <v>937</v>
      </c>
      <c r="D730" t="s">
        <v>32</v>
      </c>
      <c r="E730" t="s">
        <v>33</v>
      </c>
      <c r="F730" t="s">
        <v>50</v>
      </c>
      <c r="G730" t="s">
        <v>170</v>
      </c>
      <c r="H730">
        <v>4</v>
      </c>
      <c r="I730">
        <v>523.36</v>
      </c>
      <c r="J730">
        <v>2093.44</v>
      </c>
      <c r="K730" t="s">
        <v>1754</v>
      </c>
      <c r="L730" t="s">
        <v>91</v>
      </c>
    </row>
    <row r="731" spans="1:12" x14ac:dyDescent="0.35">
      <c r="A731" t="s">
        <v>1755</v>
      </c>
      <c r="B731" t="s">
        <v>93</v>
      </c>
      <c r="C731" t="s">
        <v>94</v>
      </c>
      <c r="D731" t="s">
        <v>67</v>
      </c>
      <c r="E731" t="s">
        <v>130</v>
      </c>
      <c r="F731" t="s">
        <v>25</v>
      </c>
      <c r="G731" t="s">
        <v>34</v>
      </c>
      <c r="H731">
        <v>3</v>
      </c>
      <c r="I731">
        <v>1244.1500000000001</v>
      </c>
      <c r="J731">
        <v>3732.45</v>
      </c>
      <c r="K731" t="s">
        <v>1756</v>
      </c>
      <c r="L731" t="s">
        <v>36</v>
      </c>
    </row>
    <row r="732" spans="1:12" x14ac:dyDescent="0.35">
      <c r="A732" t="s">
        <v>1757</v>
      </c>
      <c r="B732" t="s">
        <v>1042</v>
      </c>
      <c r="C732" t="s">
        <v>1043</v>
      </c>
      <c r="D732" t="s">
        <v>14</v>
      </c>
      <c r="E732" t="s">
        <v>266</v>
      </c>
      <c r="F732" t="s">
        <v>25</v>
      </c>
      <c r="G732" t="s">
        <v>62</v>
      </c>
      <c r="H732">
        <v>2</v>
      </c>
      <c r="I732">
        <v>247.93</v>
      </c>
      <c r="J732">
        <v>495.86</v>
      </c>
      <c r="K732" t="s">
        <v>1758</v>
      </c>
      <c r="L732" t="s">
        <v>91</v>
      </c>
    </row>
    <row r="733" spans="1:12" x14ac:dyDescent="0.35">
      <c r="A733" t="s">
        <v>1759</v>
      </c>
      <c r="B733" t="s">
        <v>54</v>
      </c>
      <c r="C733" t="s">
        <v>55</v>
      </c>
      <c r="D733" t="s">
        <v>23</v>
      </c>
      <c r="E733" t="s">
        <v>49</v>
      </c>
      <c r="F733" t="s">
        <v>101</v>
      </c>
      <c r="G733" t="s">
        <v>237</v>
      </c>
      <c r="H733">
        <v>5</v>
      </c>
      <c r="I733">
        <v>1489.71</v>
      </c>
      <c r="J733">
        <v>7448.55</v>
      </c>
      <c r="K733" t="s">
        <v>1186</v>
      </c>
      <c r="L733" t="s">
        <v>36</v>
      </c>
    </row>
    <row r="734" spans="1:12" x14ac:dyDescent="0.35">
      <c r="A734" t="s">
        <v>1760</v>
      </c>
      <c r="B734" t="s">
        <v>77</v>
      </c>
      <c r="C734" t="s">
        <v>78</v>
      </c>
      <c r="D734" t="s">
        <v>40</v>
      </c>
      <c r="E734" t="s">
        <v>120</v>
      </c>
      <c r="F734" t="s">
        <v>42</v>
      </c>
      <c r="G734" t="s">
        <v>225</v>
      </c>
      <c r="H734">
        <v>2</v>
      </c>
      <c r="I734">
        <v>263.08</v>
      </c>
      <c r="J734">
        <v>526.16</v>
      </c>
      <c r="K734" t="s">
        <v>1761</v>
      </c>
      <c r="L734" t="s">
        <v>19</v>
      </c>
    </row>
    <row r="735" spans="1:12" x14ac:dyDescent="0.35">
      <c r="A735" t="s">
        <v>1762</v>
      </c>
      <c r="B735" t="s">
        <v>113</v>
      </c>
      <c r="C735" t="s">
        <v>114</v>
      </c>
      <c r="D735" t="s">
        <v>40</v>
      </c>
      <c r="E735" t="s">
        <v>79</v>
      </c>
      <c r="F735" t="s">
        <v>42</v>
      </c>
      <c r="G735" t="s">
        <v>89</v>
      </c>
      <c r="H735">
        <v>4</v>
      </c>
      <c r="I735">
        <v>249.4</v>
      </c>
      <c r="J735">
        <v>997.6</v>
      </c>
      <c r="K735" t="s">
        <v>1763</v>
      </c>
      <c r="L735" t="s">
        <v>91</v>
      </c>
    </row>
    <row r="736" spans="1:12" x14ac:dyDescent="0.35">
      <c r="A736" t="s">
        <v>1764</v>
      </c>
      <c r="B736" t="s">
        <v>197</v>
      </c>
      <c r="C736" t="s">
        <v>198</v>
      </c>
      <c r="D736" t="s">
        <v>40</v>
      </c>
      <c r="E736" t="s">
        <v>41</v>
      </c>
      <c r="F736" t="s">
        <v>25</v>
      </c>
      <c r="G736" t="s">
        <v>26</v>
      </c>
      <c r="H736">
        <v>2</v>
      </c>
      <c r="I736">
        <v>1195.05</v>
      </c>
      <c r="J736">
        <v>2390.1</v>
      </c>
      <c r="K736" t="s">
        <v>437</v>
      </c>
      <c r="L736" t="s">
        <v>28</v>
      </c>
    </row>
    <row r="737" spans="1:12" x14ac:dyDescent="0.35">
      <c r="A737" t="s">
        <v>1765</v>
      </c>
      <c r="B737" t="s">
        <v>1212</v>
      </c>
      <c r="C737" t="s">
        <v>1213</v>
      </c>
      <c r="D737" t="s">
        <v>14</v>
      </c>
      <c r="E737" t="s">
        <v>15</v>
      </c>
      <c r="F737" t="s">
        <v>42</v>
      </c>
      <c r="G737" t="s">
        <v>170</v>
      </c>
      <c r="H737">
        <v>5</v>
      </c>
      <c r="I737">
        <v>833.13</v>
      </c>
      <c r="J737">
        <v>4165.6499999999996</v>
      </c>
      <c r="K737" t="s">
        <v>490</v>
      </c>
      <c r="L737" t="s">
        <v>19</v>
      </c>
    </row>
    <row r="738" spans="1:12" x14ac:dyDescent="0.35">
      <c r="A738" t="s">
        <v>1766</v>
      </c>
      <c r="B738" t="s">
        <v>1307</v>
      </c>
      <c r="C738" t="s">
        <v>1308</v>
      </c>
      <c r="D738" t="s">
        <v>40</v>
      </c>
      <c r="E738" t="s">
        <v>120</v>
      </c>
      <c r="F738" t="s">
        <v>101</v>
      </c>
      <c r="G738" t="s">
        <v>237</v>
      </c>
      <c r="H738">
        <v>5</v>
      </c>
      <c r="I738">
        <v>171.98</v>
      </c>
      <c r="J738">
        <v>859.9</v>
      </c>
      <c r="K738" t="s">
        <v>1254</v>
      </c>
      <c r="L738" t="s">
        <v>91</v>
      </c>
    </row>
    <row r="739" spans="1:12" x14ac:dyDescent="0.35">
      <c r="A739" t="s">
        <v>1767</v>
      </c>
      <c r="B739" t="s">
        <v>367</v>
      </c>
      <c r="C739" t="s">
        <v>368</v>
      </c>
      <c r="D739" t="s">
        <v>40</v>
      </c>
      <c r="E739" t="s">
        <v>41</v>
      </c>
      <c r="F739" t="s">
        <v>16</v>
      </c>
      <c r="G739" t="s">
        <v>148</v>
      </c>
      <c r="H739">
        <v>5</v>
      </c>
      <c r="I739">
        <v>55.55</v>
      </c>
      <c r="J739">
        <v>277.75</v>
      </c>
      <c r="K739" t="s">
        <v>1305</v>
      </c>
      <c r="L739" t="s">
        <v>36</v>
      </c>
    </row>
    <row r="740" spans="1:12" x14ac:dyDescent="0.35">
      <c r="A740" t="s">
        <v>1768</v>
      </c>
      <c r="B740" t="s">
        <v>12</v>
      </c>
      <c r="C740" t="s">
        <v>13</v>
      </c>
      <c r="D740" t="s">
        <v>32</v>
      </c>
      <c r="E740" t="s">
        <v>203</v>
      </c>
      <c r="F740" t="s">
        <v>25</v>
      </c>
      <c r="G740" t="s">
        <v>74</v>
      </c>
      <c r="H740">
        <v>5</v>
      </c>
      <c r="I740">
        <v>716.41</v>
      </c>
      <c r="J740">
        <v>3582.05</v>
      </c>
      <c r="K740" t="s">
        <v>490</v>
      </c>
      <c r="L740" t="s">
        <v>28</v>
      </c>
    </row>
    <row r="741" spans="1:12" x14ac:dyDescent="0.35">
      <c r="A741" t="s">
        <v>1769</v>
      </c>
      <c r="B741" t="s">
        <v>791</v>
      </c>
      <c r="C741" t="s">
        <v>792</v>
      </c>
      <c r="D741" t="s">
        <v>32</v>
      </c>
      <c r="E741" t="s">
        <v>61</v>
      </c>
      <c r="F741" t="s">
        <v>16</v>
      </c>
      <c r="G741" t="s">
        <v>177</v>
      </c>
      <c r="H741">
        <v>2</v>
      </c>
      <c r="I741">
        <v>542.37</v>
      </c>
      <c r="J741">
        <v>1084.74</v>
      </c>
      <c r="K741" t="s">
        <v>1770</v>
      </c>
      <c r="L741" t="s">
        <v>36</v>
      </c>
    </row>
    <row r="742" spans="1:12" x14ac:dyDescent="0.35">
      <c r="A742" t="s">
        <v>1771</v>
      </c>
      <c r="B742" t="s">
        <v>1046</v>
      </c>
      <c r="C742" t="s">
        <v>1047</v>
      </c>
      <c r="D742" t="s">
        <v>23</v>
      </c>
      <c r="E742" t="s">
        <v>24</v>
      </c>
      <c r="F742" t="s">
        <v>42</v>
      </c>
      <c r="G742" t="s">
        <v>225</v>
      </c>
      <c r="H742">
        <v>1</v>
      </c>
      <c r="I742">
        <v>1229.22</v>
      </c>
      <c r="J742">
        <v>1229.22</v>
      </c>
      <c r="K742" t="s">
        <v>581</v>
      </c>
      <c r="L742" t="s">
        <v>19</v>
      </c>
    </row>
    <row r="743" spans="1:12" x14ac:dyDescent="0.35">
      <c r="A743" t="s">
        <v>1772</v>
      </c>
      <c r="B743" t="s">
        <v>439</v>
      </c>
      <c r="C743" t="s">
        <v>440</v>
      </c>
      <c r="D743" t="s">
        <v>14</v>
      </c>
      <c r="E743" t="s">
        <v>95</v>
      </c>
      <c r="F743" t="s">
        <v>101</v>
      </c>
      <c r="G743" t="s">
        <v>102</v>
      </c>
      <c r="H743">
        <v>3</v>
      </c>
      <c r="I743">
        <v>812.99</v>
      </c>
      <c r="J743">
        <v>2438.9699999999998</v>
      </c>
      <c r="K743" t="s">
        <v>199</v>
      </c>
      <c r="L743" t="s">
        <v>91</v>
      </c>
    </row>
    <row r="744" spans="1:12" x14ac:dyDescent="0.35">
      <c r="A744" t="s">
        <v>1773</v>
      </c>
      <c r="B744" t="s">
        <v>904</v>
      </c>
      <c r="C744" t="s">
        <v>905</v>
      </c>
      <c r="D744" t="s">
        <v>14</v>
      </c>
      <c r="E744" t="s">
        <v>266</v>
      </c>
      <c r="F744" t="s">
        <v>25</v>
      </c>
      <c r="G744" t="s">
        <v>34</v>
      </c>
      <c r="H744">
        <v>2</v>
      </c>
      <c r="I744">
        <v>1199.28</v>
      </c>
      <c r="J744">
        <v>2398.56</v>
      </c>
      <c r="K744" t="s">
        <v>667</v>
      </c>
      <c r="L744" t="s">
        <v>36</v>
      </c>
    </row>
    <row r="745" spans="1:12" x14ac:dyDescent="0.35">
      <c r="A745" t="s">
        <v>1774</v>
      </c>
      <c r="B745" t="s">
        <v>1312</v>
      </c>
      <c r="C745" t="s">
        <v>1313</v>
      </c>
      <c r="D745" t="s">
        <v>40</v>
      </c>
      <c r="E745" t="s">
        <v>120</v>
      </c>
      <c r="F745" t="s">
        <v>25</v>
      </c>
      <c r="G745" t="s">
        <v>62</v>
      </c>
      <c r="H745">
        <v>4</v>
      </c>
      <c r="I745">
        <v>69.400000000000006</v>
      </c>
      <c r="J745">
        <v>277.60000000000002</v>
      </c>
      <c r="K745" t="s">
        <v>1775</v>
      </c>
      <c r="L745" t="s">
        <v>91</v>
      </c>
    </row>
    <row r="746" spans="1:12" x14ac:dyDescent="0.35">
      <c r="A746" t="s">
        <v>1776</v>
      </c>
      <c r="B746" t="s">
        <v>173</v>
      </c>
      <c r="C746" t="s">
        <v>174</v>
      </c>
      <c r="D746" t="s">
        <v>67</v>
      </c>
      <c r="E746" t="s">
        <v>68</v>
      </c>
      <c r="F746" t="s">
        <v>50</v>
      </c>
      <c r="G746" t="s">
        <v>51</v>
      </c>
      <c r="H746">
        <v>1</v>
      </c>
      <c r="I746">
        <v>1122.99</v>
      </c>
      <c r="J746">
        <v>1122.99</v>
      </c>
      <c r="K746" t="s">
        <v>1598</v>
      </c>
      <c r="L746" t="s">
        <v>28</v>
      </c>
    </row>
    <row r="747" spans="1:12" x14ac:dyDescent="0.35">
      <c r="A747" t="s">
        <v>1777</v>
      </c>
      <c r="B747" t="s">
        <v>594</v>
      </c>
      <c r="C747" t="s">
        <v>595</v>
      </c>
      <c r="D747" t="s">
        <v>40</v>
      </c>
      <c r="E747" t="s">
        <v>79</v>
      </c>
      <c r="F747" t="s">
        <v>25</v>
      </c>
      <c r="G747" t="s">
        <v>62</v>
      </c>
      <c r="H747">
        <v>2</v>
      </c>
      <c r="I747">
        <v>1209.6300000000001</v>
      </c>
      <c r="J747">
        <v>2419.2600000000002</v>
      </c>
      <c r="K747" t="s">
        <v>1262</v>
      </c>
      <c r="L747" t="s">
        <v>45</v>
      </c>
    </row>
    <row r="748" spans="1:12" x14ac:dyDescent="0.35">
      <c r="A748" t="s">
        <v>1778</v>
      </c>
      <c r="B748" t="s">
        <v>1369</v>
      </c>
      <c r="C748" t="s">
        <v>1370</v>
      </c>
      <c r="D748" t="s">
        <v>14</v>
      </c>
      <c r="E748" t="s">
        <v>100</v>
      </c>
      <c r="F748" t="s">
        <v>42</v>
      </c>
      <c r="G748" t="s">
        <v>89</v>
      </c>
      <c r="H748">
        <v>2</v>
      </c>
      <c r="I748">
        <v>1410.87</v>
      </c>
      <c r="J748">
        <v>2821.74</v>
      </c>
      <c r="K748" t="s">
        <v>1779</v>
      </c>
      <c r="L748" t="s">
        <v>45</v>
      </c>
    </row>
    <row r="749" spans="1:12" x14ac:dyDescent="0.35">
      <c r="A749" t="s">
        <v>1780</v>
      </c>
      <c r="B749" t="s">
        <v>435</v>
      </c>
      <c r="C749" t="s">
        <v>436</v>
      </c>
      <c r="D749" t="s">
        <v>14</v>
      </c>
      <c r="E749" t="s">
        <v>15</v>
      </c>
      <c r="F749" t="s">
        <v>16</v>
      </c>
      <c r="G749" t="s">
        <v>230</v>
      </c>
      <c r="H749">
        <v>4</v>
      </c>
      <c r="I749">
        <v>1347.25</v>
      </c>
      <c r="J749">
        <v>5389</v>
      </c>
      <c r="K749" t="s">
        <v>1781</v>
      </c>
      <c r="L749" t="s">
        <v>19</v>
      </c>
    </row>
    <row r="750" spans="1:12" x14ac:dyDescent="0.35">
      <c r="A750" t="s">
        <v>1782</v>
      </c>
      <c r="B750" t="s">
        <v>791</v>
      </c>
      <c r="C750" t="s">
        <v>792</v>
      </c>
      <c r="D750" t="s">
        <v>14</v>
      </c>
      <c r="E750" t="s">
        <v>15</v>
      </c>
      <c r="F750" t="s">
        <v>50</v>
      </c>
      <c r="G750" t="s">
        <v>170</v>
      </c>
      <c r="H750">
        <v>3</v>
      </c>
      <c r="I750">
        <v>1007.82</v>
      </c>
      <c r="J750">
        <v>3023.46</v>
      </c>
      <c r="K750" t="s">
        <v>1512</v>
      </c>
      <c r="L750" t="s">
        <v>36</v>
      </c>
    </row>
    <row r="751" spans="1:12" x14ac:dyDescent="0.35">
      <c r="A751" t="s">
        <v>1783</v>
      </c>
      <c r="B751" t="s">
        <v>633</v>
      </c>
      <c r="C751" t="s">
        <v>634</v>
      </c>
      <c r="D751" t="s">
        <v>67</v>
      </c>
      <c r="E751" t="s">
        <v>68</v>
      </c>
      <c r="F751" t="s">
        <v>16</v>
      </c>
      <c r="G751" t="s">
        <v>148</v>
      </c>
      <c r="H751">
        <v>4</v>
      </c>
      <c r="I751">
        <v>29.96</v>
      </c>
      <c r="J751">
        <v>119.84</v>
      </c>
      <c r="K751" t="s">
        <v>1784</v>
      </c>
      <c r="L751" t="s">
        <v>28</v>
      </c>
    </row>
    <row r="752" spans="1:12" x14ac:dyDescent="0.35">
      <c r="A752" t="s">
        <v>1785</v>
      </c>
      <c r="B752" t="s">
        <v>817</v>
      </c>
      <c r="C752" t="s">
        <v>818</v>
      </c>
      <c r="D752" t="s">
        <v>67</v>
      </c>
      <c r="E752" t="s">
        <v>115</v>
      </c>
      <c r="F752" t="s">
        <v>16</v>
      </c>
      <c r="G752" t="s">
        <v>17</v>
      </c>
      <c r="H752">
        <v>2</v>
      </c>
      <c r="I752">
        <v>30.98</v>
      </c>
      <c r="J752">
        <v>61.96</v>
      </c>
      <c r="K752" t="s">
        <v>231</v>
      </c>
      <c r="L752" t="s">
        <v>36</v>
      </c>
    </row>
    <row r="753" spans="1:12" x14ac:dyDescent="0.35">
      <c r="A753" t="s">
        <v>1786</v>
      </c>
      <c r="B753" t="s">
        <v>83</v>
      </c>
      <c r="C753" t="s">
        <v>84</v>
      </c>
      <c r="D753" t="s">
        <v>40</v>
      </c>
      <c r="E753" t="s">
        <v>79</v>
      </c>
      <c r="F753" t="s">
        <v>50</v>
      </c>
      <c r="G753" t="s">
        <v>216</v>
      </c>
      <c r="H753">
        <v>5</v>
      </c>
      <c r="I753">
        <v>1043.81</v>
      </c>
      <c r="J753">
        <v>5219.05</v>
      </c>
      <c r="K753" t="s">
        <v>1787</v>
      </c>
      <c r="L753" t="s">
        <v>45</v>
      </c>
    </row>
    <row r="754" spans="1:12" x14ac:dyDescent="0.35">
      <c r="A754" t="s">
        <v>1788</v>
      </c>
      <c r="B754" t="s">
        <v>703</v>
      </c>
      <c r="C754" t="s">
        <v>704</v>
      </c>
      <c r="D754" t="s">
        <v>67</v>
      </c>
      <c r="E754" t="s">
        <v>115</v>
      </c>
      <c r="F754" t="s">
        <v>101</v>
      </c>
      <c r="G754" t="s">
        <v>373</v>
      </c>
      <c r="H754">
        <v>4</v>
      </c>
      <c r="I754">
        <v>45.27</v>
      </c>
      <c r="J754">
        <v>181.08</v>
      </c>
      <c r="K754" t="s">
        <v>1485</v>
      </c>
      <c r="L754" t="s">
        <v>19</v>
      </c>
    </row>
    <row r="755" spans="1:12" x14ac:dyDescent="0.35">
      <c r="A755" t="s">
        <v>1789</v>
      </c>
      <c r="B755" t="s">
        <v>418</v>
      </c>
      <c r="C755" t="s">
        <v>419</v>
      </c>
      <c r="D755" t="s">
        <v>14</v>
      </c>
      <c r="E755" t="s">
        <v>100</v>
      </c>
      <c r="F755" t="s">
        <v>42</v>
      </c>
      <c r="G755" t="s">
        <v>89</v>
      </c>
      <c r="H755">
        <v>5</v>
      </c>
      <c r="I755">
        <v>1232.2</v>
      </c>
      <c r="J755">
        <v>6161</v>
      </c>
      <c r="K755" t="s">
        <v>1733</v>
      </c>
      <c r="L755" t="s">
        <v>36</v>
      </c>
    </row>
    <row r="756" spans="1:12" x14ac:dyDescent="0.35">
      <c r="A756" t="s">
        <v>1790</v>
      </c>
      <c r="B756" t="s">
        <v>827</v>
      </c>
      <c r="C756" t="s">
        <v>828</v>
      </c>
      <c r="D756" t="s">
        <v>23</v>
      </c>
      <c r="E756" t="s">
        <v>24</v>
      </c>
      <c r="F756" t="s">
        <v>16</v>
      </c>
      <c r="G756" t="s">
        <v>230</v>
      </c>
      <c r="H756">
        <v>2</v>
      </c>
      <c r="I756">
        <v>780.33</v>
      </c>
      <c r="J756">
        <v>1560.66</v>
      </c>
      <c r="K756" t="s">
        <v>1791</v>
      </c>
      <c r="L756" t="s">
        <v>45</v>
      </c>
    </row>
    <row r="757" spans="1:12" x14ac:dyDescent="0.35">
      <c r="A757" t="s">
        <v>1792</v>
      </c>
      <c r="B757" t="s">
        <v>1793</v>
      </c>
      <c r="C757" t="s">
        <v>1794</v>
      </c>
      <c r="D757" t="s">
        <v>23</v>
      </c>
      <c r="E757" t="s">
        <v>49</v>
      </c>
      <c r="F757" t="s">
        <v>50</v>
      </c>
      <c r="G757" t="s">
        <v>69</v>
      </c>
      <c r="H757">
        <v>3</v>
      </c>
      <c r="I757">
        <v>1392.88</v>
      </c>
      <c r="J757">
        <v>4178.6400000000003</v>
      </c>
      <c r="K757" t="s">
        <v>1544</v>
      </c>
      <c r="L757" t="s">
        <v>45</v>
      </c>
    </row>
    <row r="758" spans="1:12" x14ac:dyDescent="0.35">
      <c r="A758" t="s">
        <v>1795</v>
      </c>
      <c r="B758" t="s">
        <v>1042</v>
      </c>
      <c r="C758" t="s">
        <v>1043</v>
      </c>
      <c r="D758" t="s">
        <v>23</v>
      </c>
      <c r="E758" t="s">
        <v>49</v>
      </c>
      <c r="F758" t="s">
        <v>16</v>
      </c>
      <c r="G758" t="s">
        <v>182</v>
      </c>
      <c r="H758">
        <v>5</v>
      </c>
      <c r="I758">
        <v>1167.4000000000001</v>
      </c>
      <c r="J758">
        <v>5837</v>
      </c>
      <c r="K758" t="s">
        <v>1796</v>
      </c>
      <c r="L758" t="s">
        <v>28</v>
      </c>
    </row>
    <row r="759" spans="1:12" x14ac:dyDescent="0.35">
      <c r="A759" t="s">
        <v>1797</v>
      </c>
      <c r="B759" t="s">
        <v>137</v>
      </c>
      <c r="C759" t="s">
        <v>138</v>
      </c>
      <c r="D759" t="s">
        <v>40</v>
      </c>
      <c r="E759" t="s">
        <v>120</v>
      </c>
      <c r="F759" t="s">
        <v>101</v>
      </c>
      <c r="G759" t="s">
        <v>373</v>
      </c>
      <c r="H759">
        <v>1</v>
      </c>
      <c r="I759">
        <v>1114.19</v>
      </c>
      <c r="J759">
        <v>1114.19</v>
      </c>
      <c r="K759" t="s">
        <v>96</v>
      </c>
      <c r="L759" t="s">
        <v>19</v>
      </c>
    </row>
    <row r="760" spans="1:12" x14ac:dyDescent="0.35">
      <c r="A760" t="s">
        <v>1798</v>
      </c>
      <c r="B760" t="s">
        <v>359</v>
      </c>
      <c r="C760" t="s">
        <v>360</v>
      </c>
      <c r="D760" t="s">
        <v>32</v>
      </c>
      <c r="E760" t="s">
        <v>33</v>
      </c>
      <c r="F760" t="s">
        <v>101</v>
      </c>
      <c r="G760" t="s">
        <v>237</v>
      </c>
      <c r="H760">
        <v>1</v>
      </c>
      <c r="I760">
        <v>625.4</v>
      </c>
      <c r="J760">
        <v>625.4</v>
      </c>
      <c r="K760" t="s">
        <v>262</v>
      </c>
      <c r="L760" t="s">
        <v>45</v>
      </c>
    </row>
    <row r="761" spans="1:12" x14ac:dyDescent="0.35">
      <c r="A761" t="s">
        <v>1799</v>
      </c>
      <c r="B761" t="s">
        <v>536</v>
      </c>
      <c r="C761" t="s">
        <v>537</v>
      </c>
      <c r="D761" t="s">
        <v>32</v>
      </c>
      <c r="E761" t="s">
        <v>61</v>
      </c>
      <c r="F761" t="s">
        <v>16</v>
      </c>
      <c r="G761" t="s">
        <v>230</v>
      </c>
      <c r="H761">
        <v>2</v>
      </c>
      <c r="I761">
        <v>159.12</v>
      </c>
      <c r="J761">
        <v>318.24</v>
      </c>
      <c r="K761" t="s">
        <v>701</v>
      </c>
      <c r="L761" t="s">
        <v>36</v>
      </c>
    </row>
    <row r="762" spans="1:12" x14ac:dyDescent="0.35">
      <c r="A762" t="s">
        <v>1800</v>
      </c>
      <c r="B762" t="s">
        <v>295</v>
      </c>
      <c r="C762" t="s">
        <v>296</v>
      </c>
      <c r="D762" t="s">
        <v>40</v>
      </c>
      <c r="E762" t="s">
        <v>79</v>
      </c>
      <c r="F762" t="s">
        <v>42</v>
      </c>
      <c r="G762" t="s">
        <v>43</v>
      </c>
      <c r="H762">
        <v>5</v>
      </c>
      <c r="I762">
        <v>865.7</v>
      </c>
      <c r="J762">
        <v>4328.5</v>
      </c>
      <c r="K762" t="s">
        <v>1014</v>
      </c>
      <c r="L762" t="s">
        <v>91</v>
      </c>
    </row>
    <row r="763" spans="1:12" x14ac:dyDescent="0.35">
      <c r="A763" t="s">
        <v>1801</v>
      </c>
      <c r="B763" t="s">
        <v>751</v>
      </c>
      <c r="C763" t="s">
        <v>752</v>
      </c>
      <c r="D763" t="s">
        <v>32</v>
      </c>
      <c r="E763" t="s">
        <v>61</v>
      </c>
      <c r="F763" t="s">
        <v>42</v>
      </c>
      <c r="G763" t="s">
        <v>80</v>
      </c>
      <c r="H763">
        <v>5</v>
      </c>
      <c r="I763">
        <v>1263.26</v>
      </c>
      <c r="J763">
        <v>6316.3</v>
      </c>
      <c r="K763" t="s">
        <v>386</v>
      </c>
      <c r="L763" t="s">
        <v>28</v>
      </c>
    </row>
    <row r="764" spans="1:12" x14ac:dyDescent="0.35">
      <c r="A764" t="s">
        <v>1802</v>
      </c>
      <c r="B764" t="s">
        <v>299</v>
      </c>
      <c r="C764" t="s">
        <v>300</v>
      </c>
      <c r="D764" t="s">
        <v>14</v>
      </c>
      <c r="E764" t="s">
        <v>15</v>
      </c>
      <c r="F764" t="s">
        <v>42</v>
      </c>
      <c r="G764" t="s">
        <v>80</v>
      </c>
      <c r="H764">
        <v>3</v>
      </c>
      <c r="I764">
        <v>271.74</v>
      </c>
      <c r="J764">
        <v>815.22</v>
      </c>
      <c r="K764" t="s">
        <v>1803</v>
      </c>
      <c r="L764" t="s">
        <v>28</v>
      </c>
    </row>
    <row r="765" spans="1:12" x14ac:dyDescent="0.35">
      <c r="A765" t="s">
        <v>1804</v>
      </c>
      <c r="B765" t="s">
        <v>412</v>
      </c>
      <c r="C765" t="s">
        <v>413</v>
      </c>
      <c r="D765" t="s">
        <v>14</v>
      </c>
      <c r="E765" t="s">
        <v>95</v>
      </c>
      <c r="F765" t="s">
        <v>42</v>
      </c>
      <c r="G765" t="s">
        <v>225</v>
      </c>
      <c r="H765">
        <v>1</v>
      </c>
      <c r="I765">
        <v>273.98</v>
      </c>
      <c r="J765">
        <v>273.98</v>
      </c>
      <c r="K765" t="s">
        <v>1805</v>
      </c>
      <c r="L765" t="s">
        <v>45</v>
      </c>
    </row>
    <row r="766" spans="1:12" x14ac:dyDescent="0.35">
      <c r="A766" t="s">
        <v>1806</v>
      </c>
      <c r="B766" t="s">
        <v>820</v>
      </c>
      <c r="C766" t="s">
        <v>821</v>
      </c>
      <c r="D766" t="s">
        <v>67</v>
      </c>
      <c r="E766" t="s">
        <v>130</v>
      </c>
      <c r="F766" t="s">
        <v>16</v>
      </c>
      <c r="G766" t="s">
        <v>148</v>
      </c>
      <c r="H766">
        <v>4</v>
      </c>
      <c r="I766">
        <v>1248.31</v>
      </c>
      <c r="J766">
        <v>4993.24</v>
      </c>
      <c r="K766" t="s">
        <v>27</v>
      </c>
      <c r="L766" t="s">
        <v>19</v>
      </c>
    </row>
    <row r="767" spans="1:12" x14ac:dyDescent="0.35">
      <c r="A767" t="s">
        <v>1807</v>
      </c>
      <c r="B767" t="s">
        <v>295</v>
      </c>
      <c r="C767" t="s">
        <v>296</v>
      </c>
      <c r="D767" t="s">
        <v>67</v>
      </c>
      <c r="E767" t="s">
        <v>115</v>
      </c>
      <c r="F767" t="s">
        <v>50</v>
      </c>
      <c r="G767" t="s">
        <v>170</v>
      </c>
      <c r="H767">
        <v>3</v>
      </c>
      <c r="I767">
        <v>1249.6099999999999</v>
      </c>
      <c r="J767">
        <v>3748.83</v>
      </c>
      <c r="K767" t="s">
        <v>697</v>
      </c>
      <c r="L767" t="s">
        <v>19</v>
      </c>
    </row>
    <row r="768" spans="1:12" x14ac:dyDescent="0.35">
      <c r="A768" t="s">
        <v>1808</v>
      </c>
      <c r="B768" t="s">
        <v>536</v>
      </c>
      <c r="C768" t="s">
        <v>537</v>
      </c>
      <c r="D768" t="s">
        <v>14</v>
      </c>
      <c r="E768" t="s">
        <v>95</v>
      </c>
      <c r="F768" t="s">
        <v>101</v>
      </c>
      <c r="G768" t="s">
        <v>102</v>
      </c>
      <c r="H768">
        <v>3</v>
      </c>
      <c r="I768">
        <v>1482.58</v>
      </c>
      <c r="J768">
        <v>4447.74</v>
      </c>
      <c r="K768" t="s">
        <v>1809</v>
      </c>
      <c r="L768" t="s">
        <v>19</v>
      </c>
    </row>
    <row r="769" spans="1:12" x14ac:dyDescent="0.35">
      <c r="A769" t="s">
        <v>1810</v>
      </c>
      <c r="B769" t="s">
        <v>579</v>
      </c>
      <c r="C769" t="s">
        <v>580</v>
      </c>
      <c r="D769" t="s">
        <v>32</v>
      </c>
      <c r="E769" t="s">
        <v>61</v>
      </c>
      <c r="F769" t="s">
        <v>50</v>
      </c>
      <c r="G769" t="s">
        <v>56</v>
      </c>
      <c r="H769">
        <v>1</v>
      </c>
      <c r="I769">
        <v>687.77</v>
      </c>
      <c r="J769">
        <v>687.77</v>
      </c>
      <c r="K769" t="s">
        <v>1811</v>
      </c>
      <c r="L769" t="s">
        <v>19</v>
      </c>
    </row>
    <row r="770" spans="1:12" x14ac:dyDescent="0.35">
      <c r="A770" t="s">
        <v>1812</v>
      </c>
      <c r="B770" t="s">
        <v>904</v>
      </c>
      <c r="C770" t="s">
        <v>905</v>
      </c>
      <c r="D770" t="s">
        <v>67</v>
      </c>
      <c r="E770" t="s">
        <v>130</v>
      </c>
      <c r="F770" t="s">
        <v>42</v>
      </c>
      <c r="G770" t="s">
        <v>89</v>
      </c>
      <c r="H770">
        <v>5</v>
      </c>
      <c r="I770">
        <v>917.71</v>
      </c>
      <c r="J770">
        <v>4588.55</v>
      </c>
      <c r="K770" t="s">
        <v>1813</v>
      </c>
      <c r="L770" t="s">
        <v>45</v>
      </c>
    </row>
    <row r="771" spans="1:12" x14ac:dyDescent="0.35">
      <c r="A771" t="s">
        <v>1814</v>
      </c>
      <c r="B771" t="s">
        <v>481</v>
      </c>
      <c r="C771" t="s">
        <v>482</v>
      </c>
      <c r="D771" t="s">
        <v>23</v>
      </c>
      <c r="E771" t="s">
        <v>49</v>
      </c>
      <c r="F771" t="s">
        <v>42</v>
      </c>
      <c r="G771" t="s">
        <v>43</v>
      </c>
      <c r="H771">
        <v>5</v>
      </c>
      <c r="I771">
        <v>946.78</v>
      </c>
      <c r="J771">
        <v>4733.8999999999996</v>
      </c>
      <c r="K771" t="s">
        <v>1815</v>
      </c>
      <c r="L771" t="s">
        <v>45</v>
      </c>
    </row>
    <row r="772" spans="1:12" x14ac:dyDescent="0.35">
      <c r="A772" t="s">
        <v>1816</v>
      </c>
      <c r="B772" t="s">
        <v>868</v>
      </c>
      <c r="C772" t="s">
        <v>869</v>
      </c>
      <c r="D772" t="s">
        <v>32</v>
      </c>
      <c r="E772" t="s">
        <v>203</v>
      </c>
      <c r="F772" t="s">
        <v>16</v>
      </c>
      <c r="G772" t="s">
        <v>182</v>
      </c>
      <c r="H772">
        <v>3</v>
      </c>
      <c r="I772">
        <v>1017.65</v>
      </c>
      <c r="J772">
        <v>3052.95</v>
      </c>
      <c r="K772" t="s">
        <v>1817</v>
      </c>
      <c r="L772" t="s">
        <v>28</v>
      </c>
    </row>
    <row r="773" spans="1:12" x14ac:dyDescent="0.35">
      <c r="A773" t="s">
        <v>1818</v>
      </c>
      <c r="B773" t="s">
        <v>960</v>
      </c>
      <c r="C773" t="s">
        <v>961</v>
      </c>
      <c r="D773" t="s">
        <v>14</v>
      </c>
      <c r="E773" t="s">
        <v>266</v>
      </c>
      <c r="F773" t="s">
        <v>25</v>
      </c>
      <c r="G773" t="s">
        <v>139</v>
      </c>
      <c r="H773">
        <v>4</v>
      </c>
      <c r="I773">
        <v>509.63</v>
      </c>
      <c r="J773">
        <v>2038.52</v>
      </c>
      <c r="K773" t="s">
        <v>592</v>
      </c>
      <c r="L773" t="s">
        <v>45</v>
      </c>
    </row>
    <row r="774" spans="1:12" x14ac:dyDescent="0.35">
      <c r="A774" t="s">
        <v>1819</v>
      </c>
      <c r="B774" t="s">
        <v>842</v>
      </c>
      <c r="C774" t="s">
        <v>843</v>
      </c>
      <c r="D774" t="s">
        <v>32</v>
      </c>
      <c r="E774" t="s">
        <v>203</v>
      </c>
      <c r="F774" t="s">
        <v>50</v>
      </c>
      <c r="G774" t="s">
        <v>170</v>
      </c>
      <c r="H774">
        <v>4</v>
      </c>
      <c r="I774">
        <v>1358.16</v>
      </c>
      <c r="J774">
        <v>5432.64</v>
      </c>
      <c r="K774" t="s">
        <v>787</v>
      </c>
      <c r="L774" t="s">
        <v>91</v>
      </c>
    </row>
    <row r="775" spans="1:12" x14ac:dyDescent="0.35">
      <c r="A775" t="s">
        <v>1820</v>
      </c>
      <c r="B775" t="s">
        <v>1092</v>
      </c>
      <c r="C775" t="s">
        <v>1093</v>
      </c>
      <c r="D775" t="s">
        <v>40</v>
      </c>
      <c r="E775" t="s">
        <v>79</v>
      </c>
      <c r="F775" t="s">
        <v>25</v>
      </c>
      <c r="G775" t="s">
        <v>34</v>
      </c>
      <c r="H775">
        <v>5</v>
      </c>
      <c r="I775">
        <v>181.6</v>
      </c>
      <c r="J775">
        <v>908</v>
      </c>
      <c r="K775" t="s">
        <v>749</v>
      </c>
      <c r="L775" t="s">
        <v>91</v>
      </c>
    </row>
    <row r="776" spans="1:12" x14ac:dyDescent="0.35">
      <c r="A776" t="s">
        <v>1821</v>
      </c>
      <c r="B776" t="s">
        <v>1226</v>
      </c>
      <c r="C776" t="s">
        <v>1227</v>
      </c>
      <c r="D776" t="s">
        <v>32</v>
      </c>
      <c r="E776" t="s">
        <v>203</v>
      </c>
      <c r="F776" t="s">
        <v>50</v>
      </c>
      <c r="G776" t="s">
        <v>216</v>
      </c>
      <c r="H776">
        <v>4</v>
      </c>
      <c r="I776">
        <v>1158.97</v>
      </c>
      <c r="J776">
        <v>4635.88</v>
      </c>
      <c r="K776" t="s">
        <v>1822</v>
      </c>
      <c r="L776" t="s">
        <v>36</v>
      </c>
    </row>
    <row r="777" spans="1:12" x14ac:dyDescent="0.35">
      <c r="A777" t="s">
        <v>1823</v>
      </c>
      <c r="B777" t="s">
        <v>1532</v>
      </c>
      <c r="C777" t="s">
        <v>1533</v>
      </c>
      <c r="D777" t="s">
        <v>67</v>
      </c>
      <c r="E777" t="s">
        <v>130</v>
      </c>
      <c r="F777" t="s">
        <v>25</v>
      </c>
      <c r="G777" t="s">
        <v>139</v>
      </c>
      <c r="H777">
        <v>2</v>
      </c>
      <c r="I777">
        <v>1326.55</v>
      </c>
      <c r="J777">
        <v>2653.1</v>
      </c>
      <c r="K777" t="s">
        <v>1824</v>
      </c>
      <c r="L777" t="s">
        <v>91</v>
      </c>
    </row>
    <row r="778" spans="1:12" x14ac:dyDescent="0.35">
      <c r="A778" t="s">
        <v>1825</v>
      </c>
      <c r="B778" t="s">
        <v>151</v>
      </c>
      <c r="C778" t="s">
        <v>152</v>
      </c>
      <c r="D778" t="s">
        <v>14</v>
      </c>
      <c r="E778" t="s">
        <v>266</v>
      </c>
      <c r="F778" t="s">
        <v>42</v>
      </c>
      <c r="G778" t="s">
        <v>170</v>
      </c>
      <c r="H778">
        <v>4</v>
      </c>
      <c r="I778">
        <v>60.51</v>
      </c>
      <c r="J778">
        <v>242.04</v>
      </c>
      <c r="K778" t="s">
        <v>1826</v>
      </c>
      <c r="L778" t="s">
        <v>91</v>
      </c>
    </row>
    <row r="779" spans="1:12" x14ac:dyDescent="0.35">
      <c r="A779" t="s">
        <v>1827</v>
      </c>
      <c r="B779" t="s">
        <v>1828</v>
      </c>
      <c r="C779" t="s">
        <v>1829</v>
      </c>
      <c r="D779" t="s">
        <v>32</v>
      </c>
      <c r="E779" t="s">
        <v>61</v>
      </c>
      <c r="F779" t="s">
        <v>50</v>
      </c>
      <c r="G779" t="s">
        <v>69</v>
      </c>
      <c r="H779">
        <v>3</v>
      </c>
      <c r="I779">
        <v>133.19999999999999</v>
      </c>
      <c r="J779">
        <v>399.6</v>
      </c>
      <c r="K779" t="s">
        <v>958</v>
      </c>
      <c r="L779" t="s">
        <v>19</v>
      </c>
    </row>
    <row r="780" spans="1:12" x14ac:dyDescent="0.35">
      <c r="A780" t="s">
        <v>1830</v>
      </c>
      <c r="B780" t="s">
        <v>1092</v>
      </c>
      <c r="C780" t="s">
        <v>1093</v>
      </c>
      <c r="D780" t="s">
        <v>67</v>
      </c>
      <c r="E780" t="s">
        <v>130</v>
      </c>
      <c r="F780" t="s">
        <v>25</v>
      </c>
      <c r="G780" t="s">
        <v>26</v>
      </c>
      <c r="H780">
        <v>4</v>
      </c>
      <c r="I780">
        <v>347.5</v>
      </c>
      <c r="J780">
        <v>1390</v>
      </c>
      <c r="K780" t="s">
        <v>488</v>
      </c>
      <c r="L780" t="s">
        <v>45</v>
      </c>
    </row>
    <row r="781" spans="1:12" x14ac:dyDescent="0.35">
      <c r="A781" t="s">
        <v>1831</v>
      </c>
      <c r="B781" t="s">
        <v>355</v>
      </c>
      <c r="C781" t="s">
        <v>356</v>
      </c>
      <c r="D781" t="s">
        <v>67</v>
      </c>
      <c r="E781" t="s">
        <v>130</v>
      </c>
      <c r="F781" t="s">
        <v>50</v>
      </c>
      <c r="G781" t="s">
        <v>170</v>
      </c>
      <c r="H781">
        <v>2</v>
      </c>
      <c r="I781">
        <v>1487.87</v>
      </c>
      <c r="J781">
        <v>2975.74</v>
      </c>
      <c r="K781" t="s">
        <v>408</v>
      </c>
      <c r="L781" t="s">
        <v>91</v>
      </c>
    </row>
    <row r="782" spans="1:12" x14ac:dyDescent="0.35">
      <c r="A782" t="s">
        <v>1832</v>
      </c>
      <c r="B782" t="s">
        <v>832</v>
      </c>
      <c r="C782" t="s">
        <v>833</v>
      </c>
      <c r="D782" t="s">
        <v>32</v>
      </c>
      <c r="E782" t="s">
        <v>61</v>
      </c>
      <c r="F782" t="s">
        <v>101</v>
      </c>
      <c r="G782" t="s">
        <v>373</v>
      </c>
      <c r="H782">
        <v>2</v>
      </c>
      <c r="I782">
        <v>664.07</v>
      </c>
      <c r="J782">
        <v>1328.14</v>
      </c>
      <c r="K782" t="s">
        <v>1833</v>
      </c>
      <c r="L782" t="s">
        <v>28</v>
      </c>
    </row>
    <row r="783" spans="1:12" x14ac:dyDescent="0.35">
      <c r="A783" t="s">
        <v>1834</v>
      </c>
      <c r="B783" t="s">
        <v>633</v>
      </c>
      <c r="C783" t="s">
        <v>634</v>
      </c>
      <c r="D783" t="s">
        <v>32</v>
      </c>
      <c r="E783" t="s">
        <v>61</v>
      </c>
      <c r="F783" t="s">
        <v>25</v>
      </c>
      <c r="G783" t="s">
        <v>62</v>
      </c>
      <c r="H783">
        <v>4</v>
      </c>
      <c r="I783">
        <v>1255.71</v>
      </c>
      <c r="J783">
        <v>5022.84</v>
      </c>
      <c r="K783" t="s">
        <v>1835</v>
      </c>
      <c r="L783" t="s">
        <v>36</v>
      </c>
    </row>
    <row r="784" spans="1:12" x14ac:dyDescent="0.35">
      <c r="A784" t="s">
        <v>1836</v>
      </c>
      <c r="B784" t="s">
        <v>763</v>
      </c>
      <c r="C784" t="s">
        <v>764</v>
      </c>
      <c r="D784" t="s">
        <v>14</v>
      </c>
      <c r="E784" t="s">
        <v>95</v>
      </c>
      <c r="F784" t="s">
        <v>16</v>
      </c>
      <c r="G784" t="s">
        <v>182</v>
      </c>
      <c r="H784">
        <v>1</v>
      </c>
      <c r="I784">
        <v>568.36</v>
      </c>
      <c r="J784">
        <v>568.36</v>
      </c>
      <c r="K784" t="s">
        <v>1837</v>
      </c>
      <c r="L784" t="s">
        <v>19</v>
      </c>
    </row>
    <row r="785" spans="1:12" x14ac:dyDescent="0.35">
      <c r="A785" t="s">
        <v>1838</v>
      </c>
      <c r="B785" t="s">
        <v>376</v>
      </c>
      <c r="C785" t="s">
        <v>377</v>
      </c>
      <c r="D785" t="s">
        <v>67</v>
      </c>
      <c r="E785" t="s">
        <v>130</v>
      </c>
      <c r="F785" t="s">
        <v>50</v>
      </c>
      <c r="G785" t="s">
        <v>216</v>
      </c>
      <c r="H785">
        <v>2</v>
      </c>
      <c r="I785">
        <v>809.36</v>
      </c>
      <c r="J785">
        <v>1618.72</v>
      </c>
      <c r="K785" t="s">
        <v>1839</v>
      </c>
      <c r="L785" t="s">
        <v>91</v>
      </c>
    </row>
    <row r="786" spans="1:12" x14ac:dyDescent="0.35">
      <c r="A786" t="s">
        <v>1840</v>
      </c>
      <c r="B786" t="s">
        <v>219</v>
      </c>
      <c r="C786" t="s">
        <v>220</v>
      </c>
      <c r="D786" t="s">
        <v>14</v>
      </c>
      <c r="E786" t="s">
        <v>15</v>
      </c>
      <c r="F786" t="s">
        <v>50</v>
      </c>
      <c r="G786" t="s">
        <v>216</v>
      </c>
      <c r="H786">
        <v>3</v>
      </c>
      <c r="I786">
        <v>1433.55</v>
      </c>
      <c r="J786">
        <v>4300.6499999999996</v>
      </c>
      <c r="K786" t="s">
        <v>1841</v>
      </c>
      <c r="L786" t="s">
        <v>36</v>
      </c>
    </row>
    <row r="787" spans="1:12" x14ac:dyDescent="0.35">
      <c r="A787" t="s">
        <v>1842</v>
      </c>
      <c r="B787" t="s">
        <v>820</v>
      </c>
      <c r="C787" t="s">
        <v>821</v>
      </c>
      <c r="D787" t="s">
        <v>32</v>
      </c>
      <c r="E787" t="s">
        <v>61</v>
      </c>
      <c r="F787" t="s">
        <v>42</v>
      </c>
      <c r="G787" t="s">
        <v>170</v>
      </c>
      <c r="H787">
        <v>3</v>
      </c>
      <c r="I787">
        <v>930.53</v>
      </c>
      <c r="J787">
        <v>2791.59</v>
      </c>
      <c r="K787" t="s">
        <v>1843</v>
      </c>
      <c r="L787" t="s">
        <v>91</v>
      </c>
    </row>
    <row r="788" spans="1:12" x14ac:dyDescent="0.35">
      <c r="A788" t="s">
        <v>1844</v>
      </c>
      <c r="B788" t="s">
        <v>1438</v>
      </c>
      <c r="C788" t="s">
        <v>1439</v>
      </c>
      <c r="D788" t="s">
        <v>40</v>
      </c>
      <c r="E788" t="s">
        <v>79</v>
      </c>
      <c r="F788" t="s">
        <v>50</v>
      </c>
      <c r="G788" t="s">
        <v>170</v>
      </c>
      <c r="H788">
        <v>1</v>
      </c>
      <c r="I788">
        <v>48.9</v>
      </c>
      <c r="J788">
        <v>48.9</v>
      </c>
      <c r="K788" t="s">
        <v>1845</v>
      </c>
      <c r="L788" t="s">
        <v>91</v>
      </c>
    </row>
    <row r="789" spans="1:12" x14ac:dyDescent="0.35">
      <c r="A789" t="s">
        <v>1846</v>
      </c>
      <c r="B789" t="s">
        <v>429</v>
      </c>
      <c r="C789" t="s">
        <v>430</v>
      </c>
      <c r="D789" t="s">
        <v>23</v>
      </c>
      <c r="E789" t="s">
        <v>338</v>
      </c>
      <c r="F789" t="s">
        <v>16</v>
      </c>
      <c r="G789" t="s">
        <v>17</v>
      </c>
      <c r="H789">
        <v>5</v>
      </c>
      <c r="I789">
        <v>1172.47</v>
      </c>
      <c r="J789">
        <v>5862.35</v>
      </c>
      <c r="K789" t="s">
        <v>1847</v>
      </c>
      <c r="L789" t="s">
        <v>91</v>
      </c>
    </row>
    <row r="790" spans="1:12" x14ac:dyDescent="0.35">
      <c r="A790" t="s">
        <v>1848</v>
      </c>
      <c r="B790" t="s">
        <v>348</v>
      </c>
      <c r="C790" t="s">
        <v>349</v>
      </c>
      <c r="D790" t="s">
        <v>23</v>
      </c>
      <c r="E790" t="s">
        <v>24</v>
      </c>
      <c r="F790" t="s">
        <v>101</v>
      </c>
      <c r="G790" t="s">
        <v>649</v>
      </c>
      <c r="H790">
        <v>4</v>
      </c>
      <c r="I790">
        <v>802.69</v>
      </c>
      <c r="J790">
        <v>3210.76</v>
      </c>
      <c r="K790" t="s">
        <v>669</v>
      </c>
      <c r="L790" t="s">
        <v>91</v>
      </c>
    </row>
    <row r="791" spans="1:12" x14ac:dyDescent="0.35">
      <c r="A791" t="s">
        <v>1849</v>
      </c>
      <c r="B791" t="s">
        <v>1018</v>
      </c>
      <c r="C791" t="s">
        <v>1019</v>
      </c>
      <c r="D791" t="s">
        <v>14</v>
      </c>
      <c r="E791" t="s">
        <v>125</v>
      </c>
      <c r="F791" t="s">
        <v>50</v>
      </c>
      <c r="G791" t="s">
        <v>170</v>
      </c>
      <c r="H791">
        <v>1</v>
      </c>
      <c r="I791">
        <v>409.09</v>
      </c>
      <c r="J791">
        <v>409.09</v>
      </c>
      <c r="K791" t="s">
        <v>1850</v>
      </c>
      <c r="L791" t="s">
        <v>19</v>
      </c>
    </row>
    <row r="792" spans="1:12" x14ac:dyDescent="0.35">
      <c r="A792" t="s">
        <v>1851</v>
      </c>
      <c r="B792" t="s">
        <v>1203</v>
      </c>
      <c r="C792" t="s">
        <v>1204</v>
      </c>
      <c r="D792" t="s">
        <v>40</v>
      </c>
      <c r="E792" t="s">
        <v>79</v>
      </c>
      <c r="F792" t="s">
        <v>42</v>
      </c>
      <c r="G792" t="s">
        <v>170</v>
      </c>
      <c r="H792">
        <v>4</v>
      </c>
      <c r="I792">
        <v>55.14</v>
      </c>
      <c r="J792">
        <v>220.56</v>
      </c>
      <c r="K792" t="s">
        <v>1852</v>
      </c>
      <c r="L792" t="s">
        <v>28</v>
      </c>
    </row>
    <row r="793" spans="1:12" x14ac:dyDescent="0.35">
      <c r="A793" t="s">
        <v>1853</v>
      </c>
      <c r="B793" t="s">
        <v>87</v>
      </c>
      <c r="C793" t="s">
        <v>88</v>
      </c>
      <c r="D793" t="s">
        <v>40</v>
      </c>
      <c r="E793" t="s">
        <v>41</v>
      </c>
      <c r="F793" t="s">
        <v>42</v>
      </c>
      <c r="G793" t="s">
        <v>80</v>
      </c>
      <c r="H793">
        <v>1</v>
      </c>
      <c r="I793">
        <v>154.93</v>
      </c>
      <c r="J793">
        <v>154.93</v>
      </c>
      <c r="K793" t="s">
        <v>1854</v>
      </c>
      <c r="L793" t="s">
        <v>19</v>
      </c>
    </row>
    <row r="794" spans="1:12" x14ac:dyDescent="0.35">
      <c r="A794" t="s">
        <v>1855</v>
      </c>
      <c r="B794" t="s">
        <v>1856</v>
      </c>
      <c r="C794" t="s">
        <v>1857</v>
      </c>
      <c r="D794" t="s">
        <v>67</v>
      </c>
      <c r="E794" t="s">
        <v>130</v>
      </c>
      <c r="F794" t="s">
        <v>42</v>
      </c>
      <c r="G794" t="s">
        <v>80</v>
      </c>
      <c r="H794">
        <v>2</v>
      </c>
      <c r="I794">
        <v>1044.94</v>
      </c>
      <c r="J794">
        <v>2089.88</v>
      </c>
      <c r="K794" t="s">
        <v>1858</v>
      </c>
      <c r="L794" t="s">
        <v>19</v>
      </c>
    </row>
    <row r="795" spans="1:12" x14ac:dyDescent="0.35">
      <c r="A795" t="s">
        <v>1859</v>
      </c>
      <c r="B795" t="s">
        <v>842</v>
      </c>
      <c r="C795" t="s">
        <v>843</v>
      </c>
      <c r="D795" t="s">
        <v>40</v>
      </c>
      <c r="E795" t="s">
        <v>41</v>
      </c>
      <c r="F795" t="s">
        <v>25</v>
      </c>
      <c r="G795" t="s">
        <v>74</v>
      </c>
      <c r="H795">
        <v>1</v>
      </c>
      <c r="I795">
        <v>1372.12</v>
      </c>
      <c r="J795">
        <v>1372.12</v>
      </c>
      <c r="K795" t="s">
        <v>1860</v>
      </c>
      <c r="L795" t="s">
        <v>28</v>
      </c>
    </row>
    <row r="796" spans="1:12" x14ac:dyDescent="0.35">
      <c r="A796" t="s">
        <v>1861</v>
      </c>
      <c r="B796" t="s">
        <v>1340</v>
      </c>
      <c r="C796" t="s">
        <v>1341</v>
      </c>
      <c r="D796" t="s">
        <v>67</v>
      </c>
      <c r="E796" t="s">
        <v>68</v>
      </c>
      <c r="F796" t="s">
        <v>25</v>
      </c>
      <c r="G796" t="s">
        <v>62</v>
      </c>
      <c r="H796">
        <v>4</v>
      </c>
      <c r="I796">
        <v>224.6</v>
      </c>
      <c r="J796">
        <v>898.4</v>
      </c>
      <c r="K796" t="s">
        <v>1862</v>
      </c>
      <c r="L796" t="s">
        <v>28</v>
      </c>
    </row>
    <row r="797" spans="1:12" x14ac:dyDescent="0.35">
      <c r="A797" t="s">
        <v>1863</v>
      </c>
      <c r="B797" t="s">
        <v>1594</v>
      </c>
      <c r="C797" t="s">
        <v>1595</v>
      </c>
      <c r="D797" t="s">
        <v>32</v>
      </c>
      <c r="E797" t="s">
        <v>61</v>
      </c>
      <c r="F797" t="s">
        <v>16</v>
      </c>
      <c r="G797" t="s">
        <v>148</v>
      </c>
      <c r="H797">
        <v>2</v>
      </c>
      <c r="I797">
        <v>1157.74</v>
      </c>
      <c r="J797">
        <v>2315.48</v>
      </c>
      <c r="K797" t="s">
        <v>1344</v>
      </c>
      <c r="L797" t="s">
        <v>36</v>
      </c>
    </row>
    <row r="798" spans="1:12" x14ac:dyDescent="0.35">
      <c r="A798" t="s">
        <v>1864</v>
      </c>
      <c r="B798" t="s">
        <v>173</v>
      </c>
      <c r="C798" t="s">
        <v>174</v>
      </c>
      <c r="D798" t="s">
        <v>32</v>
      </c>
      <c r="E798" t="s">
        <v>33</v>
      </c>
      <c r="F798" t="s">
        <v>101</v>
      </c>
      <c r="G798" t="s">
        <v>373</v>
      </c>
      <c r="H798">
        <v>5</v>
      </c>
      <c r="I798">
        <v>902.61</v>
      </c>
      <c r="J798">
        <v>4513.05</v>
      </c>
      <c r="K798" t="s">
        <v>1622</v>
      </c>
      <c r="L798" t="s">
        <v>19</v>
      </c>
    </row>
    <row r="799" spans="1:12" x14ac:dyDescent="0.35">
      <c r="A799" t="s">
        <v>1865</v>
      </c>
      <c r="B799" t="s">
        <v>264</v>
      </c>
      <c r="C799" t="s">
        <v>265</v>
      </c>
      <c r="D799" t="s">
        <v>32</v>
      </c>
      <c r="E799" t="s">
        <v>61</v>
      </c>
      <c r="F799" t="s">
        <v>50</v>
      </c>
      <c r="G799" t="s">
        <v>170</v>
      </c>
      <c r="H799">
        <v>4</v>
      </c>
      <c r="I799">
        <v>1226.01</v>
      </c>
      <c r="J799">
        <v>4904.04</v>
      </c>
      <c r="K799" t="s">
        <v>1866</v>
      </c>
      <c r="L799" t="s">
        <v>19</v>
      </c>
    </row>
    <row r="800" spans="1:12" x14ac:dyDescent="0.35">
      <c r="A800" t="s">
        <v>1867</v>
      </c>
      <c r="B800" t="s">
        <v>738</v>
      </c>
      <c r="C800" t="s">
        <v>739</v>
      </c>
      <c r="D800" t="s">
        <v>32</v>
      </c>
      <c r="E800" t="s">
        <v>203</v>
      </c>
      <c r="F800" t="s">
        <v>50</v>
      </c>
      <c r="G800" t="s">
        <v>69</v>
      </c>
      <c r="H800">
        <v>2</v>
      </c>
      <c r="I800">
        <v>1225.98</v>
      </c>
      <c r="J800">
        <v>2451.96</v>
      </c>
      <c r="K800" t="s">
        <v>231</v>
      </c>
      <c r="L800" t="s">
        <v>19</v>
      </c>
    </row>
    <row r="801" spans="1:12" x14ac:dyDescent="0.35">
      <c r="A801" t="s">
        <v>1868</v>
      </c>
      <c r="B801" t="s">
        <v>629</v>
      </c>
      <c r="C801" t="s">
        <v>630</v>
      </c>
      <c r="D801" t="s">
        <v>14</v>
      </c>
      <c r="E801" t="s">
        <v>95</v>
      </c>
      <c r="F801" t="s">
        <v>50</v>
      </c>
      <c r="G801" t="s">
        <v>170</v>
      </c>
      <c r="H801">
        <v>5</v>
      </c>
      <c r="I801">
        <v>31.77</v>
      </c>
      <c r="J801">
        <v>158.85</v>
      </c>
      <c r="K801" t="s">
        <v>940</v>
      </c>
      <c r="L801" t="s">
        <v>45</v>
      </c>
    </row>
    <row r="802" spans="1:12" x14ac:dyDescent="0.35">
      <c r="A802" t="s">
        <v>1869</v>
      </c>
      <c r="B802" t="s">
        <v>123</v>
      </c>
      <c r="C802" t="s">
        <v>124</v>
      </c>
      <c r="D802" t="s">
        <v>67</v>
      </c>
      <c r="E802" t="s">
        <v>68</v>
      </c>
      <c r="F802" t="s">
        <v>42</v>
      </c>
      <c r="G802" t="s">
        <v>80</v>
      </c>
      <c r="H802">
        <v>1</v>
      </c>
      <c r="I802">
        <v>411.84</v>
      </c>
      <c r="J802">
        <v>411.84</v>
      </c>
      <c r="K802" t="s">
        <v>1575</v>
      </c>
      <c r="L802" t="s">
        <v>19</v>
      </c>
    </row>
    <row r="803" spans="1:12" x14ac:dyDescent="0.35">
      <c r="A803" t="s">
        <v>1870</v>
      </c>
      <c r="B803" t="s">
        <v>1066</v>
      </c>
      <c r="C803" t="s">
        <v>1067</v>
      </c>
      <c r="D803" t="s">
        <v>40</v>
      </c>
      <c r="E803" t="s">
        <v>41</v>
      </c>
      <c r="F803" t="s">
        <v>25</v>
      </c>
      <c r="G803" t="s">
        <v>74</v>
      </c>
      <c r="H803">
        <v>3</v>
      </c>
      <c r="I803">
        <v>307.18</v>
      </c>
      <c r="J803">
        <v>921.54</v>
      </c>
      <c r="K803" t="s">
        <v>1174</v>
      </c>
      <c r="L803" t="s">
        <v>91</v>
      </c>
    </row>
    <row r="804" spans="1:12" x14ac:dyDescent="0.35">
      <c r="A804" t="s">
        <v>1871</v>
      </c>
      <c r="B804" t="s">
        <v>1346</v>
      </c>
      <c r="C804" t="s">
        <v>1347</v>
      </c>
      <c r="D804" t="s">
        <v>67</v>
      </c>
      <c r="E804" t="s">
        <v>115</v>
      </c>
      <c r="F804" t="s">
        <v>25</v>
      </c>
      <c r="G804" t="s">
        <v>62</v>
      </c>
      <c r="H804">
        <v>2</v>
      </c>
      <c r="I804">
        <v>414.7</v>
      </c>
      <c r="J804">
        <v>829.4</v>
      </c>
      <c r="K804" t="s">
        <v>1470</v>
      </c>
      <c r="L804" t="s">
        <v>36</v>
      </c>
    </row>
    <row r="805" spans="1:12" x14ac:dyDescent="0.35">
      <c r="A805" t="s">
        <v>1872</v>
      </c>
      <c r="B805" t="s">
        <v>552</v>
      </c>
      <c r="C805" t="s">
        <v>553</v>
      </c>
      <c r="D805" t="s">
        <v>40</v>
      </c>
      <c r="E805" t="s">
        <v>79</v>
      </c>
      <c r="F805" t="s">
        <v>16</v>
      </c>
      <c r="G805" t="s">
        <v>17</v>
      </c>
      <c r="H805">
        <v>4</v>
      </c>
      <c r="I805">
        <v>971.7</v>
      </c>
      <c r="J805">
        <v>3886.8</v>
      </c>
      <c r="K805" t="s">
        <v>1873</v>
      </c>
      <c r="L805" t="s">
        <v>45</v>
      </c>
    </row>
    <row r="806" spans="1:12" x14ac:dyDescent="0.35">
      <c r="A806" t="s">
        <v>1874</v>
      </c>
      <c r="B806" t="s">
        <v>1875</v>
      </c>
      <c r="C806" t="s">
        <v>1876</v>
      </c>
      <c r="D806" t="s">
        <v>23</v>
      </c>
      <c r="E806" t="s">
        <v>338</v>
      </c>
      <c r="F806" t="s">
        <v>50</v>
      </c>
      <c r="G806" t="s">
        <v>51</v>
      </c>
      <c r="H806">
        <v>5</v>
      </c>
      <c r="I806">
        <v>1166.52</v>
      </c>
      <c r="J806">
        <v>5832.6</v>
      </c>
      <c r="K806" t="s">
        <v>1605</v>
      </c>
      <c r="L806" t="s">
        <v>45</v>
      </c>
    </row>
    <row r="807" spans="1:12" x14ac:dyDescent="0.35">
      <c r="A807" t="s">
        <v>1877</v>
      </c>
      <c r="B807" t="s">
        <v>446</v>
      </c>
      <c r="C807" t="s">
        <v>447</v>
      </c>
      <c r="D807" t="s">
        <v>67</v>
      </c>
      <c r="E807" t="s">
        <v>130</v>
      </c>
      <c r="F807" t="s">
        <v>25</v>
      </c>
      <c r="G807" t="s">
        <v>26</v>
      </c>
      <c r="H807">
        <v>4</v>
      </c>
      <c r="I807">
        <v>1394.1</v>
      </c>
      <c r="J807">
        <v>5576.4</v>
      </c>
      <c r="K807" t="s">
        <v>238</v>
      </c>
      <c r="L807" t="s">
        <v>19</v>
      </c>
    </row>
    <row r="808" spans="1:12" x14ac:dyDescent="0.35">
      <c r="A808" t="s">
        <v>1878</v>
      </c>
      <c r="B808" t="s">
        <v>93</v>
      </c>
      <c r="C808" t="s">
        <v>94</v>
      </c>
      <c r="D808" t="s">
        <v>32</v>
      </c>
      <c r="E808" t="s">
        <v>203</v>
      </c>
      <c r="F808" t="s">
        <v>42</v>
      </c>
      <c r="G808" t="s">
        <v>89</v>
      </c>
      <c r="H808">
        <v>1</v>
      </c>
      <c r="I808">
        <v>1218.76</v>
      </c>
      <c r="J808">
        <v>1218.76</v>
      </c>
      <c r="K808" t="s">
        <v>1879</v>
      </c>
      <c r="L808" t="s">
        <v>19</v>
      </c>
    </row>
    <row r="809" spans="1:12" x14ac:dyDescent="0.35">
      <c r="A809" t="s">
        <v>1880</v>
      </c>
      <c r="B809" t="s">
        <v>1278</v>
      </c>
      <c r="C809" t="s">
        <v>1279</v>
      </c>
      <c r="D809" t="s">
        <v>67</v>
      </c>
      <c r="E809" t="s">
        <v>115</v>
      </c>
      <c r="F809" t="s">
        <v>50</v>
      </c>
      <c r="G809" t="s">
        <v>56</v>
      </c>
      <c r="H809">
        <v>4</v>
      </c>
      <c r="I809">
        <v>1117.23</v>
      </c>
      <c r="J809">
        <v>4468.92</v>
      </c>
      <c r="K809" t="s">
        <v>1350</v>
      </c>
      <c r="L809" t="s">
        <v>28</v>
      </c>
    </row>
    <row r="810" spans="1:12" x14ac:dyDescent="0.35">
      <c r="A810" t="s">
        <v>1881</v>
      </c>
      <c r="B810" t="s">
        <v>83</v>
      </c>
      <c r="C810" t="s">
        <v>84</v>
      </c>
      <c r="D810" t="s">
        <v>67</v>
      </c>
      <c r="E810" t="s">
        <v>130</v>
      </c>
      <c r="F810" t="s">
        <v>101</v>
      </c>
      <c r="G810" t="s">
        <v>649</v>
      </c>
      <c r="H810">
        <v>1</v>
      </c>
      <c r="I810">
        <v>1435.27</v>
      </c>
      <c r="J810">
        <v>1435.27</v>
      </c>
      <c r="K810" t="s">
        <v>1882</v>
      </c>
      <c r="L810" t="s">
        <v>45</v>
      </c>
    </row>
    <row r="811" spans="1:12" x14ac:dyDescent="0.35">
      <c r="A811" t="s">
        <v>1883</v>
      </c>
      <c r="B811" t="s">
        <v>1170</v>
      </c>
      <c r="C811" t="s">
        <v>1171</v>
      </c>
      <c r="D811" t="s">
        <v>14</v>
      </c>
      <c r="E811" t="s">
        <v>15</v>
      </c>
      <c r="F811" t="s">
        <v>25</v>
      </c>
      <c r="G811" t="s">
        <v>34</v>
      </c>
      <c r="H811">
        <v>2</v>
      </c>
      <c r="I811">
        <v>392.72</v>
      </c>
      <c r="J811">
        <v>785.44</v>
      </c>
      <c r="K811" t="s">
        <v>1716</v>
      </c>
      <c r="L811" t="s">
        <v>91</v>
      </c>
    </row>
    <row r="812" spans="1:12" x14ac:dyDescent="0.35">
      <c r="A812" t="s">
        <v>1884</v>
      </c>
      <c r="B812" t="s">
        <v>12</v>
      </c>
      <c r="C812" t="s">
        <v>13</v>
      </c>
      <c r="D812" t="s">
        <v>32</v>
      </c>
      <c r="E812" t="s">
        <v>203</v>
      </c>
      <c r="F812" t="s">
        <v>101</v>
      </c>
      <c r="G812" t="s">
        <v>237</v>
      </c>
      <c r="H812">
        <v>1</v>
      </c>
      <c r="I812">
        <v>1323.91</v>
      </c>
      <c r="J812">
        <v>1323.91</v>
      </c>
      <c r="K812" t="s">
        <v>1378</v>
      </c>
      <c r="L812" t="s">
        <v>45</v>
      </c>
    </row>
    <row r="813" spans="1:12" x14ac:dyDescent="0.35">
      <c r="A813" t="s">
        <v>1885</v>
      </c>
      <c r="B813" t="s">
        <v>1532</v>
      </c>
      <c r="C813" t="s">
        <v>1533</v>
      </c>
      <c r="D813" t="s">
        <v>23</v>
      </c>
      <c r="E813" t="s">
        <v>49</v>
      </c>
      <c r="F813" t="s">
        <v>25</v>
      </c>
      <c r="G813" t="s">
        <v>34</v>
      </c>
      <c r="H813">
        <v>4</v>
      </c>
      <c r="I813">
        <v>570.99</v>
      </c>
      <c r="J813">
        <v>2283.96</v>
      </c>
      <c r="K813" t="s">
        <v>1886</v>
      </c>
      <c r="L813" t="s">
        <v>91</v>
      </c>
    </row>
    <row r="814" spans="1:12" x14ac:dyDescent="0.35">
      <c r="A814" t="s">
        <v>1887</v>
      </c>
      <c r="B814" t="s">
        <v>922</v>
      </c>
      <c r="C814" t="s">
        <v>923</v>
      </c>
      <c r="D814" t="s">
        <v>23</v>
      </c>
      <c r="E814" t="s">
        <v>24</v>
      </c>
      <c r="F814" t="s">
        <v>25</v>
      </c>
      <c r="G814" t="s">
        <v>74</v>
      </c>
      <c r="H814">
        <v>1</v>
      </c>
      <c r="I814">
        <v>415.51</v>
      </c>
      <c r="J814">
        <v>415.51</v>
      </c>
      <c r="K814" t="s">
        <v>720</v>
      </c>
      <c r="L814" t="s">
        <v>36</v>
      </c>
    </row>
    <row r="815" spans="1:12" x14ac:dyDescent="0.35">
      <c r="A815" t="s">
        <v>1888</v>
      </c>
      <c r="B815" t="s">
        <v>418</v>
      </c>
      <c r="C815" t="s">
        <v>419</v>
      </c>
      <c r="D815" t="s">
        <v>40</v>
      </c>
      <c r="E815" t="s">
        <v>41</v>
      </c>
      <c r="F815" t="s">
        <v>16</v>
      </c>
      <c r="G815" t="s">
        <v>177</v>
      </c>
      <c r="H815">
        <v>1</v>
      </c>
      <c r="I815">
        <v>100.38</v>
      </c>
      <c r="J815">
        <v>100.38</v>
      </c>
      <c r="K815" t="s">
        <v>1889</v>
      </c>
      <c r="L815" t="s">
        <v>28</v>
      </c>
    </row>
    <row r="816" spans="1:12" x14ac:dyDescent="0.35">
      <c r="A816" t="s">
        <v>1890</v>
      </c>
      <c r="B816" t="s">
        <v>718</v>
      </c>
      <c r="C816" t="s">
        <v>719</v>
      </c>
      <c r="D816" t="s">
        <v>67</v>
      </c>
      <c r="E816" t="s">
        <v>130</v>
      </c>
      <c r="F816" t="s">
        <v>16</v>
      </c>
      <c r="G816" t="s">
        <v>182</v>
      </c>
      <c r="H816">
        <v>5</v>
      </c>
      <c r="I816">
        <v>797.49</v>
      </c>
      <c r="J816">
        <v>3987.45</v>
      </c>
      <c r="K816" t="s">
        <v>462</v>
      </c>
      <c r="L816" t="s">
        <v>45</v>
      </c>
    </row>
    <row r="817" spans="1:12" x14ac:dyDescent="0.35">
      <c r="A817" t="s">
        <v>1891</v>
      </c>
      <c r="B817" t="s">
        <v>1226</v>
      </c>
      <c r="C817" t="s">
        <v>1227</v>
      </c>
      <c r="D817" t="s">
        <v>32</v>
      </c>
      <c r="E817" t="s">
        <v>33</v>
      </c>
      <c r="F817" t="s">
        <v>50</v>
      </c>
      <c r="G817" t="s">
        <v>69</v>
      </c>
      <c r="H817">
        <v>5</v>
      </c>
      <c r="I817">
        <v>389.14</v>
      </c>
      <c r="J817">
        <v>1945.7</v>
      </c>
      <c r="K817" t="s">
        <v>1892</v>
      </c>
      <c r="L817" t="s">
        <v>28</v>
      </c>
    </row>
    <row r="818" spans="1:12" x14ac:dyDescent="0.35">
      <c r="A818" t="s">
        <v>1893</v>
      </c>
      <c r="B818" t="s">
        <v>555</v>
      </c>
      <c r="C818" t="s">
        <v>556</v>
      </c>
      <c r="D818" t="s">
        <v>23</v>
      </c>
      <c r="E818" t="s">
        <v>338</v>
      </c>
      <c r="F818" t="s">
        <v>50</v>
      </c>
      <c r="G818" t="s">
        <v>216</v>
      </c>
      <c r="H818">
        <v>4</v>
      </c>
      <c r="I818">
        <v>416.05</v>
      </c>
      <c r="J818">
        <v>1664.2</v>
      </c>
      <c r="K818" t="s">
        <v>1894</v>
      </c>
      <c r="L818" t="s">
        <v>91</v>
      </c>
    </row>
    <row r="819" spans="1:12" x14ac:dyDescent="0.35">
      <c r="A819" t="s">
        <v>1895</v>
      </c>
      <c r="B819" t="s">
        <v>552</v>
      </c>
      <c r="C819" t="s">
        <v>553</v>
      </c>
      <c r="D819" t="s">
        <v>32</v>
      </c>
      <c r="E819" t="s">
        <v>33</v>
      </c>
      <c r="F819" t="s">
        <v>16</v>
      </c>
      <c r="G819" t="s">
        <v>148</v>
      </c>
      <c r="H819">
        <v>3</v>
      </c>
      <c r="I819">
        <v>408.11</v>
      </c>
      <c r="J819">
        <v>1224.33</v>
      </c>
      <c r="K819" t="s">
        <v>761</v>
      </c>
      <c r="L819" t="s">
        <v>19</v>
      </c>
    </row>
    <row r="820" spans="1:12" x14ac:dyDescent="0.35">
      <c r="A820" t="s">
        <v>1896</v>
      </c>
      <c r="B820" t="s">
        <v>1281</v>
      </c>
      <c r="C820" t="s">
        <v>1282</v>
      </c>
      <c r="D820" t="s">
        <v>32</v>
      </c>
      <c r="E820" t="s">
        <v>61</v>
      </c>
      <c r="F820" t="s">
        <v>101</v>
      </c>
      <c r="G820" t="s">
        <v>649</v>
      </c>
      <c r="H820">
        <v>5</v>
      </c>
      <c r="I820">
        <v>1196.43</v>
      </c>
      <c r="J820">
        <v>5982.15</v>
      </c>
      <c r="K820" t="s">
        <v>1363</v>
      </c>
      <c r="L820" t="s">
        <v>45</v>
      </c>
    </row>
    <row r="821" spans="1:12" x14ac:dyDescent="0.35">
      <c r="A821" t="s">
        <v>1897</v>
      </c>
      <c r="B821" t="s">
        <v>1510</v>
      </c>
      <c r="C821" t="s">
        <v>1511</v>
      </c>
      <c r="D821" t="s">
        <v>67</v>
      </c>
      <c r="E821" t="s">
        <v>68</v>
      </c>
      <c r="F821" t="s">
        <v>101</v>
      </c>
      <c r="G821" t="s">
        <v>237</v>
      </c>
      <c r="H821">
        <v>5</v>
      </c>
      <c r="I821">
        <v>598.46</v>
      </c>
      <c r="J821">
        <v>2992.3</v>
      </c>
      <c r="K821" t="s">
        <v>1898</v>
      </c>
      <c r="L821" t="s">
        <v>45</v>
      </c>
    </row>
    <row r="822" spans="1:12" x14ac:dyDescent="0.35">
      <c r="A822" t="s">
        <v>1899</v>
      </c>
      <c r="B822" t="s">
        <v>853</v>
      </c>
      <c r="C822" t="s">
        <v>854</v>
      </c>
      <c r="D822" t="s">
        <v>32</v>
      </c>
      <c r="E822" t="s">
        <v>203</v>
      </c>
      <c r="F822" t="s">
        <v>50</v>
      </c>
      <c r="G822" t="s">
        <v>69</v>
      </c>
      <c r="H822">
        <v>1</v>
      </c>
      <c r="I822">
        <v>50.14</v>
      </c>
      <c r="J822">
        <v>50.14</v>
      </c>
      <c r="K822" t="s">
        <v>1900</v>
      </c>
      <c r="L822" t="s">
        <v>19</v>
      </c>
    </row>
    <row r="823" spans="1:12" x14ac:dyDescent="0.35">
      <c r="A823" t="s">
        <v>1901</v>
      </c>
      <c r="B823" t="s">
        <v>767</v>
      </c>
      <c r="C823" t="s">
        <v>768</v>
      </c>
      <c r="D823" t="s">
        <v>40</v>
      </c>
      <c r="E823" t="s">
        <v>79</v>
      </c>
      <c r="F823" t="s">
        <v>101</v>
      </c>
      <c r="G823" t="s">
        <v>165</v>
      </c>
      <c r="H823">
        <v>1</v>
      </c>
      <c r="I823">
        <v>288.73</v>
      </c>
      <c r="J823">
        <v>288.73</v>
      </c>
      <c r="K823" t="s">
        <v>583</v>
      </c>
      <c r="L823" t="s">
        <v>45</v>
      </c>
    </row>
    <row r="824" spans="1:12" x14ac:dyDescent="0.35">
      <c r="A824" t="s">
        <v>1902</v>
      </c>
      <c r="B824" t="s">
        <v>1149</v>
      </c>
      <c r="C824" t="s">
        <v>1150</v>
      </c>
      <c r="D824" t="s">
        <v>40</v>
      </c>
      <c r="E824" t="s">
        <v>120</v>
      </c>
      <c r="F824" t="s">
        <v>25</v>
      </c>
      <c r="G824" t="s">
        <v>62</v>
      </c>
      <c r="H824">
        <v>5</v>
      </c>
      <c r="I824">
        <v>779.87</v>
      </c>
      <c r="J824">
        <v>3899.35</v>
      </c>
      <c r="K824" t="s">
        <v>1425</v>
      </c>
      <c r="L824" t="s">
        <v>19</v>
      </c>
    </row>
    <row r="825" spans="1:12" x14ac:dyDescent="0.35">
      <c r="A825" t="s">
        <v>1903</v>
      </c>
      <c r="B825" t="s">
        <v>598</v>
      </c>
      <c r="C825" t="s">
        <v>599</v>
      </c>
      <c r="D825" t="s">
        <v>14</v>
      </c>
      <c r="E825" t="s">
        <v>125</v>
      </c>
      <c r="F825" t="s">
        <v>16</v>
      </c>
      <c r="G825" t="s">
        <v>177</v>
      </c>
      <c r="H825">
        <v>3</v>
      </c>
      <c r="I825">
        <v>896.61</v>
      </c>
      <c r="J825">
        <v>2689.83</v>
      </c>
      <c r="K825" t="s">
        <v>1608</v>
      </c>
      <c r="L825" t="s">
        <v>91</v>
      </c>
    </row>
    <row r="826" spans="1:12" x14ac:dyDescent="0.35">
      <c r="A826" t="s">
        <v>1904</v>
      </c>
      <c r="B826" t="s">
        <v>118</v>
      </c>
      <c r="C826" t="s">
        <v>119</v>
      </c>
      <c r="D826" t="s">
        <v>14</v>
      </c>
      <c r="E826" t="s">
        <v>100</v>
      </c>
      <c r="F826" t="s">
        <v>101</v>
      </c>
      <c r="G826" t="s">
        <v>373</v>
      </c>
      <c r="H826">
        <v>1</v>
      </c>
      <c r="I826">
        <v>534.14</v>
      </c>
      <c r="J826">
        <v>534.14</v>
      </c>
      <c r="K826" t="s">
        <v>1905</v>
      </c>
      <c r="L826" t="s">
        <v>19</v>
      </c>
    </row>
    <row r="827" spans="1:12" x14ac:dyDescent="0.35">
      <c r="A827" t="s">
        <v>1906</v>
      </c>
      <c r="B827" t="s">
        <v>1907</v>
      </c>
      <c r="C827" t="s">
        <v>1908</v>
      </c>
      <c r="D827" t="s">
        <v>32</v>
      </c>
      <c r="E827" t="s">
        <v>203</v>
      </c>
      <c r="F827" t="s">
        <v>50</v>
      </c>
      <c r="G827" t="s">
        <v>216</v>
      </c>
      <c r="H827">
        <v>4</v>
      </c>
      <c r="I827">
        <v>895.46</v>
      </c>
      <c r="J827">
        <v>3581.84</v>
      </c>
      <c r="K827" t="s">
        <v>161</v>
      </c>
      <c r="L827" t="s">
        <v>19</v>
      </c>
    </row>
    <row r="828" spans="1:12" x14ac:dyDescent="0.35">
      <c r="A828" t="s">
        <v>1909</v>
      </c>
      <c r="B828" t="s">
        <v>1001</v>
      </c>
      <c r="C828" t="s">
        <v>1002</v>
      </c>
      <c r="D828" t="s">
        <v>67</v>
      </c>
      <c r="E828" t="s">
        <v>115</v>
      </c>
      <c r="F828" t="s">
        <v>50</v>
      </c>
      <c r="G828" t="s">
        <v>56</v>
      </c>
      <c r="H828">
        <v>4</v>
      </c>
      <c r="I828">
        <v>569.97</v>
      </c>
      <c r="J828">
        <v>2279.88</v>
      </c>
      <c r="K828" t="s">
        <v>63</v>
      </c>
      <c r="L828" t="s">
        <v>45</v>
      </c>
    </row>
    <row r="829" spans="1:12" x14ac:dyDescent="0.35">
      <c r="A829" t="s">
        <v>1910</v>
      </c>
      <c r="B829" t="s">
        <v>173</v>
      </c>
      <c r="C829" t="s">
        <v>174</v>
      </c>
      <c r="D829" t="s">
        <v>67</v>
      </c>
      <c r="E829" t="s">
        <v>68</v>
      </c>
      <c r="F829" t="s">
        <v>50</v>
      </c>
      <c r="G829" t="s">
        <v>170</v>
      </c>
      <c r="H829">
        <v>4</v>
      </c>
      <c r="I829">
        <v>1322.51</v>
      </c>
      <c r="J829">
        <v>5290.04</v>
      </c>
      <c r="K829" t="s">
        <v>483</v>
      </c>
      <c r="L829" t="s">
        <v>45</v>
      </c>
    </row>
    <row r="830" spans="1:12" x14ac:dyDescent="0.35">
      <c r="A830" t="s">
        <v>1911</v>
      </c>
      <c r="B830" t="s">
        <v>809</v>
      </c>
      <c r="C830" t="s">
        <v>810</v>
      </c>
      <c r="D830" t="s">
        <v>32</v>
      </c>
      <c r="E830" t="s">
        <v>33</v>
      </c>
      <c r="F830" t="s">
        <v>16</v>
      </c>
      <c r="G830" t="s">
        <v>182</v>
      </c>
      <c r="H830">
        <v>5</v>
      </c>
      <c r="I830">
        <v>1177.72</v>
      </c>
      <c r="J830">
        <v>5888.6</v>
      </c>
      <c r="K830" t="s">
        <v>1912</v>
      </c>
      <c r="L830" t="s">
        <v>28</v>
      </c>
    </row>
    <row r="831" spans="1:12" x14ac:dyDescent="0.35">
      <c r="A831" t="s">
        <v>1913</v>
      </c>
      <c r="B831" t="s">
        <v>137</v>
      </c>
      <c r="C831" t="s">
        <v>138</v>
      </c>
      <c r="D831" t="s">
        <v>32</v>
      </c>
      <c r="E831" t="s">
        <v>61</v>
      </c>
      <c r="F831" t="s">
        <v>50</v>
      </c>
      <c r="G831" t="s">
        <v>69</v>
      </c>
      <c r="H831">
        <v>2</v>
      </c>
      <c r="I831">
        <v>1033.01</v>
      </c>
      <c r="J831">
        <v>2066.02</v>
      </c>
      <c r="K831" t="s">
        <v>1914</v>
      </c>
      <c r="L831" t="s">
        <v>91</v>
      </c>
    </row>
    <row r="832" spans="1:12" x14ac:dyDescent="0.35">
      <c r="A832" t="s">
        <v>1915</v>
      </c>
      <c r="B832" t="s">
        <v>827</v>
      </c>
      <c r="C832" t="s">
        <v>828</v>
      </c>
      <c r="D832" t="s">
        <v>23</v>
      </c>
      <c r="E832" t="s">
        <v>49</v>
      </c>
      <c r="F832" t="s">
        <v>101</v>
      </c>
      <c r="G832" t="s">
        <v>237</v>
      </c>
      <c r="H832">
        <v>1</v>
      </c>
      <c r="I832">
        <v>1060.3800000000001</v>
      </c>
      <c r="J832">
        <v>1060.3800000000001</v>
      </c>
      <c r="K832" t="s">
        <v>1378</v>
      </c>
      <c r="L832" t="s">
        <v>45</v>
      </c>
    </row>
    <row r="833" spans="1:12" x14ac:dyDescent="0.35">
      <c r="A833" t="s">
        <v>1916</v>
      </c>
      <c r="B833" t="s">
        <v>633</v>
      </c>
      <c r="C833" t="s">
        <v>634</v>
      </c>
      <c r="D833" t="s">
        <v>67</v>
      </c>
      <c r="E833" t="s">
        <v>68</v>
      </c>
      <c r="F833" t="s">
        <v>101</v>
      </c>
      <c r="G833" t="s">
        <v>165</v>
      </c>
      <c r="H833">
        <v>5</v>
      </c>
      <c r="I833">
        <v>1038</v>
      </c>
      <c r="J833">
        <v>5190</v>
      </c>
      <c r="K833" t="s">
        <v>1373</v>
      </c>
      <c r="L833" t="s">
        <v>45</v>
      </c>
    </row>
    <row r="834" spans="1:12" x14ac:dyDescent="0.35">
      <c r="A834" t="s">
        <v>1917</v>
      </c>
      <c r="B834" t="s">
        <v>555</v>
      </c>
      <c r="C834" t="s">
        <v>556</v>
      </c>
      <c r="D834" t="s">
        <v>40</v>
      </c>
      <c r="E834" t="s">
        <v>41</v>
      </c>
      <c r="F834" t="s">
        <v>101</v>
      </c>
      <c r="G834" t="s">
        <v>649</v>
      </c>
      <c r="H834">
        <v>1</v>
      </c>
      <c r="I834">
        <v>761.8</v>
      </c>
      <c r="J834">
        <v>761.8</v>
      </c>
      <c r="K834" t="s">
        <v>329</v>
      </c>
      <c r="L834" t="s">
        <v>91</v>
      </c>
    </row>
    <row r="835" spans="1:12" x14ac:dyDescent="0.35">
      <c r="A835" t="s">
        <v>1918</v>
      </c>
      <c r="B835" t="s">
        <v>142</v>
      </c>
      <c r="C835" t="s">
        <v>143</v>
      </c>
      <c r="D835" t="s">
        <v>23</v>
      </c>
      <c r="E835" t="s">
        <v>24</v>
      </c>
      <c r="F835" t="s">
        <v>42</v>
      </c>
      <c r="G835" t="s">
        <v>43</v>
      </c>
      <c r="H835">
        <v>1</v>
      </c>
      <c r="I835">
        <v>98.51</v>
      </c>
      <c r="J835">
        <v>98.51</v>
      </c>
      <c r="K835" t="s">
        <v>1919</v>
      </c>
      <c r="L835" t="s">
        <v>19</v>
      </c>
    </row>
    <row r="836" spans="1:12" x14ac:dyDescent="0.35">
      <c r="A836" t="s">
        <v>1920</v>
      </c>
      <c r="B836" t="s">
        <v>842</v>
      </c>
      <c r="C836" t="s">
        <v>843</v>
      </c>
      <c r="D836" t="s">
        <v>23</v>
      </c>
      <c r="E836" t="s">
        <v>24</v>
      </c>
      <c r="F836" t="s">
        <v>50</v>
      </c>
      <c r="G836" t="s">
        <v>69</v>
      </c>
      <c r="H836">
        <v>4</v>
      </c>
      <c r="I836">
        <v>873.33</v>
      </c>
      <c r="J836">
        <v>3493.32</v>
      </c>
      <c r="K836" t="s">
        <v>35</v>
      </c>
      <c r="L836" t="s">
        <v>19</v>
      </c>
    </row>
    <row r="837" spans="1:12" x14ac:dyDescent="0.35">
      <c r="A837" t="s">
        <v>1921</v>
      </c>
      <c r="B837" t="s">
        <v>1523</v>
      </c>
      <c r="C837" t="s">
        <v>1524</v>
      </c>
      <c r="D837" t="s">
        <v>40</v>
      </c>
      <c r="E837" t="s">
        <v>41</v>
      </c>
      <c r="F837" t="s">
        <v>16</v>
      </c>
      <c r="G837" t="s">
        <v>17</v>
      </c>
      <c r="H837">
        <v>2</v>
      </c>
      <c r="I837">
        <v>1287.32</v>
      </c>
      <c r="J837">
        <v>2574.64</v>
      </c>
      <c r="K837" t="s">
        <v>1262</v>
      </c>
      <c r="L837" t="s">
        <v>91</v>
      </c>
    </row>
    <row r="838" spans="1:12" x14ac:dyDescent="0.35">
      <c r="A838" t="s">
        <v>1922</v>
      </c>
      <c r="B838" t="s">
        <v>922</v>
      </c>
      <c r="C838" t="s">
        <v>923</v>
      </c>
      <c r="D838" t="s">
        <v>14</v>
      </c>
      <c r="E838" t="s">
        <v>15</v>
      </c>
      <c r="F838" t="s">
        <v>101</v>
      </c>
      <c r="G838" t="s">
        <v>102</v>
      </c>
      <c r="H838">
        <v>2</v>
      </c>
      <c r="I838">
        <v>1077.2</v>
      </c>
      <c r="J838">
        <v>2154.4</v>
      </c>
      <c r="K838" t="s">
        <v>1411</v>
      </c>
      <c r="L838" t="s">
        <v>36</v>
      </c>
    </row>
    <row r="839" spans="1:12" x14ac:dyDescent="0.35">
      <c r="A839" t="s">
        <v>1923</v>
      </c>
      <c r="B839" t="s">
        <v>590</v>
      </c>
      <c r="C839" t="s">
        <v>591</v>
      </c>
      <c r="D839" t="s">
        <v>14</v>
      </c>
      <c r="E839" t="s">
        <v>266</v>
      </c>
      <c r="F839" t="s">
        <v>50</v>
      </c>
      <c r="G839" t="s">
        <v>51</v>
      </c>
      <c r="H839">
        <v>3</v>
      </c>
      <c r="I839">
        <v>1264.08</v>
      </c>
      <c r="J839">
        <v>3792.24</v>
      </c>
      <c r="K839" t="s">
        <v>1440</v>
      </c>
      <c r="L839" t="s">
        <v>36</v>
      </c>
    </row>
    <row r="840" spans="1:12" x14ac:dyDescent="0.35">
      <c r="A840" t="s">
        <v>1924</v>
      </c>
      <c r="B840" t="s">
        <v>779</v>
      </c>
      <c r="C840" t="s">
        <v>780</v>
      </c>
      <c r="D840" t="s">
        <v>23</v>
      </c>
      <c r="E840" t="s">
        <v>338</v>
      </c>
      <c r="F840" t="s">
        <v>101</v>
      </c>
      <c r="G840" t="s">
        <v>373</v>
      </c>
      <c r="H840">
        <v>5</v>
      </c>
      <c r="I840">
        <v>17.989999999999998</v>
      </c>
      <c r="J840">
        <v>89.95</v>
      </c>
      <c r="K840" t="s">
        <v>1503</v>
      </c>
      <c r="L840" t="s">
        <v>45</v>
      </c>
    </row>
    <row r="841" spans="1:12" x14ac:dyDescent="0.35">
      <c r="A841" t="s">
        <v>1925</v>
      </c>
      <c r="B841" t="s">
        <v>707</v>
      </c>
      <c r="C841" t="s">
        <v>708</v>
      </c>
      <c r="D841" t="s">
        <v>14</v>
      </c>
      <c r="E841" t="s">
        <v>125</v>
      </c>
      <c r="F841" t="s">
        <v>101</v>
      </c>
      <c r="G841" t="s">
        <v>373</v>
      </c>
      <c r="H841">
        <v>2</v>
      </c>
      <c r="I841">
        <v>1226.3800000000001</v>
      </c>
      <c r="J841">
        <v>2452.7600000000002</v>
      </c>
      <c r="K841" t="s">
        <v>1404</v>
      </c>
      <c r="L841" t="s">
        <v>91</v>
      </c>
    </row>
    <row r="842" spans="1:12" x14ac:dyDescent="0.35">
      <c r="A842" t="s">
        <v>1926</v>
      </c>
      <c r="B842" t="s">
        <v>1662</v>
      </c>
      <c r="C842" t="s">
        <v>1663</v>
      </c>
      <c r="D842" t="s">
        <v>32</v>
      </c>
      <c r="E842" t="s">
        <v>33</v>
      </c>
      <c r="F842" t="s">
        <v>101</v>
      </c>
      <c r="G842" t="s">
        <v>373</v>
      </c>
      <c r="H842">
        <v>1</v>
      </c>
      <c r="I842">
        <v>1310.04</v>
      </c>
      <c r="J842">
        <v>1310.04</v>
      </c>
      <c r="K842" t="s">
        <v>1927</v>
      </c>
      <c r="L842" t="s">
        <v>19</v>
      </c>
    </row>
    <row r="843" spans="1:12" x14ac:dyDescent="0.35">
      <c r="A843" t="s">
        <v>1928</v>
      </c>
      <c r="B843" t="s">
        <v>348</v>
      </c>
      <c r="C843" t="s">
        <v>349</v>
      </c>
      <c r="D843" t="s">
        <v>14</v>
      </c>
      <c r="E843" t="s">
        <v>15</v>
      </c>
      <c r="F843" t="s">
        <v>16</v>
      </c>
      <c r="G843" t="s">
        <v>177</v>
      </c>
      <c r="H843">
        <v>1</v>
      </c>
      <c r="I843">
        <v>140.01</v>
      </c>
      <c r="J843">
        <v>140.01</v>
      </c>
      <c r="K843" t="s">
        <v>1929</v>
      </c>
      <c r="L843" t="s">
        <v>91</v>
      </c>
    </row>
    <row r="844" spans="1:12" x14ac:dyDescent="0.35">
      <c r="A844" t="s">
        <v>1930</v>
      </c>
      <c r="B844" t="s">
        <v>180</v>
      </c>
      <c r="C844" t="s">
        <v>181</v>
      </c>
      <c r="D844" t="s">
        <v>23</v>
      </c>
      <c r="E844" t="s">
        <v>49</v>
      </c>
      <c r="F844" t="s">
        <v>16</v>
      </c>
      <c r="G844" t="s">
        <v>148</v>
      </c>
      <c r="H844">
        <v>1</v>
      </c>
      <c r="I844">
        <v>118.43</v>
      </c>
      <c r="J844">
        <v>118.43</v>
      </c>
      <c r="K844" t="s">
        <v>1931</v>
      </c>
      <c r="L844" t="s">
        <v>91</v>
      </c>
    </row>
    <row r="845" spans="1:12" x14ac:dyDescent="0.35">
      <c r="A845" t="s">
        <v>1932</v>
      </c>
      <c r="B845" t="s">
        <v>860</v>
      </c>
      <c r="C845" t="s">
        <v>861</v>
      </c>
      <c r="D845" t="s">
        <v>40</v>
      </c>
      <c r="E845" t="s">
        <v>120</v>
      </c>
      <c r="F845" t="s">
        <v>101</v>
      </c>
      <c r="G845" t="s">
        <v>373</v>
      </c>
      <c r="H845">
        <v>3</v>
      </c>
      <c r="I845">
        <v>159.03</v>
      </c>
      <c r="J845">
        <v>477.09</v>
      </c>
      <c r="K845" t="s">
        <v>365</v>
      </c>
      <c r="L845" t="s">
        <v>28</v>
      </c>
    </row>
    <row r="846" spans="1:12" x14ac:dyDescent="0.35">
      <c r="A846" t="s">
        <v>1933</v>
      </c>
      <c r="B846" t="s">
        <v>59</v>
      </c>
      <c r="C846" t="s">
        <v>60</v>
      </c>
      <c r="D846" t="s">
        <v>23</v>
      </c>
      <c r="E846" t="s">
        <v>49</v>
      </c>
      <c r="F846" t="s">
        <v>50</v>
      </c>
      <c r="G846" t="s">
        <v>56</v>
      </c>
      <c r="H846">
        <v>3</v>
      </c>
      <c r="I846">
        <v>701.86</v>
      </c>
      <c r="J846">
        <v>2105.58</v>
      </c>
      <c r="K846" t="s">
        <v>1934</v>
      </c>
      <c r="L846" t="s">
        <v>28</v>
      </c>
    </row>
    <row r="847" spans="1:12" x14ac:dyDescent="0.35">
      <c r="A847" t="s">
        <v>1935</v>
      </c>
      <c r="B847" t="s">
        <v>367</v>
      </c>
      <c r="C847" t="s">
        <v>368</v>
      </c>
      <c r="D847" t="s">
        <v>40</v>
      </c>
      <c r="E847" t="s">
        <v>120</v>
      </c>
      <c r="F847" t="s">
        <v>42</v>
      </c>
      <c r="G847" t="s">
        <v>80</v>
      </c>
      <c r="H847">
        <v>5</v>
      </c>
      <c r="I847">
        <v>5.19</v>
      </c>
      <c r="J847">
        <v>25.95</v>
      </c>
      <c r="K847" t="s">
        <v>126</v>
      </c>
      <c r="L847" t="s">
        <v>36</v>
      </c>
    </row>
    <row r="848" spans="1:12" x14ac:dyDescent="0.35">
      <c r="A848" t="s">
        <v>1936</v>
      </c>
      <c r="B848" t="s">
        <v>842</v>
      </c>
      <c r="C848" t="s">
        <v>843</v>
      </c>
      <c r="D848" t="s">
        <v>14</v>
      </c>
      <c r="E848" t="s">
        <v>125</v>
      </c>
      <c r="F848" t="s">
        <v>50</v>
      </c>
      <c r="G848" t="s">
        <v>51</v>
      </c>
      <c r="H848">
        <v>1</v>
      </c>
      <c r="I848">
        <v>1076.3499999999999</v>
      </c>
      <c r="J848">
        <v>1076.3499999999999</v>
      </c>
      <c r="K848" t="s">
        <v>614</v>
      </c>
      <c r="L848" t="s">
        <v>19</v>
      </c>
    </row>
    <row r="849" spans="1:12" x14ac:dyDescent="0.35">
      <c r="A849" t="s">
        <v>1937</v>
      </c>
      <c r="B849" t="s">
        <v>72</v>
      </c>
      <c r="C849" t="s">
        <v>73</v>
      </c>
      <c r="D849" t="s">
        <v>67</v>
      </c>
      <c r="E849" t="s">
        <v>130</v>
      </c>
      <c r="F849" t="s">
        <v>25</v>
      </c>
      <c r="G849" t="s">
        <v>26</v>
      </c>
      <c r="H849">
        <v>3</v>
      </c>
      <c r="I849">
        <v>1021.96</v>
      </c>
      <c r="J849">
        <v>3065.88</v>
      </c>
      <c r="K849" t="s">
        <v>1938</v>
      </c>
      <c r="L849" t="s">
        <v>36</v>
      </c>
    </row>
    <row r="850" spans="1:12" x14ac:dyDescent="0.35">
      <c r="A850" t="s">
        <v>1939</v>
      </c>
      <c r="B850" t="s">
        <v>1940</v>
      </c>
      <c r="C850" t="s">
        <v>1941</v>
      </c>
      <c r="D850" t="s">
        <v>32</v>
      </c>
      <c r="E850" t="s">
        <v>203</v>
      </c>
      <c r="F850" t="s">
        <v>101</v>
      </c>
      <c r="G850" t="s">
        <v>165</v>
      </c>
      <c r="H850">
        <v>1</v>
      </c>
      <c r="I850">
        <v>1225.07</v>
      </c>
      <c r="J850">
        <v>1225.07</v>
      </c>
      <c r="K850" t="s">
        <v>1942</v>
      </c>
      <c r="L850" t="s">
        <v>91</v>
      </c>
    </row>
    <row r="851" spans="1:12" x14ac:dyDescent="0.35">
      <c r="A851" t="s">
        <v>1943</v>
      </c>
      <c r="B851" t="s">
        <v>1159</v>
      </c>
      <c r="C851" t="s">
        <v>1160</v>
      </c>
      <c r="D851" t="s">
        <v>32</v>
      </c>
      <c r="E851" t="s">
        <v>61</v>
      </c>
      <c r="F851" t="s">
        <v>25</v>
      </c>
      <c r="G851" t="s">
        <v>74</v>
      </c>
      <c r="H851">
        <v>5</v>
      </c>
      <c r="I851">
        <v>233.94</v>
      </c>
      <c r="J851">
        <v>1169.7</v>
      </c>
      <c r="K851" t="s">
        <v>1235</v>
      </c>
      <c r="L851" t="s">
        <v>28</v>
      </c>
    </row>
    <row r="852" spans="1:12" x14ac:dyDescent="0.35">
      <c r="A852" t="s">
        <v>1944</v>
      </c>
      <c r="B852" t="s">
        <v>791</v>
      </c>
      <c r="C852" t="s">
        <v>792</v>
      </c>
      <c r="D852" t="s">
        <v>23</v>
      </c>
      <c r="E852" t="s">
        <v>49</v>
      </c>
      <c r="F852" t="s">
        <v>101</v>
      </c>
      <c r="G852" t="s">
        <v>373</v>
      </c>
      <c r="H852">
        <v>4</v>
      </c>
      <c r="I852">
        <v>550.34</v>
      </c>
      <c r="J852">
        <v>2201.36</v>
      </c>
      <c r="K852" t="s">
        <v>1781</v>
      </c>
      <c r="L852" t="s">
        <v>45</v>
      </c>
    </row>
    <row r="853" spans="1:12" x14ac:dyDescent="0.35">
      <c r="A853" t="s">
        <v>1945</v>
      </c>
      <c r="B853" t="s">
        <v>500</v>
      </c>
      <c r="C853" t="s">
        <v>501</v>
      </c>
      <c r="D853" t="s">
        <v>14</v>
      </c>
      <c r="E853" t="s">
        <v>100</v>
      </c>
      <c r="F853" t="s">
        <v>25</v>
      </c>
      <c r="G853" t="s">
        <v>74</v>
      </c>
      <c r="H853">
        <v>5</v>
      </c>
      <c r="I853">
        <v>1235.82</v>
      </c>
      <c r="J853">
        <v>6179.1</v>
      </c>
      <c r="K853" t="s">
        <v>1822</v>
      </c>
      <c r="L853" t="s">
        <v>19</v>
      </c>
    </row>
    <row r="854" spans="1:12" x14ac:dyDescent="0.35">
      <c r="A854" t="s">
        <v>1946</v>
      </c>
      <c r="B854" t="s">
        <v>206</v>
      </c>
      <c r="C854" t="s">
        <v>207</v>
      </c>
      <c r="D854" t="s">
        <v>23</v>
      </c>
      <c r="E854" t="s">
        <v>338</v>
      </c>
      <c r="F854" t="s">
        <v>50</v>
      </c>
      <c r="G854" t="s">
        <v>170</v>
      </c>
      <c r="H854">
        <v>4</v>
      </c>
      <c r="I854">
        <v>921.66</v>
      </c>
      <c r="J854">
        <v>3686.64</v>
      </c>
      <c r="K854" t="s">
        <v>1947</v>
      </c>
      <c r="L854" t="s">
        <v>36</v>
      </c>
    </row>
    <row r="855" spans="1:12" x14ac:dyDescent="0.35">
      <c r="A855" t="s">
        <v>1948</v>
      </c>
      <c r="B855" t="s">
        <v>260</v>
      </c>
      <c r="C855" t="s">
        <v>261</v>
      </c>
      <c r="D855" t="s">
        <v>32</v>
      </c>
      <c r="E855" t="s">
        <v>203</v>
      </c>
      <c r="F855" t="s">
        <v>101</v>
      </c>
      <c r="G855" t="s">
        <v>649</v>
      </c>
      <c r="H855">
        <v>5</v>
      </c>
      <c r="I855">
        <v>788.19</v>
      </c>
      <c r="J855">
        <v>3940.95</v>
      </c>
      <c r="K855" t="s">
        <v>1949</v>
      </c>
      <c r="L855" t="s">
        <v>19</v>
      </c>
    </row>
    <row r="856" spans="1:12" x14ac:dyDescent="0.35">
      <c r="A856" t="s">
        <v>1950</v>
      </c>
      <c r="B856" t="s">
        <v>947</v>
      </c>
      <c r="C856" t="s">
        <v>948</v>
      </c>
      <c r="D856" t="s">
        <v>67</v>
      </c>
      <c r="E856" t="s">
        <v>115</v>
      </c>
      <c r="F856" t="s">
        <v>42</v>
      </c>
      <c r="G856" t="s">
        <v>89</v>
      </c>
      <c r="H856">
        <v>1</v>
      </c>
      <c r="I856">
        <v>1416.61</v>
      </c>
      <c r="J856">
        <v>1416.61</v>
      </c>
      <c r="K856" t="s">
        <v>1919</v>
      </c>
      <c r="L856" t="s">
        <v>28</v>
      </c>
    </row>
    <row r="857" spans="1:12" x14ac:dyDescent="0.35">
      <c r="A857" t="s">
        <v>1951</v>
      </c>
      <c r="B857" t="s">
        <v>155</v>
      </c>
      <c r="C857" t="s">
        <v>156</v>
      </c>
      <c r="D857" t="s">
        <v>23</v>
      </c>
      <c r="E857" t="s">
        <v>24</v>
      </c>
      <c r="F857" t="s">
        <v>16</v>
      </c>
      <c r="G857" t="s">
        <v>230</v>
      </c>
      <c r="H857">
        <v>4</v>
      </c>
      <c r="I857">
        <v>919.85</v>
      </c>
      <c r="J857">
        <v>3679.4</v>
      </c>
      <c r="K857" t="s">
        <v>1952</v>
      </c>
      <c r="L857" t="s">
        <v>28</v>
      </c>
    </row>
    <row r="858" spans="1:12" x14ac:dyDescent="0.35">
      <c r="A858" t="s">
        <v>1953</v>
      </c>
      <c r="B858" t="s">
        <v>151</v>
      </c>
      <c r="C858" t="s">
        <v>152</v>
      </c>
      <c r="D858" t="s">
        <v>14</v>
      </c>
      <c r="E858" t="s">
        <v>100</v>
      </c>
      <c r="F858" t="s">
        <v>25</v>
      </c>
      <c r="G858" t="s">
        <v>62</v>
      </c>
      <c r="H858">
        <v>2</v>
      </c>
      <c r="I858">
        <v>94.69</v>
      </c>
      <c r="J858">
        <v>189.38</v>
      </c>
      <c r="K858" t="s">
        <v>343</v>
      </c>
      <c r="L858" t="s">
        <v>91</v>
      </c>
    </row>
    <row r="859" spans="1:12" x14ac:dyDescent="0.35">
      <c r="A859" t="s">
        <v>1954</v>
      </c>
      <c r="B859" t="s">
        <v>775</v>
      </c>
      <c r="C859" t="s">
        <v>776</v>
      </c>
      <c r="D859" t="s">
        <v>23</v>
      </c>
      <c r="E859" t="s">
        <v>24</v>
      </c>
      <c r="F859" t="s">
        <v>101</v>
      </c>
      <c r="G859" t="s">
        <v>165</v>
      </c>
      <c r="H859">
        <v>1</v>
      </c>
      <c r="I859">
        <v>1399.92</v>
      </c>
      <c r="J859">
        <v>1399.92</v>
      </c>
      <c r="K859" t="s">
        <v>572</v>
      </c>
      <c r="L859" t="s">
        <v>28</v>
      </c>
    </row>
    <row r="860" spans="1:12" x14ac:dyDescent="0.35">
      <c r="A860" t="s">
        <v>1955</v>
      </c>
      <c r="B860" t="s">
        <v>598</v>
      </c>
      <c r="C860" t="s">
        <v>599</v>
      </c>
      <c r="D860" t="s">
        <v>67</v>
      </c>
      <c r="E860" t="s">
        <v>68</v>
      </c>
      <c r="F860" t="s">
        <v>16</v>
      </c>
      <c r="G860" t="s">
        <v>148</v>
      </c>
      <c r="H860">
        <v>2</v>
      </c>
      <c r="I860">
        <v>686.68</v>
      </c>
      <c r="J860">
        <v>1373.36</v>
      </c>
      <c r="K860" t="s">
        <v>1237</v>
      </c>
      <c r="L860" t="s">
        <v>91</v>
      </c>
    </row>
    <row r="861" spans="1:12" x14ac:dyDescent="0.35">
      <c r="A861" t="s">
        <v>1956</v>
      </c>
      <c r="B861" t="s">
        <v>817</v>
      </c>
      <c r="C861" t="s">
        <v>818</v>
      </c>
      <c r="D861" t="s">
        <v>14</v>
      </c>
      <c r="E861" t="s">
        <v>100</v>
      </c>
      <c r="F861" t="s">
        <v>101</v>
      </c>
      <c r="G861" t="s">
        <v>237</v>
      </c>
      <c r="H861">
        <v>5</v>
      </c>
      <c r="I861">
        <v>259.89</v>
      </c>
      <c r="J861">
        <v>1299.45</v>
      </c>
      <c r="K861" t="s">
        <v>570</v>
      </c>
      <c r="L861" t="s">
        <v>28</v>
      </c>
    </row>
    <row r="862" spans="1:12" x14ac:dyDescent="0.35">
      <c r="A862" t="s">
        <v>1957</v>
      </c>
      <c r="B862" t="s">
        <v>87</v>
      </c>
      <c r="C862" t="s">
        <v>88</v>
      </c>
      <c r="D862" t="s">
        <v>40</v>
      </c>
      <c r="E862" t="s">
        <v>79</v>
      </c>
      <c r="F862" t="s">
        <v>16</v>
      </c>
      <c r="G862" t="s">
        <v>148</v>
      </c>
      <c r="H862">
        <v>1</v>
      </c>
      <c r="I862">
        <v>1223.92</v>
      </c>
      <c r="J862">
        <v>1223.92</v>
      </c>
      <c r="K862" t="s">
        <v>546</v>
      </c>
      <c r="L862" t="s">
        <v>36</v>
      </c>
    </row>
    <row r="863" spans="1:12" x14ac:dyDescent="0.35">
      <c r="A863" t="s">
        <v>1958</v>
      </c>
      <c r="B863" t="s">
        <v>1092</v>
      </c>
      <c r="C863" t="s">
        <v>1093</v>
      </c>
      <c r="D863" t="s">
        <v>23</v>
      </c>
      <c r="E863" t="s">
        <v>338</v>
      </c>
      <c r="F863" t="s">
        <v>50</v>
      </c>
      <c r="G863" t="s">
        <v>216</v>
      </c>
      <c r="H863">
        <v>1</v>
      </c>
      <c r="I863">
        <v>193.29</v>
      </c>
      <c r="J863">
        <v>193.29</v>
      </c>
      <c r="K863" t="s">
        <v>1217</v>
      </c>
      <c r="L863" t="s">
        <v>28</v>
      </c>
    </row>
    <row r="864" spans="1:12" x14ac:dyDescent="0.35">
      <c r="A864" t="s">
        <v>1959</v>
      </c>
      <c r="B864" t="s">
        <v>878</v>
      </c>
      <c r="C864" t="s">
        <v>879</v>
      </c>
      <c r="D864" t="s">
        <v>67</v>
      </c>
      <c r="E864" t="s">
        <v>115</v>
      </c>
      <c r="F864" t="s">
        <v>16</v>
      </c>
      <c r="G864" t="s">
        <v>182</v>
      </c>
      <c r="H864">
        <v>3</v>
      </c>
      <c r="I864">
        <v>1044.98</v>
      </c>
      <c r="J864">
        <v>3134.94</v>
      </c>
      <c r="K864" t="s">
        <v>1672</v>
      </c>
      <c r="L864" t="s">
        <v>19</v>
      </c>
    </row>
    <row r="865" spans="1:12" x14ac:dyDescent="0.35">
      <c r="A865" t="s">
        <v>1960</v>
      </c>
      <c r="B865" t="s">
        <v>1176</v>
      </c>
      <c r="C865" t="s">
        <v>1177</v>
      </c>
      <c r="D865" t="s">
        <v>67</v>
      </c>
      <c r="E865" t="s">
        <v>115</v>
      </c>
      <c r="F865" t="s">
        <v>50</v>
      </c>
      <c r="G865" t="s">
        <v>51</v>
      </c>
      <c r="H865">
        <v>4</v>
      </c>
      <c r="I865">
        <v>1356.52</v>
      </c>
      <c r="J865">
        <v>5426.08</v>
      </c>
      <c r="K865" t="s">
        <v>1961</v>
      </c>
      <c r="L865" t="s">
        <v>45</v>
      </c>
    </row>
    <row r="866" spans="1:12" x14ac:dyDescent="0.35">
      <c r="A866" t="s">
        <v>1962</v>
      </c>
      <c r="B866" t="s">
        <v>295</v>
      </c>
      <c r="C866" t="s">
        <v>296</v>
      </c>
      <c r="D866" t="s">
        <v>40</v>
      </c>
      <c r="E866" t="s">
        <v>120</v>
      </c>
      <c r="F866" t="s">
        <v>50</v>
      </c>
      <c r="G866" t="s">
        <v>69</v>
      </c>
      <c r="H866">
        <v>1</v>
      </c>
      <c r="I866">
        <v>907.47</v>
      </c>
      <c r="J866">
        <v>907.47</v>
      </c>
      <c r="K866" t="s">
        <v>1963</v>
      </c>
      <c r="L866" t="s">
        <v>28</v>
      </c>
    </row>
    <row r="867" spans="1:12" x14ac:dyDescent="0.35">
      <c r="A867" t="s">
        <v>1964</v>
      </c>
      <c r="B867" t="s">
        <v>470</v>
      </c>
      <c r="C867" t="s">
        <v>471</v>
      </c>
      <c r="D867" t="s">
        <v>40</v>
      </c>
      <c r="E867" t="s">
        <v>79</v>
      </c>
      <c r="F867" t="s">
        <v>25</v>
      </c>
      <c r="G867" t="s">
        <v>139</v>
      </c>
      <c r="H867">
        <v>3</v>
      </c>
      <c r="I867">
        <v>981.74</v>
      </c>
      <c r="J867">
        <v>2945.22</v>
      </c>
      <c r="K867" t="s">
        <v>1791</v>
      </c>
      <c r="L867" t="s">
        <v>36</v>
      </c>
    </row>
    <row r="868" spans="1:12" x14ac:dyDescent="0.35">
      <c r="A868" t="s">
        <v>1965</v>
      </c>
      <c r="B868" t="s">
        <v>856</v>
      </c>
      <c r="C868" t="s">
        <v>857</v>
      </c>
      <c r="D868" t="s">
        <v>23</v>
      </c>
      <c r="E868" t="s">
        <v>338</v>
      </c>
      <c r="F868" t="s">
        <v>25</v>
      </c>
      <c r="G868" t="s">
        <v>74</v>
      </c>
      <c r="H868">
        <v>3</v>
      </c>
      <c r="I868">
        <v>699.01</v>
      </c>
      <c r="J868">
        <v>2097.0300000000002</v>
      </c>
      <c r="K868" t="s">
        <v>1966</v>
      </c>
      <c r="L868" t="s">
        <v>28</v>
      </c>
    </row>
    <row r="869" spans="1:12" x14ac:dyDescent="0.35">
      <c r="A869" t="s">
        <v>1967</v>
      </c>
      <c r="B869" t="s">
        <v>47</v>
      </c>
      <c r="C869" t="s">
        <v>48</v>
      </c>
      <c r="D869" t="s">
        <v>14</v>
      </c>
      <c r="E869" t="s">
        <v>15</v>
      </c>
      <c r="F869" t="s">
        <v>16</v>
      </c>
      <c r="G869" t="s">
        <v>182</v>
      </c>
      <c r="H869">
        <v>3</v>
      </c>
      <c r="I869">
        <v>1312.05</v>
      </c>
      <c r="J869">
        <v>3936.15</v>
      </c>
      <c r="K869" t="s">
        <v>1963</v>
      </c>
      <c r="L869" t="s">
        <v>36</v>
      </c>
    </row>
    <row r="870" spans="1:12" x14ac:dyDescent="0.35">
      <c r="A870" t="s">
        <v>1968</v>
      </c>
      <c r="B870" t="s">
        <v>1092</v>
      </c>
      <c r="C870" t="s">
        <v>1093</v>
      </c>
      <c r="D870" t="s">
        <v>23</v>
      </c>
      <c r="E870" t="s">
        <v>49</v>
      </c>
      <c r="F870" t="s">
        <v>25</v>
      </c>
      <c r="G870" t="s">
        <v>26</v>
      </c>
      <c r="H870">
        <v>2</v>
      </c>
      <c r="I870">
        <v>1467.81</v>
      </c>
      <c r="J870">
        <v>2935.62</v>
      </c>
      <c r="K870" t="s">
        <v>1758</v>
      </c>
      <c r="L870" t="s">
        <v>28</v>
      </c>
    </row>
    <row r="871" spans="1:12" x14ac:dyDescent="0.35">
      <c r="A871" t="s">
        <v>1969</v>
      </c>
      <c r="B871" t="s">
        <v>299</v>
      </c>
      <c r="C871" t="s">
        <v>300</v>
      </c>
      <c r="D871" t="s">
        <v>14</v>
      </c>
      <c r="E871" t="s">
        <v>125</v>
      </c>
      <c r="F871" t="s">
        <v>50</v>
      </c>
      <c r="G871" t="s">
        <v>56</v>
      </c>
      <c r="H871">
        <v>3</v>
      </c>
      <c r="I871">
        <v>715.55</v>
      </c>
      <c r="J871">
        <v>2146.65</v>
      </c>
      <c r="K871" t="s">
        <v>1970</v>
      </c>
      <c r="L871" t="s">
        <v>19</v>
      </c>
    </row>
    <row r="872" spans="1:12" x14ac:dyDescent="0.35">
      <c r="A872" t="s">
        <v>1971</v>
      </c>
      <c r="B872" t="s">
        <v>72</v>
      </c>
      <c r="C872" t="s">
        <v>73</v>
      </c>
      <c r="D872" t="s">
        <v>32</v>
      </c>
      <c r="E872" t="s">
        <v>203</v>
      </c>
      <c r="F872" t="s">
        <v>42</v>
      </c>
      <c r="G872" t="s">
        <v>43</v>
      </c>
      <c r="H872">
        <v>3</v>
      </c>
      <c r="I872">
        <v>300.08999999999997</v>
      </c>
      <c r="J872">
        <v>900.27</v>
      </c>
      <c r="K872" t="s">
        <v>671</v>
      </c>
      <c r="L872" t="s">
        <v>28</v>
      </c>
    </row>
    <row r="873" spans="1:12" x14ac:dyDescent="0.35">
      <c r="A873" t="s">
        <v>1972</v>
      </c>
      <c r="B873" t="s">
        <v>1058</v>
      </c>
      <c r="C873" t="s">
        <v>1059</v>
      </c>
      <c r="D873" t="s">
        <v>67</v>
      </c>
      <c r="E873" t="s">
        <v>130</v>
      </c>
      <c r="F873" t="s">
        <v>25</v>
      </c>
      <c r="G873" t="s">
        <v>139</v>
      </c>
      <c r="H873">
        <v>5</v>
      </c>
      <c r="I873">
        <v>699</v>
      </c>
      <c r="J873">
        <v>3495</v>
      </c>
      <c r="K873" t="s">
        <v>1075</v>
      </c>
      <c r="L873" t="s">
        <v>45</v>
      </c>
    </row>
    <row r="874" spans="1:12" x14ac:dyDescent="0.35">
      <c r="A874" t="s">
        <v>1973</v>
      </c>
      <c r="B874" t="s">
        <v>180</v>
      </c>
      <c r="C874" t="s">
        <v>181</v>
      </c>
      <c r="D874" t="s">
        <v>67</v>
      </c>
      <c r="E874" t="s">
        <v>68</v>
      </c>
      <c r="F874" t="s">
        <v>101</v>
      </c>
      <c r="G874" t="s">
        <v>165</v>
      </c>
      <c r="H874">
        <v>3</v>
      </c>
      <c r="I874">
        <v>1247.9000000000001</v>
      </c>
      <c r="J874">
        <v>3743.7</v>
      </c>
      <c r="K874" t="s">
        <v>1974</v>
      </c>
      <c r="L874" t="s">
        <v>45</v>
      </c>
    </row>
    <row r="875" spans="1:12" x14ac:dyDescent="0.35">
      <c r="A875" t="s">
        <v>1975</v>
      </c>
      <c r="B875" t="s">
        <v>1028</v>
      </c>
      <c r="C875" t="s">
        <v>1029</v>
      </c>
      <c r="D875" t="s">
        <v>14</v>
      </c>
      <c r="E875" t="s">
        <v>100</v>
      </c>
      <c r="F875" t="s">
        <v>25</v>
      </c>
      <c r="G875" t="s">
        <v>139</v>
      </c>
      <c r="H875">
        <v>4</v>
      </c>
      <c r="I875">
        <v>1436.43</v>
      </c>
      <c r="J875">
        <v>5745.72</v>
      </c>
      <c r="K875" t="s">
        <v>1976</v>
      </c>
      <c r="L875" t="s">
        <v>36</v>
      </c>
    </row>
    <row r="876" spans="1:12" x14ac:dyDescent="0.35">
      <c r="A876" t="s">
        <v>1977</v>
      </c>
      <c r="B876" t="s">
        <v>388</v>
      </c>
      <c r="C876" t="s">
        <v>389</v>
      </c>
      <c r="D876" t="s">
        <v>23</v>
      </c>
      <c r="E876" t="s">
        <v>49</v>
      </c>
      <c r="F876" t="s">
        <v>50</v>
      </c>
      <c r="G876" t="s">
        <v>69</v>
      </c>
      <c r="H876">
        <v>1</v>
      </c>
      <c r="I876">
        <v>524.55999999999995</v>
      </c>
      <c r="J876">
        <v>524.55999999999995</v>
      </c>
      <c r="K876" t="s">
        <v>1254</v>
      </c>
      <c r="L876" t="s">
        <v>91</v>
      </c>
    </row>
    <row r="877" spans="1:12" x14ac:dyDescent="0.35">
      <c r="A877" t="s">
        <v>1978</v>
      </c>
      <c r="B877" t="s">
        <v>1281</v>
      </c>
      <c r="C877" t="s">
        <v>1282</v>
      </c>
      <c r="D877" t="s">
        <v>14</v>
      </c>
      <c r="E877" t="s">
        <v>266</v>
      </c>
      <c r="F877" t="s">
        <v>16</v>
      </c>
      <c r="G877" t="s">
        <v>17</v>
      </c>
      <c r="H877">
        <v>1</v>
      </c>
      <c r="I877">
        <v>563.37</v>
      </c>
      <c r="J877">
        <v>563.37</v>
      </c>
      <c r="K877" t="s">
        <v>398</v>
      </c>
      <c r="L877" t="s">
        <v>19</v>
      </c>
    </row>
    <row r="878" spans="1:12" x14ac:dyDescent="0.35">
      <c r="A878" t="s">
        <v>1979</v>
      </c>
      <c r="B878" t="s">
        <v>392</v>
      </c>
      <c r="C878" t="s">
        <v>393</v>
      </c>
      <c r="D878" t="s">
        <v>23</v>
      </c>
      <c r="E878" t="s">
        <v>24</v>
      </c>
      <c r="F878" t="s">
        <v>42</v>
      </c>
      <c r="G878" t="s">
        <v>225</v>
      </c>
      <c r="H878">
        <v>2</v>
      </c>
      <c r="I878">
        <v>1173.58</v>
      </c>
      <c r="J878">
        <v>2347.16</v>
      </c>
      <c r="K878" t="s">
        <v>1722</v>
      </c>
      <c r="L878" t="s">
        <v>19</v>
      </c>
    </row>
    <row r="879" spans="1:12" x14ac:dyDescent="0.35">
      <c r="A879" t="s">
        <v>1980</v>
      </c>
      <c r="B879" t="s">
        <v>133</v>
      </c>
      <c r="C879" t="s">
        <v>134</v>
      </c>
      <c r="D879" t="s">
        <v>32</v>
      </c>
      <c r="E879" t="s">
        <v>61</v>
      </c>
      <c r="F879" t="s">
        <v>25</v>
      </c>
      <c r="G879" t="s">
        <v>74</v>
      </c>
      <c r="H879">
        <v>3</v>
      </c>
      <c r="I879">
        <v>287.91000000000003</v>
      </c>
      <c r="J879">
        <v>863.73</v>
      </c>
      <c r="K879" t="s">
        <v>866</v>
      </c>
      <c r="L879" t="s">
        <v>91</v>
      </c>
    </row>
    <row r="880" spans="1:12" x14ac:dyDescent="0.35">
      <c r="A880" t="s">
        <v>1981</v>
      </c>
      <c r="B880" t="s">
        <v>652</v>
      </c>
      <c r="C880" t="s">
        <v>653</v>
      </c>
      <c r="D880" t="s">
        <v>32</v>
      </c>
      <c r="E880" t="s">
        <v>203</v>
      </c>
      <c r="F880" t="s">
        <v>42</v>
      </c>
      <c r="G880" t="s">
        <v>80</v>
      </c>
      <c r="H880">
        <v>1</v>
      </c>
      <c r="I880">
        <v>265.89</v>
      </c>
      <c r="J880">
        <v>265.89</v>
      </c>
      <c r="K880" t="s">
        <v>1982</v>
      </c>
      <c r="L880" t="s">
        <v>36</v>
      </c>
    </row>
    <row r="881" spans="1:12" x14ac:dyDescent="0.35">
      <c r="A881" t="s">
        <v>1983</v>
      </c>
      <c r="B881" t="s">
        <v>838</v>
      </c>
      <c r="C881" t="s">
        <v>839</v>
      </c>
      <c r="D881" t="s">
        <v>32</v>
      </c>
      <c r="E881" t="s">
        <v>61</v>
      </c>
      <c r="F881" t="s">
        <v>101</v>
      </c>
      <c r="G881" t="s">
        <v>102</v>
      </c>
      <c r="H881">
        <v>4</v>
      </c>
      <c r="I881">
        <v>517.72</v>
      </c>
      <c r="J881">
        <v>2070.88</v>
      </c>
      <c r="K881" t="s">
        <v>1984</v>
      </c>
      <c r="L881" t="s">
        <v>28</v>
      </c>
    </row>
    <row r="882" spans="1:12" x14ac:dyDescent="0.35">
      <c r="A882" t="s">
        <v>1985</v>
      </c>
      <c r="B882" t="s">
        <v>969</v>
      </c>
      <c r="C882" t="s">
        <v>970</v>
      </c>
      <c r="D882" t="s">
        <v>23</v>
      </c>
      <c r="E882" t="s">
        <v>24</v>
      </c>
      <c r="F882" t="s">
        <v>50</v>
      </c>
      <c r="G882" t="s">
        <v>56</v>
      </c>
      <c r="H882">
        <v>4</v>
      </c>
      <c r="I882">
        <v>1138.69</v>
      </c>
      <c r="J882">
        <v>4554.76</v>
      </c>
      <c r="K882" t="s">
        <v>1567</v>
      </c>
      <c r="L882" t="s">
        <v>36</v>
      </c>
    </row>
    <row r="883" spans="1:12" x14ac:dyDescent="0.35">
      <c r="A883" t="s">
        <v>1986</v>
      </c>
      <c r="B883" t="s">
        <v>864</v>
      </c>
      <c r="C883" t="s">
        <v>865</v>
      </c>
      <c r="D883" t="s">
        <v>14</v>
      </c>
      <c r="E883" t="s">
        <v>100</v>
      </c>
      <c r="F883" t="s">
        <v>101</v>
      </c>
      <c r="G883" t="s">
        <v>102</v>
      </c>
      <c r="H883">
        <v>5</v>
      </c>
      <c r="I883">
        <v>208.37</v>
      </c>
      <c r="J883">
        <v>1041.8499999999999</v>
      </c>
      <c r="K883" t="s">
        <v>1987</v>
      </c>
      <c r="L883" t="s">
        <v>28</v>
      </c>
    </row>
    <row r="884" spans="1:12" x14ac:dyDescent="0.35">
      <c r="A884" t="s">
        <v>1988</v>
      </c>
      <c r="B884" t="s">
        <v>380</v>
      </c>
      <c r="C884" t="s">
        <v>381</v>
      </c>
      <c r="D884" t="s">
        <v>14</v>
      </c>
      <c r="E884" t="s">
        <v>100</v>
      </c>
      <c r="F884" t="s">
        <v>16</v>
      </c>
      <c r="G884" t="s">
        <v>182</v>
      </c>
      <c r="H884">
        <v>5</v>
      </c>
      <c r="I884">
        <v>795.14</v>
      </c>
      <c r="J884">
        <v>3975.7</v>
      </c>
      <c r="K884" t="s">
        <v>880</v>
      </c>
      <c r="L884" t="s">
        <v>91</v>
      </c>
    </row>
    <row r="885" spans="1:12" x14ac:dyDescent="0.35">
      <c r="A885" t="s">
        <v>1989</v>
      </c>
      <c r="B885" t="s">
        <v>1749</v>
      </c>
      <c r="C885" t="s">
        <v>1750</v>
      </c>
      <c r="D885" t="s">
        <v>40</v>
      </c>
      <c r="E885" t="s">
        <v>41</v>
      </c>
      <c r="F885" t="s">
        <v>101</v>
      </c>
      <c r="G885" t="s">
        <v>165</v>
      </c>
      <c r="H885">
        <v>5</v>
      </c>
      <c r="I885">
        <v>1366.47</v>
      </c>
      <c r="J885">
        <v>6832.35</v>
      </c>
      <c r="K885" t="s">
        <v>187</v>
      </c>
      <c r="L885" t="s">
        <v>91</v>
      </c>
    </row>
    <row r="886" spans="1:12" x14ac:dyDescent="0.35">
      <c r="A886" t="s">
        <v>1990</v>
      </c>
      <c r="B886" t="s">
        <v>429</v>
      </c>
      <c r="C886" t="s">
        <v>430</v>
      </c>
      <c r="D886" t="s">
        <v>14</v>
      </c>
      <c r="E886" t="s">
        <v>15</v>
      </c>
      <c r="F886" t="s">
        <v>16</v>
      </c>
      <c r="G886" t="s">
        <v>148</v>
      </c>
      <c r="H886">
        <v>4</v>
      </c>
      <c r="I886">
        <v>291.68</v>
      </c>
      <c r="J886">
        <v>1166.72</v>
      </c>
      <c r="K886" t="s">
        <v>1649</v>
      </c>
      <c r="L886" t="s">
        <v>19</v>
      </c>
    </row>
    <row r="887" spans="1:12" x14ac:dyDescent="0.35">
      <c r="A887" t="s">
        <v>1991</v>
      </c>
      <c r="B887" t="s">
        <v>264</v>
      </c>
      <c r="C887" t="s">
        <v>265</v>
      </c>
      <c r="D887" t="s">
        <v>67</v>
      </c>
      <c r="E887" t="s">
        <v>130</v>
      </c>
      <c r="F887" t="s">
        <v>16</v>
      </c>
      <c r="G887" t="s">
        <v>230</v>
      </c>
      <c r="H887">
        <v>5</v>
      </c>
      <c r="I887">
        <v>987.25</v>
      </c>
      <c r="J887">
        <v>4936.25</v>
      </c>
      <c r="K887" t="s">
        <v>1992</v>
      </c>
      <c r="L887" t="s">
        <v>19</v>
      </c>
    </row>
    <row r="888" spans="1:12" x14ac:dyDescent="0.35">
      <c r="A888" t="s">
        <v>1993</v>
      </c>
      <c r="B888" t="s">
        <v>1149</v>
      </c>
      <c r="C888" t="s">
        <v>1150</v>
      </c>
      <c r="D888" t="s">
        <v>67</v>
      </c>
      <c r="E888" t="s">
        <v>115</v>
      </c>
      <c r="F888" t="s">
        <v>101</v>
      </c>
      <c r="G888" t="s">
        <v>373</v>
      </c>
      <c r="H888">
        <v>3</v>
      </c>
      <c r="I888">
        <v>1273.0999999999999</v>
      </c>
      <c r="J888">
        <v>3819.3</v>
      </c>
      <c r="K888" t="s">
        <v>1886</v>
      </c>
      <c r="L888" t="s">
        <v>45</v>
      </c>
    </row>
    <row r="889" spans="1:12" x14ac:dyDescent="0.35">
      <c r="A889" t="s">
        <v>1994</v>
      </c>
      <c r="B889" t="s">
        <v>574</v>
      </c>
      <c r="C889" t="s">
        <v>575</v>
      </c>
      <c r="D889" t="s">
        <v>67</v>
      </c>
      <c r="E889" t="s">
        <v>130</v>
      </c>
      <c r="F889" t="s">
        <v>16</v>
      </c>
      <c r="G889" t="s">
        <v>148</v>
      </c>
      <c r="H889">
        <v>2</v>
      </c>
      <c r="I889">
        <v>676.19</v>
      </c>
      <c r="J889">
        <v>1352.38</v>
      </c>
      <c r="K889" t="s">
        <v>1995</v>
      </c>
      <c r="L889" t="s">
        <v>91</v>
      </c>
    </row>
    <row r="890" spans="1:12" x14ac:dyDescent="0.35">
      <c r="A890" t="s">
        <v>1996</v>
      </c>
      <c r="B890" t="s">
        <v>443</v>
      </c>
      <c r="C890" t="s">
        <v>444</v>
      </c>
      <c r="D890" t="s">
        <v>23</v>
      </c>
      <c r="E890" t="s">
        <v>338</v>
      </c>
      <c r="F890" t="s">
        <v>25</v>
      </c>
      <c r="G890" t="s">
        <v>62</v>
      </c>
      <c r="H890">
        <v>2</v>
      </c>
      <c r="I890">
        <v>243.19</v>
      </c>
      <c r="J890">
        <v>486.38</v>
      </c>
      <c r="K890" t="s">
        <v>1963</v>
      </c>
      <c r="L890" t="s">
        <v>36</v>
      </c>
    </row>
    <row r="891" spans="1:12" x14ac:dyDescent="0.35">
      <c r="A891" t="s">
        <v>1997</v>
      </c>
      <c r="B891" t="s">
        <v>173</v>
      </c>
      <c r="C891" t="s">
        <v>174</v>
      </c>
      <c r="D891" t="s">
        <v>40</v>
      </c>
      <c r="E891" t="s">
        <v>79</v>
      </c>
      <c r="F891" t="s">
        <v>50</v>
      </c>
      <c r="G891" t="s">
        <v>170</v>
      </c>
      <c r="H891">
        <v>2</v>
      </c>
      <c r="I891">
        <v>927.47</v>
      </c>
      <c r="J891">
        <v>1854.94</v>
      </c>
      <c r="K891" t="s">
        <v>858</v>
      </c>
      <c r="L891" t="s">
        <v>36</v>
      </c>
    </row>
    <row r="892" spans="1:12" x14ac:dyDescent="0.35">
      <c r="A892" t="s">
        <v>1998</v>
      </c>
      <c r="B892" t="s">
        <v>558</v>
      </c>
      <c r="C892" t="s">
        <v>559</v>
      </c>
      <c r="D892" t="s">
        <v>23</v>
      </c>
      <c r="E892" t="s">
        <v>49</v>
      </c>
      <c r="F892" t="s">
        <v>42</v>
      </c>
      <c r="G892" t="s">
        <v>89</v>
      </c>
      <c r="H892">
        <v>1</v>
      </c>
      <c r="I892">
        <v>350.79</v>
      </c>
      <c r="J892">
        <v>350.79</v>
      </c>
      <c r="K892" t="s">
        <v>1553</v>
      </c>
      <c r="L892" t="s">
        <v>19</v>
      </c>
    </row>
    <row r="893" spans="1:12" x14ac:dyDescent="0.35">
      <c r="A893" t="s">
        <v>1999</v>
      </c>
      <c r="B893" t="s">
        <v>1594</v>
      </c>
      <c r="C893" t="s">
        <v>1595</v>
      </c>
      <c r="D893" t="s">
        <v>23</v>
      </c>
      <c r="E893" t="s">
        <v>49</v>
      </c>
      <c r="F893" t="s">
        <v>42</v>
      </c>
      <c r="G893" t="s">
        <v>80</v>
      </c>
      <c r="H893">
        <v>5</v>
      </c>
      <c r="I893">
        <v>1190.05</v>
      </c>
      <c r="J893">
        <v>5950.25</v>
      </c>
      <c r="K893" t="s">
        <v>2000</v>
      </c>
      <c r="L893" t="s">
        <v>36</v>
      </c>
    </row>
    <row r="894" spans="1:12" x14ac:dyDescent="0.35">
      <c r="A894" t="s">
        <v>2001</v>
      </c>
      <c r="B894" t="s">
        <v>2002</v>
      </c>
      <c r="C894" t="s">
        <v>2003</v>
      </c>
      <c r="D894" t="s">
        <v>23</v>
      </c>
      <c r="E894" t="s">
        <v>338</v>
      </c>
      <c r="F894" t="s">
        <v>42</v>
      </c>
      <c r="G894" t="s">
        <v>80</v>
      </c>
      <c r="H894">
        <v>5</v>
      </c>
      <c r="I894">
        <v>886.87</v>
      </c>
      <c r="J894">
        <v>4434.3500000000004</v>
      </c>
      <c r="K894" t="s">
        <v>1912</v>
      </c>
      <c r="L894" t="s">
        <v>19</v>
      </c>
    </row>
    <row r="895" spans="1:12" x14ac:dyDescent="0.35">
      <c r="A895" t="s">
        <v>2004</v>
      </c>
      <c r="B895" t="s">
        <v>429</v>
      </c>
      <c r="C895" t="s">
        <v>430</v>
      </c>
      <c r="D895" t="s">
        <v>40</v>
      </c>
      <c r="E895" t="s">
        <v>120</v>
      </c>
      <c r="F895" t="s">
        <v>16</v>
      </c>
      <c r="G895" t="s">
        <v>230</v>
      </c>
      <c r="H895">
        <v>2</v>
      </c>
      <c r="I895">
        <v>1361.24</v>
      </c>
      <c r="J895">
        <v>2722.48</v>
      </c>
      <c r="K895" t="s">
        <v>1567</v>
      </c>
      <c r="L895" t="s">
        <v>19</v>
      </c>
    </row>
    <row r="896" spans="1:12" x14ac:dyDescent="0.35">
      <c r="A896" t="s">
        <v>2005</v>
      </c>
      <c r="B896" t="s">
        <v>759</v>
      </c>
      <c r="C896" t="s">
        <v>760</v>
      </c>
      <c r="D896" t="s">
        <v>32</v>
      </c>
      <c r="E896" t="s">
        <v>61</v>
      </c>
      <c r="F896" t="s">
        <v>16</v>
      </c>
      <c r="G896" t="s">
        <v>177</v>
      </c>
      <c r="H896">
        <v>3</v>
      </c>
      <c r="I896">
        <v>84.3</v>
      </c>
      <c r="J896">
        <v>252.9</v>
      </c>
      <c r="K896" t="s">
        <v>1631</v>
      </c>
      <c r="L896" t="s">
        <v>45</v>
      </c>
    </row>
    <row r="897" spans="1:12" x14ac:dyDescent="0.35">
      <c r="A897" t="s">
        <v>2006</v>
      </c>
      <c r="B897" t="s">
        <v>426</v>
      </c>
      <c r="C897" t="s">
        <v>427</v>
      </c>
      <c r="D897" t="s">
        <v>32</v>
      </c>
      <c r="E897" t="s">
        <v>203</v>
      </c>
      <c r="F897" t="s">
        <v>42</v>
      </c>
      <c r="G897" t="s">
        <v>89</v>
      </c>
      <c r="H897">
        <v>4</v>
      </c>
      <c r="I897">
        <v>1424.04</v>
      </c>
      <c r="J897">
        <v>5696.16</v>
      </c>
      <c r="K897" t="s">
        <v>1839</v>
      </c>
      <c r="L897" t="s">
        <v>36</v>
      </c>
    </row>
    <row r="898" spans="1:12" x14ac:dyDescent="0.35">
      <c r="A898" t="s">
        <v>2007</v>
      </c>
      <c r="B898" t="s">
        <v>960</v>
      </c>
      <c r="C898" t="s">
        <v>961</v>
      </c>
      <c r="D898" t="s">
        <v>40</v>
      </c>
      <c r="E898" t="s">
        <v>120</v>
      </c>
      <c r="F898" t="s">
        <v>42</v>
      </c>
      <c r="G898" t="s">
        <v>170</v>
      </c>
      <c r="H898">
        <v>4</v>
      </c>
      <c r="I898">
        <v>1306.92</v>
      </c>
      <c r="J898">
        <v>5227.68</v>
      </c>
      <c r="K898" t="s">
        <v>876</v>
      </c>
      <c r="L898" t="s">
        <v>36</v>
      </c>
    </row>
    <row r="899" spans="1:12" x14ac:dyDescent="0.35">
      <c r="A899" t="s">
        <v>2008</v>
      </c>
      <c r="B899" t="s">
        <v>791</v>
      </c>
      <c r="C899" t="s">
        <v>792</v>
      </c>
      <c r="D899" t="s">
        <v>40</v>
      </c>
      <c r="E899" t="s">
        <v>120</v>
      </c>
      <c r="F899" t="s">
        <v>16</v>
      </c>
      <c r="G899" t="s">
        <v>148</v>
      </c>
      <c r="H899">
        <v>3</v>
      </c>
      <c r="I899">
        <v>898.55</v>
      </c>
      <c r="J899">
        <v>2695.65</v>
      </c>
      <c r="K899" t="s">
        <v>958</v>
      </c>
      <c r="L899" t="s">
        <v>36</v>
      </c>
    </row>
    <row r="900" spans="1:12" x14ac:dyDescent="0.35">
      <c r="A900" t="s">
        <v>2009</v>
      </c>
      <c r="B900" t="s">
        <v>820</v>
      </c>
      <c r="C900" t="s">
        <v>821</v>
      </c>
      <c r="D900" t="s">
        <v>23</v>
      </c>
      <c r="E900" t="s">
        <v>24</v>
      </c>
      <c r="F900" t="s">
        <v>16</v>
      </c>
      <c r="G900" t="s">
        <v>230</v>
      </c>
      <c r="H900">
        <v>5</v>
      </c>
      <c r="I900">
        <v>712.37</v>
      </c>
      <c r="J900">
        <v>3561.85</v>
      </c>
      <c r="K900" t="s">
        <v>510</v>
      </c>
      <c r="L900" t="s">
        <v>36</v>
      </c>
    </row>
    <row r="901" spans="1:12" x14ac:dyDescent="0.35">
      <c r="A901" t="s">
        <v>2010</v>
      </c>
      <c r="B901" t="s">
        <v>492</v>
      </c>
      <c r="C901" t="s">
        <v>493</v>
      </c>
      <c r="D901" t="s">
        <v>67</v>
      </c>
      <c r="E901" t="s">
        <v>68</v>
      </c>
      <c r="F901" t="s">
        <v>50</v>
      </c>
      <c r="G901" t="s">
        <v>69</v>
      </c>
      <c r="H901">
        <v>4</v>
      </c>
      <c r="I901">
        <v>227.41</v>
      </c>
      <c r="J901">
        <v>909.64</v>
      </c>
      <c r="K901" t="s">
        <v>2011</v>
      </c>
      <c r="L901" t="s">
        <v>36</v>
      </c>
    </row>
    <row r="902" spans="1:12" x14ac:dyDescent="0.35">
      <c r="A902" t="s">
        <v>2012</v>
      </c>
      <c r="B902" t="s">
        <v>464</v>
      </c>
      <c r="C902" t="s">
        <v>465</v>
      </c>
      <c r="D902" t="s">
        <v>23</v>
      </c>
      <c r="E902" t="s">
        <v>49</v>
      </c>
      <c r="F902" t="s">
        <v>42</v>
      </c>
      <c r="G902" t="s">
        <v>170</v>
      </c>
      <c r="H902">
        <v>2</v>
      </c>
      <c r="I902">
        <v>927.28</v>
      </c>
      <c r="J902">
        <v>1854.56</v>
      </c>
      <c r="K902" t="s">
        <v>1665</v>
      </c>
      <c r="L902" t="s">
        <v>19</v>
      </c>
    </row>
    <row r="903" spans="1:12" x14ac:dyDescent="0.35">
      <c r="A903" t="s">
        <v>2013</v>
      </c>
      <c r="B903" t="s">
        <v>1707</v>
      </c>
      <c r="C903" t="s">
        <v>1708</v>
      </c>
      <c r="D903" t="s">
        <v>23</v>
      </c>
      <c r="E903" t="s">
        <v>338</v>
      </c>
      <c r="F903" t="s">
        <v>50</v>
      </c>
      <c r="G903" t="s">
        <v>216</v>
      </c>
      <c r="H903">
        <v>5</v>
      </c>
      <c r="I903">
        <v>128.04</v>
      </c>
      <c r="J903">
        <v>640.20000000000005</v>
      </c>
      <c r="K903" t="s">
        <v>2014</v>
      </c>
      <c r="L903" t="s">
        <v>28</v>
      </c>
    </row>
    <row r="904" spans="1:12" x14ac:dyDescent="0.35">
      <c r="A904" t="s">
        <v>2015</v>
      </c>
      <c r="B904" t="s">
        <v>311</v>
      </c>
      <c r="C904" t="s">
        <v>312</v>
      </c>
      <c r="D904" t="s">
        <v>32</v>
      </c>
      <c r="E904" t="s">
        <v>203</v>
      </c>
      <c r="F904" t="s">
        <v>16</v>
      </c>
      <c r="G904" t="s">
        <v>177</v>
      </c>
      <c r="H904">
        <v>2</v>
      </c>
      <c r="I904">
        <v>1169.8900000000001</v>
      </c>
      <c r="J904">
        <v>2339.7800000000002</v>
      </c>
      <c r="K904" t="s">
        <v>1984</v>
      </c>
      <c r="L904" t="s">
        <v>19</v>
      </c>
    </row>
    <row r="905" spans="1:12" x14ac:dyDescent="0.35">
      <c r="A905" t="s">
        <v>2016</v>
      </c>
      <c r="B905" t="s">
        <v>797</v>
      </c>
      <c r="C905" t="s">
        <v>798</v>
      </c>
      <c r="D905" t="s">
        <v>32</v>
      </c>
      <c r="E905" t="s">
        <v>203</v>
      </c>
      <c r="F905" t="s">
        <v>25</v>
      </c>
      <c r="G905" t="s">
        <v>34</v>
      </c>
      <c r="H905">
        <v>2</v>
      </c>
      <c r="I905">
        <v>1225.49</v>
      </c>
      <c r="J905">
        <v>2450.98</v>
      </c>
      <c r="K905" t="s">
        <v>1188</v>
      </c>
      <c r="L905" t="s">
        <v>91</v>
      </c>
    </row>
    <row r="906" spans="1:12" x14ac:dyDescent="0.35">
      <c r="A906" t="s">
        <v>2017</v>
      </c>
      <c r="B906" t="s">
        <v>727</v>
      </c>
      <c r="C906" t="s">
        <v>728</v>
      </c>
      <c r="D906" t="s">
        <v>40</v>
      </c>
      <c r="E906" t="s">
        <v>79</v>
      </c>
      <c r="F906" t="s">
        <v>25</v>
      </c>
      <c r="G906" t="s">
        <v>26</v>
      </c>
      <c r="H906">
        <v>2</v>
      </c>
      <c r="I906">
        <v>887.6</v>
      </c>
      <c r="J906">
        <v>1775.2</v>
      </c>
      <c r="K906" t="s">
        <v>1332</v>
      </c>
      <c r="L906" t="s">
        <v>28</v>
      </c>
    </row>
    <row r="907" spans="1:12" x14ac:dyDescent="0.35">
      <c r="A907" t="s">
        <v>2018</v>
      </c>
      <c r="B907" t="s">
        <v>1285</v>
      </c>
      <c r="C907" t="s">
        <v>1286</v>
      </c>
      <c r="D907" t="s">
        <v>67</v>
      </c>
      <c r="E907" t="s">
        <v>68</v>
      </c>
      <c r="F907" t="s">
        <v>25</v>
      </c>
      <c r="G907" t="s">
        <v>139</v>
      </c>
      <c r="H907">
        <v>1</v>
      </c>
      <c r="I907">
        <v>910.55</v>
      </c>
      <c r="J907">
        <v>910.55</v>
      </c>
      <c r="K907" t="s">
        <v>830</v>
      </c>
      <c r="L907" t="s">
        <v>45</v>
      </c>
    </row>
    <row r="908" spans="1:12" x14ac:dyDescent="0.35">
      <c r="A908" t="s">
        <v>2019</v>
      </c>
      <c r="B908" t="s">
        <v>910</v>
      </c>
      <c r="C908" t="s">
        <v>911</v>
      </c>
      <c r="D908" t="s">
        <v>14</v>
      </c>
      <c r="E908" t="s">
        <v>100</v>
      </c>
      <c r="F908" t="s">
        <v>16</v>
      </c>
      <c r="G908" t="s">
        <v>177</v>
      </c>
      <c r="H908">
        <v>4</v>
      </c>
      <c r="I908">
        <v>725</v>
      </c>
      <c r="J908">
        <v>2900</v>
      </c>
      <c r="K908" t="s">
        <v>874</v>
      </c>
      <c r="L908" t="s">
        <v>45</v>
      </c>
    </row>
    <row r="909" spans="1:12" x14ac:dyDescent="0.35">
      <c r="A909" t="s">
        <v>2020</v>
      </c>
      <c r="B909" t="s">
        <v>801</v>
      </c>
      <c r="C909" t="s">
        <v>802</v>
      </c>
      <c r="D909" t="s">
        <v>67</v>
      </c>
      <c r="E909" t="s">
        <v>130</v>
      </c>
      <c r="F909" t="s">
        <v>16</v>
      </c>
      <c r="G909" t="s">
        <v>182</v>
      </c>
      <c r="H909">
        <v>4</v>
      </c>
      <c r="I909">
        <v>50.43</v>
      </c>
      <c r="J909">
        <v>201.72</v>
      </c>
      <c r="K909" t="s">
        <v>178</v>
      </c>
      <c r="L909" t="s">
        <v>91</v>
      </c>
    </row>
    <row r="910" spans="1:12" x14ac:dyDescent="0.35">
      <c r="A910" t="s">
        <v>2021</v>
      </c>
      <c r="B910" t="s">
        <v>291</v>
      </c>
      <c r="C910" t="s">
        <v>292</v>
      </c>
      <c r="D910" t="s">
        <v>40</v>
      </c>
      <c r="E910" t="s">
        <v>79</v>
      </c>
      <c r="F910" t="s">
        <v>42</v>
      </c>
      <c r="G910" t="s">
        <v>80</v>
      </c>
      <c r="H910">
        <v>2</v>
      </c>
      <c r="I910">
        <v>305.14</v>
      </c>
      <c r="J910">
        <v>610.28</v>
      </c>
      <c r="K910" t="s">
        <v>343</v>
      </c>
      <c r="L910" t="s">
        <v>28</v>
      </c>
    </row>
    <row r="911" spans="1:12" x14ac:dyDescent="0.35">
      <c r="A911" t="s">
        <v>2022</v>
      </c>
      <c r="B911" t="s">
        <v>639</v>
      </c>
      <c r="C911" t="s">
        <v>640</v>
      </c>
      <c r="D911" t="s">
        <v>67</v>
      </c>
      <c r="E911" t="s">
        <v>68</v>
      </c>
      <c r="F911" t="s">
        <v>50</v>
      </c>
      <c r="G911" t="s">
        <v>56</v>
      </c>
      <c r="H911">
        <v>5</v>
      </c>
      <c r="I911">
        <v>1176.52</v>
      </c>
      <c r="J911">
        <v>5882.6</v>
      </c>
      <c r="K911" t="s">
        <v>2023</v>
      </c>
      <c r="L911" t="s">
        <v>45</v>
      </c>
    </row>
    <row r="912" spans="1:12" x14ac:dyDescent="0.35">
      <c r="A912" t="s">
        <v>2024</v>
      </c>
      <c r="B912" t="s">
        <v>1856</v>
      </c>
      <c r="C912" t="s">
        <v>1857</v>
      </c>
      <c r="D912" t="s">
        <v>14</v>
      </c>
      <c r="E912" t="s">
        <v>95</v>
      </c>
      <c r="F912" t="s">
        <v>25</v>
      </c>
      <c r="G912" t="s">
        <v>74</v>
      </c>
      <c r="H912">
        <v>4</v>
      </c>
      <c r="I912">
        <v>935.54</v>
      </c>
      <c r="J912">
        <v>3742.16</v>
      </c>
      <c r="K912" t="s">
        <v>1984</v>
      </c>
      <c r="L912" t="s">
        <v>45</v>
      </c>
    </row>
    <row r="913" spans="1:12" x14ac:dyDescent="0.35">
      <c r="A913" t="s">
        <v>2025</v>
      </c>
      <c r="B913" t="s">
        <v>21</v>
      </c>
      <c r="C913" t="s">
        <v>22</v>
      </c>
      <c r="D913" t="s">
        <v>32</v>
      </c>
      <c r="E913" t="s">
        <v>33</v>
      </c>
      <c r="F913" t="s">
        <v>16</v>
      </c>
      <c r="G913" t="s">
        <v>17</v>
      </c>
      <c r="H913">
        <v>1</v>
      </c>
      <c r="I913">
        <v>273.27999999999997</v>
      </c>
      <c r="J913">
        <v>273.27999999999997</v>
      </c>
      <c r="K913" t="s">
        <v>793</v>
      </c>
      <c r="L913" t="s">
        <v>91</v>
      </c>
    </row>
    <row r="914" spans="1:12" x14ac:dyDescent="0.35">
      <c r="A914" t="s">
        <v>2026</v>
      </c>
      <c r="B914" t="s">
        <v>333</v>
      </c>
      <c r="C914" t="s">
        <v>334</v>
      </c>
      <c r="D914" t="s">
        <v>40</v>
      </c>
      <c r="E914" t="s">
        <v>120</v>
      </c>
      <c r="F914" t="s">
        <v>42</v>
      </c>
      <c r="G914" t="s">
        <v>89</v>
      </c>
      <c r="H914">
        <v>5</v>
      </c>
      <c r="I914">
        <v>256.07</v>
      </c>
      <c r="J914">
        <v>1280.3499999999999</v>
      </c>
      <c r="K914" t="s">
        <v>2027</v>
      </c>
      <c r="L914" t="s">
        <v>19</v>
      </c>
    </row>
    <row r="915" spans="1:12" x14ac:dyDescent="0.35">
      <c r="A915" t="s">
        <v>2028</v>
      </c>
      <c r="B915" t="s">
        <v>514</v>
      </c>
      <c r="C915" t="s">
        <v>515</v>
      </c>
      <c r="D915" t="s">
        <v>23</v>
      </c>
      <c r="E915" t="s">
        <v>24</v>
      </c>
      <c r="F915" t="s">
        <v>42</v>
      </c>
      <c r="G915" t="s">
        <v>170</v>
      </c>
      <c r="H915">
        <v>5</v>
      </c>
      <c r="I915">
        <v>568.32000000000005</v>
      </c>
      <c r="J915">
        <v>2841.6</v>
      </c>
      <c r="K915" t="s">
        <v>773</v>
      </c>
      <c r="L915" t="s">
        <v>91</v>
      </c>
    </row>
    <row r="916" spans="1:12" x14ac:dyDescent="0.35">
      <c r="A916" t="s">
        <v>2029</v>
      </c>
      <c r="B916" t="s">
        <v>219</v>
      </c>
      <c r="C916" t="s">
        <v>220</v>
      </c>
      <c r="D916" t="s">
        <v>23</v>
      </c>
      <c r="E916" t="s">
        <v>338</v>
      </c>
      <c r="F916" t="s">
        <v>101</v>
      </c>
      <c r="G916" t="s">
        <v>165</v>
      </c>
      <c r="H916">
        <v>3</v>
      </c>
      <c r="I916">
        <v>1401.05</v>
      </c>
      <c r="J916">
        <v>4203.1499999999996</v>
      </c>
      <c r="K916" t="s">
        <v>2030</v>
      </c>
      <c r="L916" t="s">
        <v>45</v>
      </c>
    </row>
    <row r="917" spans="1:12" x14ac:dyDescent="0.35">
      <c r="A917" t="s">
        <v>2031</v>
      </c>
      <c r="B917" t="s">
        <v>12</v>
      </c>
      <c r="C917" t="s">
        <v>13</v>
      </c>
      <c r="D917" t="s">
        <v>23</v>
      </c>
      <c r="E917" t="s">
        <v>24</v>
      </c>
      <c r="F917" t="s">
        <v>16</v>
      </c>
      <c r="G917" t="s">
        <v>182</v>
      </c>
      <c r="H917">
        <v>1</v>
      </c>
      <c r="I917">
        <v>324.58</v>
      </c>
      <c r="J917">
        <v>324.58</v>
      </c>
      <c r="K917" t="s">
        <v>1494</v>
      </c>
      <c r="L917" t="s">
        <v>45</v>
      </c>
    </row>
    <row r="918" spans="1:12" x14ac:dyDescent="0.35">
      <c r="A918" t="s">
        <v>2032</v>
      </c>
      <c r="B918" t="s">
        <v>470</v>
      </c>
      <c r="C918" t="s">
        <v>471</v>
      </c>
      <c r="D918" t="s">
        <v>67</v>
      </c>
      <c r="E918" t="s">
        <v>130</v>
      </c>
      <c r="F918" t="s">
        <v>25</v>
      </c>
      <c r="G918" t="s">
        <v>34</v>
      </c>
      <c r="H918">
        <v>5</v>
      </c>
      <c r="I918">
        <v>538.35</v>
      </c>
      <c r="J918">
        <v>2691.75</v>
      </c>
      <c r="K918" t="s">
        <v>874</v>
      </c>
      <c r="L918" t="s">
        <v>91</v>
      </c>
    </row>
    <row r="919" spans="1:12" x14ac:dyDescent="0.35">
      <c r="A919" t="s">
        <v>2033</v>
      </c>
      <c r="B919" t="s">
        <v>703</v>
      </c>
      <c r="C919" t="s">
        <v>704</v>
      </c>
      <c r="D919" t="s">
        <v>40</v>
      </c>
      <c r="E919" t="s">
        <v>41</v>
      </c>
      <c r="F919" t="s">
        <v>101</v>
      </c>
      <c r="G919" t="s">
        <v>102</v>
      </c>
      <c r="H919">
        <v>4</v>
      </c>
      <c r="I919">
        <v>98.53</v>
      </c>
      <c r="J919">
        <v>394.12</v>
      </c>
      <c r="K919" t="s">
        <v>1485</v>
      </c>
      <c r="L919" t="s">
        <v>91</v>
      </c>
    </row>
    <row r="920" spans="1:12" x14ac:dyDescent="0.35">
      <c r="A920" t="s">
        <v>2034</v>
      </c>
      <c r="B920" t="s">
        <v>1428</v>
      </c>
      <c r="C920" t="s">
        <v>1429</v>
      </c>
      <c r="D920" t="s">
        <v>40</v>
      </c>
      <c r="E920" t="s">
        <v>41</v>
      </c>
      <c r="F920" t="s">
        <v>42</v>
      </c>
      <c r="G920" t="s">
        <v>170</v>
      </c>
      <c r="H920">
        <v>4</v>
      </c>
      <c r="I920">
        <v>738.75</v>
      </c>
      <c r="J920">
        <v>2955</v>
      </c>
      <c r="K920" t="s">
        <v>2035</v>
      </c>
      <c r="L920" t="s">
        <v>45</v>
      </c>
    </row>
    <row r="921" spans="1:12" x14ac:dyDescent="0.35">
      <c r="A921" t="s">
        <v>2036</v>
      </c>
      <c r="B921" t="s">
        <v>223</v>
      </c>
      <c r="C921" t="s">
        <v>224</v>
      </c>
      <c r="D921" t="s">
        <v>23</v>
      </c>
      <c r="E921" t="s">
        <v>49</v>
      </c>
      <c r="F921" t="s">
        <v>16</v>
      </c>
      <c r="G921" t="s">
        <v>182</v>
      </c>
      <c r="H921">
        <v>1</v>
      </c>
      <c r="I921">
        <v>633.5</v>
      </c>
      <c r="J921">
        <v>633.5</v>
      </c>
      <c r="K921" t="s">
        <v>2037</v>
      </c>
      <c r="L921" t="s">
        <v>45</v>
      </c>
    </row>
    <row r="922" spans="1:12" x14ac:dyDescent="0.35">
      <c r="A922" t="s">
        <v>2038</v>
      </c>
      <c r="B922" t="s">
        <v>1940</v>
      </c>
      <c r="C922" t="s">
        <v>1941</v>
      </c>
      <c r="D922" t="s">
        <v>40</v>
      </c>
      <c r="E922" t="s">
        <v>79</v>
      </c>
      <c r="F922" t="s">
        <v>50</v>
      </c>
      <c r="G922" t="s">
        <v>69</v>
      </c>
      <c r="H922">
        <v>1</v>
      </c>
      <c r="I922">
        <v>482.68</v>
      </c>
      <c r="J922">
        <v>482.68</v>
      </c>
      <c r="K922" t="s">
        <v>479</v>
      </c>
      <c r="L922" t="s">
        <v>19</v>
      </c>
    </row>
    <row r="923" spans="1:12" x14ac:dyDescent="0.35">
      <c r="A923" t="s">
        <v>2039</v>
      </c>
      <c r="B923" t="s">
        <v>1464</v>
      </c>
      <c r="C923" t="s">
        <v>1465</v>
      </c>
      <c r="D923" t="s">
        <v>14</v>
      </c>
      <c r="E923" t="s">
        <v>100</v>
      </c>
      <c r="F923" t="s">
        <v>50</v>
      </c>
      <c r="G923" t="s">
        <v>170</v>
      </c>
      <c r="H923">
        <v>3</v>
      </c>
      <c r="I923">
        <v>912.12</v>
      </c>
      <c r="J923">
        <v>2736.36</v>
      </c>
      <c r="K923" t="s">
        <v>1161</v>
      </c>
      <c r="L923" t="s">
        <v>91</v>
      </c>
    </row>
    <row r="924" spans="1:12" x14ac:dyDescent="0.35">
      <c r="A924" t="s">
        <v>2040</v>
      </c>
      <c r="B924" t="s">
        <v>1176</v>
      </c>
      <c r="C924" t="s">
        <v>1177</v>
      </c>
      <c r="D924" t="s">
        <v>40</v>
      </c>
      <c r="E924" t="s">
        <v>79</v>
      </c>
      <c r="F924" t="s">
        <v>42</v>
      </c>
      <c r="G924" t="s">
        <v>225</v>
      </c>
      <c r="H924">
        <v>3</v>
      </c>
      <c r="I924">
        <v>844.67</v>
      </c>
      <c r="J924">
        <v>2534.0100000000002</v>
      </c>
      <c r="K924" t="s">
        <v>1779</v>
      </c>
      <c r="L924" t="s">
        <v>45</v>
      </c>
    </row>
    <row r="925" spans="1:12" x14ac:dyDescent="0.35">
      <c r="A925" t="s">
        <v>2041</v>
      </c>
      <c r="B925" t="s">
        <v>291</v>
      </c>
      <c r="C925" t="s">
        <v>292</v>
      </c>
      <c r="D925" t="s">
        <v>67</v>
      </c>
      <c r="E925" t="s">
        <v>115</v>
      </c>
      <c r="F925" t="s">
        <v>50</v>
      </c>
      <c r="G925" t="s">
        <v>51</v>
      </c>
      <c r="H925">
        <v>4</v>
      </c>
      <c r="I925">
        <v>32.630000000000003</v>
      </c>
      <c r="J925">
        <v>130.52000000000001</v>
      </c>
      <c r="K925" t="s">
        <v>2042</v>
      </c>
      <c r="L925" t="s">
        <v>36</v>
      </c>
    </row>
    <row r="926" spans="1:12" x14ac:dyDescent="0.35">
      <c r="A926" t="s">
        <v>2043</v>
      </c>
      <c r="B926" t="s">
        <v>348</v>
      </c>
      <c r="C926" t="s">
        <v>349</v>
      </c>
      <c r="D926" t="s">
        <v>32</v>
      </c>
      <c r="E926" t="s">
        <v>33</v>
      </c>
      <c r="F926" t="s">
        <v>101</v>
      </c>
      <c r="G926" t="s">
        <v>649</v>
      </c>
      <c r="H926">
        <v>3</v>
      </c>
      <c r="I926">
        <v>369.79</v>
      </c>
      <c r="J926">
        <v>1109.3699999999999</v>
      </c>
      <c r="K926" t="s">
        <v>2044</v>
      </c>
      <c r="L926" t="s">
        <v>19</v>
      </c>
    </row>
    <row r="927" spans="1:12" x14ac:dyDescent="0.35">
      <c r="A927" t="s">
        <v>2045</v>
      </c>
      <c r="B927" t="s">
        <v>1749</v>
      </c>
      <c r="C927" t="s">
        <v>1750</v>
      </c>
      <c r="D927" t="s">
        <v>40</v>
      </c>
      <c r="E927" t="s">
        <v>79</v>
      </c>
      <c r="F927" t="s">
        <v>101</v>
      </c>
      <c r="G927" t="s">
        <v>373</v>
      </c>
      <c r="H927">
        <v>3</v>
      </c>
      <c r="I927">
        <v>1134.94</v>
      </c>
      <c r="J927">
        <v>3404.82</v>
      </c>
      <c r="K927" t="s">
        <v>2046</v>
      </c>
      <c r="L927" t="s">
        <v>28</v>
      </c>
    </row>
    <row r="928" spans="1:12" x14ac:dyDescent="0.35">
      <c r="A928" t="s">
        <v>2047</v>
      </c>
      <c r="B928" t="s">
        <v>579</v>
      </c>
      <c r="C928" t="s">
        <v>580</v>
      </c>
      <c r="D928" t="s">
        <v>40</v>
      </c>
      <c r="E928" t="s">
        <v>79</v>
      </c>
      <c r="F928" t="s">
        <v>50</v>
      </c>
      <c r="G928" t="s">
        <v>51</v>
      </c>
      <c r="H928">
        <v>1</v>
      </c>
      <c r="I928">
        <v>951.88</v>
      </c>
      <c r="J928">
        <v>951.88</v>
      </c>
      <c r="K928" t="s">
        <v>2048</v>
      </c>
      <c r="L928" t="s">
        <v>91</v>
      </c>
    </row>
    <row r="929" spans="1:12" x14ac:dyDescent="0.35">
      <c r="A929" t="s">
        <v>2049</v>
      </c>
      <c r="B929" t="s">
        <v>868</v>
      </c>
      <c r="C929" t="s">
        <v>869</v>
      </c>
      <c r="D929" t="s">
        <v>32</v>
      </c>
      <c r="E929" t="s">
        <v>33</v>
      </c>
      <c r="F929" t="s">
        <v>16</v>
      </c>
      <c r="G929" t="s">
        <v>230</v>
      </c>
      <c r="H929">
        <v>1</v>
      </c>
      <c r="I929">
        <v>773.71</v>
      </c>
      <c r="J929">
        <v>773.71</v>
      </c>
      <c r="K929" t="s">
        <v>2050</v>
      </c>
      <c r="L929" t="s">
        <v>45</v>
      </c>
    </row>
    <row r="930" spans="1:12" x14ac:dyDescent="0.35">
      <c r="A930" t="s">
        <v>2051</v>
      </c>
      <c r="B930" t="s">
        <v>1907</v>
      </c>
      <c r="C930" t="s">
        <v>1908</v>
      </c>
      <c r="D930" t="s">
        <v>23</v>
      </c>
      <c r="E930" t="s">
        <v>338</v>
      </c>
      <c r="F930" t="s">
        <v>25</v>
      </c>
      <c r="G930" t="s">
        <v>34</v>
      </c>
      <c r="H930">
        <v>5</v>
      </c>
      <c r="I930">
        <v>336.12</v>
      </c>
      <c r="J930">
        <v>1680.6</v>
      </c>
      <c r="K930" t="s">
        <v>2052</v>
      </c>
      <c r="L930" t="s">
        <v>91</v>
      </c>
    </row>
    <row r="931" spans="1:12" x14ac:dyDescent="0.35">
      <c r="A931" t="s">
        <v>2053</v>
      </c>
      <c r="B931" t="s">
        <v>1340</v>
      </c>
      <c r="C931" t="s">
        <v>1341</v>
      </c>
      <c r="D931" t="s">
        <v>67</v>
      </c>
      <c r="E931" t="s">
        <v>115</v>
      </c>
      <c r="F931" t="s">
        <v>25</v>
      </c>
      <c r="G931" t="s">
        <v>62</v>
      </c>
      <c r="H931">
        <v>3</v>
      </c>
      <c r="I931">
        <v>772.51</v>
      </c>
      <c r="J931">
        <v>2317.5300000000002</v>
      </c>
      <c r="K931" t="s">
        <v>2054</v>
      </c>
      <c r="L931" t="s">
        <v>19</v>
      </c>
    </row>
    <row r="932" spans="1:12" x14ac:dyDescent="0.35">
      <c r="A932" t="s">
        <v>2055</v>
      </c>
      <c r="B932" t="s">
        <v>936</v>
      </c>
      <c r="C932" t="s">
        <v>937</v>
      </c>
      <c r="D932" t="s">
        <v>23</v>
      </c>
      <c r="E932" t="s">
        <v>338</v>
      </c>
      <c r="F932" t="s">
        <v>42</v>
      </c>
      <c r="G932" t="s">
        <v>43</v>
      </c>
      <c r="H932">
        <v>5</v>
      </c>
      <c r="I932">
        <v>1411.13</v>
      </c>
      <c r="J932">
        <v>7055.65</v>
      </c>
      <c r="K932" t="s">
        <v>81</v>
      </c>
      <c r="L932" t="s">
        <v>19</v>
      </c>
    </row>
    <row r="933" spans="1:12" x14ac:dyDescent="0.35">
      <c r="A933" t="s">
        <v>2056</v>
      </c>
      <c r="B933" t="s">
        <v>1423</v>
      </c>
      <c r="C933" t="s">
        <v>1424</v>
      </c>
      <c r="D933" t="s">
        <v>32</v>
      </c>
      <c r="E933" t="s">
        <v>203</v>
      </c>
      <c r="F933" t="s">
        <v>101</v>
      </c>
      <c r="G933" t="s">
        <v>102</v>
      </c>
      <c r="H933">
        <v>4</v>
      </c>
      <c r="I933">
        <v>1364.97</v>
      </c>
      <c r="J933">
        <v>5459.88</v>
      </c>
      <c r="K933" t="s">
        <v>2057</v>
      </c>
      <c r="L933" t="s">
        <v>19</v>
      </c>
    </row>
    <row r="934" spans="1:12" x14ac:dyDescent="0.35">
      <c r="A934" t="s">
        <v>2058</v>
      </c>
      <c r="B934" t="s">
        <v>1046</v>
      </c>
      <c r="C934" t="s">
        <v>1047</v>
      </c>
      <c r="D934" t="s">
        <v>14</v>
      </c>
      <c r="E934" t="s">
        <v>15</v>
      </c>
      <c r="F934" t="s">
        <v>16</v>
      </c>
      <c r="G934" t="s">
        <v>148</v>
      </c>
      <c r="H934">
        <v>4</v>
      </c>
      <c r="I934">
        <v>1491.04</v>
      </c>
      <c r="J934">
        <v>5964.16</v>
      </c>
      <c r="K934" t="s">
        <v>929</v>
      </c>
      <c r="L934" t="s">
        <v>45</v>
      </c>
    </row>
    <row r="935" spans="1:12" x14ac:dyDescent="0.35">
      <c r="A935" t="s">
        <v>2059</v>
      </c>
      <c r="B935" t="s">
        <v>817</v>
      </c>
      <c r="C935" t="s">
        <v>818</v>
      </c>
      <c r="D935" t="s">
        <v>14</v>
      </c>
      <c r="E935" t="s">
        <v>95</v>
      </c>
      <c r="F935" t="s">
        <v>25</v>
      </c>
      <c r="G935" t="s">
        <v>139</v>
      </c>
      <c r="H935">
        <v>5</v>
      </c>
      <c r="I935">
        <v>624.61</v>
      </c>
      <c r="J935">
        <v>3123.05</v>
      </c>
      <c r="K935" t="s">
        <v>2060</v>
      </c>
      <c r="L935" t="s">
        <v>45</v>
      </c>
    </row>
    <row r="936" spans="1:12" x14ac:dyDescent="0.35">
      <c r="A936" t="s">
        <v>2061</v>
      </c>
      <c r="B936" t="s">
        <v>555</v>
      </c>
      <c r="C936" t="s">
        <v>556</v>
      </c>
      <c r="D936" t="s">
        <v>32</v>
      </c>
      <c r="E936" t="s">
        <v>203</v>
      </c>
      <c r="F936" t="s">
        <v>16</v>
      </c>
      <c r="G936" t="s">
        <v>148</v>
      </c>
      <c r="H936">
        <v>3</v>
      </c>
      <c r="I936">
        <v>906.86</v>
      </c>
      <c r="J936">
        <v>2720.58</v>
      </c>
      <c r="K936" t="s">
        <v>2062</v>
      </c>
      <c r="L936" t="s">
        <v>19</v>
      </c>
    </row>
    <row r="937" spans="1:12" x14ac:dyDescent="0.35">
      <c r="A937" t="s">
        <v>2063</v>
      </c>
      <c r="B937" t="s">
        <v>223</v>
      </c>
      <c r="C937" t="s">
        <v>224</v>
      </c>
      <c r="D937" t="s">
        <v>67</v>
      </c>
      <c r="E937" t="s">
        <v>115</v>
      </c>
      <c r="F937" t="s">
        <v>25</v>
      </c>
      <c r="G937" t="s">
        <v>26</v>
      </c>
      <c r="H937">
        <v>3</v>
      </c>
      <c r="I937">
        <v>1189.93</v>
      </c>
      <c r="J937">
        <v>3569.79</v>
      </c>
      <c r="K937" t="s">
        <v>1675</v>
      </c>
      <c r="L937" t="s">
        <v>45</v>
      </c>
    </row>
    <row r="938" spans="1:12" x14ac:dyDescent="0.35">
      <c r="A938" t="s">
        <v>2064</v>
      </c>
      <c r="B938" t="s">
        <v>193</v>
      </c>
      <c r="C938" t="s">
        <v>194</v>
      </c>
      <c r="D938" t="s">
        <v>32</v>
      </c>
      <c r="E938" t="s">
        <v>61</v>
      </c>
      <c r="F938" t="s">
        <v>101</v>
      </c>
      <c r="G938" t="s">
        <v>373</v>
      </c>
      <c r="H938">
        <v>2</v>
      </c>
      <c r="I938">
        <v>578.13</v>
      </c>
      <c r="J938">
        <v>1156.26</v>
      </c>
      <c r="K938" t="s">
        <v>2065</v>
      </c>
      <c r="L938" t="s">
        <v>28</v>
      </c>
    </row>
    <row r="939" spans="1:12" x14ac:dyDescent="0.35">
      <c r="A939" t="s">
        <v>2066</v>
      </c>
      <c r="B939" t="s">
        <v>820</v>
      </c>
      <c r="C939" t="s">
        <v>821</v>
      </c>
      <c r="D939" t="s">
        <v>67</v>
      </c>
      <c r="E939" t="s">
        <v>68</v>
      </c>
      <c r="F939" t="s">
        <v>101</v>
      </c>
      <c r="G939" t="s">
        <v>102</v>
      </c>
      <c r="H939">
        <v>2</v>
      </c>
      <c r="I939">
        <v>1482.25</v>
      </c>
      <c r="J939">
        <v>2964.5</v>
      </c>
      <c r="K939" t="s">
        <v>153</v>
      </c>
      <c r="L939" t="s">
        <v>19</v>
      </c>
    </row>
    <row r="940" spans="1:12" x14ac:dyDescent="0.35">
      <c r="A940" t="s">
        <v>2067</v>
      </c>
      <c r="B940" t="s">
        <v>723</v>
      </c>
      <c r="C940" t="s">
        <v>724</v>
      </c>
      <c r="D940" t="s">
        <v>23</v>
      </c>
      <c r="E940" t="s">
        <v>49</v>
      </c>
      <c r="F940" t="s">
        <v>101</v>
      </c>
      <c r="G940" t="s">
        <v>102</v>
      </c>
      <c r="H940">
        <v>4</v>
      </c>
      <c r="I940">
        <v>44.81</v>
      </c>
      <c r="J940">
        <v>179.24</v>
      </c>
      <c r="K940" t="s">
        <v>1056</v>
      </c>
      <c r="L940" t="s">
        <v>91</v>
      </c>
    </row>
    <row r="941" spans="1:12" x14ac:dyDescent="0.35">
      <c r="A941" t="s">
        <v>2068</v>
      </c>
      <c r="B941" t="s">
        <v>809</v>
      </c>
      <c r="C941" t="s">
        <v>810</v>
      </c>
      <c r="D941" t="s">
        <v>67</v>
      </c>
      <c r="E941" t="s">
        <v>68</v>
      </c>
      <c r="F941" t="s">
        <v>16</v>
      </c>
      <c r="G941" t="s">
        <v>148</v>
      </c>
      <c r="H941">
        <v>1</v>
      </c>
      <c r="I941">
        <v>393.36</v>
      </c>
      <c r="J941">
        <v>393.36</v>
      </c>
      <c r="K941" t="s">
        <v>2069</v>
      </c>
      <c r="L941" t="s">
        <v>28</v>
      </c>
    </row>
    <row r="942" spans="1:12" x14ac:dyDescent="0.35">
      <c r="A942" t="s">
        <v>2070</v>
      </c>
      <c r="B942" t="s">
        <v>287</v>
      </c>
      <c r="C942" t="s">
        <v>288</v>
      </c>
      <c r="D942" t="s">
        <v>67</v>
      </c>
      <c r="E942" t="s">
        <v>68</v>
      </c>
      <c r="F942" t="s">
        <v>25</v>
      </c>
      <c r="G942" t="s">
        <v>74</v>
      </c>
      <c r="H942">
        <v>3</v>
      </c>
      <c r="I942">
        <v>1424.98</v>
      </c>
      <c r="J942">
        <v>4274.9399999999996</v>
      </c>
      <c r="K942" t="s">
        <v>993</v>
      </c>
      <c r="L942" t="s">
        <v>19</v>
      </c>
    </row>
    <row r="943" spans="1:12" x14ac:dyDescent="0.35">
      <c r="A943" t="s">
        <v>2071</v>
      </c>
      <c r="B943" t="s">
        <v>910</v>
      </c>
      <c r="C943" t="s">
        <v>911</v>
      </c>
      <c r="D943" t="s">
        <v>67</v>
      </c>
      <c r="E943" t="s">
        <v>130</v>
      </c>
      <c r="F943" t="s">
        <v>42</v>
      </c>
      <c r="G943" t="s">
        <v>170</v>
      </c>
      <c r="H943">
        <v>1</v>
      </c>
      <c r="I943">
        <v>710.79</v>
      </c>
      <c r="J943">
        <v>710.79</v>
      </c>
      <c r="K943" t="s">
        <v>267</v>
      </c>
      <c r="L943" t="s">
        <v>91</v>
      </c>
    </row>
    <row r="944" spans="1:12" x14ac:dyDescent="0.35">
      <c r="A944" t="s">
        <v>2072</v>
      </c>
      <c r="B944" t="s">
        <v>817</v>
      </c>
      <c r="C944" t="s">
        <v>818</v>
      </c>
      <c r="D944" t="s">
        <v>14</v>
      </c>
      <c r="E944" t="s">
        <v>15</v>
      </c>
      <c r="F944" t="s">
        <v>101</v>
      </c>
      <c r="G944" t="s">
        <v>237</v>
      </c>
      <c r="H944">
        <v>5</v>
      </c>
      <c r="I944">
        <v>552.19000000000005</v>
      </c>
      <c r="J944">
        <v>2760.95</v>
      </c>
      <c r="K944" t="s">
        <v>1264</v>
      </c>
      <c r="L944" t="s">
        <v>91</v>
      </c>
    </row>
    <row r="945" spans="1:12" x14ac:dyDescent="0.35">
      <c r="A945" t="s">
        <v>2073</v>
      </c>
      <c r="B945" t="s">
        <v>1354</v>
      </c>
      <c r="C945" t="s">
        <v>1355</v>
      </c>
      <c r="D945" t="s">
        <v>23</v>
      </c>
      <c r="E945" t="s">
        <v>338</v>
      </c>
      <c r="F945" t="s">
        <v>42</v>
      </c>
      <c r="G945" t="s">
        <v>89</v>
      </c>
      <c r="H945">
        <v>3</v>
      </c>
      <c r="I945">
        <v>1381.79</v>
      </c>
      <c r="J945">
        <v>4145.37</v>
      </c>
      <c r="K945" t="s">
        <v>2074</v>
      </c>
      <c r="L945" t="s">
        <v>91</v>
      </c>
    </row>
    <row r="946" spans="1:12" x14ac:dyDescent="0.35">
      <c r="A946" t="s">
        <v>2075</v>
      </c>
      <c r="B946" t="s">
        <v>155</v>
      </c>
      <c r="C946" t="s">
        <v>156</v>
      </c>
      <c r="D946" t="s">
        <v>67</v>
      </c>
      <c r="E946" t="s">
        <v>130</v>
      </c>
      <c r="F946" t="s">
        <v>16</v>
      </c>
      <c r="G946" t="s">
        <v>182</v>
      </c>
      <c r="H946">
        <v>2</v>
      </c>
      <c r="I946">
        <v>1410.25</v>
      </c>
      <c r="J946">
        <v>2820.5</v>
      </c>
      <c r="K946" t="s">
        <v>2076</v>
      </c>
      <c r="L946" t="s">
        <v>36</v>
      </c>
    </row>
    <row r="947" spans="1:12" x14ac:dyDescent="0.35">
      <c r="A947" t="s">
        <v>2077</v>
      </c>
      <c r="B947" t="s">
        <v>562</v>
      </c>
      <c r="C947" t="s">
        <v>563</v>
      </c>
      <c r="D947" t="s">
        <v>14</v>
      </c>
      <c r="E947" t="s">
        <v>15</v>
      </c>
      <c r="F947" t="s">
        <v>16</v>
      </c>
      <c r="G947" t="s">
        <v>182</v>
      </c>
      <c r="H947">
        <v>1</v>
      </c>
      <c r="I947">
        <v>127.72</v>
      </c>
      <c r="J947">
        <v>127.72</v>
      </c>
      <c r="K947" t="s">
        <v>1841</v>
      </c>
      <c r="L947" t="s">
        <v>19</v>
      </c>
    </row>
    <row r="948" spans="1:12" x14ac:dyDescent="0.35">
      <c r="A948" t="s">
        <v>2078</v>
      </c>
      <c r="B948" t="s">
        <v>904</v>
      </c>
      <c r="C948" t="s">
        <v>905</v>
      </c>
      <c r="D948" t="s">
        <v>32</v>
      </c>
      <c r="E948" t="s">
        <v>33</v>
      </c>
      <c r="F948" t="s">
        <v>25</v>
      </c>
      <c r="G948" t="s">
        <v>62</v>
      </c>
      <c r="H948">
        <v>1</v>
      </c>
      <c r="I948">
        <v>1185.07</v>
      </c>
      <c r="J948">
        <v>1185.07</v>
      </c>
      <c r="K948" t="s">
        <v>1413</v>
      </c>
      <c r="L948" t="s">
        <v>91</v>
      </c>
    </row>
    <row r="949" spans="1:12" x14ac:dyDescent="0.35">
      <c r="A949" t="s">
        <v>2079</v>
      </c>
      <c r="B949" t="s">
        <v>518</v>
      </c>
      <c r="C949" t="s">
        <v>519</v>
      </c>
      <c r="D949" t="s">
        <v>67</v>
      </c>
      <c r="E949" t="s">
        <v>115</v>
      </c>
      <c r="F949" t="s">
        <v>16</v>
      </c>
      <c r="G949" t="s">
        <v>17</v>
      </c>
      <c r="H949">
        <v>5</v>
      </c>
      <c r="I949">
        <v>1264.08</v>
      </c>
      <c r="J949">
        <v>6320.4</v>
      </c>
      <c r="K949" t="s">
        <v>1194</v>
      </c>
      <c r="L949" t="s">
        <v>45</v>
      </c>
    </row>
    <row r="950" spans="1:12" x14ac:dyDescent="0.35">
      <c r="A950" t="s">
        <v>2080</v>
      </c>
      <c r="B950" t="s">
        <v>1131</v>
      </c>
      <c r="C950" t="s">
        <v>1132</v>
      </c>
      <c r="D950" t="s">
        <v>67</v>
      </c>
      <c r="E950" t="s">
        <v>68</v>
      </c>
      <c r="F950" t="s">
        <v>101</v>
      </c>
      <c r="G950" t="s">
        <v>237</v>
      </c>
      <c r="H950">
        <v>1</v>
      </c>
      <c r="I950">
        <v>304.89</v>
      </c>
      <c r="J950">
        <v>304.89</v>
      </c>
      <c r="K950" t="s">
        <v>2081</v>
      </c>
      <c r="L950" t="s">
        <v>36</v>
      </c>
    </row>
    <row r="951" spans="1:12" x14ac:dyDescent="0.35">
      <c r="A951" t="s">
        <v>2082</v>
      </c>
      <c r="B951" t="s">
        <v>1073</v>
      </c>
      <c r="C951" t="s">
        <v>1074</v>
      </c>
      <c r="D951" t="s">
        <v>14</v>
      </c>
      <c r="E951" t="s">
        <v>15</v>
      </c>
      <c r="F951" t="s">
        <v>16</v>
      </c>
      <c r="G951" t="s">
        <v>17</v>
      </c>
      <c r="H951">
        <v>1</v>
      </c>
      <c r="I951">
        <v>778.98</v>
      </c>
      <c r="J951">
        <v>778.98</v>
      </c>
      <c r="K951" t="s">
        <v>1118</v>
      </c>
      <c r="L951" t="s">
        <v>45</v>
      </c>
    </row>
    <row r="952" spans="1:12" x14ac:dyDescent="0.35">
      <c r="A952" t="s">
        <v>2083</v>
      </c>
      <c r="B952" t="s">
        <v>193</v>
      </c>
      <c r="C952" t="s">
        <v>194</v>
      </c>
      <c r="D952" t="s">
        <v>40</v>
      </c>
      <c r="E952" t="s">
        <v>120</v>
      </c>
      <c r="F952" t="s">
        <v>25</v>
      </c>
      <c r="G952" t="s">
        <v>26</v>
      </c>
      <c r="H952">
        <v>2</v>
      </c>
      <c r="I952">
        <v>1385.83</v>
      </c>
      <c r="J952">
        <v>2771.66</v>
      </c>
      <c r="K952" t="s">
        <v>1770</v>
      </c>
      <c r="L952" t="s">
        <v>19</v>
      </c>
    </row>
    <row r="953" spans="1:12" x14ac:dyDescent="0.35">
      <c r="A953" t="s">
        <v>2084</v>
      </c>
      <c r="B953" t="s">
        <v>1516</v>
      </c>
      <c r="C953" t="s">
        <v>1517</v>
      </c>
      <c r="D953" t="s">
        <v>67</v>
      </c>
      <c r="E953" t="s">
        <v>130</v>
      </c>
      <c r="F953" t="s">
        <v>50</v>
      </c>
      <c r="G953" t="s">
        <v>51</v>
      </c>
      <c r="H953">
        <v>1</v>
      </c>
      <c r="I953">
        <v>168.96</v>
      </c>
      <c r="J953">
        <v>168.96</v>
      </c>
      <c r="K953" t="s">
        <v>1440</v>
      </c>
      <c r="L953" t="s">
        <v>28</v>
      </c>
    </row>
    <row r="954" spans="1:12" x14ac:dyDescent="0.35">
      <c r="A954" t="s">
        <v>2085</v>
      </c>
      <c r="B954" t="s">
        <v>715</v>
      </c>
      <c r="C954" t="s">
        <v>716</v>
      </c>
      <c r="D954" t="s">
        <v>67</v>
      </c>
      <c r="E954" t="s">
        <v>130</v>
      </c>
      <c r="F954" t="s">
        <v>101</v>
      </c>
      <c r="G954" t="s">
        <v>165</v>
      </c>
      <c r="H954">
        <v>4</v>
      </c>
      <c r="I954">
        <v>1291.1400000000001</v>
      </c>
      <c r="J954">
        <v>5164.5600000000004</v>
      </c>
      <c r="K954" t="s">
        <v>2086</v>
      </c>
      <c r="L954" t="s">
        <v>19</v>
      </c>
    </row>
    <row r="955" spans="1:12" x14ac:dyDescent="0.35">
      <c r="A955" t="s">
        <v>2087</v>
      </c>
      <c r="B955" t="s">
        <v>1226</v>
      </c>
      <c r="C955" t="s">
        <v>1227</v>
      </c>
      <c r="D955" t="s">
        <v>67</v>
      </c>
      <c r="E955" t="s">
        <v>68</v>
      </c>
      <c r="F955" t="s">
        <v>50</v>
      </c>
      <c r="G955" t="s">
        <v>56</v>
      </c>
      <c r="H955">
        <v>3</v>
      </c>
      <c r="I955">
        <v>880.05</v>
      </c>
      <c r="J955">
        <v>2640.15</v>
      </c>
      <c r="K955" t="s">
        <v>448</v>
      </c>
      <c r="L955" t="s">
        <v>91</v>
      </c>
    </row>
    <row r="956" spans="1:12" x14ac:dyDescent="0.35">
      <c r="A956" t="s">
        <v>2088</v>
      </c>
      <c r="B956" t="s">
        <v>228</v>
      </c>
      <c r="C956" t="s">
        <v>229</v>
      </c>
      <c r="D956" t="s">
        <v>67</v>
      </c>
      <c r="E956" t="s">
        <v>130</v>
      </c>
      <c r="F956" t="s">
        <v>25</v>
      </c>
      <c r="G956" t="s">
        <v>34</v>
      </c>
      <c r="H956">
        <v>4</v>
      </c>
      <c r="I956">
        <v>998.97</v>
      </c>
      <c r="J956">
        <v>3995.88</v>
      </c>
      <c r="K956" t="s">
        <v>1735</v>
      </c>
      <c r="L956" t="s">
        <v>36</v>
      </c>
    </row>
    <row r="957" spans="1:12" x14ac:dyDescent="0.35">
      <c r="A957" t="s">
        <v>2089</v>
      </c>
      <c r="B957" t="s">
        <v>137</v>
      </c>
      <c r="C957" t="s">
        <v>138</v>
      </c>
      <c r="D957" t="s">
        <v>67</v>
      </c>
      <c r="E957" t="s">
        <v>68</v>
      </c>
      <c r="F957" t="s">
        <v>25</v>
      </c>
      <c r="G957" t="s">
        <v>139</v>
      </c>
      <c r="H957">
        <v>5</v>
      </c>
      <c r="I957">
        <v>391.99</v>
      </c>
      <c r="J957">
        <v>1959.95</v>
      </c>
      <c r="K957" t="s">
        <v>153</v>
      </c>
      <c r="L957" t="s">
        <v>28</v>
      </c>
    </row>
    <row r="958" spans="1:12" x14ac:dyDescent="0.35">
      <c r="A958" t="s">
        <v>2090</v>
      </c>
      <c r="B958" t="s">
        <v>791</v>
      </c>
      <c r="C958" t="s">
        <v>792</v>
      </c>
      <c r="D958" t="s">
        <v>14</v>
      </c>
      <c r="E958" t="s">
        <v>125</v>
      </c>
      <c r="F958" t="s">
        <v>25</v>
      </c>
      <c r="G958" t="s">
        <v>74</v>
      </c>
      <c r="H958">
        <v>1</v>
      </c>
      <c r="I958">
        <v>832.85</v>
      </c>
      <c r="J958">
        <v>832.85</v>
      </c>
      <c r="K958" t="s">
        <v>1483</v>
      </c>
      <c r="L958" t="s">
        <v>36</v>
      </c>
    </row>
    <row r="959" spans="1:12" x14ac:dyDescent="0.35">
      <c r="A959" t="s">
        <v>2091</v>
      </c>
      <c r="B959" t="s">
        <v>21</v>
      </c>
      <c r="C959" t="s">
        <v>22</v>
      </c>
      <c r="D959" t="s">
        <v>67</v>
      </c>
      <c r="E959" t="s">
        <v>115</v>
      </c>
      <c r="F959" t="s">
        <v>101</v>
      </c>
      <c r="G959" t="s">
        <v>102</v>
      </c>
      <c r="H959">
        <v>1</v>
      </c>
      <c r="I959">
        <v>113.4</v>
      </c>
      <c r="J959">
        <v>113.4</v>
      </c>
      <c r="K959" t="s">
        <v>1914</v>
      </c>
      <c r="L959" t="s">
        <v>45</v>
      </c>
    </row>
    <row r="960" spans="1:12" x14ac:dyDescent="0.35">
      <c r="A960" t="s">
        <v>2092</v>
      </c>
      <c r="B960" t="s">
        <v>1856</v>
      </c>
      <c r="C960" t="s">
        <v>1857</v>
      </c>
      <c r="D960" t="s">
        <v>23</v>
      </c>
      <c r="E960" t="s">
        <v>49</v>
      </c>
      <c r="F960" t="s">
        <v>16</v>
      </c>
      <c r="G960" t="s">
        <v>177</v>
      </c>
      <c r="H960">
        <v>4</v>
      </c>
      <c r="I960">
        <v>116.61</v>
      </c>
      <c r="J960">
        <v>466.44</v>
      </c>
      <c r="K960" t="s">
        <v>2093</v>
      </c>
      <c r="L960" t="s">
        <v>28</v>
      </c>
    </row>
    <row r="961" spans="1:12" x14ac:dyDescent="0.35">
      <c r="A961" t="s">
        <v>2094</v>
      </c>
      <c r="B961" t="s">
        <v>718</v>
      </c>
      <c r="C961" t="s">
        <v>719</v>
      </c>
      <c r="D961" t="s">
        <v>32</v>
      </c>
      <c r="E961" t="s">
        <v>203</v>
      </c>
      <c r="F961" t="s">
        <v>50</v>
      </c>
      <c r="G961" t="s">
        <v>56</v>
      </c>
      <c r="H961">
        <v>1</v>
      </c>
      <c r="I961">
        <v>678.16</v>
      </c>
      <c r="J961">
        <v>678.16</v>
      </c>
      <c r="K961" t="s">
        <v>2095</v>
      </c>
      <c r="L961" t="s">
        <v>28</v>
      </c>
    </row>
    <row r="962" spans="1:12" x14ac:dyDescent="0.35">
      <c r="A962" t="s">
        <v>2096</v>
      </c>
      <c r="B962" t="s">
        <v>1226</v>
      </c>
      <c r="C962" t="s">
        <v>1227</v>
      </c>
      <c r="D962" t="s">
        <v>14</v>
      </c>
      <c r="E962" t="s">
        <v>125</v>
      </c>
      <c r="F962" t="s">
        <v>42</v>
      </c>
      <c r="G962" t="s">
        <v>43</v>
      </c>
      <c r="H962">
        <v>1</v>
      </c>
      <c r="I962">
        <v>1241.4000000000001</v>
      </c>
      <c r="J962">
        <v>1241.4000000000001</v>
      </c>
      <c r="K962" t="s">
        <v>479</v>
      </c>
      <c r="L962" t="s">
        <v>91</v>
      </c>
    </row>
    <row r="963" spans="1:12" x14ac:dyDescent="0.35">
      <c r="A963" t="s">
        <v>2097</v>
      </c>
      <c r="B963" t="s">
        <v>244</v>
      </c>
      <c r="C963" t="s">
        <v>245</v>
      </c>
      <c r="D963" t="s">
        <v>23</v>
      </c>
      <c r="E963" t="s">
        <v>338</v>
      </c>
      <c r="F963" t="s">
        <v>42</v>
      </c>
      <c r="G963" t="s">
        <v>80</v>
      </c>
      <c r="H963">
        <v>5</v>
      </c>
      <c r="I963">
        <v>38</v>
      </c>
      <c r="J963">
        <v>190</v>
      </c>
      <c r="K963" t="s">
        <v>2098</v>
      </c>
      <c r="L963" t="s">
        <v>91</v>
      </c>
    </row>
    <row r="964" spans="1:12" x14ac:dyDescent="0.35">
      <c r="A964" t="s">
        <v>2099</v>
      </c>
      <c r="B964" t="s">
        <v>690</v>
      </c>
      <c r="C964" t="s">
        <v>691</v>
      </c>
      <c r="D964" t="s">
        <v>14</v>
      </c>
      <c r="E964" t="s">
        <v>125</v>
      </c>
      <c r="F964" t="s">
        <v>42</v>
      </c>
      <c r="G964" t="s">
        <v>43</v>
      </c>
      <c r="H964">
        <v>4</v>
      </c>
      <c r="I964">
        <v>859.19</v>
      </c>
      <c r="J964">
        <v>3436.76</v>
      </c>
      <c r="K964" t="s">
        <v>2100</v>
      </c>
      <c r="L964" t="s">
        <v>36</v>
      </c>
    </row>
    <row r="965" spans="1:12" x14ac:dyDescent="0.35">
      <c r="A965" t="s">
        <v>2101</v>
      </c>
      <c r="B965" t="s">
        <v>590</v>
      </c>
      <c r="C965" t="s">
        <v>591</v>
      </c>
      <c r="D965" t="s">
        <v>67</v>
      </c>
      <c r="E965" t="s">
        <v>68</v>
      </c>
      <c r="F965" t="s">
        <v>101</v>
      </c>
      <c r="G965" t="s">
        <v>102</v>
      </c>
      <c r="H965">
        <v>3</v>
      </c>
      <c r="I965">
        <v>1010.75</v>
      </c>
      <c r="J965">
        <v>3032.25</v>
      </c>
      <c r="K965" t="s">
        <v>1961</v>
      </c>
      <c r="L965" t="s">
        <v>28</v>
      </c>
    </row>
    <row r="966" spans="1:12" x14ac:dyDescent="0.35">
      <c r="A966" t="s">
        <v>2102</v>
      </c>
      <c r="B966" t="s">
        <v>936</v>
      </c>
      <c r="C966" t="s">
        <v>937</v>
      </c>
      <c r="D966" t="s">
        <v>40</v>
      </c>
      <c r="E966" t="s">
        <v>79</v>
      </c>
      <c r="F966" t="s">
        <v>50</v>
      </c>
      <c r="G966" t="s">
        <v>56</v>
      </c>
      <c r="H966">
        <v>3</v>
      </c>
      <c r="I966">
        <v>1387.38</v>
      </c>
      <c r="J966">
        <v>4162.1400000000003</v>
      </c>
      <c r="K966" t="s">
        <v>938</v>
      </c>
      <c r="L966" t="s">
        <v>91</v>
      </c>
    </row>
    <row r="967" spans="1:12" x14ac:dyDescent="0.35">
      <c r="A967" t="s">
        <v>2103</v>
      </c>
      <c r="B967" t="s">
        <v>93</v>
      </c>
      <c r="C967" t="s">
        <v>94</v>
      </c>
      <c r="D967" t="s">
        <v>32</v>
      </c>
      <c r="E967" t="s">
        <v>33</v>
      </c>
      <c r="F967" t="s">
        <v>101</v>
      </c>
      <c r="G967" t="s">
        <v>373</v>
      </c>
      <c r="H967">
        <v>3</v>
      </c>
      <c r="I967">
        <v>16.18</v>
      </c>
      <c r="J967">
        <v>48.54</v>
      </c>
      <c r="K967" t="s">
        <v>2104</v>
      </c>
      <c r="L967" t="s">
        <v>36</v>
      </c>
    </row>
    <row r="968" spans="1:12" x14ac:dyDescent="0.35">
      <c r="A968" t="s">
        <v>2105</v>
      </c>
      <c r="B968" t="s">
        <v>1285</v>
      </c>
      <c r="C968" t="s">
        <v>1286</v>
      </c>
      <c r="D968" t="s">
        <v>23</v>
      </c>
      <c r="E968" t="s">
        <v>49</v>
      </c>
      <c r="F968" t="s">
        <v>25</v>
      </c>
      <c r="G968" t="s">
        <v>139</v>
      </c>
      <c r="H968">
        <v>2</v>
      </c>
      <c r="I968">
        <v>377.83</v>
      </c>
      <c r="J968">
        <v>755.66</v>
      </c>
      <c r="K968" t="s">
        <v>654</v>
      </c>
      <c r="L968" t="s">
        <v>28</v>
      </c>
    </row>
    <row r="969" spans="1:12" x14ac:dyDescent="0.35">
      <c r="A969" t="s">
        <v>2106</v>
      </c>
      <c r="B969" t="s">
        <v>77</v>
      </c>
      <c r="C969" t="s">
        <v>78</v>
      </c>
      <c r="D969" t="s">
        <v>32</v>
      </c>
      <c r="E969" t="s">
        <v>61</v>
      </c>
      <c r="F969" t="s">
        <v>50</v>
      </c>
      <c r="G969" t="s">
        <v>216</v>
      </c>
      <c r="H969">
        <v>1</v>
      </c>
      <c r="I969">
        <v>1057.19</v>
      </c>
      <c r="J969">
        <v>1057.19</v>
      </c>
      <c r="K969" t="s">
        <v>1406</v>
      </c>
      <c r="L969" t="s">
        <v>45</v>
      </c>
    </row>
    <row r="970" spans="1:12" x14ac:dyDescent="0.35">
      <c r="A970" t="s">
        <v>2107</v>
      </c>
      <c r="B970" t="s">
        <v>590</v>
      </c>
      <c r="C970" t="s">
        <v>591</v>
      </c>
      <c r="D970" t="s">
        <v>23</v>
      </c>
      <c r="E970" t="s">
        <v>49</v>
      </c>
      <c r="F970" t="s">
        <v>50</v>
      </c>
      <c r="G970" t="s">
        <v>56</v>
      </c>
      <c r="H970">
        <v>3</v>
      </c>
      <c r="I970">
        <v>1237.51</v>
      </c>
      <c r="J970">
        <v>3712.53</v>
      </c>
      <c r="K970" t="s">
        <v>2108</v>
      </c>
      <c r="L970" t="s">
        <v>28</v>
      </c>
    </row>
    <row r="971" spans="1:12" x14ac:dyDescent="0.35">
      <c r="A971" t="s">
        <v>2109</v>
      </c>
      <c r="B971" t="s">
        <v>1196</v>
      </c>
      <c r="C971" t="s">
        <v>1197</v>
      </c>
      <c r="D971" t="s">
        <v>23</v>
      </c>
      <c r="E971" t="s">
        <v>338</v>
      </c>
      <c r="F971" t="s">
        <v>25</v>
      </c>
      <c r="G971" t="s">
        <v>62</v>
      </c>
      <c r="H971">
        <v>5</v>
      </c>
      <c r="I971">
        <v>1414.73</v>
      </c>
      <c r="J971">
        <v>7073.65</v>
      </c>
      <c r="K971" t="s">
        <v>1373</v>
      </c>
      <c r="L971" t="s">
        <v>28</v>
      </c>
    </row>
    <row r="972" spans="1:12" x14ac:dyDescent="0.35">
      <c r="A972" t="s">
        <v>2110</v>
      </c>
      <c r="B972" t="s">
        <v>1369</v>
      </c>
      <c r="C972" t="s">
        <v>1370</v>
      </c>
      <c r="D972" t="s">
        <v>23</v>
      </c>
      <c r="E972" t="s">
        <v>49</v>
      </c>
      <c r="F972" t="s">
        <v>16</v>
      </c>
      <c r="G972" t="s">
        <v>17</v>
      </c>
      <c r="H972">
        <v>5</v>
      </c>
      <c r="I972">
        <v>742.75</v>
      </c>
      <c r="J972">
        <v>3713.75</v>
      </c>
      <c r="K972" t="s">
        <v>2111</v>
      </c>
      <c r="L972" t="s">
        <v>91</v>
      </c>
    </row>
    <row r="973" spans="1:12" x14ac:dyDescent="0.35">
      <c r="A973" t="s">
        <v>2112</v>
      </c>
      <c r="B973" t="s">
        <v>460</v>
      </c>
      <c r="C973" t="s">
        <v>461</v>
      </c>
      <c r="D973" t="s">
        <v>32</v>
      </c>
      <c r="E973" t="s">
        <v>33</v>
      </c>
      <c r="F973" t="s">
        <v>50</v>
      </c>
      <c r="G973" t="s">
        <v>69</v>
      </c>
      <c r="H973">
        <v>5</v>
      </c>
      <c r="I973">
        <v>1252.31</v>
      </c>
      <c r="J973">
        <v>6261.55</v>
      </c>
      <c r="K973" t="s">
        <v>1157</v>
      </c>
      <c r="L973" t="s">
        <v>19</v>
      </c>
    </row>
    <row r="974" spans="1:12" x14ac:dyDescent="0.35">
      <c r="A974" t="s">
        <v>2113</v>
      </c>
      <c r="B974" t="s">
        <v>901</v>
      </c>
      <c r="C974" t="s">
        <v>902</v>
      </c>
      <c r="D974" t="s">
        <v>40</v>
      </c>
      <c r="E974" t="s">
        <v>120</v>
      </c>
      <c r="F974" t="s">
        <v>16</v>
      </c>
      <c r="G974" t="s">
        <v>17</v>
      </c>
      <c r="H974">
        <v>3</v>
      </c>
      <c r="I974">
        <v>359.79</v>
      </c>
      <c r="J974">
        <v>1079.3699999999999</v>
      </c>
      <c r="K974" t="s">
        <v>886</v>
      </c>
      <c r="L974" t="s">
        <v>28</v>
      </c>
    </row>
    <row r="975" spans="1:12" x14ac:dyDescent="0.35">
      <c r="A975" t="s">
        <v>2114</v>
      </c>
      <c r="B975" t="s">
        <v>1438</v>
      </c>
      <c r="C975" t="s">
        <v>1439</v>
      </c>
      <c r="D975" t="s">
        <v>67</v>
      </c>
      <c r="E975" t="s">
        <v>68</v>
      </c>
      <c r="F975" t="s">
        <v>101</v>
      </c>
      <c r="G975" t="s">
        <v>237</v>
      </c>
      <c r="H975">
        <v>3</v>
      </c>
      <c r="I975">
        <v>753.9</v>
      </c>
      <c r="J975">
        <v>2261.6999999999998</v>
      </c>
      <c r="K975" t="s">
        <v>1207</v>
      </c>
      <c r="L975" t="s">
        <v>28</v>
      </c>
    </row>
    <row r="976" spans="1:12" x14ac:dyDescent="0.35">
      <c r="A976" t="s">
        <v>2115</v>
      </c>
      <c r="B976" t="s">
        <v>1087</v>
      </c>
      <c r="C976" t="s">
        <v>1088</v>
      </c>
      <c r="D976" t="s">
        <v>14</v>
      </c>
      <c r="E976" t="s">
        <v>266</v>
      </c>
      <c r="F976" t="s">
        <v>42</v>
      </c>
      <c r="G976" t="s">
        <v>225</v>
      </c>
      <c r="H976">
        <v>3</v>
      </c>
      <c r="I976">
        <v>658.34</v>
      </c>
      <c r="J976">
        <v>1975.02</v>
      </c>
      <c r="K976" t="s">
        <v>2116</v>
      </c>
      <c r="L976" t="s">
        <v>36</v>
      </c>
    </row>
    <row r="977" spans="1:12" x14ac:dyDescent="0.35">
      <c r="A977" t="s">
        <v>2117</v>
      </c>
      <c r="B977" t="s">
        <v>1024</v>
      </c>
      <c r="C977" t="s">
        <v>1025</v>
      </c>
      <c r="D977" t="s">
        <v>14</v>
      </c>
      <c r="E977" t="s">
        <v>100</v>
      </c>
      <c r="F977" t="s">
        <v>16</v>
      </c>
      <c r="G977" t="s">
        <v>148</v>
      </c>
      <c r="H977">
        <v>4</v>
      </c>
      <c r="I977">
        <v>23.63</v>
      </c>
      <c r="J977">
        <v>94.52</v>
      </c>
      <c r="K977" t="s">
        <v>231</v>
      </c>
      <c r="L977" t="s">
        <v>45</v>
      </c>
    </row>
    <row r="978" spans="1:12" x14ac:dyDescent="0.35">
      <c r="A978" t="s">
        <v>2118</v>
      </c>
      <c r="B978" t="s">
        <v>412</v>
      </c>
      <c r="C978" t="s">
        <v>413</v>
      </c>
      <c r="D978" t="s">
        <v>67</v>
      </c>
      <c r="E978" t="s">
        <v>115</v>
      </c>
      <c r="F978" t="s">
        <v>101</v>
      </c>
      <c r="G978" t="s">
        <v>237</v>
      </c>
      <c r="H978">
        <v>1</v>
      </c>
      <c r="I978">
        <v>712.12</v>
      </c>
      <c r="J978">
        <v>712.12</v>
      </c>
      <c r="K978" t="s">
        <v>441</v>
      </c>
      <c r="L978" t="s">
        <v>36</v>
      </c>
    </row>
    <row r="979" spans="1:12" x14ac:dyDescent="0.35">
      <c r="A979" t="s">
        <v>2119</v>
      </c>
      <c r="B979" t="s">
        <v>376</v>
      </c>
      <c r="C979" t="s">
        <v>377</v>
      </c>
      <c r="D979" t="s">
        <v>14</v>
      </c>
      <c r="E979" t="s">
        <v>100</v>
      </c>
      <c r="F979" t="s">
        <v>16</v>
      </c>
      <c r="G979" t="s">
        <v>230</v>
      </c>
      <c r="H979">
        <v>5</v>
      </c>
      <c r="I979">
        <v>24.95</v>
      </c>
      <c r="J979">
        <v>124.75</v>
      </c>
      <c r="K979" t="s">
        <v>880</v>
      </c>
      <c r="L979" t="s">
        <v>91</v>
      </c>
    </row>
    <row r="980" spans="1:12" x14ac:dyDescent="0.35">
      <c r="A980" t="s">
        <v>2120</v>
      </c>
      <c r="B980" t="s">
        <v>333</v>
      </c>
      <c r="C980" t="s">
        <v>334</v>
      </c>
      <c r="D980" t="s">
        <v>32</v>
      </c>
      <c r="E980" t="s">
        <v>61</v>
      </c>
      <c r="F980" t="s">
        <v>101</v>
      </c>
      <c r="G980" t="s">
        <v>165</v>
      </c>
      <c r="H980">
        <v>1</v>
      </c>
      <c r="I980">
        <v>968.28</v>
      </c>
      <c r="J980">
        <v>968.28</v>
      </c>
      <c r="K980" t="s">
        <v>2121</v>
      </c>
      <c r="L980" t="s">
        <v>36</v>
      </c>
    </row>
    <row r="981" spans="1:12" x14ac:dyDescent="0.35">
      <c r="A981" t="s">
        <v>2122</v>
      </c>
      <c r="B981" t="s">
        <v>936</v>
      </c>
      <c r="C981" t="s">
        <v>937</v>
      </c>
      <c r="D981" t="s">
        <v>32</v>
      </c>
      <c r="E981" t="s">
        <v>203</v>
      </c>
      <c r="F981" t="s">
        <v>50</v>
      </c>
      <c r="G981" t="s">
        <v>170</v>
      </c>
      <c r="H981">
        <v>3</v>
      </c>
      <c r="I981">
        <v>12.56</v>
      </c>
      <c r="J981">
        <v>37.68</v>
      </c>
      <c r="K981" t="s">
        <v>153</v>
      </c>
      <c r="L981" t="s">
        <v>19</v>
      </c>
    </row>
    <row r="982" spans="1:12" x14ac:dyDescent="0.35">
      <c r="A982" t="s">
        <v>2123</v>
      </c>
      <c r="B982" t="s">
        <v>552</v>
      </c>
      <c r="C982" t="s">
        <v>553</v>
      </c>
      <c r="D982" t="s">
        <v>32</v>
      </c>
      <c r="E982" t="s">
        <v>61</v>
      </c>
      <c r="F982" t="s">
        <v>16</v>
      </c>
      <c r="G982" t="s">
        <v>17</v>
      </c>
      <c r="H982">
        <v>5</v>
      </c>
      <c r="I982">
        <v>1424.75</v>
      </c>
      <c r="J982">
        <v>7123.75</v>
      </c>
      <c r="K982" t="s">
        <v>1251</v>
      </c>
      <c r="L982" t="s">
        <v>36</v>
      </c>
    </row>
    <row r="983" spans="1:12" x14ac:dyDescent="0.35">
      <c r="A983" t="s">
        <v>2124</v>
      </c>
      <c r="B983" t="s">
        <v>348</v>
      </c>
      <c r="C983" t="s">
        <v>349</v>
      </c>
      <c r="D983" t="s">
        <v>32</v>
      </c>
      <c r="E983" t="s">
        <v>203</v>
      </c>
      <c r="F983" t="s">
        <v>101</v>
      </c>
      <c r="G983" t="s">
        <v>237</v>
      </c>
      <c r="H983">
        <v>4</v>
      </c>
      <c r="I983">
        <v>660.31</v>
      </c>
      <c r="J983">
        <v>2641.24</v>
      </c>
      <c r="K983" t="s">
        <v>624</v>
      </c>
      <c r="L983" t="s">
        <v>36</v>
      </c>
    </row>
    <row r="984" spans="1:12" x14ac:dyDescent="0.35">
      <c r="A984" t="s">
        <v>2125</v>
      </c>
      <c r="B984" t="s">
        <v>681</v>
      </c>
      <c r="C984" t="s">
        <v>682</v>
      </c>
      <c r="D984" t="s">
        <v>32</v>
      </c>
      <c r="E984" t="s">
        <v>61</v>
      </c>
      <c r="F984" t="s">
        <v>16</v>
      </c>
      <c r="G984" t="s">
        <v>148</v>
      </c>
      <c r="H984">
        <v>2</v>
      </c>
      <c r="I984">
        <v>593.22</v>
      </c>
      <c r="J984">
        <v>1186.44</v>
      </c>
      <c r="K984" t="s">
        <v>1931</v>
      </c>
      <c r="L984" t="s">
        <v>91</v>
      </c>
    </row>
    <row r="985" spans="1:12" x14ac:dyDescent="0.35">
      <c r="A985" t="s">
        <v>2126</v>
      </c>
      <c r="B985" t="s">
        <v>1073</v>
      </c>
      <c r="C985" t="s">
        <v>1074</v>
      </c>
      <c r="D985" t="s">
        <v>40</v>
      </c>
      <c r="E985" t="s">
        <v>41</v>
      </c>
      <c r="F985" t="s">
        <v>16</v>
      </c>
      <c r="G985" t="s">
        <v>182</v>
      </c>
      <c r="H985">
        <v>1</v>
      </c>
      <c r="I985">
        <v>41.96</v>
      </c>
      <c r="J985">
        <v>41.96</v>
      </c>
      <c r="K985" t="s">
        <v>647</v>
      </c>
      <c r="L985" t="s">
        <v>28</v>
      </c>
    </row>
    <row r="986" spans="1:12" x14ac:dyDescent="0.35">
      <c r="A986" t="s">
        <v>2127</v>
      </c>
      <c r="B986" t="s">
        <v>1028</v>
      </c>
      <c r="C986" t="s">
        <v>1029</v>
      </c>
      <c r="D986" t="s">
        <v>14</v>
      </c>
      <c r="E986" t="s">
        <v>100</v>
      </c>
      <c r="F986" t="s">
        <v>101</v>
      </c>
      <c r="G986" t="s">
        <v>373</v>
      </c>
      <c r="H986">
        <v>1</v>
      </c>
      <c r="I986">
        <v>1458.23</v>
      </c>
      <c r="J986">
        <v>1458.23</v>
      </c>
      <c r="K986" t="s">
        <v>309</v>
      </c>
      <c r="L986" t="s">
        <v>91</v>
      </c>
    </row>
    <row r="987" spans="1:12" x14ac:dyDescent="0.35">
      <c r="A987" t="s">
        <v>2128</v>
      </c>
      <c r="B987" t="s">
        <v>325</v>
      </c>
      <c r="C987" t="s">
        <v>326</v>
      </c>
      <c r="D987" t="s">
        <v>23</v>
      </c>
      <c r="E987" t="s">
        <v>338</v>
      </c>
      <c r="F987" t="s">
        <v>42</v>
      </c>
      <c r="G987" t="s">
        <v>43</v>
      </c>
      <c r="H987">
        <v>5</v>
      </c>
      <c r="I987">
        <v>1425.09</v>
      </c>
      <c r="J987">
        <v>7125.45</v>
      </c>
      <c r="K987" t="s">
        <v>2129</v>
      </c>
      <c r="L987" t="s">
        <v>36</v>
      </c>
    </row>
    <row r="988" spans="1:12" x14ac:dyDescent="0.35">
      <c r="A988" t="s">
        <v>2130</v>
      </c>
      <c r="B988" t="s">
        <v>201</v>
      </c>
      <c r="C988" t="s">
        <v>202</v>
      </c>
      <c r="D988" t="s">
        <v>23</v>
      </c>
      <c r="E988" t="s">
        <v>338</v>
      </c>
      <c r="F988" t="s">
        <v>42</v>
      </c>
      <c r="G988" t="s">
        <v>225</v>
      </c>
      <c r="H988">
        <v>4</v>
      </c>
      <c r="I988">
        <v>195.08</v>
      </c>
      <c r="J988">
        <v>780.32</v>
      </c>
      <c r="K988" t="s">
        <v>2131</v>
      </c>
      <c r="L988" t="s">
        <v>28</v>
      </c>
    </row>
    <row r="989" spans="1:12" x14ac:dyDescent="0.35">
      <c r="A989" t="s">
        <v>2132</v>
      </c>
      <c r="B989" t="s">
        <v>711</v>
      </c>
      <c r="C989" t="s">
        <v>712</v>
      </c>
      <c r="D989" t="s">
        <v>32</v>
      </c>
      <c r="E989" t="s">
        <v>61</v>
      </c>
      <c r="F989" t="s">
        <v>101</v>
      </c>
      <c r="G989" t="s">
        <v>237</v>
      </c>
      <c r="H989">
        <v>2</v>
      </c>
      <c r="I989">
        <v>1332.75</v>
      </c>
      <c r="J989">
        <v>2665.5</v>
      </c>
      <c r="K989" t="s">
        <v>1779</v>
      </c>
      <c r="L989" t="s">
        <v>45</v>
      </c>
    </row>
    <row r="990" spans="1:12" x14ac:dyDescent="0.35">
      <c r="A990" t="s">
        <v>2133</v>
      </c>
      <c r="B990" t="s">
        <v>12</v>
      </c>
      <c r="C990" t="s">
        <v>13</v>
      </c>
      <c r="D990" t="s">
        <v>14</v>
      </c>
      <c r="E990" t="s">
        <v>95</v>
      </c>
      <c r="F990" t="s">
        <v>42</v>
      </c>
      <c r="G990" t="s">
        <v>225</v>
      </c>
      <c r="H990">
        <v>3</v>
      </c>
      <c r="I990">
        <v>882.58</v>
      </c>
      <c r="J990">
        <v>2647.74</v>
      </c>
      <c r="K990" t="s">
        <v>1336</v>
      </c>
      <c r="L990" t="s">
        <v>19</v>
      </c>
    </row>
    <row r="991" spans="1:12" x14ac:dyDescent="0.35">
      <c r="A991" t="s">
        <v>2134</v>
      </c>
      <c r="B991" t="s">
        <v>348</v>
      </c>
      <c r="C991" t="s">
        <v>349</v>
      </c>
      <c r="D991" t="s">
        <v>23</v>
      </c>
      <c r="E991" t="s">
        <v>24</v>
      </c>
      <c r="F991" t="s">
        <v>42</v>
      </c>
      <c r="G991" t="s">
        <v>43</v>
      </c>
      <c r="H991">
        <v>2</v>
      </c>
      <c r="I991">
        <v>669.82</v>
      </c>
      <c r="J991">
        <v>1339.64</v>
      </c>
      <c r="K991" t="s">
        <v>795</v>
      </c>
      <c r="L991" t="s">
        <v>28</v>
      </c>
    </row>
    <row r="992" spans="1:12" x14ac:dyDescent="0.35">
      <c r="A992" t="s">
        <v>2135</v>
      </c>
      <c r="B992" t="s">
        <v>219</v>
      </c>
      <c r="C992" t="s">
        <v>220</v>
      </c>
      <c r="D992" t="s">
        <v>32</v>
      </c>
      <c r="E992" t="s">
        <v>61</v>
      </c>
      <c r="F992" t="s">
        <v>101</v>
      </c>
      <c r="G992" t="s">
        <v>237</v>
      </c>
      <c r="H992">
        <v>5</v>
      </c>
      <c r="I992">
        <v>560.37</v>
      </c>
      <c r="J992">
        <v>2801.85</v>
      </c>
      <c r="K992" t="s">
        <v>2136</v>
      </c>
      <c r="L992" t="s">
        <v>91</v>
      </c>
    </row>
    <row r="993" spans="1:12" x14ac:dyDescent="0.35">
      <c r="A993" t="s">
        <v>2137</v>
      </c>
      <c r="B993" t="s">
        <v>1203</v>
      </c>
      <c r="C993" t="s">
        <v>1204</v>
      </c>
      <c r="D993" t="s">
        <v>14</v>
      </c>
      <c r="E993" t="s">
        <v>266</v>
      </c>
      <c r="F993" t="s">
        <v>16</v>
      </c>
      <c r="G993" t="s">
        <v>230</v>
      </c>
      <c r="H993">
        <v>4</v>
      </c>
      <c r="I993">
        <v>801.65</v>
      </c>
      <c r="J993">
        <v>3206.6</v>
      </c>
      <c r="K993" t="s">
        <v>1165</v>
      </c>
      <c r="L993" t="s">
        <v>91</v>
      </c>
    </row>
    <row r="994" spans="1:12" x14ac:dyDescent="0.35">
      <c r="A994" t="s">
        <v>2138</v>
      </c>
      <c r="B994" t="s">
        <v>352</v>
      </c>
      <c r="C994" t="s">
        <v>353</v>
      </c>
      <c r="D994" t="s">
        <v>23</v>
      </c>
      <c r="E994" t="s">
        <v>338</v>
      </c>
      <c r="F994" t="s">
        <v>42</v>
      </c>
      <c r="G994" t="s">
        <v>89</v>
      </c>
      <c r="H994">
        <v>1</v>
      </c>
      <c r="I994">
        <v>361.3</v>
      </c>
      <c r="J994">
        <v>361.3</v>
      </c>
      <c r="K994" t="s">
        <v>2100</v>
      </c>
      <c r="L994" t="s">
        <v>19</v>
      </c>
    </row>
    <row r="995" spans="1:12" x14ac:dyDescent="0.35">
      <c r="A995" t="s">
        <v>2139</v>
      </c>
      <c r="B995" t="s">
        <v>864</v>
      </c>
      <c r="C995" t="s">
        <v>865</v>
      </c>
      <c r="D995" t="s">
        <v>14</v>
      </c>
      <c r="E995" t="s">
        <v>100</v>
      </c>
      <c r="F995" t="s">
        <v>42</v>
      </c>
      <c r="G995" t="s">
        <v>225</v>
      </c>
      <c r="H995">
        <v>4</v>
      </c>
      <c r="I995">
        <v>1121.8699999999999</v>
      </c>
      <c r="J995">
        <v>4487.4799999999996</v>
      </c>
      <c r="K995" t="s">
        <v>2140</v>
      </c>
      <c r="L995" t="s">
        <v>91</v>
      </c>
    </row>
    <row r="996" spans="1:12" x14ac:dyDescent="0.35">
      <c r="A996" t="s">
        <v>2141</v>
      </c>
      <c r="B996" t="s">
        <v>990</v>
      </c>
      <c r="C996" t="s">
        <v>991</v>
      </c>
      <c r="D996" t="s">
        <v>40</v>
      </c>
      <c r="E996" t="s">
        <v>79</v>
      </c>
      <c r="F996" t="s">
        <v>50</v>
      </c>
      <c r="G996" t="s">
        <v>216</v>
      </c>
      <c r="H996">
        <v>2</v>
      </c>
      <c r="I996">
        <v>771.93</v>
      </c>
      <c r="J996">
        <v>1543.86</v>
      </c>
      <c r="K996" t="s">
        <v>2142</v>
      </c>
      <c r="L996" t="s">
        <v>91</v>
      </c>
    </row>
    <row r="997" spans="1:12" x14ac:dyDescent="0.35">
      <c r="A997" t="s">
        <v>2143</v>
      </c>
      <c r="B997" t="s">
        <v>180</v>
      </c>
      <c r="C997" t="s">
        <v>181</v>
      </c>
      <c r="D997" t="s">
        <v>40</v>
      </c>
      <c r="E997" t="s">
        <v>41</v>
      </c>
      <c r="F997" t="s">
        <v>101</v>
      </c>
      <c r="G997" t="s">
        <v>165</v>
      </c>
      <c r="H997">
        <v>2</v>
      </c>
      <c r="I997">
        <v>803.73</v>
      </c>
      <c r="J997">
        <v>1607.46</v>
      </c>
      <c r="K997" t="s">
        <v>271</v>
      </c>
      <c r="L997" t="s">
        <v>19</v>
      </c>
    </row>
    <row r="998" spans="1:12" x14ac:dyDescent="0.35">
      <c r="A998" t="s">
        <v>2144</v>
      </c>
      <c r="B998" t="s">
        <v>1677</v>
      </c>
      <c r="C998" t="s">
        <v>1678</v>
      </c>
      <c r="D998" t="s">
        <v>32</v>
      </c>
      <c r="E998" t="s">
        <v>33</v>
      </c>
      <c r="F998" t="s">
        <v>42</v>
      </c>
      <c r="G998" t="s">
        <v>89</v>
      </c>
      <c r="H998">
        <v>1</v>
      </c>
      <c r="I998">
        <v>90.25</v>
      </c>
      <c r="J998">
        <v>90.25</v>
      </c>
      <c r="K998" t="s">
        <v>1365</v>
      </c>
      <c r="L998" t="s">
        <v>45</v>
      </c>
    </row>
    <row r="999" spans="1:12" x14ac:dyDescent="0.35">
      <c r="A999" t="s">
        <v>2145</v>
      </c>
      <c r="B999" t="s">
        <v>460</v>
      </c>
      <c r="C999" t="s">
        <v>461</v>
      </c>
      <c r="D999" t="s">
        <v>40</v>
      </c>
      <c r="E999" t="s">
        <v>79</v>
      </c>
      <c r="F999" t="s">
        <v>42</v>
      </c>
      <c r="G999" t="s">
        <v>80</v>
      </c>
      <c r="H999">
        <v>2</v>
      </c>
      <c r="I999">
        <v>1230.54</v>
      </c>
      <c r="J999">
        <v>2461.08</v>
      </c>
      <c r="K999" t="s">
        <v>2146</v>
      </c>
      <c r="L999" t="s">
        <v>36</v>
      </c>
    </row>
    <row r="1000" spans="1:12" x14ac:dyDescent="0.35">
      <c r="A1000" t="s">
        <v>2147</v>
      </c>
      <c r="B1000" t="s">
        <v>1024</v>
      </c>
      <c r="C1000" t="s">
        <v>1025</v>
      </c>
      <c r="D1000" t="s">
        <v>23</v>
      </c>
      <c r="E1000" t="s">
        <v>338</v>
      </c>
      <c r="F1000" t="s">
        <v>25</v>
      </c>
      <c r="G1000" t="s">
        <v>26</v>
      </c>
      <c r="H1000">
        <v>1</v>
      </c>
      <c r="I1000">
        <v>179.64</v>
      </c>
      <c r="J1000">
        <v>179.64</v>
      </c>
      <c r="K1000" t="s">
        <v>329</v>
      </c>
      <c r="L1000" t="s">
        <v>36</v>
      </c>
    </row>
    <row r="1001" spans="1:12" x14ac:dyDescent="0.35">
      <c r="A1001" t="s">
        <v>2148</v>
      </c>
      <c r="B1001" t="s">
        <v>856</v>
      </c>
      <c r="C1001" t="s">
        <v>857</v>
      </c>
      <c r="D1001" t="s">
        <v>67</v>
      </c>
      <c r="E1001" t="s">
        <v>130</v>
      </c>
      <c r="F1001" t="s">
        <v>101</v>
      </c>
      <c r="G1001" t="s">
        <v>237</v>
      </c>
      <c r="H1001">
        <v>1</v>
      </c>
      <c r="I1001">
        <v>555.48</v>
      </c>
      <c r="J1001">
        <v>555.48</v>
      </c>
      <c r="K1001" t="s">
        <v>2149</v>
      </c>
      <c r="L1001" t="s">
        <v>28</v>
      </c>
    </row>
    <row r="1002" spans="1:12" x14ac:dyDescent="0.35">
      <c r="A1002" t="s">
        <v>2150</v>
      </c>
      <c r="B1002" t="s">
        <v>532</v>
      </c>
      <c r="C1002" t="s">
        <v>533</v>
      </c>
      <c r="D1002" t="s">
        <v>67</v>
      </c>
      <c r="E1002" t="s">
        <v>115</v>
      </c>
      <c r="F1002" t="s">
        <v>101</v>
      </c>
      <c r="G1002" t="s">
        <v>237</v>
      </c>
      <c r="H1002">
        <v>1</v>
      </c>
      <c r="I1002">
        <v>1313.76</v>
      </c>
      <c r="J1002">
        <v>1313.76</v>
      </c>
      <c r="K1002" t="s">
        <v>2151</v>
      </c>
      <c r="L1002" t="s">
        <v>45</v>
      </c>
    </row>
    <row r="1003" spans="1:12" x14ac:dyDescent="0.35">
      <c r="A1003" t="s">
        <v>2152</v>
      </c>
      <c r="B1003" t="s">
        <v>590</v>
      </c>
      <c r="C1003" t="s">
        <v>591</v>
      </c>
      <c r="D1003" t="s">
        <v>14</v>
      </c>
      <c r="E1003" t="s">
        <v>15</v>
      </c>
      <c r="F1003" t="s">
        <v>25</v>
      </c>
      <c r="G1003" t="s">
        <v>26</v>
      </c>
      <c r="H1003">
        <v>2</v>
      </c>
      <c r="I1003">
        <v>1232.23</v>
      </c>
      <c r="J1003">
        <v>2464.46</v>
      </c>
      <c r="K1003" t="s">
        <v>2153</v>
      </c>
      <c r="L1003" t="s">
        <v>91</v>
      </c>
    </row>
    <row r="1004" spans="1:12" x14ac:dyDescent="0.35">
      <c r="A1004" t="s">
        <v>2154</v>
      </c>
      <c r="B1004" t="s">
        <v>707</v>
      </c>
      <c r="C1004" t="s">
        <v>708</v>
      </c>
      <c r="D1004" t="s">
        <v>23</v>
      </c>
      <c r="E1004" t="s">
        <v>338</v>
      </c>
      <c r="F1004" t="s">
        <v>42</v>
      </c>
      <c r="G1004" t="s">
        <v>170</v>
      </c>
      <c r="H1004">
        <v>2</v>
      </c>
      <c r="I1004">
        <v>1079.3599999999999</v>
      </c>
      <c r="J1004">
        <v>2158.7199999999998</v>
      </c>
      <c r="K1004" t="s">
        <v>416</v>
      </c>
      <c r="L1004" t="s">
        <v>91</v>
      </c>
    </row>
    <row r="1005" spans="1:12" x14ac:dyDescent="0.35">
      <c r="A1005" t="s">
        <v>2155</v>
      </c>
      <c r="B1005" t="s">
        <v>514</v>
      </c>
      <c r="C1005" t="s">
        <v>515</v>
      </c>
      <c r="D1005" t="s">
        <v>23</v>
      </c>
      <c r="E1005" t="s">
        <v>338</v>
      </c>
      <c r="F1005" t="s">
        <v>42</v>
      </c>
      <c r="G1005" t="s">
        <v>170</v>
      </c>
      <c r="H1005">
        <v>3</v>
      </c>
      <c r="I1005">
        <v>710.15</v>
      </c>
      <c r="J1005">
        <v>2130.4499999999998</v>
      </c>
      <c r="K1005" t="s">
        <v>488</v>
      </c>
      <c r="L1005" t="s">
        <v>19</v>
      </c>
    </row>
    <row r="1006" spans="1:12" x14ac:dyDescent="0.35">
      <c r="A1006" t="s">
        <v>2156</v>
      </c>
      <c r="B1006" t="s">
        <v>2157</v>
      </c>
      <c r="C1006" t="s">
        <v>2158</v>
      </c>
      <c r="D1006" t="s">
        <v>14</v>
      </c>
      <c r="E1006" t="s">
        <v>266</v>
      </c>
      <c r="F1006" t="s">
        <v>50</v>
      </c>
      <c r="G1006" t="s">
        <v>170</v>
      </c>
      <c r="H1006">
        <v>4</v>
      </c>
      <c r="I1006">
        <v>1426.02</v>
      </c>
      <c r="J1006">
        <v>5704.08</v>
      </c>
      <c r="K1006" t="s">
        <v>1974</v>
      </c>
      <c r="L1006" t="s">
        <v>45</v>
      </c>
    </row>
    <row r="1007" spans="1:12" x14ac:dyDescent="0.35">
      <c r="A1007" t="s">
        <v>2159</v>
      </c>
      <c r="B1007" t="s">
        <v>30</v>
      </c>
      <c r="C1007" t="s">
        <v>31</v>
      </c>
      <c r="D1007" t="s">
        <v>67</v>
      </c>
      <c r="E1007" t="s">
        <v>68</v>
      </c>
      <c r="F1007" t="s">
        <v>25</v>
      </c>
      <c r="G1007" t="s">
        <v>26</v>
      </c>
      <c r="H1007">
        <v>1</v>
      </c>
      <c r="I1007">
        <v>1279.92</v>
      </c>
      <c r="J1007">
        <v>1279.92</v>
      </c>
      <c r="K1007" t="s">
        <v>1096</v>
      </c>
      <c r="L1007" t="s">
        <v>28</v>
      </c>
    </row>
    <row r="1008" spans="1:12" x14ac:dyDescent="0.35">
      <c r="A1008" t="s">
        <v>2160</v>
      </c>
      <c r="B1008" t="s">
        <v>658</v>
      </c>
      <c r="C1008" t="s">
        <v>659</v>
      </c>
      <c r="D1008" t="s">
        <v>23</v>
      </c>
      <c r="E1008" t="s">
        <v>24</v>
      </c>
      <c r="F1008" t="s">
        <v>16</v>
      </c>
      <c r="G1008" t="s">
        <v>230</v>
      </c>
      <c r="H1008">
        <v>4</v>
      </c>
      <c r="I1008">
        <v>1280.22</v>
      </c>
      <c r="J1008">
        <v>5120.88</v>
      </c>
      <c r="K1008" t="s">
        <v>2161</v>
      </c>
      <c r="L1008" t="s">
        <v>45</v>
      </c>
    </row>
    <row r="1009" spans="1:12" x14ac:dyDescent="0.35">
      <c r="A1009" t="s">
        <v>2162</v>
      </c>
      <c r="B1009" t="s">
        <v>443</v>
      </c>
      <c r="C1009" t="s">
        <v>444</v>
      </c>
      <c r="D1009" t="s">
        <v>23</v>
      </c>
      <c r="E1009" t="s">
        <v>49</v>
      </c>
      <c r="F1009" t="s">
        <v>50</v>
      </c>
      <c r="G1009" t="s">
        <v>56</v>
      </c>
      <c r="H1009">
        <v>5</v>
      </c>
      <c r="I1009">
        <v>367.64</v>
      </c>
      <c r="J1009">
        <v>1838.2</v>
      </c>
      <c r="K1009" t="s">
        <v>1839</v>
      </c>
      <c r="L1009" t="s">
        <v>91</v>
      </c>
    </row>
    <row r="1010" spans="1:12" x14ac:dyDescent="0.35">
      <c r="A1010" t="s">
        <v>2163</v>
      </c>
      <c r="B1010" t="s">
        <v>256</v>
      </c>
      <c r="C1010" t="s">
        <v>257</v>
      </c>
      <c r="D1010" t="s">
        <v>67</v>
      </c>
      <c r="E1010" t="s">
        <v>68</v>
      </c>
      <c r="F1010" t="s">
        <v>42</v>
      </c>
      <c r="G1010" t="s">
        <v>170</v>
      </c>
      <c r="H1010">
        <v>3</v>
      </c>
      <c r="I1010">
        <v>52.33</v>
      </c>
      <c r="J1010">
        <v>156.99</v>
      </c>
      <c r="K1010" t="s">
        <v>2164</v>
      </c>
      <c r="L1010" t="s">
        <v>45</v>
      </c>
    </row>
    <row r="1011" spans="1:12" x14ac:dyDescent="0.35">
      <c r="A1011" t="s">
        <v>2165</v>
      </c>
      <c r="B1011" t="s">
        <v>1073</v>
      </c>
      <c r="C1011" t="s">
        <v>1074</v>
      </c>
      <c r="D1011" t="s">
        <v>23</v>
      </c>
      <c r="E1011" t="s">
        <v>338</v>
      </c>
      <c r="F1011" t="s">
        <v>25</v>
      </c>
      <c r="G1011" t="s">
        <v>26</v>
      </c>
      <c r="H1011">
        <v>5</v>
      </c>
      <c r="I1011">
        <v>807.62</v>
      </c>
      <c r="J1011">
        <v>4038.1</v>
      </c>
      <c r="K1011" t="s">
        <v>70</v>
      </c>
      <c r="L1011" t="s">
        <v>91</v>
      </c>
    </row>
    <row r="1012" spans="1:12" x14ac:dyDescent="0.35">
      <c r="A1012" t="s">
        <v>2166</v>
      </c>
      <c r="B1012" t="s">
        <v>1285</v>
      </c>
      <c r="C1012" t="s">
        <v>1286</v>
      </c>
      <c r="D1012" t="s">
        <v>67</v>
      </c>
      <c r="E1012" t="s">
        <v>130</v>
      </c>
      <c r="F1012" t="s">
        <v>101</v>
      </c>
      <c r="G1012" t="s">
        <v>102</v>
      </c>
      <c r="H1012">
        <v>2</v>
      </c>
      <c r="I1012">
        <v>1336.72</v>
      </c>
      <c r="J1012">
        <v>2673.44</v>
      </c>
      <c r="K1012" t="s">
        <v>2167</v>
      </c>
      <c r="L1012" t="s">
        <v>19</v>
      </c>
    </row>
    <row r="1013" spans="1:12" x14ac:dyDescent="0.35">
      <c r="A1013" t="s">
        <v>2168</v>
      </c>
      <c r="B1013" t="s">
        <v>518</v>
      </c>
      <c r="C1013" t="s">
        <v>519</v>
      </c>
      <c r="D1013" t="s">
        <v>40</v>
      </c>
      <c r="E1013" t="s">
        <v>79</v>
      </c>
      <c r="F1013" t="s">
        <v>50</v>
      </c>
      <c r="G1013" t="s">
        <v>170</v>
      </c>
      <c r="H1013">
        <v>1</v>
      </c>
      <c r="I1013">
        <v>1288.01</v>
      </c>
      <c r="J1013">
        <v>1288.01</v>
      </c>
      <c r="K1013" t="s">
        <v>740</v>
      </c>
      <c r="L1013" t="s">
        <v>45</v>
      </c>
    </row>
    <row r="1014" spans="1:12" x14ac:dyDescent="0.35">
      <c r="A1014" t="s">
        <v>2169</v>
      </c>
      <c r="B1014" t="s">
        <v>142</v>
      </c>
      <c r="C1014" t="s">
        <v>143</v>
      </c>
      <c r="D1014" t="s">
        <v>14</v>
      </c>
      <c r="E1014" t="s">
        <v>100</v>
      </c>
      <c r="F1014" t="s">
        <v>16</v>
      </c>
      <c r="G1014" t="s">
        <v>17</v>
      </c>
      <c r="H1014">
        <v>4</v>
      </c>
      <c r="I1014">
        <v>929.52</v>
      </c>
      <c r="J1014">
        <v>3718.08</v>
      </c>
      <c r="K1014" t="s">
        <v>846</v>
      </c>
      <c r="L1014" t="s">
        <v>36</v>
      </c>
    </row>
    <row r="1015" spans="1:12" x14ac:dyDescent="0.35">
      <c r="A1015" t="s">
        <v>2170</v>
      </c>
      <c r="B1015" t="s">
        <v>496</v>
      </c>
      <c r="C1015" t="s">
        <v>497</v>
      </c>
      <c r="D1015" t="s">
        <v>67</v>
      </c>
      <c r="E1015" t="s">
        <v>115</v>
      </c>
      <c r="F1015" t="s">
        <v>101</v>
      </c>
      <c r="G1015" t="s">
        <v>102</v>
      </c>
      <c r="H1015">
        <v>3</v>
      </c>
      <c r="I1015">
        <v>371.32</v>
      </c>
      <c r="J1015">
        <v>1113.96</v>
      </c>
      <c r="K1015" t="s">
        <v>1544</v>
      </c>
      <c r="L1015" t="s">
        <v>28</v>
      </c>
    </row>
    <row r="1016" spans="1:12" x14ac:dyDescent="0.35">
      <c r="A1016" t="s">
        <v>2171</v>
      </c>
      <c r="B1016" t="s">
        <v>771</v>
      </c>
      <c r="C1016" t="s">
        <v>772</v>
      </c>
      <c r="D1016" t="s">
        <v>67</v>
      </c>
      <c r="E1016" t="s">
        <v>68</v>
      </c>
      <c r="F1016" t="s">
        <v>42</v>
      </c>
      <c r="G1016" t="s">
        <v>80</v>
      </c>
      <c r="H1016">
        <v>3</v>
      </c>
      <c r="I1016">
        <v>623.14</v>
      </c>
      <c r="J1016">
        <v>1869.42</v>
      </c>
      <c r="K1016" t="s">
        <v>2172</v>
      </c>
      <c r="L1016" t="s">
        <v>28</v>
      </c>
    </row>
    <row r="1017" spans="1:12" x14ac:dyDescent="0.35">
      <c r="A1017" t="s">
        <v>2173</v>
      </c>
      <c r="B1017" t="s">
        <v>1159</v>
      </c>
      <c r="C1017" t="s">
        <v>1160</v>
      </c>
      <c r="D1017" t="s">
        <v>32</v>
      </c>
      <c r="E1017" t="s">
        <v>61</v>
      </c>
      <c r="F1017" t="s">
        <v>42</v>
      </c>
      <c r="G1017" t="s">
        <v>80</v>
      </c>
      <c r="H1017">
        <v>5</v>
      </c>
      <c r="I1017">
        <v>69.569999999999993</v>
      </c>
      <c r="J1017">
        <v>347.85</v>
      </c>
      <c r="K1017" t="s">
        <v>1873</v>
      </c>
      <c r="L1017" t="s">
        <v>91</v>
      </c>
    </row>
    <row r="1018" spans="1:12" x14ac:dyDescent="0.35">
      <c r="A1018" t="s">
        <v>2174</v>
      </c>
      <c r="B1018" t="s">
        <v>273</v>
      </c>
      <c r="C1018" t="s">
        <v>274</v>
      </c>
      <c r="D1018" t="s">
        <v>32</v>
      </c>
      <c r="E1018" t="s">
        <v>33</v>
      </c>
      <c r="F1018" t="s">
        <v>50</v>
      </c>
      <c r="G1018" t="s">
        <v>170</v>
      </c>
      <c r="H1018">
        <v>5</v>
      </c>
      <c r="I1018">
        <v>950.89</v>
      </c>
      <c r="J1018">
        <v>4754.45</v>
      </c>
      <c r="K1018" t="s">
        <v>217</v>
      </c>
      <c r="L1018" t="s">
        <v>28</v>
      </c>
    </row>
    <row r="1019" spans="1:12" x14ac:dyDescent="0.35">
      <c r="A1019" t="s">
        <v>2175</v>
      </c>
      <c r="B1019" t="s">
        <v>38</v>
      </c>
      <c r="C1019" t="s">
        <v>39</v>
      </c>
      <c r="D1019" t="s">
        <v>32</v>
      </c>
      <c r="E1019" t="s">
        <v>203</v>
      </c>
      <c r="F1019" t="s">
        <v>50</v>
      </c>
      <c r="G1019" t="s">
        <v>56</v>
      </c>
      <c r="H1019">
        <v>5</v>
      </c>
      <c r="I1019">
        <v>322.73</v>
      </c>
      <c r="J1019">
        <v>1613.65</v>
      </c>
      <c r="K1019" t="s">
        <v>1747</v>
      </c>
      <c r="L1019" t="s">
        <v>36</v>
      </c>
    </row>
    <row r="1020" spans="1:12" x14ac:dyDescent="0.35">
      <c r="A1020" t="s">
        <v>2176</v>
      </c>
      <c r="B1020" t="s">
        <v>1496</v>
      </c>
      <c r="C1020" t="s">
        <v>1497</v>
      </c>
      <c r="D1020" t="s">
        <v>14</v>
      </c>
      <c r="E1020" t="s">
        <v>125</v>
      </c>
      <c r="F1020" t="s">
        <v>42</v>
      </c>
      <c r="G1020" t="s">
        <v>80</v>
      </c>
      <c r="H1020">
        <v>3</v>
      </c>
      <c r="I1020">
        <v>563.54</v>
      </c>
      <c r="J1020">
        <v>1690.62</v>
      </c>
      <c r="K1020" t="s">
        <v>1781</v>
      </c>
      <c r="L1020" t="s">
        <v>28</v>
      </c>
    </row>
    <row r="1021" spans="1:12" x14ac:dyDescent="0.35">
      <c r="A1021" t="s">
        <v>2177</v>
      </c>
      <c r="B1021" t="s">
        <v>1005</v>
      </c>
      <c r="C1021" t="s">
        <v>1006</v>
      </c>
      <c r="D1021" t="s">
        <v>14</v>
      </c>
      <c r="E1021" t="s">
        <v>95</v>
      </c>
      <c r="F1021" t="s">
        <v>25</v>
      </c>
      <c r="G1021" t="s">
        <v>62</v>
      </c>
      <c r="H1021">
        <v>5</v>
      </c>
      <c r="I1021">
        <v>393.75</v>
      </c>
      <c r="J1021">
        <v>1968.75</v>
      </c>
      <c r="K1021" t="s">
        <v>1512</v>
      </c>
      <c r="L1021" t="s">
        <v>19</v>
      </c>
    </row>
    <row r="1022" spans="1:12" x14ac:dyDescent="0.35">
      <c r="A1022" t="s">
        <v>2178</v>
      </c>
      <c r="B1022" t="s">
        <v>785</v>
      </c>
      <c r="C1022" t="s">
        <v>786</v>
      </c>
      <c r="D1022" t="s">
        <v>23</v>
      </c>
      <c r="E1022" t="s">
        <v>338</v>
      </c>
      <c r="F1022" t="s">
        <v>42</v>
      </c>
      <c r="G1022" t="s">
        <v>80</v>
      </c>
      <c r="H1022">
        <v>4</v>
      </c>
      <c r="I1022">
        <v>1029.79</v>
      </c>
      <c r="J1022">
        <v>4119.16</v>
      </c>
      <c r="K1022" t="s">
        <v>2179</v>
      </c>
      <c r="L1022" t="s">
        <v>28</v>
      </c>
    </row>
    <row r="1023" spans="1:12" x14ac:dyDescent="0.35">
      <c r="A1023" t="s">
        <v>2180</v>
      </c>
      <c r="B1023" t="s">
        <v>1354</v>
      </c>
      <c r="C1023" t="s">
        <v>1355</v>
      </c>
      <c r="D1023" t="s">
        <v>67</v>
      </c>
      <c r="E1023" t="s">
        <v>115</v>
      </c>
      <c r="F1023" t="s">
        <v>50</v>
      </c>
      <c r="G1023" t="s">
        <v>51</v>
      </c>
      <c r="H1023">
        <v>3</v>
      </c>
      <c r="I1023">
        <v>838.01</v>
      </c>
      <c r="J1023">
        <v>2514.0300000000002</v>
      </c>
      <c r="K1023" t="s">
        <v>1843</v>
      </c>
      <c r="L1023" t="s">
        <v>36</v>
      </c>
    </row>
    <row r="1024" spans="1:12" x14ac:dyDescent="0.35">
      <c r="A1024" t="s">
        <v>2181</v>
      </c>
      <c r="B1024" t="s">
        <v>751</v>
      </c>
      <c r="C1024" t="s">
        <v>752</v>
      </c>
      <c r="D1024" t="s">
        <v>40</v>
      </c>
      <c r="E1024" t="s">
        <v>41</v>
      </c>
      <c r="F1024" t="s">
        <v>101</v>
      </c>
      <c r="G1024" t="s">
        <v>373</v>
      </c>
      <c r="H1024">
        <v>4</v>
      </c>
      <c r="I1024">
        <v>1255.76</v>
      </c>
      <c r="J1024">
        <v>5023.04</v>
      </c>
      <c r="K1024" t="s">
        <v>1219</v>
      </c>
      <c r="L1024" t="s">
        <v>36</v>
      </c>
    </row>
    <row r="1025" spans="1:12" x14ac:dyDescent="0.35">
      <c r="A1025" t="s">
        <v>2182</v>
      </c>
      <c r="B1025" t="s">
        <v>1163</v>
      </c>
      <c r="C1025" t="s">
        <v>1164</v>
      </c>
      <c r="D1025" t="s">
        <v>14</v>
      </c>
      <c r="E1025" t="s">
        <v>15</v>
      </c>
      <c r="F1025" t="s">
        <v>16</v>
      </c>
      <c r="G1025" t="s">
        <v>230</v>
      </c>
      <c r="H1025">
        <v>3</v>
      </c>
      <c r="I1025">
        <v>628.58000000000004</v>
      </c>
      <c r="J1025">
        <v>1885.74</v>
      </c>
      <c r="K1025" t="s">
        <v>1293</v>
      </c>
      <c r="L1025" t="s">
        <v>36</v>
      </c>
    </row>
    <row r="1026" spans="1:12" x14ac:dyDescent="0.35">
      <c r="A1026" t="s">
        <v>2183</v>
      </c>
      <c r="B1026" t="s">
        <v>936</v>
      </c>
      <c r="C1026" t="s">
        <v>937</v>
      </c>
      <c r="D1026" t="s">
        <v>32</v>
      </c>
      <c r="E1026" t="s">
        <v>33</v>
      </c>
      <c r="F1026" t="s">
        <v>42</v>
      </c>
      <c r="G1026" t="s">
        <v>80</v>
      </c>
      <c r="H1026">
        <v>2</v>
      </c>
      <c r="I1026">
        <v>1401.15</v>
      </c>
      <c r="J1026">
        <v>2802.3</v>
      </c>
      <c r="K1026" t="s">
        <v>1614</v>
      </c>
      <c r="L1026" t="s">
        <v>28</v>
      </c>
    </row>
    <row r="1027" spans="1:12" x14ac:dyDescent="0.35">
      <c r="A1027" t="s">
        <v>2184</v>
      </c>
      <c r="B1027" t="s">
        <v>1163</v>
      </c>
      <c r="C1027" t="s">
        <v>1164</v>
      </c>
      <c r="D1027" t="s">
        <v>40</v>
      </c>
      <c r="E1027" t="s">
        <v>120</v>
      </c>
      <c r="F1027" t="s">
        <v>42</v>
      </c>
      <c r="G1027" t="s">
        <v>89</v>
      </c>
      <c r="H1027">
        <v>4</v>
      </c>
      <c r="I1027">
        <v>1264.8699999999999</v>
      </c>
      <c r="J1027">
        <v>5059.4799999999996</v>
      </c>
      <c r="K1027" t="s">
        <v>1683</v>
      </c>
      <c r="L1027" t="s">
        <v>28</v>
      </c>
    </row>
    <row r="1028" spans="1:12" x14ac:dyDescent="0.35">
      <c r="A1028" t="s">
        <v>2185</v>
      </c>
      <c r="B1028" t="s">
        <v>406</v>
      </c>
      <c r="C1028" t="s">
        <v>407</v>
      </c>
      <c r="D1028" t="s">
        <v>40</v>
      </c>
      <c r="E1028" t="s">
        <v>41</v>
      </c>
      <c r="F1028" t="s">
        <v>16</v>
      </c>
      <c r="G1028" t="s">
        <v>148</v>
      </c>
      <c r="H1028">
        <v>4</v>
      </c>
      <c r="I1028">
        <v>1188.1400000000001</v>
      </c>
      <c r="J1028">
        <v>4752.5600000000004</v>
      </c>
      <c r="K1028" t="s">
        <v>938</v>
      </c>
      <c r="L1028" t="s">
        <v>19</v>
      </c>
    </row>
    <row r="1029" spans="1:12" x14ac:dyDescent="0.35">
      <c r="A1029" t="s">
        <v>2186</v>
      </c>
      <c r="B1029" t="s">
        <v>1203</v>
      </c>
      <c r="C1029" t="s">
        <v>1204</v>
      </c>
      <c r="D1029" t="s">
        <v>14</v>
      </c>
      <c r="E1029" t="s">
        <v>100</v>
      </c>
      <c r="F1029" t="s">
        <v>50</v>
      </c>
      <c r="G1029" t="s">
        <v>69</v>
      </c>
      <c r="H1029">
        <v>1</v>
      </c>
      <c r="I1029">
        <v>1061.07</v>
      </c>
      <c r="J1029">
        <v>1061.07</v>
      </c>
      <c r="K1029" t="s">
        <v>1069</v>
      </c>
      <c r="L1029" t="s">
        <v>28</v>
      </c>
    </row>
    <row r="1030" spans="1:12" x14ac:dyDescent="0.35">
      <c r="A1030" t="s">
        <v>2187</v>
      </c>
      <c r="B1030" t="s">
        <v>2188</v>
      </c>
      <c r="C1030" t="s">
        <v>2189</v>
      </c>
      <c r="D1030" t="s">
        <v>67</v>
      </c>
      <c r="E1030" t="s">
        <v>130</v>
      </c>
      <c r="F1030" t="s">
        <v>101</v>
      </c>
      <c r="G1030" t="s">
        <v>373</v>
      </c>
      <c r="H1030">
        <v>2</v>
      </c>
      <c r="I1030">
        <v>348.82</v>
      </c>
      <c r="J1030">
        <v>697.64</v>
      </c>
      <c r="K1030" t="s">
        <v>1124</v>
      </c>
      <c r="L1030" t="s">
        <v>91</v>
      </c>
    </row>
    <row r="1031" spans="1:12" x14ac:dyDescent="0.35">
      <c r="A1031" t="s">
        <v>2190</v>
      </c>
      <c r="B1031" t="s">
        <v>2188</v>
      </c>
      <c r="C1031" t="s">
        <v>2189</v>
      </c>
      <c r="D1031" t="s">
        <v>32</v>
      </c>
      <c r="E1031" t="s">
        <v>33</v>
      </c>
      <c r="F1031" t="s">
        <v>16</v>
      </c>
      <c r="G1031" t="s">
        <v>148</v>
      </c>
      <c r="H1031">
        <v>1</v>
      </c>
      <c r="I1031">
        <v>915.33</v>
      </c>
      <c r="J1031">
        <v>915.33</v>
      </c>
      <c r="K1031" t="s">
        <v>1815</v>
      </c>
      <c r="L1031" t="s">
        <v>28</v>
      </c>
    </row>
    <row r="1032" spans="1:12" x14ac:dyDescent="0.35">
      <c r="A1032" t="s">
        <v>2191</v>
      </c>
      <c r="B1032" t="s">
        <v>1028</v>
      </c>
      <c r="C1032" t="s">
        <v>1029</v>
      </c>
      <c r="D1032" t="s">
        <v>14</v>
      </c>
      <c r="E1032" t="s">
        <v>15</v>
      </c>
      <c r="F1032" t="s">
        <v>42</v>
      </c>
      <c r="G1032" t="s">
        <v>89</v>
      </c>
      <c r="H1032">
        <v>3</v>
      </c>
      <c r="I1032">
        <v>626.02</v>
      </c>
      <c r="J1032">
        <v>1878.06</v>
      </c>
      <c r="K1032" t="s">
        <v>329</v>
      </c>
      <c r="L1032" t="s">
        <v>19</v>
      </c>
    </row>
    <row r="1033" spans="1:12" x14ac:dyDescent="0.35">
      <c r="A1033" t="s">
        <v>2192</v>
      </c>
      <c r="B1033" t="s">
        <v>763</v>
      </c>
      <c r="C1033" t="s">
        <v>764</v>
      </c>
      <c r="D1033" t="s">
        <v>40</v>
      </c>
      <c r="E1033" t="s">
        <v>41</v>
      </c>
      <c r="F1033" t="s">
        <v>50</v>
      </c>
      <c r="G1033" t="s">
        <v>51</v>
      </c>
      <c r="H1033">
        <v>1</v>
      </c>
      <c r="I1033">
        <v>570.1</v>
      </c>
      <c r="J1033">
        <v>570.1</v>
      </c>
      <c r="K1033" t="s">
        <v>2193</v>
      </c>
      <c r="L1033" t="s">
        <v>19</v>
      </c>
    </row>
    <row r="1034" spans="1:12" x14ac:dyDescent="0.35">
      <c r="A1034" t="s">
        <v>2194</v>
      </c>
      <c r="B1034" t="s">
        <v>435</v>
      </c>
      <c r="C1034" t="s">
        <v>436</v>
      </c>
      <c r="D1034" t="s">
        <v>32</v>
      </c>
      <c r="E1034" t="s">
        <v>33</v>
      </c>
      <c r="F1034" t="s">
        <v>50</v>
      </c>
      <c r="G1034" t="s">
        <v>56</v>
      </c>
      <c r="H1034">
        <v>2</v>
      </c>
      <c r="I1034">
        <v>414.03</v>
      </c>
      <c r="J1034">
        <v>828.06</v>
      </c>
      <c r="K1034" t="s">
        <v>2149</v>
      </c>
      <c r="L1034" t="s">
        <v>45</v>
      </c>
    </row>
    <row r="1035" spans="1:12" x14ac:dyDescent="0.35">
      <c r="A1035" t="s">
        <v>2195</v>
      </c>
      <c r="B1035" t="s">
        <v>536</v>
      </c>
      <c r="C1035" t="s">
        <v>537</v>
      </c>
      <c r="D1035" t="s">
        <v>14</v>
      </c>
      <c r="E1035" t="s">
        <v>100</v>
      </c>
      <c r="F1035" t="s">
        <v>16</v>
      </c>
      <c r="G1035" t="s">
        <v>230</v>
      </c>
      <c r="H1035">
        <v>4</v>
      </c>
      <c r="I1035">
        <v>393.68</v>
      </c>
      <c r="J1035">
        <v>1574.72</v>
      </c>
      <c r="K1035" t="s">
        <v>2196</v>
      </c>
      <c r="L1035" t="s">
        <v>36</v>
      </c>
    </row>
    <row r="1036" spans="1:12" x14ac:dyDescent="0.35">
      <c r="A1036" t="s">
        <v>2197</v>
      </c>
      <c r="B1036" t="s">
        <v>622</v>
      </c>
      <c r="C1036" t="s">
        <v>623</v>
      </c>
      <c r="D1036" t="s">
        <v>23</v>
      </c>
      <c r="E1036" t="s">
        <v>49</v>
      </c>
      <c r="F1036" t="s">
        <v>50</v>
      </c>
      <c r="G1036" t="s">
        <v>170</v>
      </c>
      <c r="H1036">
        <v>3</v>
      </c>
      <c r="I1036">
        <v>226.45</v>
      </c>
      <c r="J1036">
        <v>679.35</v>
      </c>
      <c r="K1036" t="s">
        <v>2198</v>
      </c>
      <c r="L1036" t="s">
        <v>19</v>
      </c>
    </row>
    <row r="1037" spans="1:12" x14ac:dyDescent="0.35">
      <c r="A1037" t="s">
        <v>2199</v>
      </c>
      <c r="B1037" t="s">
        <v>402</v>
      </c>
      <c r="C1037" t="s">
        <v>403</v>
      </c>
      <c r="D1037" t="s">
        <v>32</v>
      </c>
      <c r="E1037" t="s">
        <v>33</v>
      </c>
      <c r="F1037" t="s">
        <v>42</v>
      </c>
      <c r="G1037" t="s">
        <v>43</v>
      </c>
      <c r="H1037">
        <v>2</v>
      </c>
      <c r="I1037">
        <v>1025.68</v>
      </c>
      <c r="J1037">
        <v>2051.36</v>
      </c>
      <c r="K1037" t="s">
        <v>166</v>
      </c>
      <c r="L1037" t="s">
        <v>91</v>
      </c>
    </row>
    <row r="1038" spans="1:12" x14ac:dyDescent="0.35">
      <c r="A1038" t="s">
        <v>2200</v>
      </c>
      <c r="B1038" t="s">
        <v>759</v>
      </c>
      <c r="C1038" t="s">
        <v>760</v>
      </c>
      <c r="D1038" t="s">
        <v>67</v>
      </c>
      <c r="E1038" t="s">
        <v>130</v>
      </c>
      <c r="F1038" t="s">
        <v>42</v>
      </c>
      <c r="G1038" t="s">
        <v>170</v>
      </c>
      <c r="H1038">
        <v>5</v>
      </c>
      <c r="I1038">
        <v>153.69999999999999</v>
      </c>
      <c r="J1038">
        <v>768.5</v>
      </c>
      <c r="K1038" t="s">
        <v>1228</v>
      </c>
      <c r="L1038" t="s">
        <v>36</v>
      </c>
    </row>
    <row r="1039" spans="1:12" x14ac:dyDescent="0.35">
      <c r="A1039" t="s">
        <v>2201</v>
      </c>
      <c r="B1039" t="s">
        <v>1828</v>
      </c>
      <c r="C1039" t="s">
        <v>1829</v>
      </c>
      <c r="D1039" t="s">
        <v>40</v>
      </c>
      <c r="E1039" t="s">
        <v>120</v>
      </c>
      <c r="F1039" t="s">
        <v>101</v>
      </c>
      <c r="G1039" t="s">
        <v>649</v>
      </c>
      <c r="H1039">
        <v>4</v>
      </c>
      <c r="I1039">
        <v>1340.16</v>
      </c>
      <c r="J1039">
        <v>5360.64</v>
      </c>
      <c r="K1039" t="s">
        <v>1505</v>
      </c>
      <c r="L1039" t="s">
        <v>91</v>
      </c>
    </row>
    <row r="1040" spans="1:12" x14ac:dyDescent="0.35">
      <c r="A1040" t="s">
        <v>2202</v>
      </c>
      <c r="B1040" t="s">
        <v>1875</v>
      </c>
      <c r="C1040" t="s">
        <v>1876</v>
      </c>
      <c r="D1040" t="s">
        <v>23</v>
      </c>
      <c r="E1040" t="s">
        <v>338</v>
      </c>
      <c r="F1040" t="s">
        <v>101</v>
      </c>
      <c r="G1040" t="s">
        <v>373</v>
      </c>
      <c r="H1040">
        <v>1</v>
      </c>
      <c r="I1040">
        <v>231.21</v>
      </c>
      <c r="J1040">
        <v>231.21</v>
      </c>
      <c r="K1040" t="s">
        <v>813</v>
      </c>
      <c r="L1040" t="s">
        <v>36</v>
      </c>
    </row>
    <row r="1041" spans="1:12" x14ac:dyDescent="0.35">
      <c r="A1041" t="s">
        <v>2203</v>
      </c>
      <c r="B1041" t="s">
        <v>715</v>
      </c>
      <c r="C1041" t="s">
        <v>716</v>
      </c>
      <c r="D1041" t="s">
        <v>14</v>
      </c>
      <c r="E1041" t="s">
        <v>15</v>
      </c>
      <c r="F1041" t="s">
        <v>42</v>
      </c>
      <c r="G1041" t="s">
        <v>43</v>
      </c>
      <c r="H1041">
        <v>2</v>
      </c>
      <c r="I1041">
        <v>274.63</v>
      </c>
      <c r="J1041">
        <v>549.26</v>
      </c>
      <c r="K1041" t="s">
        <v>472</v>
      </c>
      <c r="L1041" t="s">
        <v>45</v>
      </c>
    </row>
    <row r="1042" spans="1:12" x14ac:dyDescent="0.35">
      <c r="A1042" t="s">
        <v>2204</v>
      </c>
      <c r="B1042" t="s">
        <v>1042</v>
      </c>
      <c r="C1042" t="s">
        <v>1043</v>
      </c>
      <c r="D1042" t="s">
        <v>23</v>
      </c>
      <c r="E1042" t="s">
        <v>338</v>
      </c>
      <c r="F1042" t="s">
        <v>101</v>
      </c>
      <c r="G1042" t="s">
        <v>373</v>
      </c>
      <c r="H1042">
        <v>3</v>
      </c>
      <c r="I1042">
        <v>1140.8800000000001</v>
      </c>
      <c r="J1042">
        <v>3422.64</v>
      </c>
      <c r="K1042" t="s">
        <v>2050</v>
      </c>
      <c r="L1042" t="s">
        <v>91</v>
      </c>
    </row>
    <row r="1043" spans="1:12" x14ac:dyDescent="0.35">
      <c r="A1043" t="s">
        <v>2205</v>
      </c>
      <c r="B1043" t="s">
        <v>1018</v>
      </c>
      <c r="C1043" t="s">
        <v>1019</v>
      </c>
      <c r="D1043" t="s">
        <v>23</v>
      </c>
      <c r="E1043" t="s">
        <v>49</v>
      </c>
      <c r="F1043" t="s">
        <v>50</v>
      </c>
      <c r="G1043" t="s">
        <v>51</v>
      </c>
      <c r="H1043">
        <v>5</v>
      </c>
      <c r="I1043">
        <v>9.98</v>
      </c>
      <c r="J1043">
        <v>49.9</v>
      </c>
      <c r="K1043" t="s">
        <v>942</v>
      </c>
      <c r="L1043" t="s">
        <v>19</v>
      </c>
    </row>
    <row r="1044" spans="1:12" x14ac:dyDescent="0.35">
      <c r="A1044" t="s">
        <v>2206</v>
      </c>
      <c r="B1044" t="s">
        <v>1743</v>
      </c>
      <c r="C1044" t="s">
        <v>1744</v>
      </c>
      <c r="D1044" t="s">
        <v>23</v>
      </c>
      <c r="E1044" t="s">
        <v>49</v>
      </c>
      <c r="F1044" t="s">
        <v>50</v>
      </c>
      <c r="G1044" t="s">
        <v>170</v>
      </c>
      <c r="H1044">
        <v>5</v>
      </c>
      <c r="I1044">
        <v>960.43</v>
      </c>
      <c r="J1044">
        <v>4802.1499999999996</v>
      </c>
      <c r="K1044" t="s">
        <v>2207</v>
      </c>
      <c r="L1044" t="s">
        <v>45</v>
      </c>
    </row>
    <row r="1045" spans="1:12" x14ac:dyDescent="0.35">
      <c r="A1045" t="s">
        <v>2208</v>
      </c>
      <c r="B1045" t="s">
        <v>618</v>
      </c>
      <c r="C1045" t="s">
        <v>619</v>
      </c>
      <c r="D1045" t="s">
        <v>67</v>
      </c>
      <c r="E1045" t="s">
        <v>115</v>
      </c>
      <c r="F1045" t="s">
        <v>50</v>
      </c>
      <c r="G1045" t="s">
        <v>170</v>
      </c>
      <c r="H1045">
        <v>1</v>
      </c>
      <c r="I1045">
        <v>117.27</v>
      </c>
      <c r="J1045">
        <v>117.27</v>
      </c>
      <c r="K1045" t="s">
        <v>1479</v>
      </c>
      <c r="L1045" t="s">
        <v>91</v>
      </c>
    </row>
    <row r="1046" spans="1:12" x14ac:dyDescent="0.35">
      <c r="A1046" t="s">
        <v>2209</v>
      </c>
      <c r="B1046" t="s">
        <v>214</v>
      </c>
      <c r="C1046" t="s">
        <v>215</v>
      </c>
      <c r="D1046" t="s">
        <v>32</v>
      </c>
      <c r="E1046" t="s">
        <v>203</v>
      </c>
      <c r="F1046" t="s">
        <v>50</v>
      </c>
      <c r="G1046" t="s">
        <v>216</v>
      </c>
      <c r="H1046">
        <v>4</v>
      </c>
      <c r="I1046">
        <v>165.97</v>
      </c>
      <c r="J1046">
        <v>663.88</v>
      </c>
      <c r="K1046" t="s">
        <v>2210</v>
      </c>
      <c r="L1046" t="s">
        <v>45</v>
      </c>
    </row>
    <row r="1047" spans="1:12" x14ac:dyDescent="0.35">
      <c r="A1047" t="s">
        <v>2211</v>
      </c>
      <c r="B1047" t="s">
        <v>185</v>
      </c>
      <c r="C1047" t="s">
        <v>186</v>
      </c>
      <c r="D1047" t="s">
        <v>67</v>
      </c>
      <c r="E1047" t="s">
        <v>68</v>
      </c>
      <c r="F1047" t="s">
        <v>50</v>
      </c>
      <c r="G1047" t="s">
        <v>51</v>
      </c>
      <c r="H1047">
        <v>1</v>
      </c>
      <c r="I1047">
        <v>555.75</v>
      </c>
      <c r="J1047">
        <v>555.75</v>
      </c>
      <c r="K1047" t="s">
        <v>1850</v>
      </c>
      <c r="L1047" t="s">
        <v>91</v>
      </c>
    </row>
    <row r="1048" spans="1:12" x14ac:dyDescent="0.35">
      <c r="A1048" t="s">
        <v>2212</v>
      </c>
      <c r="B1048" t="s">
        <v>219</v>
      </c>
      <c r="C1048" t="s">
        <v>220</v>
      </c>
      <c r="D1048" t="s">
        <v>40</v>
      </c>
      <c r="E1048" t="s">
        <v>79</v>
      </c>
      <c r="F1048" t="s">
        <v>50</v>
      </c>
      <c r="G1048" t="s">
        <v>170</v>
      </c>
      <c r="H1048">
        <v>2</v>
      </c>
      <c r="I1048">
        <v>1481.48</v>
      </c>
      <c r="J1048">
        <v>2962.96</v>
      </c>
      <c r="K1048" t="s">
        <v>410</v>
      </c>
      <c r="L1048" t="s">
        <v>28</v>
      </c>
    </row>
    <row r="1049" spans="1:12" x14ac:dyDescent="0.35">
      <c r="A1049" t="s">
        <v>2213</v>
      </c>
      <c r="B1049" t="s">
        <v>426</v>
      </c>
      <c r="C1049" t="s">
        <v>427</v>
      </c>
      <c r="D1049" t="s">
        <v>40</v>
      </c>
      <c r="E1049" t="s">
        <v>79</v>
      </c>
      <c r="F1049" t="s">
        <v>16</v>
      </c>
      <c r="G1049" t="s">
        <v>17</v>
      </c>
      <c r="H1049">
        <v>1</v>
      </c>
      <c r="I1049">
        <v>725.4</v>
      </c>
      <c r="J1049">
        <v>725.4</v>
      </c>
      <c r="K1049" t="s">
        <v>1199</v>
      </c>
      <c r="L1049" t="s">
        <v>45</v>
      </c>
    </row>
    <row r="1050" spans="1:12" x14ac:dyDescent="0.35">
      <c r="A1050" t="s">
        <v>2214</v>
      </c>
      <c r="B1050" t="s">
        <v>392</v>
      </c>
      <c r="C1050" t="s">
        <v>393</v>
      </c>
      <c r="D1050" t="s">
        <v>40</v>
      </c>
      <c r="E1050" t="s">
        <v>41</v>
      </c>
      <c r="F1050" t="s">
        <v>42</v>
      </c>
      <c r="G1050" t="s">
        <v>43</v>
      </c>
      <c r="H1050">
        <v>5</v>
      </c>
      <c r="I1050">
        <v>477.44</v>
      </c>
      <c r="J1050">
        <v>2387.1999999999998</v>
      </c>
      <c r="K1050" t="s">
        <v>339</v>
      </c>
      <c r="L1050" t="s">
        <v>91</v>
      </c>
    </row>
    <row r="1051" spans="1:12" x14ac:dyDescent="0.35">
      <c r="A1051" t="s">
        <v>2215</v>
      </c>
      <c r="B1051" t="s">
        <v>910</v>
      </c>
      <c r="C1051" t="s">
        <v>911</v>
      </c>
      <c r="D1051" t="s">
        <v>14</v>
      </c>
      <c r="E1051" t="s">
        <v>15</v>
      </c>
      <c r="F1051" t="s">
        <v>50</v>
      </c>
      <c r="G1051" t="s">
        <v>216</v>
      </c>
      <c r="H1051">
        <v>1</v>
      </c>
      <c r="I1051">
        <v>837.63</v>
      </c>
      <c r="J1051">
        <v>837.63</v>
      </c>
      <c r="K1051" t="s">
        <v>116</v>
      </c>
      <c r="L1051" t="s">
        <v>91</v>
      </c>
    </row>
    <row r="1052" spans="1:12" x14ac:dyDescent="0.35">
      <c r="A1052" t="s">
        <v>2216</v>
      </c>
      <c r="B1052" t="s">
        <v>474</v>
      </c>
      <c r="C1052" t="s">
        <v>475</v>
      </c>
      <c r="D1052" t="s">
        <v>40</v>
      </c>
      <c r="E1052" t="s">
        <v>79</v>
      </c>
      <c r="F1052" t="s">
        <v>42</v>
      </c>
      <c r="G1052" t="s">
        <v>170</v>
      </c>
      <c r="H1052">
        <v>5</v>
      </c>
      <c r="I1052">
        <v>585.52</v>
      </c>
      <c r="J1052">
        <v>2927.6</v>
      </c>
      <c r="K1052" t="s">
        <v>44</v>
      </c>
      <c r="L1052" t="s">
        <v>36</v>
      </c>
    </row>
    <row r="1053" spans="1:12" x14ac:dyDescent="0.35">
      <c r="A1053" t="s">
        <v>2217</v>
      </c>
      <c r="B1053" t="s">
        <v>341</v>
      </c>
      <c r="C1053" t="s">
        <v>342</v>
      </c>
      <c r="D1053" t="s">
        <v>32</v>
      </c>
      <c r="E1053" t="s">
        <v>33</v>
      </c>
      <c r="F1053" t="s">
        <v>25</v>
      </c>
      <c r="G1053" t="s">
        <v>62</v>
      </c>
      <c r="H1053">
        <v>1</v>
      </c>
      <c r="I1053">
        <v>758.97</v>
      </c>
      <c r="J1053">
        <v>758.97</v>
      </c>
      <c r="K1053" t="s">
        <v>1276</v>
      </c>
      <c r="L1053" t="s">
        <v>28</v>
      </c>
    </row>
    <row r="1054" spans="1:12" x14ac:dyDescent="0.35">
      <c r="A1054" t="s">
        <v>2218</v>
      </c>
      <c r="B1054" t="s">
        <v>868</v>
      </c>
      <c r="C1054" t="s">
        <v>869</v>
      </c>
      <c r="D1054" t="s">
        <v>32</v>
      </c>
      <c r="E1054" t="s">
        <v>61</v>
      </c>
      <c r="F1054" t="s">
        <v>25</v>
      </c>
      <c r="G1054" t="s">
        <v>62</v>
      </c>
      <c r="H1054">
        <v>2</v>
      </c>
      <c r="I1054">
        <v>799.62</v>
      </c>
      <c r="J1054">
        <v>1599.24</v>
      </c>
      <c r="K1054" t="s">
        <v>1675</v>
      </c>
      <c r="L1054" t="s">
        <v>19</v>
      </c>
    </row>
    <row r="1055" spans="1:12" x14ac:dyDescent="0.35">
      <c r="A1055" t="s">
        <v>2219</v>
      </c>
      <c r="B1055" t="s">
        <v>703</v>
      </c>
      <c r="C1055" t="s">
        <v>704</v>
      </c>
      <c r="D1055" t="s">
        <v>67</v>
      </c>
      <c r="E1055" t="s">
        <v>115</v>
      </c>
      <c r="F1055" t="s">
        <v>50</v>
      </c>
      <c r="G1055" t="s">
        <v>170</v>
      </c>
      <c r="H1055">
        <v>2</v>
      </c>
      <c r="I1055">
        <v>179.47</v>
      </c>
      <c r="J1055">
        <v>358.94</v>
      </c>
      <c r="K1055" t="s">
        <v>2167</v>
      </c>
      <c r="L1055" t="s">
        <v>19</v>
      </c>
    </row>
    <row r="1056" spans="1:12" x14ac:dyDescent="0.35">
      <c r="A1056" t="s">
        <v>2220</v>
      </c>
      <c r="B1056" t="s">
        <v>299</v>
      </c>
      <c r="C1056" t="s">
        <v>300</v>
      </c>
      <c r="D1056" t="s">
        <v>23</v>
      </c>
      <c r="E1056" t="s">
        <v>338</v>
      </c>
      <c r="F1056" t="s">
        <v>50</v>
      </c>
      <c r="G1056" t="s">
        <v>170</v>
      </c>
      <c r="H1056">
        <v>5</v>
      </c>
      <c r="I1056">
        <v>1078.0899999999999</v>
      </c>
      <c r="J1056">
        <v>5390.45</v>
      </c>
      <c r="K1056" t="s">
        <v>2221</v>
      </c>
      <c r="L1056" t="s">
        <v>45</v>
      </c>
    </row>
    <row r="1057" spans="1:12" x14ac:dyDescent="0.35">
      <c r="A1057" t="s">
        <v>2222</v>
      </c>
      <c r="B1057" t="s">
        <v>1428</v>
      </c>
      <c r="C1057" t="s">
        <v>1429</v>
      </c>
      <c r="D1057" t="s">
        <v>23</v>
      </c>
      <c r="E1057" t="s">
        <v>338</v>
      </c>
      <c r="F1057" t="s">
        <v>42</v>
      </c>
      <c r="G1057" t="s">
        <v>80</v>
      </c>
      <c r="H1057">
        <v>1</v>
      </c>
      <c r="I1057">
        <v>162.4</v>
      </c>
      <c r="J1057">
        <v>162.4</v>
      </c>
      <c r="K1057" t="s">
        <v>2223</v>
      </c>
      <c r="L1057" t="s">
        <v>28</v>
      </c>
    </row>
    <row r="1058" spans="1:12" x14ac:dyDescent="0.35">
      <c r="A1058" t="s">
        <v>2224</v>
      </c>
      <c r="B1058" t="s">
        <v>711</v>
      </c>
      <c r="C1058" t="s">
        <v>712</v>
      </c>
      <c r="D1058" t="s">
        <v>14</v>
      </c>
      <c r="E1058" t="s">
        <v>95</v>
      </c>
      <c r="F1058" t="s">
        <v>42</v>
      </c>
      <c r="G1058" t="s">
        <v>225</v>
      </c>
      <c r="H1058">
        <v>5</v>
      </c>
      <c r="I1058">
        <v>89.88</v>
      </c>
      <c r="J1058">
        <v>449.4</v>
      </c>
      <c r="K1058" t="s">
        <v>2225</v>
      </c>
      <c r="L1058" t="s">
        <v>91</v>
      </c>
    </row>
    <row r="1059" spans="1:12" x14ac:dyDescent="0.35">
      <c r="A1059" t="s">
        <v>2226</v>
      </c>
      <c r="B1059" t="s">
        <v>1419</v>
      </c>
      <c r="C1059" t="s">
        <v>1420</v>
      </c>
      <c r="D1059" t="s">
        <v>67</v>
      </c>
      <c r="E1059" t="s">
        <v>115</v>
      </c>
      <c r="F1059" t="s">
        <v>50</v>
      </c>
      <c r="G1059" t="s">
        <v>56</v>
      </c>
      <c r="H1059">
        <v>4</v>
      </c>
      <c r="I1059">
        <v>1059.94</v>
      </c>
      <c r="J1059">
        <v>4239.76</v>
      </c>
      <c r="K1059" t="s">
        <v>2227</v>
      </c>
      <c r="L1059" t="s">
        <v>45</v>
      </c>
    </row>
    <row r="1060" spans="1:12" x14ac:dyDescent="0.35">
      <c r="A1060" t="s">
        <v>2228</v>
      </c>
      <c r="B1060" t="s">
        <v>1092</v>
      </c>
      <c r="C1060" t="s">
        <v>1093</v>
      </c>
      <c r="D1060" t="s">
        <v>14</v>
      </c>
      <c r="E1060" t="s">
        <v>266</v>
      </c>
      <c r="F1060" t="s">
        <v>101</v>
      </c>
      <c r="G1060" t="s">
        <v>165</v>
      </c>
      <c r="H1060">
        <v>3</v>
      </c>
      <c r="I1060">
        <v>1061.99</v>
      </c>
      <c r="J1060">
        <v>3185.97</v>
      </c>
      <c r="K1060" t="s">
        <v>1270</v>
      </c>
      <c r="L1060" t="s">
        <v>19</v>
      </c>
    </row>
    <row r="1061" spans="1:12" x14ac:dyDescent="0.35">
      <c r="A1061" t="s">
        <v>2229</v>
      </c>
      <c r="B1061" t="s">
        <v>435</v>
      </c>
      <c r="C1061" t="s">
        <v>436</v>
      </c>
      <c r="D1061" t="s">
        <v>14</v>
      </c>
      <c r="E1061" t="s">
        <v>95</v>
      </c>
      <c r="F1061" t="s">
        <v>42</v>
      </c>
      <c r="G1061" t="s">
        <v>80</v>
      </c>
      <c r="H1061">
        <v>5</v>
      </c>
      <c r="I1061">
        <v>1278.96</v>
      </c>
      <c r="J1061">
        <v>6394.8</v>
      </c>
      <c r="K1061" t="s">
        <v>2230</v>
      </c>
      <c r="L1061" t="s">
        <v>36</v>
      </c>
    </row>
    <row r="1062" spans="1:12" x14ac:dyDescent="0.35">
      <c r="A1062" t="s">
        <v>2231</v>
      </c>
      <c r="B1062" t="s">
        <v>1101</v>
      </c>
      <c r="C1062" t="s">
        <v>1102</v>
      </c>
      <c r="D1062" t="s">
        <v>40</v>
      </c>
      <c r="E1062" t="s">
        <v>120</v>
      </c>
      <c r="F1062" t="s">
        <v>50</v>
      </c>
      <c r="G1062" t="s">
        <v>216</v>
      </c>
      <c r="H1062">
        <v>4</v>
      </c>
      <c r="I1062">
        <v>491.61</v>
      </c>
      <c r="J1062">
        <v>1966.44</v>
      </c>
      <c r="K1062" t="s">
        <v>2232</v>
      </c>
      <c r="L1062" t="s">
        <v>19</v>
      </c>
    </row>
    <row r="1063" spans="1:12" x14ac:dyDescent="0.35">
      <c r="A1063" t="s">
        <v>2233</v>
      </c>
      <c r="B1063" t="s">
        <v>321</v>
      </c>
      <c r="C1063" t="s">
        <v>322</v>
      </c>
      <c r="D1063" t="s">
        <v>40</v>
      </c>
      <c r="E1063" t="s">
        <v>120</v>
      </c>
      <c r="F1063" t="s">
        <v>25</v>
      </c>
      <c r="G1063" t="s">
        <v>74</v>
      </c>
      <c r="H1063">
        <v>5</v>
      </c>
      <c r="I1063">
        <v>226.1</v>
      </c>
      <c r="J1063">
        <v>1130.5</v>
      </c>
      <c r="K1063" t="s">
        <v>508</v>
      </c>
      <c r="L1063" t="s">
        <v>91</v>
      </c>
    </row>
    <row r="1064" spans="1:12" x14ac:dyDescent="0.35">
      <c r="A1064" t="s">
        <v>2234</v>
      </c>
      <c r="B1064" t="s">
        <v>54</v>
      </c>
      <c r="C1064" t="s">
        <v>55</v>
      </c>
      <c r="D1064" t="s">
        <v>67</v>
      </c>
      <c r="E1064" t="s">
        <v>130</v>
      </c>
      <c r="F1064" t="s">
        <v>16</v>
      </c>
      <c r="G1064" t="s">
        <v>177</v>
      </c>
      <c r="H1064">
        <v>4</v>
      </c>
      <c r="I1064">
        <v>268.33</v>
      </c>
      <c r="J1064">
        <v>1073.32</v>
      </c>
      <c r="K1064" t="s">
        <v>2235</v>
      </c>
      <c r="L1064" t="s">
        <v>45</v>
      </c>
    </row>
    <row r="1065" spans="1:12" x14ac:dyDescent="0.35">
      <c r="A1065" t="s">
        <v>2236</v>
      </c>
      <c r="B1065" t="s">
        <v>1907</v>
      </c>
      <c r="C1065" t="s">
        <v>1908</v>
      </c>
      <c r="D1065" t="s">
        <v>40</v>
      </c>
      <c r="E1065" t="s">
        <v>41</v>
      </c>
      <c r="F1065" t="s">
        <v>50</v>
      </c>
      <c r="G1065" t="s">
        <v>51</v>
      </c>
      <c r="H1065">
        <v>4</v>
      </c>
      <c r="I1065">
        <v>688.01</v>
      </c>
      <c r="J1065">
        <v>2752.04</v>
      </c>
      <c r="K1065" t="s">
        <v>2237</v>
      </c>
      <c r="L1065" t="s">
        <v>91</v>
      </c>
    </row>
    <row r="1066" spans="1:12" x14ac:dyDescent="0.35">
      <c r="A1066" t="s">
        <v>2238</v>
      </c>
      <c r="B1066" t="s">
        <v>345</v>
      </c>
      <c r="C1066" t="s">
        <v>346</v>
      </c>
      <c r="D1066" t="s">
        <v>32</v>
      </c>
      <c r="E1066" t="s">
        <v>61</v>
      </c>
      <c r="F1066" t="s">
        <v>42</v>
      </c>
      <c r="G1066" t="s">
        <v>225</v>
      </c>
      <c r="H1066">
        <v>5</v>
      </c>
      <c r="I1066">
        <v>724.41</v>
      </c>
      <c r="J1066">
        <v>3622.05</v>
      </c>
      <c r="K1066" t="s">
        <v>1385</v>
      </c>
      <c r="L1066" t="s">
        <v>19</v>
      </c>
    </row>
    <row r="1067" spans="1:12" x14ac:dyDescent="0.35">
      <c r="A1067" t="s">
        <v>2239</v>
      </c>
      <c r="B1067" t="s">
        <v>947</v>
      </c>
      <c r="C1067" t="s">
        <v>948</v>
      </c>
      <c r="D1067" t="s">
        <v>40</v>
      </c>
      <c r="E1067" t="s">
        <v>120</v>
      </c>
      <c r="F1067" t="s">
        <v>50</v>
      </c>
      <c r="G1067" t="s">
        <v>56</v>
      </c>
      <c r="H1067">
        <v>1</v>
      </c>
      <c r="I1067">
        <v>1422.41</v>
      </c>
      <c r="J1067">
        <v>1422.41</v>
      </c>
      <c r="K1067" t="s">
        <v>1098</v>
      </c>
      <c r="L1067" t="s">
        <v>36</v>
      </c>
    </row>
    <row r="1068" spans="1:12" x14ac:dyDescent="0.35">
      <c r="A1068" t="s">
        <v>2240</v>
      </c>
      <c r="B1068" t="s">
        <v>142</v>
      </c>
      <c r="C1068" t="s">
        <v>143</v>
      </c>
      <c r="D1068" t="s">
        <v>14</v>
      </c>
      <c r="E1068" t="s">
        <v>100</v>
      </c>
      <c r="F1068" t="s">
        <v>25</v>
      </c>
      <c r="G1068" t="s">
        <v>62</v>
      </c>
      <c r="H1068">
        <v>3</v>
      </c>
      <c r="I1068">
        <v>1299.04</v>
      </c>
      <c r="J1068">
        <v>3897.12</v>
      </c>
      <c r="K1068" t="s">
        <v>577</v>
      </c>
      <c r="L1068" t="s">
        <v>19</v>
      </c>
    </row>
    <row r="1069" spans="1:12" x14ac:dyDescent="0.35">
      <c r="A1069" t="s">
        <v>2241</v>
      </c>
      <c r="B1069" t="s">
        <v>303</v>
      </c>
      <c r="C1069" t="s">
        <v>304</v>
      </c>
      <c r="D1069" t="s">
        <v>32</v>
      </c>
      <c r="E1069" t="s">
        <v>203</v>
      </c>
      <c r="F1069" t="s">
        <v>42</v>
      </c>
      <c r="G1069" t="s">
        <v>225</v>
      </c>
      <c r="H1069">
        <v>3</v>
      </c>
      <c r="I1069">
        <v>843.94</v>
      </c>
      <c r="J1069">
        <v>2531.8200000000002</v>
      </c>
      <c r="K1069" t="s">
        <v>319</v>
      </c>
      <c r="L1069" t="s">
        <v>45</v>
      </c>
    </row>
    <row r="1070" spans="1:12" x14ac:dyDescent="0.35">
      <c r="A1070" t="s">
        <v>2242</v>
      </c>
      <c r="B1070" t="s">
        <v>1369</v>
      </c>
      <c r="C1070" t="s">
        <v>1370</v>
      </c>
      <c r="D1070" t="s">
        <v>23</v>
      </c>
      <c r="E1070" t="s">
        <v>24</v>
      </c>
      <c r="F1070" t="s">
        <v>16</v>
      </c>
      <c r="G1070" t="s">
        <v>17</v>
      </c>
      <c r="H1070">
        <v>3</v>
      </c>
      <c r="I1070">
        <v>1454.67</v>
      </c>
      <c r="J1070">
        <v>4364.01</v>
      </c>
      <c r="K1070" t="s">
        <v>2243</v>
      </c>
      <c r="L1070" t="s">
        <v>28</v>
      </c>
    </row>
    <row r="1071" spans="1:12" x14ac:dyDescent="0.35">
      <c r="A1071" t="s">
        <v>2244</v>
      </c>
      <c r="B1071" t="s">
        <v>2245</v>
      </c>
      <c r="C1071" t="s">
        <v>2246</v>
      </c>
      <c r="D1071" t="s">
        <v>32</v>
      </c>
      <c r="E1071" t="s">
        <v>203</v>
      </c>
      <c r="F1071" t="s">
        <v>25</v>
      </c>
      <c r="G1071" t="s">
        <v>26</v>
      </c>
      <c r="H1071">
        <v>5</v>
      </c>
      <c r="I1071">
        <v>1489.92</v>
      </c>
      <c r="J1071">
        <v>7449.6</v>
      </c>
      <c r="K1071" t="s">
        <v>1614</v>
      </c>
      <c r="L1071" t="s">
        <v>36</v>
      </c>
    </row>
    <row r="1072" spans="1:12" x14ac:dyDescent="0.35">
      <c r="A1072" t="s">
        <v>2247</v>
      </c>
      <c r="B1072" t="s">
        <v>751</v>
      </c>
      <c r="C1072" t="s">
        <v>752</v>
      </c>
      <c r="D1072" t="s">
        <v>14</v>
      </c>
      <c r="E1072" t="s">
        <v>266</v>
      </c>
      <c r="F1072" t="s">
        <v>16</v>
      </c>
      <c r="G1072" t="s">
        <v>17</v>
      </c>
      <c r="H1072">
        <v>2</v>
      </c>
      <c r="I1072">
        <v>1007.51</v>
      </c>
      <c r="J1072">
        <v>2015.02</v>
      </c>
      <c r="K1072" t="s">
        <v>2248</v>
      </c>
      <c r="L1072" t="s">
        <v>45</v>
      </c>
    </row>
    <row r="1073" spans="1:12" x14ac:dyDescent="0.35">
      <c r="A1073" t="s">
        <v>2249</v>
      </c>
      <c r="B1073" t="s">
        <v>470</v>
      </c>
      <c r="C1073" t="s">
        <v>471</v>
      </c>
      <c r="D1073" t="s">
        <v>40</v>
      </c>
      <c r="E1073" t="s">
        <v>120</v>
      </c>
      <c r="F1073" t="s">
        <v>101</v>
      </c>
      <c r="G1073" t="s">
        <v>102</v>
      </c>
      <c r="H1073">
        <v>4</v>
      </c>
      <c r="I1073">
        <v>933.68</v>
      </c>
      <c r="J1073">
        <v>3734.72</v>
      </c>
      <c r="K1073" t="s">
        <v>1501</v>
      </c>
      <c r="L1073" t="s">
        <v>19</v>
      </c>
    </row>
    <row r="1074" spans="1:12" x14ac:dyDescent="0.35">
      <c r="A1074" t="s">
        <v>2250</v>
      </c>
      <c r="B1074" t="s">
        <v>384</v>
      </c>
      <c r="C1074" t="s">
        <v>385</v>
      </c>
      <c r="D1074" t="s">
        <v>14</v>
      </c>
      <c r="E1074" t="s">
        <v>15</v>
      </c>
      <c r="F1074" t="s">
        <v>16</v>
      </c>
      <c r="G1074" t="s">
        <v>17</v>
      </c>
      <c r="H1074">
        <v>2</v>
      </c>
      <c r="I1074">
        <v>767.86</v>
      </c>
      <c r="J1074">
        <v>1535.72</v>
      </c>
      <c r="K1074" t="s">
        <v>894</v>
      </c>
      <c r="L1074" t="s">
        <v>45</v>
      </c>
    </row>
    <row r="1075" spans="1:12" x14ac:dyDescent="0.35">
      <c r="A1075" t="s">
        <v>2251</v>
      </c>
      <c r="B1075" t="s">
        <v>555</v>
      </c>
      <c r="C1075" t="s">
        <v>556</v>
      </c>
      <c r="D1075" t="s">
        <v>67</v>
      </c>
      <c r="E1075" t="s">
        <v>130</v>
      </c>
      <c r="F1075" t="s">
        <v>42</v>
      </c>
      <c r="G1075" t="s">
        <v>89</v>
      </c>
      <c r="H1075">
        <v>5</v>
      </c>
      <c r="I1075">
        <v>684.12</v>
      </c>
      <c r="J1075">
        <v>3420.6</v>
      </c>
      <c r="K1075" t="s">
        <v>2252</v>
      </c>
      <c r="L1075" t="s">
        <v>91</v>
      </c>
    </row>
    <row r="1076" spans="1:12" x14ac:dyDescent="0.35">
      <c r="A1076" t="s">
        <v>2253</v>
      </c>
      <c r="B1076" t="s">
        <v>47</v>
      </c>
      <c r="C1076" t="s">
        <v>48</v>
      </c>
      <c r="D1076" t="s">
        <v>67</v>
      </c>
      <c r="E1076" t="s">
        <v>68</v>
      </c>
      <c r="F1076" t="s">
        <v>101</v>
      </c>
      <c r="G1076" t="s">
        <v>373</v>
      </c>
      <c r="H1076">
        <v>4</v>
      </c>
      <c r="I1076">
        <v>1117.6500000000001</v>
      </c>
      <c r="J1076">
        <v>4470.6000000000004</v>
      </c>
      <c r="K1076" t="s">
        <v>870</v>
      </c>
      <c r="L1076" t="s">
        <v>28</v>
      </c>
    </row>
    <row r="1077" spans="1:12" x14ac:dyDescent="0.35">
      <c r="A1077" t="s">
        <v>2254</v>
      </c>
      <c r="B1077" t="s">
        <v>838</v>
      </c>
      <c r="C1077" t="s">
        <v>839</v>
      </c>
      <c r="D1077" t="s">
        <v>23</v>
      </c>
      <c r="E1077" t="s">
        <v>338</v>
      </c>
      <c r="F1077" t="s">
        <v>101</v>
      </c>
      <c r="G1077" t="s">
        <v>165</v>
      </c>
      <c r="H1077">
        <v>3</v>
      </c>
      <c r="I1077">
        <v>757.29</v>
      </c>
      <c r="J1077">
        <v>2271.87</v>
      </c>
      <c r="K1077" t="s">
        <v>2255</v>
      </c>
      <c r="L1077" t="s">
        <v>45</v>
      </c>
    </row>
    <row r="1078" spans="1:12" x14ac:dyDescent="0.35">
      <c r="A1078" t="s">
        <v>2256</v>
      </c>
      <c r="B1078" t="s">
        <v>633</v>
      </c>
      <c r="C1078" t="s">
        <v>634</v>
      </c>
      <c r="D1078" t="s">
        <v>14</v>
      </c>
      <c r="E1078" t="s">
        <v>100</v>
      </c>
      <c r="F1078" t="s">
        <v>101</v>
      </c>
      <c r="G1078" t="s">
        <v>649</v>
      </c>
      <c r="H1078">
        <v>4</v>
      </c>
      <c r="I1078">
        <v>1256.21</v>
      </c>
      <c r="J1078">
        <v>5024.84</v>
      </c>
      <c r="K1078" t="s">
        <v>2210</v>
      </c>
      <c r="L1078" t="s">
        <v>91</v>
      </c>
    </row>
    <row r="1079" spans="1:12" x14ac:dyDescent="0.35">
      <c r="A1079" t="s">
        <v>2257</v>
      </c>
      <c r="B1079" t="s">
        <v>562</v>
      </c>
      <c r="C1079" t="s">
        <v>563</v>
      </c>
      <c r="D1079" t="s">
        <v>32</v>
      </c>
      <c r="E1079" t="s">
        <v>203</v>
      </c>
      <c r="F1079" t="s">
        <v>16</v>
      </c>
      <c r="G1079" t="s">
        <v>230</v>
      </c>
      <c r="H1079">
        <v>2</v>
      </c>
      <c r="I1079">
        <v>402.34</v>
      </c>
      <c r="J1079">
        <v>804.68</v>
      </c>
      <c r="K1079" t="s">
        <v>2258</v>
      </c>
      <c r="L1079" t="s">
        <v>36</v>
      </c>
    </row>
    <row r="1080" spans="1:12" x14ac:dyDescent="0.35">
      <c r="A1080" t="s">
        <v>2259</v>
      </c>
      <c r="B1080" t="s">
        <v>817</v>
      </c>
      <c r="C1080" t="s">
        <v>818</v>
      </c>
      <c r="D1080" t="s">
        <v>14</v>
      </c>
      <c r="E1080" t="s">
        <v>95</v>
      </c>
      <c r="F1080" t="s">
        <v>16</v>
      </c>
      <c r="G1080" t="s">
        <v>177</v>
      </c>
      <c r="H1080">
        <v>5</v>
      </c>
      <c r="I1080">
        <v>26.36</v>
      </c>
      <c r="J1080">
        <v>131.80000000000001</v>
      </c>
      <c r="K1080" t="s">
        <v>2260</v>
      </c>
      <c r="L1080" t="s">
        <v>19</v>
      </c>
    </row>
    <row r="1081" spans="1:12" x14ac:dyDescent="0.35">
      <c r="A1081" t="s">
        <v>2261</v>
      </c>
      <c r="B1081" t="s">
        <v>817</v>
      </c>
      <c r="C1081" t="s">
        <v>818</v>
      </c>
      <c r="D1081" t="s">
        <v>14</v>
      </c>
      <c r="E1081" t="s">
        <v>100</v>
      </c>
      <c r="F1081" t="s">
        <v>50</v>
      </c>
      <c r="G1081" t="s">
        <v>216</v>
      </c>
      <c r="H1081">
        <v>2</v>
      </c>
      <c r="I1081">
        <v>342.91</v>
      </c>
      <c r="J1081">
        <v>685.82</v>
      </c>
      <c r="K1081" t="s">
        <v>2262</v>
      </c>
      <c r="L1081" t="s">
        <v>45</v>
      </c>
    </row>
    <row r="1082" spans="1:12" x14ac:dyDescent="0.35">
      <c r="A1082" t="s">
        <v>2263</v>
      </c>
      <c r="B1082" t="s">
        <v>681</v>
      </c>
      <c r="C1082" t="s">
        <v>682</v>
      </c>
      <c r="D1082" t="s">
        <v>67</v>
      </c>
      <c r="E1082" t="s">
        <v>115</v>
      </c>
      <c r="F1082" t="s">
        <v>50</v>
      </c>
      <c r="G1082" t="s">
        <v>69</v>
      </c>
      <c r="H1082">
        <v>5</v>
      </c>
      <c r="I1082">
        <v>307.08999999999997</v>
      </c>
      <c r="J1082">
        <v>1535.45</v>
      </c>
      <c r="K1082" t="s">
        <v>1558</v>
      </c>
      <c r="L1082" t="s">
        <v>45</v>
      </c>
    </row>
    <row r="1083" spans="1:12" x14ac:dyDescent="0.35">
      <c r="A1083" t="s">
        <v>2264</v>
      </c>
      <c r="B1083" t="s">
        <v>1278</v>
      </c>
      <c r="C1083" t="s">
        <v>1279</v>
      </c>
      <c r="D1083" t="s">
        <v>67</v>
      </c>
      <c r="E1083" t="s">
        <v>115</v>
      </c>
      <c r="F1083" t="s">
        <v>50</v>
      </c>
      <c r="G1083" t="s">
        <v>56</v>
      </c>
      <c r="H1083">
        <v>2</v>
      </c>
      <c r="I1083">
        <v>395.2</v>
      </c>
      <c r="J1083">
        <v>790.4</v>
      </c>
      <c r="K1083" t="s">
        <v>1635</v>
      </c>
      <c r="L1083" t="s">
        <v>36</v>
      </c>
    </row>
    <row r="1084" spans="1:12" x14ac:dyDescent="0.35">
      <c r="A1084" t="s">
        <v>2265</v>
      </c>
      <c r="B1084" t="s">
        <v>1428</v>
      </c>
      <c r="C1084" t="s">
        <v>1429</v>
      </c>
      <c r="D1084" t="s">
        <v>40</v>
      </c>
      <c r="E1084" t="s">
        <v>120</v>
      </c>
      <c r="F1084" t="s">
        <v>42</v>
      </c>
      <c r="G1084" t="s">
        <v>80</v>
      </c>
      <c r="H1084">
        <v>3</v>
      </c>
      <c r="I1084">
        <v>407.87</v>
      </c>
      <c r="J1084">
        <v>1223.6099999999999</v>
      </c>
      <c r="K1084" t="s">
        <v>1440</v>
      </c>
      <c r="L1084" t="s">
        <v>19</v>
      </c>
    </row>
    <row r="1085" spans="1:12" x14ac:dyDescent="0.35">
      <c r="A1085" t="s">
        <v>2266</v>
      </c>
      <c r="B1085" t="s">
        <v>860</v>
      </c>
      <c r="C1085" t="s">
        <v>861</v>
      </c>
      <c r="D1085" t="s">
        <v>23</v>
      </c>
      <c r="E1085" t="s">
        <v>24</v>
      </c>
      <c r="F1085" t="s">
        <v>42</v>
      </c>
      <c r="G1085" t="s">
        <v>170</v>
      </c>
      <c r="H1085">
        <v>2</v>
      </c>
      <c r="I1085">
        <v>1016.77</v>
      </c>
      <c r="J1085">
        <v>2033.54</v>
      </c>
      <c r="K1085" t="s">
        <v>1487</v>
      </c>
      <c r="L1085" t="s">
        <v>28</v>
      </c>
    </row>
    <row r="1086" spans="1:12" x14ac:dyDescent="0.35">
      <c r="A1086" t="s">
        <v>2267</v>
      </c>
      <c r="B1086" t="s">
        <v>412</v>
      </c>
      <c r="C1086" t="s">
        <v>413</v>
      </c>
      <c r="D1086" t="s">
        <v>32</v>
      </c>
      <c r="E1086" t="s">
        <v>203</v>
      </c>
      <c r="F1086" t="s">
        <v>25</v>
      </c>
      <c r="G1086" t="s">
        <v>139</v>
      </c>
      <c r="H1086">
        <v>1</v>
      </c>
      <c r="I1086">
        <v>575.25</v>
      </c>
      <c r="J1086">
        <v>575.25</v>
      </c>
      <c r="K1086" t="s">
        <v>1118</v>
      </c>
      <c r="L1086" t="s">
        <v>36</v>
      </c>
    </row>
    <row r="1087" spans="1:12" x14ac:dyDescent="0.35">
      <c r="A1087" t="s">
        <v>2268</v>
      </c>
      <c r="B1087" t="s">
        <v>496</v>
      </c>
      <c r="C1087" t="s">
        <v>497</v>
      </c>
      <c r="D1087" t="s">
        <v>14</v>
      </c>
      <c r="E1087" t="s">
        <v>15</v>
      </c>
      <c r="F1087" t="s">
        <v>50</v>
      </c>
      <c r="G1087" t="s">
        <v>51</v>
      </c>
      <c r="H1087">
        <v>4</v>
      </c>
      <c r="I1087">
        <v>1483.77</v>
      </c>
      <c r="J1087">
        <v>5935.08</v>
      </c>
      <c r="K1087" t="s">
        <v>416</v>
      </c>
      <c r="L1087" t="s">
        <v>36</v>
      </c>
    </row>
    <row r="1088" spans="1:12" x14ac:dyDescent="0.35">
      <c r="A1088" t="s">
        <v>2269</v>
      </c>
      <c r="B1088" t="s">
        <v>925</v>
      </c>
      <c r="C1088" t="s">
        <v>926</v>
      </c>
      <c r="D1088" t="s">
        <v>23</v>
      </c>
      <c r="E1088" t="s">
        <v>338</v>
      </c>
      <c r="F1088" t="s">
        <v>50</v>
      </c>
      <c r="G1088" t="s">
        <v>69</v>
      </c>
      <c r="H1088">
        <v>3</v>
      </c>
      <c r="I1088">
        <v>310.04000000000002</v>
      </c>
      <c r="J1088">
        <v>930.12</v>
      </c>
      <c r="K1088" t="s">
        <v>2270</v>
      </c>
      <c r="L1088" t="s">
        <v>45</v>
      </c>
    </row>
    <row r="1089" spans="1:12" x14ac:dyDescent="0.35">
      <c r="A1089" t="s">
        <v>2271</v>
      </c>
      <c r="B1089" t="s">
        <v>771</v>
      </c>
      <c r="C1089" t="s">
        <v>772</v>
      </c>
      <c r="D1089" t="s">
        <v>40</v>
      </c>
      <c r="E1089" t="s">
        <v>41</v>
      </c>
      <c r="F1089" t="s">
        <v>16</v>
      </c>
      <c r="G1089" t="s">
        <v>148</v>
      </c>
      <c r="H1089">
        <v>3</v>
      </c>
      <c r="I1089">
        <v>1071.68</v>
      </c>
      <c r="J1089">
        <v>3215.04</v>
      </c>
      <c r="K1089" t="s">
        <v>1813</v>
      </c>
      <c r="L1089" t="s">
        <v>28</v>
      </c>
    </row>
    <row r="1090" spans="1:12" x14ac:dyDescent="0.35">
      <c r="A1090" t="s">
        <v>2272</v>
      </c>
      <c r="B1090" t="s">
        <v>755</v>
      </c>
      <c r="C1090" t="s">
        <v>756</v>
      </c>
      <c r="D1090" t="s">
        <v>32</v>
      </c>
      <c r="E1090" t="s">
        <v>203</v>
      </c>
      <c r="F1090" t="s">
        <v>101</v>
      </c>
      <c r="G1090" t="s">
        <v>102</v>
      </c>
      <c r="H1090">
        <v>4</v>
      </c>
      <c r="I1090">
        <v>1361.32</v>
      </c>
      <c r="J1090">
        <v>5445.28</v>
      </c>
      <c r="K1090" t="s">
        <v>2095</v>
      </c>
      <c r="L1090" t="s">
        <v>28</v>
      </c>
    </row>
    <row r="1091" spans="1:12" x14ac:dyDescent="0.35">
      <c r="A1091" t="s">
        <v>2273</v>
      </c>
      <c r="B1091" t="s">
        <v>1340</v>
      </c>
      <c r="C1091" t="s">
        <v>1341</v>
      </c>
      <c r="D1091" t="s">
        <v>14</v>
      </c>
      <c r="E1091" t="s">
        <v>15</v>
      </c>
      <c r="F1091" t="s">
        <v>25</v>
      </c>
      <c r="G1091" t="s">
        <v>74</v>
      </c>
      <c r="H1091">
        <v>5</v>
      </c>
      <c r="I1091">
        <v>353.37</v>
      </c>
      <c r="J1091">
        <v>1766.85</v>
      </c>
      <c r="K1091" t="s">
        <v>2274</v>
      </c>
      <c r="L1091" t="s">
        <v>28</v>
      </c>
    </row>
    <row r="1092" spans="1:12" x14ac:dyDescent="0.35">
      <c r="A1092" t="s">
        <v>2275</v>
      </c>
      <c r="B1092" t="s">
        <v>1496</v>
      </c>
      <c r="C1092" t="s">
        <v>1497</v>
      </c>
      <c r="D1092" t="s">
        <v>14</v>
      </c>
      <c r="E1092" t="s">
        <v>95</v>
      </c>
      <c r="F1092" t="s">
        <v>16</v>
      </c>
      <c r="G1092" t="s">
        <v>182</v>
      </c>
      <c r="H1092">
        <v>1</v>
      </c>
      <c r="I1092">
        <v>109.13</v>
      </c>
      <c r="J1092">
        <v>109.13</v>
      </c>
      <c r="K1092" t="s">
        <v>2276</v>
      </c>
      <c r="L1092" t="s">
        <v>28</v>
      </c>
    </row>
    <row r="1093" spans="1:12" x14ac:dyDescent="0.35">
      <c r="A1093" t="s">
        <v>2277</v>
      </c>
      <c r="B1093" t="s">
        <v>412</v>
      </c>
      <c r="C1093" t="s">
        <v>413</v>
      </c>
      <c r="D1093" t="s">
        <v>67</v>
      </c>
      <c r="E1093" t="s">
        <v>115</v>
      </c>
      <c r="F1093" t="s">
        <v>50</v>
      </c>
      <c r="G1093" t="s">
        <v>69</v>
      </c>
      <c r="H1093">
        <v>4</v>
      </c>
      <c r="I1093">
        <v>299.86</v>
      </c>
      <c r="J1093">
        <v>1199.44</v>
      </c>
      <c r="K1093" t="s">
        <v>2278</v>
      </c>
      <c r="L1093" t="s">
        <v>36</v>
      </c>
    </row>
    <row r="1094" spans="1:12" x14ac:dyDescent="0.35">
      <c r="A1094" t="s">
        <v>2279</v>
      </c>
      <c r="B1094" t="s">
        <v>435</v>
      </c>
      <c r="C1094" t="s">
        <v>436</v>
      </c>
      <c r="D1094" t="s">
        <v>32</v>
      </c>
      <c r="E1094" t="s">
        <v>61</v>
      </c>
      <c r="F1094" t="s">
        <v>25</v>
      </c>
      <c r="G1094" t="s">
        <v>139</v>
      </c>
      <c r="H1094">
        <v>5</v>
      </c>
      <c r="I1094">
        <v>1077.6400000000001</v>
      </c>
      <c r="J1094">
        <v>5388.2</v>
      </c>
      <c r="K1094" t="s">
        <v>581</v>
      </c>
      <c r="L1094" t="s">
        <v>91</v>
      </c>
    </row>
    <row r="1095" spans="1:12" x14ac:dyDescent="0.35">
      <c r="A1095" t="s">
        <v>2280</v>
      </c>
      <c r="B1095" t="s">
        <v>295</v>
      </c>
      <c r="C1095" t="s">
        <v>296</v>
      </c>
      <c r="D1095" t="s">
        <v>32</v>
      </c>
      <c r="E1095" t="s">
        <v>61</v>
      </c>
      <c r="F1095" t="s">
        <v>25</v>
      </c>
      <c r="G1095" t="s">
        <v>26</v>
      </c>
      <c r="H1095">
        <v>2</v>
      </c>
      <c r="I1095">
        <v>1304.24</v>
      </c>
      <c r="J1095">
        <v>2608.48</v>
      </c>
      <c r="K1095" t="s">
        <v>2048</v>
      </c>
      <c r="L1095" t="s">
        <v>91</v>
      </c>
    </row>
    <row r="1096" spans="1:12" x14ac:dyDescent="0.35">
      <c r="A1096" t="s">
        <v>2281</v>
      </c>
      <c r="B1096" t="s">
        <v>269</v>
      </c>
      <c r="C1096" t="s">
        <v>270</v>
      </c>
      <c r="D1096" t="s">
        <v>67</v>
      </c>
      <c r="E1096" t="s">
        <v>115</v>
      </c>
      <c r="F1096" t="s">
        <v>16</v>
      </c>
      <c r="G1096" t="s">
        <v>182</v>
      </c>
      <c r="H1096">
        <v>5</v>
      </c>
      <c r="I1096">
        <v>659.38</v>
      </c>
      <c r="J1096">
        <v>3296.9</v>
      </c>
      <c r="K1096" t="s">
        <v>1432</v>
      </c>
      <c r="L1096" t="s">
        <v>45</v>
      </c>
    </row>
    <row r="1097" spans="1:12" x14ac:dyDescent="0.35">
      <c r="A1097" t="s">
        <v>2282</v>
      </c>
      <c r="B1097" t="s">
        <v>1196</v>
      </c>
      <c r="C1097" t="s">
        <v>1197</v>
      </c>
      <c r="D1097" t="s">
        <v>40</v>
      </c>
      <c r="E1097" t="s">
        <v>120</v>
      </c>
      <c r="F1097" t="s">
        <v>101</v>
      </c>
      <c r="G1097" t="s">
        <v>102</v>
      </c>
      <c r="H1097">
        <v>1</v>
      </c>
      <c r="I1097">
        <v>1471.16</v>
      </c>
      <c r="J1097">
        <v>1471.16</v>
      </c>
      <c r="K1097" t="s">
        <v>2210</v>
      </c>
      <c r="L1097" t="s">
        <v>45</v>
      </c>
    </row>
    <row r="1098" spans="1:12" x14ac:dyDescent="0.35">
      <c r="A1098" t="s">
        <v>2283</v>
      </c>
      <c r="B1098" t="s">
        <v>1131</v>
      </c>
      <c r="C1098" t="s">
        <v>1132</v>
      </c>
      <c r="D1098" t="s">
        <v>14</v>
      </c>
      <c r="E1098" t="s">
        <v>15</v>
      </c>
      <c r="F1098" t="s">
        <v>25</v>
      </c>
      <c r="G1098" t="s">
        <v>26</v>
      </c>
      <c r="H1098">
        <v>5</v>
      </c>
      <c r="I1098">
        <v>769.06</v>
      </c>
      <c r="J1098">
        <v>3845.3</v>
      </c>
      <c r="K1098" t="s">
        <v>1503</v>
      </c>
      <c r="L1098" t="s">
        <v>28</v>
      </c>
    </row>
    <row r="1099" spans="1:12" x14ac:dyDescent="0.35">
      <c r="A1099" t="s">
        <v>2284</v>
      </c>
      <c r="B1099" t="s">
        <v>1260</v>
      </c>
      <c r="C1099" t="s">
        <v>1261</v>
      </c>
      <c r="D1099" t="s">
        <v>67</v>
      </c>
      <c r="E1099" t="s">
        <v>115</v>
      </c>
      <c r="F1099" t="s">
        <v>25</v>
      </c>
      <c r="G1099" t="s">
        <v>62</v>
      </c>
      <c r="H1099">
        <v>4</v>
      </c>
      <c r="I1099">
        <v>1033.5899999999999</v>
      </c>
      <c r="J1099">
        <v>4134.3599999999997</v>
      </c>
      <c r="K1099" t="s">
        <v>2285</v>
      </c>
      <c r="L1099" t="s">
        <v>91</v>
      </c>
    </row>
    <row r="1100" spans="1:12" x14ac:dyDescent="0.35">
      <c r="A1100" t="s">
        <v>2286</v>
      </c>
      <c r="B1100" t="s">
        <v>496</v>
      </c>
      <c r="C1100" t="s">
        <v>497</v>
      </c>
      <c r="D1100" t="s">
        <v>32</v>
      </c>
      <c r="E1100" t="s">
        <v>33</v>
      </c>
      <c r="F1100" t="s">
        <v>16</v>
      </c>
      <c r="G1100" t="s">
        <v>17</v>
      </c>
      <c r="H1100">
        <v>5</v>
      </c>
      <c r="I1100">
        <v>294.55</v>
      </c>
      <c r="J1100">
        <v>1472.75</v>
      </c>
      <c r="K1100" t="s">
        <v>2287</v>
      </c>
      <c r="L1100" t="s">
        <v>19</v>
      </c>
    </row>
    <row r="1101" spans="1:12" x14ac:dyDescent="0.35">
      <c r="A1101" t="s">
        <v>2288</v>
      </c>
      <c r="B1101" t="s">
        <v>1196</v>
      </c>
      <c r="C1101" t="s">
        <v>1197</v>
      </c>
      <c r="D1101" t="s">
        <v>67</v>
      </c>
      <c r="E1101" t="s">
        <v>68</v>
      </c>
      <c r="F1101" t="s">
        <v>16</v>
      </c>
      <c r="G1101" t="s">
        <v>17</v>
      </c>
      <c r="H1101">
        <v>4</v>
      </c>
      <c r="I1101">
        <v>1123.44</v>
      </c>
      <c r="J1101">
        <v>4493.76</v>
      </c>
      <c r="K1101" t="s">
        <v>2289</v>
      </c>
      <c r="L1101" t="s">
        <v>91</v>
      </c>
    </row>
    <row r="1102" spans="1:12" x14ac:dyDescent="0.35">
      <c r="A1102" t="s">
        <v>2290</v>
      </c>
      <c r="B1102" t="s">
        <v>1042</v>
      </c>
      <c r="C1102" t="s">
        <v>1043</v>
      </c>
      <c r="D1102" t="s">
        <v>23</v>
      </c>
      <c r="E1102" t="s">
        <v>49</v>
      </c>
      <c r="F1102" t="s">
        <v>50</v>
      </c>
      <c r="G1102" t="s">
        <v>170</v>
      </c>
      <c r="H1102">
        <v>2</v>
      </c>
      <c r="I1102">
        <v>159.07</v>
      </c>
      <c r="J1102">
        <v>318.14</v>
      </c>
      <c r="K1102" t="s">
        <v>1512</v>
      </c>
      <c r="L1102" t="s">
        <v>91</v>
      </c>
    </row>
    <row r="1103" spans="1:12" x14ac:dyDescent="0.35">
      <c r="A1103" t="s">
        <v>2291</v>
      </c>
      <c r="B1103" t="s">
        <v>838</v>
      </c>
      <c r="C1103" t="s">
        <v>839</v>
      </c>
      <c r="D1103" t="s">
        <v>14</v>
      </c>
      <c r="E1103" t="s">
        <v>266</v>
      </c>
      <c r="F1103" t="s">
        <v>25</v>
      </c>
      <c r="G1103" t="s">
        <v>62</v>
      </c>
      <c r="H1103">
        <v>3</v>
      </c>
      <c r="I1103">
        <v>1162.96</v>
      </c>
      <c r="J1103">
        <v>3488.88</v>
      </c>
      <c r="K1103" t="s">
        <v>805</v>
      </c>
      <c r="L1103" t="s">
        <v>28</v>
      </c>
    </row>
    <row r="1104" spans="1:12" x14ac:dyDescent="0.35">
      <c r="A1104" t="s">
        <v>2292</v>
      </c>
      <c r="B1104" t="s">
        <v>838</v>
      </c>
      <c r="C1104" t="s">
        <v>839</v>
      </c>
      <c r="D1104" t="s">
        <v>40</v>
      </c>
      <c r="E1104" t="s">
        <v>120</v>
      </c>
      <c r="F1104" t="s">
        <v>50</v>
      </c>
      <c r="G1104" t="s">
        <v>51</v>
      </c>
      <c r="H1104">
        <v>3</v>
      </c>
      <c r="I1104">
        <v>85.88</v>
      </c>
      <c r="J1104">
        <v>257.64</v>
      </c>
      <c r="K1104" t="s">
        <v>1862</v>
      </c>
      <c r="L1104" t="s">
        <v>45</v>
      </c>
    </row>
    <row r="1105" spans="1:12" x14ac:dyDescent="0.35">
      <c r="A1105" t="s">
        <v>2293</v>
      </c>
      <c r="B1105" t="s">
        <v>38</v>
      </c>
      <c r="C1105" t="s">
        <v>39</v>
      </c>
      <c r="D1105" t="s">
        <v>23</v>
      </c>
      <c r="E1105" t="s">
        <v>49</v>
      </c>
      <c r="F1105" t="s">
        <v>25</v>
      </c>
      <c r="G1105" t="s">
        <v>139</v>
      </c>
      <c r="H1105">
        <v>4</v>
      </c>
      <c r="I1105">
        <v>641.92999999999995</v>
      </c>
      <c r="J1105">
        <v>2567.7199999999998</v>
      </c>
      <c r="K1105" t="s">
        <v>2294</v>
      </c>
      <c r="L1105" t="s">
        <v>36</v>
      </c>
    </row>
    <row r="1106" spans="1:12" x14ac:dyDescent="0.35">
      <c r="A1106" t="s">
        <v>2295</v>
      </c>
      <c r="B1106" t="s">
        <v>629</v>
      </c>
      <c r="C1106" t="s">
        <v>630</v>
      </c>
      <c r="D1106" t="s">
        <v>23</v>
      </c>
      <c r="E1106" t="s">
        <v>24</v>
      </c>
      <c r="F1106" t="s">
        <v>16</v>
      </c>
      <c r="G1106" t="s">
        <v>177</v>
      </c>
      <c r="H1106">
        <v>1</v>
      </c>
      <c r="I1106">
        <v>372.48</v>
      </c>
      <c r="J1106">
        <v>372.48</v>
      </c>
      <c r="K1106" t="s">
        <v>2129</v>
      </c>
      <c r="L1106" t="s">
        <v>91</v>
      </c>
    </row>
    <row r="1107" spans="1:12" x14ac:dyDescent="0.35">
      <c r="A1107" t="s">
        <v>2296</v>
      </c>
      <c r="B1107" t="s">
        <v>771</v>
      </c>
      <c r="C1107" t="s">
        <v>772</v>
      </c>
      <c r="D1107" t="s">
        <v>32</v>
      </c>
      <c r="E1107" t="s">
        <v>203</v>
      </c>
      <c r="F1107" t="s">
        <v>50</v>
      </c>
      <c r="G1107" t="s">
        <v>216</v>
      </c>
      <c r="H1107">
        <v>3</v>
      </c>
      <c r="I1107">
        <v>239.22</v>
      </c>
      <c r="J1107">
        <v>717.66</v>
      </c>
      <c r="K1107" t="s">
        <v>1048</v>
      </c>
      <c r="L1107" t="s">
        <v>91</v>
      </c>
    </row>
    <row r="1108" spans="1:12" x14ac:dyDescent="0.35">
      <c r="A1108" t="s">
        <v>2297</v>
      </c>
      <c r="B1108" t="s">
        <v>699</v>
      </c>
      <c r="C1108" t="s">
        <v>700</v>
      </c>
      <c r="D1108" t="s">
        <v>32</v>
      </c>
      <c r="E1108" t="s">
        <v>33</v>
      </c>
      <c r="F1108" t="s">
        <v>25</v>
      </c>
      <c r="G1108" t="s">
        <v>62</v>
      </c>
      <c r="H1108">
        <v>1</v>
      </c>
      <c r="I1108">
        <v>1322.61</v>
      </c>
      <c r="J1108">
        <v>1322.61</v>
      </c>
      <c r="K1108" t="s">
        <v>2298</v>
      </c>
      <c r="L1108" t="s">
        <v>19</v>
      </c>
    </row>
    <row r="1109" spans="1:12" x14ac:dyDescent="0.35">
      <c r="A1109" t="s">
        <v>2299</v>
      </c>
      <c r="B1109" t="s">
        <v>1875</v>
      </c>
      <c r="C1109" t="s">
        <v>1876</v>
      </c>
      <c r="D1109" t="s">
        <v>23</v>
      </c>
      <c r="E1109" t="s">
        <v>338</v>
      </c>
      <c r="F1109" t="s">
        <v>16</v>
      </c>
      <c r="G1109" t="s">
        <v>182</v>
      </c>
      <c r="H1109">
        <v>5</v>
      </c>
      <c r="I1109">
        <v>1241.6400000000001</v>
      </c>
      <c r="J1109">
        <v>6208.2</v>
      </c>
      <c r="K1109" t="s">
        <v>1992</v>
      </c>
      <c r="L1109" t="s">
        <v>91</v>
      </c>
    </row>
    <row r="1110" spans="1:12" x14ac:dyDescent="0.35">
      <c r="A1110" t="s">
        <v>2300</v>
      </c>
      <c r="B1110" t="s">
        <v>690</v>
      </c>
      <c r="C1110" t="s">
        <v>691</v>
      </c>
      <c r="D1110" t="s">
        <v>40</v>
      </c>
      <c r="E1110" t="s">
        <v>120</v>
      </c>
      <c r="F1110" t="s">
        <v>25</v>
      </c>
      <c r="G1110" t="s">
        <v>139</v>
      </c>
      <c r="H1110">
        <v>2</v>
      </c>
      <c r="I1110">
        <v>855.88</v>
      </c>
      <c r="J1110">
        <v>1711.76</v>
      </c>
      <c r="K1110" t="s">
        <v>2301</v>
      </c>
      <c r="L1110" t="s">
        <v>28</v>
      </c>
    </row>
    <row r="1111" spans="1:12" x14ac:dyDescent="0.35">
      <c r="A1111" t="s">
        <v>2302</v>
      </c>
      <c r="B1111" t="s">
        <v>775</v>
      </c>
      <c r="C1111" t="s">
        <v>776</v>
      </c>
      <c r="D1111" t="s">
        <v>32</v>
      </c>
      <c r="E1111" t="s">
        <v>203</v>
      </c>
      <c r="F1111" t="s">
        <v>25</v>
      </c>
      <c r="G1111" t="s">
        <v>74</v>
      </c>
      <c r="H1111">
        <v>4</v>
      </c>
      <c r="I1111">
        <v>298.13</v>
      </c>
      <c r="J1111">
        <v>1192.52</v>
      </c>
      <c r="K1111" t="s">
        <v>81</v>
      </c>
      <c r="L1111" t="s">
        <v>19</v>
      </c>
    </row>
    <row r="1112" spans="1:12" x14ac:dyDescent="0.35">
      <c r="A1112" t="s">
        <v>2303</v>
      </c>
      <c r="B1112" t="s">
        <v>2002</v>
      </c>
      <c r="C1112" t="s">
        <v>2003</v>
      </c>
      <c r="D1112" t="s">
        <v>40</v>
      </c>
      <c r="E1112" t="s">
        <v>79</v>
      </c>
      <c r="F1112" t="s">
        <v>16</v>
      </c>
      <c r="G1112" t="s">
        <v>182</v>
      </c>
      <c r="H1112">
        <v>3</v>
      </c>
      <c r="I1112">
        <v>1460.18</v>
      </c>
      <c r="J1112">
        <v>4380.54</v>
      </c>
      <c r="K1112" t="s">
        <v>2304</v>
      </c>
      <c r="L1112" t="s">
        <v>19</v>
      </c>
    </row>
    <row r="1113" spans="1:12" x14ac:dyDescent="0.35">
      <c r="A1113" t="s">
        <v>2305</v>
      </c>
      <c r="B1113" t="s">
        <v>1594</v>
      </c>
      <c r="C1113" t="s">
        <v>1595</v>
      </c>
      <c r="D1113" t="s">
        <v>32</v>
      </c>
      <c r="E1113" t="s">
        <v>203</v>
      </c>
      <c r="F1113" t="s">
        <v>25</v>
      </c>
      <c r="G1113" t="s">
        <v>34</v>
      </c>
      <c r="H1113">
        <v>3</v>
      </c>
      <c r="I1113">
        <v>395.66</v>
      </c>
      <c r="J1113">
        <v>1186.98</v>
      </c>
      <c r="K1113" t="s">
        <v>279</v>
      </c>
      <c r="L1113" t="s">
        <v>91</v>
      </c>
    </row>
    <row r="1114" spans="1:12" x14ac:dyDescent="0.35">
      <c r="A1114" t="s">
        <v>2306</v>
      </c>
      <c r="B1114" t="s">
        <v>1875</v>
      </c>
      <c r="C1114" t="s">
        <v>1876</v>
      </c>
      <c r="D1114" t="s">
        <v>14</v>
      </c>
      <c r="E1114" t="s">
        <v>125</v>
      </c>
      <c r="F1114" t="s">
        <v>101</v>
      </c>
      <c r="G1114" t="s">
        <v>102</v>
      </c>
      <c r="H1114">
        <v>1</v>
      </c>
      <c r="I1114">
        <v>1246.6600000000001</v>
      </c>
      <c r="J1114">
        <v>1246.6600000000001</v>
      </c>
      <c r="K1114" t="s">
        <v>1016</v>
      </c>
      <c r="L1114" t="s">
        <v>28</v>
      </c>
    </row>
    <row r="1115" spans="1:12" x14ac:dyDescent="0.35">
      <c r="A1115" t="s">
        <v>2307</v>
      </c>
      <c r="B1115" t="s">
        <v>315</v>
      </c>
      <c r="C1115" t="s">
        <v>316</v>
      </c>
      <c r="D1115" t="s">
        <v>32</v>
      </c>
      <c r="E1115" t="s">
        <v>33</v>
      </c>
      <c r="F1115" t="s">
        <v>16</v>
      </c>
      <c r="G1115" t="s">
        <v>182</v>
      </c>
      <c r="H1115">
        <v>5</v>
      </c>
      <c r="I1115">
        <v>65.790000000000006</v>
      </c>
      <c r="J1115">
        <v>328.95</v>
      </c>
      <c r="K1115" t="s">
        <v>697</v>
      </c>
      <c r="L1115" t="s">
        <v>28</v>
      </c>
    </row>
    <row r="1116" spans="1:12" x14ac:dyDescent="0.35">
      <c r="A1116" t="s">
        <v>2308</v>
      </c>
      <c r="B1116" t="s">
        <v>1662</v>
      </c>
      <c r="C1116" t="s">
        <v>1663</v>
      </c>
      <c r="D1116" t="s">
        <v>23</v>
      </c>
      <c r="E1116" t="s">
        <v>338</v>
      </c>
      <c r="F1116" t="s">
        <v>101</v>
      </c>
      <c r="G1116" t="s">
        <v>165</v>
      </c>
      <c r="H1116">
        <v>3</v>
      </c>
      <c r="I1116">
        <v>1030.5899999999999</v>
      </c>
      <c r="J1116">
        <v>3091.77</v>
      </c>
      <c r="K1116" t="s">
        <v>709</v>
      </c>
      <c r="L1116" t="s">
        <v>28</v>
      </c>
    </row>
    <row r="1117" spans="1:12" x14ac:dyDescent="0.35">
      <c r="A1117" t="s">
        <v>2309</v>
      </c>
      <c r="B1117" t="s">
        <v>1001</v>
      </c>
      <c r="C1117" t="s">
        <v>1002</v>
      </c>
      <c r="D1117" t="s">
        <v>14</v>
      </c>
      <c r="E1117" t="s">
        <v>95</v>
      </c>
      <c r="F1117" t="s">
        <v>16</v>
      </c>
      <c r="G1117" t="s">
        <v>177</v>
      </c>
      <c r="H1117">
        <v>1</v>
      </c>
      <c r="I1117">
        <v>72.06</v>
      </c>
      <c r="J1117">
        <v>72.06</v>
      </c>
      <c r="K1117" t="s">
        <v>1540</v>
      </c>
      <c r="L1117" t="s">
        <v>36</v>
      </c>
    </row>
    <row r="1118" spans="1:12" x14ac:dyDescent="0.35">
      <c r="A1118" t="s">
        <v>2310</v>
      </c>
      <c r="B1118" t="s">
        <v>388</v>
      </c>
      <c r="C1118" t="s">
        <v>389</v>
      </c>
      <c r="D1118" t="s">
        <v>40</v>
      </c>
      <c r="E1118" t="s">
        <v>120</v>
      </c>
      <c r="F1118" t="s">
        <v>16</v>
      </c>
      <c r="G1118" t="s">
        <v>182</v>
      </c>
      <c r="H1118">
        <v>1</v>
      </c>
      <c r="I1118">
        <v>1359.44</v>
      </c>
      <c r="J1118">
        <v>1359.44</v>
      </c>
      <c r="K1118" t="s">
        <v>2311</v>
      </c>
      <c r="L1118" t="s">
        <v>91</v>
      </c>
    </row>
    <row r="1119" spans="1:12" x14ac:dyDescent="0.35">
      <c r="A1119" t="s">
        <v>2312</v>
      </c>
      <c r="B1119" t="s">
        <v>686</v>
      </c>
      <c r="C1119" t="s">
        <v>687</v>
      </c>
      <c r="D1119" t="s">
        <v>40</v>
      </c>
      <c r="E1119" t="s">
        <v>79</v>
      </c>
      <c r="F1119" t="s">
        <v>101</v>
      </c>
      <c r="G1119" t="s">
        <v>237</v>
      </c>
      <c r="H1119">
        <v>2</v>
      </c>
      <c r="I1119">
        <v>984.8</v>
      </c>
      <c r="J1119">
        <v>1969.6</v>
      </c>
      <c r="K1119" t="s">
        <v>1393</v>
      </c>
      <c r="L1119" t="s">
        <v>91</v>
      </c>
    </row>
    <row r="1120" spans="1:12" x14ac:dyDescent="0.35">
      <c r="A1120" t="s">
        <v>2313</v>
      </c>
      <c r="B1120" t="s">
        <v>1444</v>
      </c>
      <c r="C1120" t="s">
        <v>1445</v>
      </c>
      <c r="D1120" t="s">
        <v>32</v>
      </c>
      <c r="E1120" t="s">
        <v>61</v>
      </c>
      <c r="F1120" t="s">
        <v>50</v>
      </c>
      <c r="G1120" t="s">
        <v>51</v>
      </c>
      <c r="H1120">
        <v>5</v>
      </c>
      <c r="I1120">
        <v>275.37</v>
      </c>
      <c r="J1120">
        <v>1376.85</v>
      </c>
      <c r="K1120" t="s">
        <v>669</v>
      </c>
      <c r="L1120" t="s">
        <v>45</v>
      </c>
    </row>
    <row r="1121" spans="1:12" x14ac:dyDescent="0.35">
      <c r="A1121" t="s">
        <v>2314</v>
      </c>
      <c r="B1121" t="s">
        <v>128</v>
      </c>
      <c r="C1121" t="s">
        <v>129</v>
      </c>
      <c r="D1121" t="s">
        <v>23</v>
      </c>
      <c r="E1121" t="s">
        <v>338</v>
      </c>
      <c r="F1121" t="s">
        <v>16</v>
      </c>
      <c r="G1121" t="s">
        <v>182</v>
      </c>
      <c r="H1121">
        <v>3</v>
      </c>
      <c r="I1121">
        <v>15.95</v>
      </c>
      <c r="J1121">
        <v>47.85</v>
      </c>
      <c r="K1121" t="s">
        <v>2315</v>
      </c>
      <c r="L1121" t="s">
        <v>91</v>
      </c>
    </row>
    <row r="1122" spans="1:12" x14ac:dyDescent="0.35">
      <c r="A1122" t="s">
        <v>2316</v>
      </c>
      <c r="B1122" t="s">
        <v>1677</v>
      </c>
      <c r="C1122" t="s">
        <v>1678</v>
      </c>
      <c r="D1122" t="s">
        <v>67</v>
      </c>
      <c r="E1122" t="s">
        <v>68</v>
      </c>
      <c r="F1122" t="s">
        <v>50</v>
      </c>
      <c r="G1122" t="s">
        <v>51</v>
      </c>
      <c r="H1122">
        <v>4</v>
      </c>
      <c r="I1122">
        <v>568.69000000000005</v>
      </c>
      <c r="J1122">
        <v>2274.7600000000002</v>
      </c>
      <c r="K1122" t="s">
        <v>874</v>
      </c>
      <c r="L1122" t="s">
        <v>19</v>
      </c>
    </row>
    <row r="1123" spans="1:12" x14ac:dyDescent="0.35">
      <c r="A1123" t="s">
        <v>2317</v>
      </c>
      <c r="B1123" t="s">
        <v>1073</v>
      </c>
      <c r="C1123" t="s">
        <v>1074</v>
      </c>
      <c r="D1123" t="s">
        <v>40</v>
      </c>
      <c r="E1123" t="s">
        <v>120</v>
      </c>
      <c r="F1123" t="s">
        <v>16</v>
      </c>
      <c r="G1123" t="s">
        <v>177</v>
      </c>
      <c r="H1123">
        <v>5</v>
      </c>
      <c r="I1123">
        <v>670.9</v>
      </c>
      <c r="J1123">
        <v>3354.5</v>
      </c>
      <c r="K1123" t="s">
        <v>1468</v>
      </c>
      <c r="L1123" t="s">
        <v>36</v>
      </c>
    </row>
    <row r="1124" spans="1:12" x14ac:dyDescent="0.35">
      <c r="A1124" t="s">
        <v>2318</v>
      </c>
      <c r="B1124" t="s">
        <v>532</v>
      </c>
      <c r="C1124" t="s">
        <v>533</v>
      </c>
      <c r="D1124" t="s">
        <v>67</v>
      </c>
      <c r="E1124" t="s">
        <v>130</v>
      </c>
      <c r="F1124" t="s">
        <v>25</v>
      </c>
      <c r="G1124" t="s">
        <v>74</v>
      </c>
      <c r="H1124">
        <v>3</v>
      </c>
      <c r="I1124">
        <v>1168.07</v>
      </c>
      <c r="J1124">
        <v>3504.21</v>
      </c>
      <c r="K1124" t="s">
        <v>414</v>
      </c>
      <c r="L1124" t="s">
        <v>91</v>
      </c>
    </row>
    <row r="1125" spans="1:12" x14ac:dyDescent="0.35">
      <c r="A1125" t="s">
        <v>2319</v>
      </c>
      <c r="B1125" t="s">
        <v>1092</v>
      </c>
      <c r="C1125" t="s">
        <v>1093</v>
      </c>
      <c r="D1125" t="s">
        <v>67</v>
      </c>
      <c r="E1125" t="s">
        <v>115</v>
      </c>
      <c r="F1125" t="s">
        <v>25</v>
      </c>
      <c r="G1125" t="s">
        <v>62</v>
      </c>
      <c r="H1125">
        <v>1</v>
      </c>
      <c r="I1125">
        <v>1378.94</v>
      </c>
      <c r="J1125">
        <v>1378.94</v>
      </c>
      <c r="K1125" t="s">
        <v>2320</v>
      </c>
      <c r="L1125" t="s">
        <v>28</v>
      </c>
    </row>
    <row r="1126" spans="1:12" x14ac:dyDescent="0.35">
      <c r="A1126" t="s">
        <v>2321</v>
      </c>
      <c r="B1126" t="s">
        <v>384</v>
      </c>
      <c r="C1126" t="s">
        <v>385</v>
      </c>
      <c r="D1126" t="s">
        <v>32</v>
      </c>
      <c r="E1126" t="s">
        <v>203</v>
      </c>
      <c r="F1126" t="s">
        <v>25</v>
      </c>
      <c r="G1126" t="s">
        <v>34</v>
      </c>
      <c r="H1126">
        <v>2</v>
      </c>
      <c r="I1126">
        <v>1317.84</v>
      </c>
      <c r="J1126">
        <v>2635.68</v>
      </c>
      <c r="K1126" t="s">
        <v>277</v>
      </c>
      <c r="L1126" t="s">
        <v>45</v>
      </c>
    </row>
    <row r="1127" spans="1:12" x14ac:dyDescent="0.35">
      <c r="A1127" t="s">
        <v>2322</v>
      </c>
      <c r="B1127" t="s">
        <v>1419</v>
      </c>
      <c r="C1127" t="s">
        <v>1420</v>
      </c>
      <c r="D1127" t="s">
        <v>23</v>
      </c>
      <c r="E1127" t="s">
        <v>338</v>
      </c>
      <c r="F1127" t="s">
        <v>25</v>
      </c>
      <c r="G1127" t="s">
        <v>74</v>
      </c>
      <c r="H1127">
        <v>1</v>
      </c>
      <c r="I1127">
        <v>379.13</v>
      </c>
      <c r="J1127">
        <v>379.13</v>
      </c>
      <c r="K1127" t="s">
        <v>1299</v>
      </c>
      <c r="L1127" t="s">
        <v>28</v>
      </c>
    </row>
    <row r="1128" spans="1:12" x14ac:dyDescent="0.35">
      <c r="A1128" t="s">
        <v>2323</v>
      </c>
      <c r="B1128" t="s">
        <v>496</v>
      </c>
      <c r="C1128" t="s">
        <v>497</v>
      </c>
      <c r="D1128" t="s">
        <v>14</v>
      </c>
      <c r="E1128" t="s">
        <v>95</v>
      </c>
      <c r="F1128" t="s">
        <v>25</v>
      </c>
      <c r="G1128" t="s">
        <v>139</v>
      </c>
      <c r="H1128">
        <v>1</v>
      </c>
      <c r="I1128">
        <v>505.89</v>
      </c>
      <c r="J1128">
        <v>505.89</v>
      </c>
      <c r="K1128" t="s">
        <v>1835</v>
      </c>
      <c r="L1128" t="s">
        <v>36</v>
      </c>
    </row>
    <row r="1129" spans="1:12" x14ac:dyDescent="0.35">
      <c r="A1129" t="s">
        <v>2324</v>
      </c>
      <c r="B1129" t="s">
        <v>832</v>
      </c>
      <c r="C1129" t="s">
        <v>833</v>
      </c>
      <c r="D1129" t="s">
        <v>67</v>
      </c>
      <c r="E1129" t="s">
        <v>68</v>
      </c>
      <c r="F1129" t="s">
        <v>25</v>
      </c>
      <c r="G1129" t="s">
        <v>74</v>
      </c>
      <c r="H1129">
        <v>1</v>
      </c>
      <c r="I1129">
        <v>1064.76</v>
      </c>
      <c r="J1129">
        <v>1064.76</v>
      </c>
      <c r="K1129" t="s">
        <v>747</v>
      </c>
      <c r="L1129" t="s">
        <v>19</v>
      </c>
    </row>
    <row r="1130" spans="1:12" x14ac:dyDescent="0.35">
      <c r="A1130" t="s">
        <v>2325</v>
      </c>
      <c r="B1130" t="s">
        <v>1131</v>
      </c>
      <c r="C1130" t="s">
        <v>1132</v>
      </c>
      <c r="D1130" t="s">
        <v>67</v>
      </c>
      <c r="E1130" t="s">
        <v>130</v>
      </c>
      <c r="F1130" t="s">
        <v>42</v>
      </c>
      <c r="G1130" t="s">
        <v>80</v>
      </c>
      <c r="H1130">
        <v>4</v>
      </c>
      <c r="I1130">
        <v>977.54</v>
      </c>
      <c r="J1130">
        <v>3910.16</v>
      </c>
      <c r="K1130" t="s">
        <v>1942</v>
      </c>
      <c r="L1130" t="s">
        <v>91</v>
      </c>
    </row>
    <row r="1131" spans="1:12" x14ac:dyDescent="0.35">
      <c r="A1131" t="s">
        <v>2326</v>
      </c>
      <c r="B1131" t="s">
        <v>439</v>
      </c>
      <c r="C1131" t="s">
        <v>440</v>
      </c>
      <c r="D1131" t="s">
        <v>32</v>
      </c>
      <c r="E1131" t="s">
        <v>33</v>
      </c>
      <c r="F1131" t="s">
        <v>25</v>
      </c>
      <c r="G1131" t="s">
        <v>26</v>
      </c>
      <c r="H1131">
        <v>2</v>
      </c>
      <c r="I1131">
        <v>1206.92</v>
      </c>
      <c r="J1131">
        <v>2413.84</v>
      </c>
      <c r="K1131" t="s">
        <v>2327</v>
      </c>
      <c r="L1131" t="s">
        <v>19</v>
      </c>
    </row>
    <row r="1132" spans="1:12" x14ac:dyDescent="0.35">
      <c r="A1132" t="s">
        <v>2328</v>
      </c>
      <c r="B1132" t="s">
        <v>1101</v>
      </c>
      <c r="C1132" t="s">
        <v>1102</v>
      </c>
      <c r="D1132" t="s">
        <v>14</v>
      </c>
      <c r="E1132" t="s">
        <v>95</v>
      </c>
      <c r="F1132" t="s">
        <v>50</v>
      </c>
      <c r="G1132" t="s">
        <v>216</v>
      </c>
      <c r="H1132">
        <v>4</v>
      </c>
      <c r="I1132">
        <v>1121.78</v>
      </c>
      <c r="J1132">
        <v>4487.12</v>
      </c>
      <c r="K1132" t="s">
        <v>1669</v>
      </c>
      <c r="L1132" t="s">
        <v>91</v>
      </c>
    </row>
    <row r="1133" spans="1:12" x14ac:dyDescent="0.35">
      <c r="A1133" t="s">
        <v>2329</v>
      </c>
      <c r="B1133" t="s">
        <v>137</v>
      </c>
      <c r="C1133" t="s">
        <v>138</v>
      </c>
      <c r="D1133" t="s">
        <v>40</v>
      </c>
      <c r="E1133" t="s">
        <v>120</v>
      </c>
      <c r="F1133" t="s">
        <v>16</v>
      </c>
      <c r="G1133" t="s">
        <v>148</v>
      </c>
      <c r="H1133">
        <v>3</v>
      </c>
      <c r="I1133">
        <v>689.7</v>
      </c>
      <c r="J1133">
        <v>2069.1</v>
      </c>
      <c r="K1133" t="s">
        <v>1371</v>
      </c>
      <c r="L1133" t="s">
        <v>36</v>
      </c>
    </row>
    <row r="1134" spans="1:12" x14ac:dyDescent="0.35">
      <c r="A1134" t="s">
        <v>2330</v>
      </c>
      <c r="B1134" t="s">
        <v>1176</v>
      </c>
      <c r="C1134" t="s">
        <v>1177</v>
      </c>
      <c r="D1134" t="s">
        <v>40</v>
      </c>
      <c r="E1134" t="s">
        <v>79</v>
      </c>
      <c r="F1134" t="s">
        <v>42</v>
      </c>
      <c r="G1134" t="s">
        <v>89</v>
      </c>
      <c r="H1134">
        <v>4</v>
      </c>
      <c r="I1134">
        <v>1071.8599999999999</v>
      </c>
      <c r="J1134">
        <v>4287.4399999999996</v>
      </c>
      <c r="K1134" t="s">
        <v>2331</v>
      </c>
      <c r="L1134" t="s">
        <v>28</v>
      </c>
    </row>
    <row r="1135" spans="1:12" x14ac:dyDescent="0.35">
      <c r="A1135" t="s">
        <v>2332</v>
      </c>
      <c r="B1135" t="s">
        <v>738</v>
      </c>
      <c r="C1135" t="s">
        <v>739</v>
      </c>
      <c r="D1135" t="s">
        <v>40</v>
      </c>
      <c r="E1135" t="s">
        <v>79</v>
      </c>
      <c r="F1135" t="s">
        <v>42</v>
      </c>
      <c r="G1135" t="s">
        <v>80</v>
      </c>
      <c r="H1135">
        <v>1</v>
      </c>
      <c r="I1135">
        <v>1433.46</v>
      </c>
      <c r="J1135">
        <v>1433.46</v>
      </c>
      <c r="K1135" t="s">
        <v>2076</v>
      </c>
      <c r="L1135" t="s">
        <v>19</v>
      </c>
    </row>
    <row r="1136" spans="1:12" x14ac:dyDescent="0.35">
      <c r="A1136" t="s">
        <v>2333</v>
      </c>
      <c r="B1136" t="s">
        <v>1131</v>
      </c>
      <c r="C1136" t="s">
        <v>1132</v>
      </c>
      <c r="D1136" t="s">
        <v>40</v>
      </c>
      <c r="E1136" t="s">
        <v>41</v>
      </c>
      <c r="F1136" t="s">
        <v>101</v>
      </c>
      <c r="G1136" t="s">
        <v>649</v>
      </c>
      <c r="H1136">
        <v>2</v>
      </c>
      <c r="I1136">
        <v>870.08</v>
      </c>
      <c r="J1136">
        <v>1740.16</v>
      </c>
      <c r="K1136" t="s">
        <v>2334</v>
      </c>
      <c r="L1136" t="s">
        <v>45</v>
      </c>
    </row>
    <row r="1137" spans="1:12" x14ac:dyDescent="0.35">
      <c r="A1137" t="s">
        <v>2335</v>
      </c>
      <c r="B1137" t="s">
        <v>1226</v>
      </c>
      <c r="C1137" t="s">
        <v>1227</v>
      </c>
      <c r="D1137" t="s">
        <v>32</v>
      </c>
      <c r="E1137" t="s">
        <v>61</v>
      </c>
      <c r="F1137" t="s">
        <v>42</v>
      </c>
      <c r="G1137" t="s">
        <v>225</v>
      </c>
      <c r="H1137">
        <v>2</v>
      </c>
      <c r="I1137">
        <v>20.3</v>
      </c>
      <c r="J1137">
        <v>40.6</v>
      </c>
      <c r="K1137" t="s">
        <v>2336</v>
      </c>
      <c r="L1137" t="s">
        <v>28</v>
      </c>
    </row>
    <row r="1138" spans="1:12" x14ac:dyDescent="0.35">
      <c r="A1138" t="s">
        <v>2337</v>
      </c>
      <c r="B1138" t="s">
        <v>1743</v>
      </c>
      <c r="C1138" t="s">
        <v>1744</v>
      </c>
      <c r="D1138" t="s">
        <v>67</v>
      </c>
      <c r="E1138" t="s">
        <v>68</v>
      </c>
      <c r="F1138" t="s">
        <v>42</v>
      </c>
      <c r="G1138" t="s">
        <v>80</v>
      </c>
      <c r="H1138">
        <v>3</v>
      </c>
      <c r="I1138">
        <v>1436.04</v>
      </c>
      <c r="J1138">
        <v>4308.12</v>
      </c>
      <c r="K1138" t="s">
        <v>2338</v>
      </c>
      <c r="L1138" t="s">
        <v>28</v>
      </c>
    </row>
    <row r="1139" spans="1:12" x14ac:dyDescent="0.35">
      <c r="A1139" t="s">
        <v>2339</v>
      </c>
      <c r="B1139" t="s">
        <v>65</v>
      </c>
      <c r="C1139" t="s">
        <v>66</v>
      </c>
      <c r="D1139" t="s">
        <v>40</v>
      </c>
      <c r="E1139" t="s">
        <v>41</v>
      </c>
      <c r="F1139" t="s">
        <v>16</v>
      </c>
      <c r="G1139" t="s">
        <v>182</v>
      </c>
      <c r="H1139">
        <v>3</v>
      </c>
      <c r="I1139">
        <v>1041.73</v>
      </c>
      <c r="J1139">
        <v>3125.19</v>
      </c>
      <c r="K1139" t="s">
        <v>2340</v>
      </c>
      <c r="L1139" t="s">
        <v>91</v>
      </c>
    </row>
    <row r="1140" spans="1:12" x14ac:dyDescent="0.35">
      <c r="A1140" t="s">
        <v>2341</v>
      </c>
      <c r="B1140" t="s">
        <v>925</v>
      </c>
      <c r="C1140" t="s">
        <v>926</v>
      </c>
      <c r="D1140" t="s">
        <v>67</v>
      </c>
      <c r="E1140" t="s">
        <v>68</v>
      </c>
      <c r="F1140" t="s">
        <v>25</v>
      </c>
      <c r="G1140" t="s">
        <v>34</v>
      </c>
      <c r="H1140">
        <v>3</v>
      </c>
      <c r="I1140">
        <v>530.67999999999995</v>
      </c>
      <c r="J1140">
        <v>1592.04</v>
      </c>
      <c r="K1140" t="s">
        <v>404</v>
      </c>
      <c r="L1140" t="s">
        <v>19</v>
      </c>
    </row>
    <row r="1141" spans="1:12" x14ac:dyDescent="0.35">
      <c r="A1141" t="s">
        <v>2342</v>
      </c>
      <c r="B1141" t="s">
        <v>206</v>
      </c>
      <c r="C1141" t="s">
        <v>207</v>
      </c>
      <c r="D1141" t="s">
        <v>67</v>
      </c>
      <c r="E1141" t="s">
        <v>130</v>
      </c>
      <c r="F1141" t="s">
        <v>101</v>
      </c>
      <c r="G1141" t="s">
        <v>237</v>
      </c>
      <c r="H1141">
        <v>4</v>
      </c>
      <c r="I1141">
        <v>679.53</v>
      </c>
      <c r="J1141">
        <v>2718.12</v>
      </c>
      <c r="K1141" t="s">
        <v>1048</v>
      </c>
      <c r="L1141" t="s">
        <v>19</v>
      </c>
    </row>
    <row r="1142" spans="1:12" x14ac:dyDescent="0.35">
      <c r="A1142" t="s">
        <v>2343</v>
      </c>
      <c r="B1142" t="s">
        <v>690</v>
      </c>
      <c r="C1142" t="s">
        <v>691</v>
      </c>
      <c r="D1142" t="s">
        <v>23</v>
      </c>
      <c r="E1142" t="s">
        <v>24</v>
      </c>
      <c r="F1142" t="s">
        <v>16</v>
      </c>
      <c r="G1142" t="s">
        <v>182</v>
      </c>
      <c r="H1142">
        <v>5</v>
      </c>
      <c r="I1142">
        <v>298.82</v>
      </c>
      <c r="J1142">
        <v>1494.1</v>
      </c>
      <c r="K1142" t="s">
        <v>1803</v>
      </c>
      <c r="L1142" t="s">
        <v>28</v>
      </c>
    </row>
    <row r="1143" spans="1:12" x14ac:dyDescent="0.35">
      <c r="A1143" t="s">
        <v>2344</v>
      </c>
      <c r="B1143" t="s">
        <v>1532</v>
      </c>
      <c r="C1143" t="s">
        <v>1533</v>
      </c>
      <c r="D1143" t="s">
        <v>23</v>
      </c>
      <c r="E1143" t="s">
        <v>338</v>
      </c>
      <c r="F1143" t="s">
        <v>25</v>
      </c>
      <c r="G1143" t="s">
        <v>139</v>
      </c>
      <c r="H1143">
        <v>1</v>
      </c>
      <c r="I1143">
        <v>1122.95</v>
      </c>
      <c r="J1143">
        <v>1122.95</v>
      </c>
      <c r="K1143" t="s">
        <v>534</v>
      </c>
      <c r="L1143" t="s">
        <v>19</v>
      </c>
    </row>
    <row r="1144" spans="1:12" x14ac:dyDescent="0.35">
      <c r="A1144" t="s">
        <v>2345</v>
      </c>
      <c r="B1144" t="s">
        <v>832</v>
      </c>
      <c r="C1144" t="s">
        <v>833</v>
      </c>
      <c r="D1144" t="s">
        <v>32</v>
      </c>
      <c r="E1144" t="s">
        <v>203</v>
      </c>
      <c r="F1144" t="s">
        <v>16</v>
      </c>
      <c r="G1144" t="s">
        <v>17</v>
      </c>
      <c r="H1144">
        <v>1</v>
      </c>
      <c r="I1144">
        <v>1142.19</v>
      </c>
      <c r="J1144">
        <v>1142.19</v>
      </c>
      <c r="K1144" t="s">
        <v>1224</v>
      </c>
      <c r="L1144" t="s">
        <v>45</v>
      </c>
    </row>
    <row r="1145" spans="1:12" x14ac:dyDescent="0.35">
      <c r="A1145" t="s">
        <v>2346</v>
      </c>
      <c r="B1145" t="s">
        <v>321</v>
      </c>
      <c r="C1145" t="s">
        <v>322</v>
      </c>
      <c r="D1145" t="s">
        <v>40</v>
      </c>
      <c r="E1145" t="s">
        <v>120</v>
      </c>
      <c r="F1145" t="s">
        <v>16</v>
      </c>
      <c r="G1145" t="s">
        <v>17</v>
      </c>
      <c r="H1145">
        <v>3</v>
      </c>
      <c r="I1145">
        <v>882.18</v>
      </c>
      <c r="J1145">
        <v>2646.54</v>
      </c>
      <c r="K1145" t="s">
        <v>830</v>
      </c>
      <c r="L1145" t="s">
        <v>19</v>
      </c>
    </row>
    <row r="1146" spans="1:12" x14ac:dyDescent="0.35">
      <c r="A1146" t="s">
        <v>2347</v>
      </c>
      <c r="B1146" t="s">
        <v>2348</v>
      </c>
      <c r="C1146" t="s">
        <v>2349</v>
      </c>
      <c r="D1146" t="s">
        <v>23</v>
      </c>
      <c r="E1146" t="s">
        <v>24</v>
      </c>
      <c r="F1146" t="s">
        <v>101</v>
      </c>
      <c r="G1146" t="s">
        <v>373</v>
      </c>
      <c r="H1146">
        <v>5</v>
      </c>
      <c r="I1146">
        <v>1026.4100000000001</v>
      </c>
      <c r="J1146">
        <v>5132.05</v>
      </c>
      <c r="K1146" t="s">
        <v>2000</v>
      </c>
      <c r="L1146" t="s">
        <v>45</v>
      </c>
    </row>
    <row r="1147" spans="1:12" x14ac:dyDescent="0.35">
      <c r="A1147" t="s">
        <v>2350</v>
      </c>
      <c r="B1147" t="s">
        <v>54</v>
      </c>
      <c r="C1147" t="s">
        <v>55</v>
      </c>
      <c r="D1147" t="s">
        <v>14</v>
      </c>
      <c r="E1147" t="s">
        <v>125</v>
      </c>
      <c r="F1147" t="s">
        <v>16</v>
      </c>
      <c r="G1147" t="s">
        <v>177</v>
      </c>
      <c r="H1147">
        <v>5</v>
      </c>
      <c r="I1147">
        <v>1191.57</v>
      </c>
      <c r="J1147">
        <v>5957.85</v>
      </c>
      <c r="K1147" t="s">
        <v>1116</v>
      </c>
      <c r="L1147" t="s">
        <v>36</v>
      </c>
    </row>
    <row r="1148" spans="1:12" x14ac:dyDescent="0.35">
      <c r="A1148" t="s">
        <v>2351</v>
      </c>
      <c r="B1148" t="s">
        <v>707</v>
      </c>
      <c r="C1148" t="s">
        <v>708</v>
      </c>
      <c r="D1148" t="s">
        <v>40</v>
      </c>
      <c r="E1148" t="s">
        <v>41</v>
      </c>
      <c r="F1148" t="s">
        <v>16</v>
      </c>
      <c r="G1148" t="s">
        <v>177</v>
      </c>
      <c r="H1148">
        <v>4</v>
      </c>
      <c r="I1148">
        <v>914.43</v>
      </c>
      <c r="J1148">
        <v>3657.72</v>
      </c>
      <c r="K1148" t="s">
        <v>896</v>
      </c>
      <c r="L1148" t="s">
        <v>36</v>
      </c>
    </row>
    <row r="1149" spans="1:12" x14ac:dyDescent="0.35">
      <c r="A1149" t="s">
        <v>2352</v>
      </c>
      <c r="B1149" t="s">
        <v>707</v>
      </c>
      <c r="C1149" t="s">
        <v>708</v>
      </c>
      <c r="D1149" t="s">
        <v>40</v>
      </c>
      <c r="E1149" t="s">
        <v>79</v>
      </c>
      <c r="F1149" t="s">
        <v>25</v>
      </c>
      <c r="G1149" t="s">
        <v>74</v>
      </c>
      <c r="H1149">
        <v>1</v>
      </c>
      <c r="I1149">
        <v>253.91</v>
      </c>
      <c r="J1149">
        <v>253.91</v>
      </c>
      <c r="K1149" t="s">
        <v>452</v>
      </c>
      <c r="L1149" t="s">
        <v>45</v>
      </c>
    </row>
    <row r="1150" spans="1:12" x14ac:dyDescent="0.35">
      <c r="A1150" t="s">
        <v>2353</v>
      </c>
      <c r="B1150" t="s">
        <v>333</v>
      </c>
      <c r="C1150" t="s">
        <v>334</v>
      </c>
      <c r="D1150" t="s">
        <v>67</v>
      </c>
      <c r="E1150" t="s">
        <v>68</v>
      </c>
      <c r="F1150" t="s">
        <v>101</v>
      </c>
      <c r="G1150" t="s">
        <v>237</v>
      </c>
      <c r="H1150">
        <v>5</v>
      </c>
      <c r="I1150">
        <v>985.62</v>
      </c>
      <c r="J1150">
        <v>4928.1000000000004</v>
      </c>
      <c r="K1150" t="s">
        <v>2354</v>
      </c>
      <c r="L1150" t="s">
        <v>45</v>
      </c>
    </row>
    <row r="1151" spans="1:12" x14ac:dyDescent="0.35">
      <c r="A1151" t="s">
        <v>2355</v>
      </c>
      <c r="B1151" t="s">
        <v>1438</v>
      </c>
      <c r="C1151" t="s">
        <v>1439</v>
      </c>
      <c r="D1151" t="s">
        <v>14</v>
      </c>
      <c r="E1151" t="s">
        <v>125</v>
      </c>
      <c r="F1151" t="s">
        <v>16</v>
      </c>
      <c r="G1151" t="s">
        <v>177</v>
      </c>
      <c r="H1151">
        <v>5</v>
      </c>
      <c r="I1151">
        <v>492.6</v>
      </c>
      <c r="J1151">
        <v>2463</v>
      </c>
      <c r="K1151" t="s">
        <v>2230</v>
      </c>
      <c r="L1151" t="s">
        <v>45</v>
      </c>
    </row>
    <row r="1152" spans="1:12" x14ac:dyDescent="0.35">
      <c r="A1152" t="s">
        <v>2356</v>
      </c>
      <c r="B1152" t="s">
        <v>341</v>
      </c>
      <c r="C1152" t="s">
        <v>342</v>
      </c>
      <c r="D1152" t="s">
        <v>14</v>
      </c>
      <c r="E1152" t="s">
        <v>125</v>
      </c>
      <c r="F1152" t="s">
        <v>16</v>
      </c>
      <c r="G1152" t="s">
        <v>17</v>
      </c>
      <c r="H1152">
        <v>1</v>
      </c>
      <c r="I1152">
        <v>521.42999999999995</v>
      </c>
      <c r="J1152">
        <v>521.42999999999995</v>
      </c>
      <c r="K1152" t="s">
        <v>1731</v>
      </c>
      <c r="L1152" t="s">
        <v>19</v>
      </c>
    </row>
    <row r="1153" spans="1:12" x14ac:dyDescent="0.35">
      <c r="A1153" t="s">
        <v>2357</v>
      </c>
      <c r="B1153" t="s">
        <v>248</v>
      </c>
      <c r="C1153" t="s">
        <v>249</v>
      </c>
      <c r="D1153" t="s">
        <v>40</v>
      </c>
      <c r="E1153" t="s">
        <v>41</v>
      </c>
      <c r="F1153" t="s">
        <v>50</v>
      </c>
      <c r="G1153" t="s">
        <v>216</v>
      </c>
      <c r="H1153">
        <v>1</v>
      </c>
      <c r="I1153">
        <v>374.6</v>
      </c>
      <c r="J1153">
        <v>374.6</v>
      </c>
      <c r="K1153" t="s">
        <v>572</v>
      </c>
      <c r="L1153" t="s">
        <v>19</v>
      </c>
    </row>
    <row r="1154" spans="1:12" x14ac:dyDescent="0.35">
      <c r="A1154" t="s">
        <v>2358</v>
      </c>
      <c r="B1154" t="s">
        <v>464</v>
      </c>
      <c r="C1154" t="s">
        <v>465</v>
      </c>
      <c r="D1154" t="s">
        <v>67</v>
      </c>
      <c r="E1154" t="s">
        <v>68</v>
      </c>
      <c r="F1154" t="s">
        <v>25</v>
      </c>
      <c r="G1154" t="s">
        <v>139</v>
      </c>
      <c r="H1154">
        <v>2</v>
      </c>
      <c r="I1154">
        <v>1147.9100000000001</v>
      </c>
      <c r="J1154">
        <v>2295.8200000000002</v>
      </c>
      <c r="K1154" t="s">
        <v>1553</v>
      </c>
      <c r="L1154" t="s">
        <v>19</v>
      </c>
    </row>
    <row r="1155" spans="1:12" x14ac:dyDescent="0.35">
      <c r="A1155" t="s">
        <v>2359</v>
      </c>
      <c r="B1155" t="s">
        <v>658</v>
      </c>
      <c r="C1155" t="s">
        <v>659</v>
      </c>
      <c r="D1155" t="s">
        <v>67</v>
      </c>
      <c r="E1155" t="s">
        <v>68</v>
      </c>
      <c r="F1155" t="s">
        <v>50</v>
      </c>
      <c r="G1155" t="s">
        <v>170</v>
      </c>
      <c r="H1155">
        <v>2</v>
      </c>
      <c r="I1155">
        <v>655.29</v>
      </c>
      <c r="J1155">
        <v>1310.58</v>
      </c>
      <c r="K1155" t="s">
        <v>2054</v>
      </c>
      <c r="L1155" t="s">
        <v>28</v>
      </c>
    </row>
    <row r="1156" spans="1:12" x14ac:dyDescent="0.35">
      <c r="A1156" t="s">
        <v>2360</v>
      </c>
      <c r="B1156" t="s">
        <v>406</v>
      </c>
      <c r="C1156" t="s">
        <v>407</v>
      </c>
      <c r="D1156" t="s">
        <v>40</v>
      </c>
      <c r="E1156" t="s">
        <v>41</v>
      </c>
      <c r="F1156" t="s">
        <v>42</v>
      </c>
      <c r="G1156" t="s">
        <v>80</v>
      </c>
      <c r="H1156">
        <v>2</v>
      </c>
      <c r="I1156">
        <v>612.12</v>
      </c>
      <c r="J1156">
        <v>1224.24</v>
      </c>
      <c r="K1156" t="s">
        <v>1892</v>
      </c>
      <c r="L1156" t="s">
        <v>28</v>
      </c>
    </row>
    <row r="1157" spans="1:12" x14ac:dyDescent="0.35">
      <c r="A1157" t="s">
        <v>2361</v>
      </c>
      <c r="B1157" t="s">
        <v>514</v>
      </c>
      <c r="C1157" t="s">
        <v>515</v>
      </c>
      <c r="D1157" t="s">
        <v>67</v>
      </c>
      <c r="E1157" t="s">
        <v>115</v>
      </c>
      <c r="F1157" t="s">
        <v>101</v>
      </c>
      <c r="G1157" t="s">
        <v>165</v>
      </c>
      <c r="H1157">
        <v>2</v>
      </c>
      <c r="I1157">
        <v>782.77</v>
      </c>
      <c r="J1157">
        <v>1565.54</v>
      </c>
      <c r="K1157" t="s">
        <v>2362</v>
      </c>
      <c r="L1157" t="s">
        <v>45</v>
      </c>
    </row>
    <row r="1158" spans="1:12" x14ac:dyDescent="0.35">
      <c r="A1158" t="s">
        <v>2363</v>
      </c>
      <c r="B1158" t="s">
        <v>548</v>
      </c>
      <c r="C1158" t="s">
        <v>549</v>
      </c>
      <c r="D1158" t="s">
        <v>14</v>
      </c>
      <c r="E1158" t="s">
        <v>266</v>
      </c>
      <c r="F1158" t="s">
        <v>50</v>
      </c>
      <c r="G1158" t="s">
        <v>51</v>
      </c>
      <c r="H1158">
        <v>3</v>
      </c>
      <c r="I1158">
        <v>441.34</v>
      </c>
      <c r="J1158">
        <v>1324.02</v>
      </c>
      <c r="K1158" t="s">
        <v>985</v>
      </c>
      <c r="L1158" t="s">
        <v>28</v>
      </c>
    </row>
    <row r="1159" spans="1:12" x14ac:dyDescent="0.35">
      <c r="A1159" t="s">
        <v>2364</v>
      </c>
      <c r="B1159" t="s">
        <v>838</v>
      </c>
      <c r="C1159" t="s">
        <v>839</v>
      </c>
      <c r="D1159" t="s">
        <v>32</v>
      </c>
      <c r="E1159" t="s">
        <v>203</v>
      </c>
      <c r="F1159" t="s">
        <v>42</v>
      </c>
      <c r="G1159" t="s">
        <v>170</v>
      </c>
      <c r="H1159">
        <v>4</v>
      </c>
      <c r="I1159">
        <v>211.21</v>
      </c>
      <c r="J1159">
        <v>844.84</v>
      </c>
      <c r="K1159" t="s">
        <v>1007</v>
      </c>
      <c r="L1159" t="s">
        <v>19</v>
      </c>
    </row>
    <row r="1160" spans="1:12" x14ac:dyDescent="0.35">
      <c r="A1160" t="s">
        <v>2365</v>
      </c>
      <c r="B1160" t="s">
        <v>1743</v>
      </c>
      <c r="C1160" t="s">
        <v>1744</v>
      </c>
      <c r="D1160" t="s">
        <v>14</v>
      </c>
      <c r="E1160" t="s">
        <v>266</v>
      </c>
      <c r="F1160" t="s">
        <v>101</v>
      </c>
      <c r="G1160" t="s">
        <v>237</v>
      </c>
      <c r="H1160">
        <v>3</v>
      </c>
      <c r="I1160">
        <v>1186.9100000000001</v>
      </c>
      <c r="J1160">
        <v>3560.73</v>
      </c>
      <c r="K1160" t="s">
        <v>1367</v>
      </c>
      <c r="L1160" t="s">
        <v>19</v>
      </c>
    </row>
    <row r="1161" spans="1:12" x14ac:dyDescent="0.35">
      <c r="A1161" t="s">
        <v>2366</v>
      </c>
      <c r="B1161" t="s">
        <v>797</v>
      </c>
      <c r="C1161" t="s">
        <v>798</v>
      </c>
      <c r="D1161" t="s">
        <v>67</v>
      </c>
      <c r="E1161" t="s">
        <v>68</v>
      </c>
      <c r="F1161" t="s">
        <v>16</v>
      </c>
      <c r="G1161" t="s">
        <v>230</v>
      </c>
      <c r="H1161">
        <v>4</v>
      </c>
      <c r="I1161">
        <v>1470.69</v>
      </c>
      <c r="J1161">
        <v>5882.76</v>
      </c>
      <c r="K1161" t="s">
        <v>2100</v>
      </c>
      <c r="L1161" t="s">
        <v>91</v>
      </c>
    </row>
    <row r="1162" spans="1:12" x14ac:dyDescent="0.35">
      <c r="A1162" t="s">
        <v>2367</v>
      </c>
      <c r="B1162" t="s">
        <v>1278</v>
      </c>
      <c r="C1162" t="s">
        <v>1279</v>
      </c>
      <c r="D1162" t="s">
        <v>14</v>
      </c>
      <c r="E1162" t="s">
        <v>125</v>
      </c>
      <c r="F1162" t="s">
        <v>25</v>
      </c>
      <c r="G1162" t="s">
        <v>74</v>
      </c>
      <c r="H1162">
        <v>2</v>
      </c>
      <c r="I1162">
        <v>1123.77</v>
      </c>
      <c r="J1162">
        <v>2247.54</v>
      </c>
      <c r="K1162" t="s">
        <v>1754</v>
      </c>
      <c r="L1162" t="s">
        <v>91</v>
      </c>
    </row>
    <row r="1163" spans="1:12" x14ac:dyDescent="0.35">
      <c r="A1163" t="s">
        <v>2368</v>
      </c>
      <c r="B1163" t="s">
        <v>864</v>
      </c>
      <c r="C1163" t="s">
        <v>865</v>
      </c>
      <c r="D1163" t="s">
        <v>14</v>
      </c>
      <c r="E1163" t="s">
        <v>125</v>
      </c>
      <c r="F1163" t="s">
        <v>25</v>
      </c>
      <c r="G1163" t="s">
        <v>34</v>
      </c>
      <c r="H1163">
        <v>1</v>
      </c>
      <c r="I1163">
        <v>11.36</v>
      </c>
      <c r="J1163">
        <v>11.36</v>
      </c>
      <c r="K1163" t="s">
        <v>75</v>
      </c>
      <c r="L1163" t="s">
        <v>45</v>
      </c>
    </row>
    <row r="1164" spans="1:12" x14ac:dyDescent="0.35">
      <c r="A1164" t="s">
        <v>2369</v>
      </c>
      <c r="B1164" t="s">
        <v>72</v>
      </c>
      <c r="C1164" t="s">
        <v>73</v>
      </c>
      <c r="D1164" t="s">
        <v>40</v>
      </c>
      <c r="E1164" t="s">
        <v>79</v>
      </c>
      <c r="F1164" t="s">
        <v>101</v>
      </c>
      <c r="G1164" t="s">
        <v>373</v>
      </c>
      <c r="H1164">
        <v>1</v>
      </c>
      <c r="I1164">
        <v>1458.24</v>
      </c>
      <c r="J1164">
        <v>1458.24</v>
      </c>
      <c r="K1164" t="s">
        <v>1344</v>
      </c>
      <c r="L1164" t="s">
        <v>28</v>
      </c>
    </row>
    <row r="1165" spans="1:12" x14ac:dyDescent="0.35">
      <c r="A1165" t="s">
        <v>2370</v>
      </c>
      <c r="B1165" t="s">
        <v>1516</v>
      </c>
      <c r="C1165" t="s">
        <v>1517</v>
      </c>
      <c r="D1165" t="s">
        <v>40</v>
      </c>
      <c r="E1165" t="s">
        <v>120</v>
      </c>
      <c r="F1165" t="s">
        <v>50</v>
      </c>
      <c r="G1165" t="s">
        <v>216</v>
      </c>
      <c r="H1165">
        <v>1</v>
      </c>
      <c r="I1165">
        <v>646.91999999999996</v>
      </c>
      <c r="J1165">
        <v>646.91999999999996</v>
      </c>
      <c r="K1165" t="s">
        <v>2371</v>
      </c>
      <c r="L1165" t="s">
        <v>45</v>
      </c>
    </row>
    <row r="1166" spans="1:12" x14ac:dyDescent="0.35">
      <c r="A1166" t="s">
        <v>2372</v>
      </c>
      <c r="B1166" t="s">
        <v>738</v>
      </c>
      <c r="C1166" t="s">
        <v>739</v>
      </c>
      <c r="D1166" t="s">
        <v>40</v>
      </c>
      <c r="E1166" t="s">
        <v>120</v>
      </c>
      <c r="F1166" t="s">
        <v>42</v>
      </c>
      <c r="G1166" t="s">
        <v>170</v>
      </c>
      <c r="H1166">
        <v>5</v>
      </c>
      <c r="I1166">
        <v>407.1</v>
      </c>
      <c r="J1166">
        <v>2035.5</v>
      </c>
      <c r="K1166" t="s">
        <v>1338</v>
      </c>
      <c r="L1166" t="s">
        <v>36</v>
      </c>
    </row>
    <row r="1167" spans="1:12" x14ac:dyDescent="0.35">
      <c r="A1167" t="s">
        <v>2373</v>
      </c>
      <c r="B1167" t="s">
        <v>532</v>
      </c>
      <c r="C1167" t="s">
        <v>533</v>
      </c>
      <c r="D1167" t="s">
        <v>32</v>
      </c>
      <c r="E1167" t="s">
        <v>61</v>
      </c>
      <c r="F1167" t="s">
        <v>42</v>
      </c>
      <c r="G1167" t="s">
        <v>80</v>
      </c>
      <c r="H1167">
        <v>3</v>
      </c>
      <c r="I1167">
        <v>792.03</v>
      </c>
      <c r="J1167">
        <v>2376.09</v>
      </c>
      <c r="K1167" t="s">
        <v>600</v>
      </c>
      <c r="L1167" t="s">
        <v>28</v>
      </c>
    </row>
    <row r="1168" spans="1:12" x14ac:dyDescent="0.35">
      <c r="A1168" t="s">
        <v>2374</v>
      </c>
      <c r="B1168" t="s">
        <v>1159</v>
      </c>
      <c r="C1168" t="s">
        <v>1160</v>
      </c>
      <c r="D1168" t="s">
        <v>23</v>
      </c>
      <c r="E1168" t="s">
        <v>338</v>
      </c>
      <c r="F1168" t="s">
        <v>50</v>
      </c>
      <c r="G1168" t="s">
        <v>170</v>
      </c>
      <c r="H1168">
        <v>4</v>
      </c>
      <c r="I1168">
        <v>151.97</v>
      </c>
      <c r="J1168">
        <v>607.88</v>
      </c>
      <c r="K1168" t="s">
        <v>2164</v>
      </c>
      <c r="L1168" t="s">
        <v>36</v>
      </c>
    </row>
    <row r="1169" spans="1:12" x14ac:dyDescent="0.35">
      <c r="A1169" t="s">
        <v>2375</v>
      </c>
      <c r="B1169" t="s">
        <v>396</v>
      </c>
      <c r="C1169" t="s">
        <v>397</v>
      </c>
      <c r="D1169" t="s">
        <v>32</v>
      </c>
      <c r="E1169" t="s">
        <v>33</v>
      </c>
      <c r="F1169" t="s">
        <v>42</v>
      </c>
      <c r="G1169" t="s">
        <v>170</v>
      </c>
      <c r="H1169">
        <v>2</v>
      </c>
      <c r="I1169">
        <v>225.39</v>
      </c>
      <c r="J1169">
        <v>450.78</v>
      </c>
      <c r="K1169" t="s">
        <v>1756</v>
      </c>
      <c r="L1169" t="s">
        <v>91</v>
      </c>
    </row>
    <row r="1170" spans="1:12" x14ac:dyDescent="0.35">
      <c r="A1170" t="s">
        <v>2376</v>
      </c>
      <c r="B1170" t="s">
        <v>901</v>
      </c>
      <c r="C1170" t="s">
        <v>902</v>
      </c>
      <c r="D1170" t="s">
        <v>23</v>
      </c>
      <c r="E1170" t="s">
        <v>49</v>
      </c>
      <c r="F1170" t="s">
        <v>101</v>
      </c>
      <c r="G1170" t="s">
        <v>237</v>
      </c>
      <c r="H1170">
        <v>2</v>
      </c>
      <c r="I1170">
        <v>449.2</v>
      </c>
      <c r="J1170">
        <v>898.4</v>
      </c>
      <c r="K1170" t="s">
        <v>2377</v>
      </c>
      <c r="L1170" t="s">
        <v>36</v>
      </c>
    </row>
    <row r="1171" spans="1:12" x14ac:dyDescent="0.35">
      <c r="A1171" t="s">
        <v>2378</v>
      </c>
      <c r="B1171" t="s">
        <v>838</v>
      </c>
      <c r="C1171" t="s">
        <v>839</v>
      </c>
      <c r="D1171" t="s">
        <v>40</v>
      </c>
      <c r="E1171" t="s">
        <v>79</v>
      </c>
      <c r="F1171" t="s">
        <v>16</v>
      </c>
      <c r="G1171" t="s">
        <v>148</v>
      </c>
      <c r="H1171">
        <v>5</v>
      </c>
      <c r="I1171">
        <v>497.94</v>
      </c>
      <c r="J1171">
        <v>2489.6999999999998</v>
      </c>
      <c r="K1171" t="s">
        <v>912</v>
      </c>
      <c r="L1171" t="s">
        <v>36</v>
      </c>
    </row>
    <row r="1172" spans="1:12" x14ac:dyDescent="0.35">
      <c r="A1172" t="s">
        <v>2379</v>
      </c>
      <c r="B1172" t="s">
        <v>918</v>
      </c>
      <c r="C1172" t="s">
        <v>919</v>
      </c>
      <c r="D1172" t="s">
        <v>40</v>
      </c>
      <c r="E1172" t="s">
        <v>41</v>
      </c>
      <c r="F1172" t="s">
        <v>16</v>
      </c>
      <c r="G1172" t="s">
        <v>148</v>
      </c>
      <c r="H1172">
        <v>5</v>
      </c>
      <c r="I1172">
        <v>86.95</v>
      </c>
      <c r="J1172">
        <v>434.75</v>
      </c>
      <c r="K1172" t="s">
        <v>1984</v>
      </c>
      <c r="L1172" t="s">
        <v>28</v>
      </c>
    </row>
    <row r="1173" spans="1:12" x14ac:dyDescent="0.35">
      <c r="A1173" t="s">
        <v>2380</v>
      </c>
      <c r="B1173" t="s">
        <v>1046</v>
      </c>
      <c r="C1173" t="s">
        <v>1047</v>
      </c>
      <c r="D1173" t="s">
        <v>40</v>
      </c>
      <c r="E1173" t="s">
        <v>41</v>
      </c>
      <c r="F1173" t="s">
        <v>42</v>
      </c>
      <c r="G1173" t="s">
        <v>80</v>
      </c>
      <c r="H1173">
        <v>1</v>
      </c>
      <c r="I1173">
        <v>585.16999999999996</v>
      </c>
      <c r="J1173">
        <v>585.16999999999996</v>
      </c>
      <c r="K1173" t="s">
        <v>1118</v>
      </c>
      <c r="L1173" t="s">
        <v>19</v>
      </c>
    </row>
    <row r="1174" spans="1:12" x14ac:dyDescent="0.35">
      <c r="A1174" t="s">
        <v>2381</v>
      </c>
      <c r="B1174" t="s">
        <v>1170</v>
      </c>
      <c r="C1174" t="s">
        <v>1171</v>
      </c>
      <c r="D1174" t="s">
        <v>40</v>
      </c>
      <c r="E1174" t="s">
        <v>120</v>
      </c>
      <c r="F1174" t="s">
        <v>42</v>
      </c>
      <c r="G1174" t="s">
        <v>43</v>
      </c>
      <c r="H1174">
        <v>3</v>
      </c>
      <c r="I1174">
        <v>1374.42</v>
      </c>
      <c r="J1174">
        <v>4123.26</v>
      </c>
      <c r="K1174" t="s">
        <v>807</v>
      </c>
      <c r="L1174" t="s">
        <v>45</v>
      </c>
    </row>
    <row r="1175" spans="1:12" x14ac:dyDescent="0.35">
      <c r="A1175" t="s">
        <v>2382</v>
      </c>
      <c r="B1175" t="s">
        <v>402</v>
      </c>
      <c r="C1175" t="s">
        <v>403</v>
      </c>
      <c r="D1175" t="s">
        <v>32</v>
      </c>
      <c r="E1175" t="s">
        <v>203</v>
      </c>
      <c r="F1175" t="s">
        <v>16</v>
      </c>
      <c r="G1175" t="s">
        <v>177</v>
      </c>
      <c r="H1175">
        <v>3</v>
      </c>
      <c r="I1175">
        <v>522.64</v>
      </c>
      <c r="J1175">
        <v>1567.92</v>
      </c>
      <c r="K1175" t="s">
        <v>1501</v>
      </c>
      <c r="L1175" t="s">
        <v>45</v>
      </c>
    </row>
    <row r="1176" spans="1:12" x14ac:dyDescent="0.35">
      <c r="A1176" t="s">
        <v>2383</v>
      </c>
      <c r="B1176" t="s">
        <v>707</v>
      </c>
      <c r="C1176" t="s">
        <v>708</v>
      </c>
      <c r="D1176" t="s">
        <v>40</v>
      </c>
      <c r="E1176" t="s">
        <v>41</v>
      </c>
      <c r="F1176" t="s">
        <v>50</v>
      </c>
      <c r="G1176" t="s">
        <v>170</v>
      </c>
      <c r="H1176">
        <v>1</v>
      </c>
      <c r="I1176">
        <v>866.12</v>
      </c>
      <c r="J1176">
        <v>866.12</v>
      </c>
      <c r="K1176" t="s">
        <v>293</v>
      </c>
      <c r="L1176" t="s">
        <v>36</v>
      </c>
    </row>
    <row r="1177" spans="1:12" x14ac:dyDescent="0.35">
      <c r="A1177" t="s">
        <v>2384</v>
      </c>
      <c r="B1177" t="s">
        <v>1285</v>
      </c>
      <c r="C1177" t="s">
        <v>1286</v>
      </c>
      <c r="D1177" t="s">
        <v>40</v>
      </c>
      <c r="E1177" t="s">
        <v>41</v>
      </c>
      <c r="F1177" t="s">
        <v>101</v>
      </c>
      <c r="G1177" t="s">
        <v>102</v>
      </c>
      <c r="H1177">
        <v>3</v>
      </c>
      <c r="I1177">
        <v>1279.55</v>
      </c>
      <c r="J1177">
        <v>3838.65</v>
      </c>
      <c r="K1177" t="s">
        <v>1332</v>
      </c>
      <c r="L1177" t="s">
        <v>45</v>
      </c>
    </row>
    <row r="1178" spans="1:12" x14ac:dyDescent="0.35">
      <c r="A1178" t="s">
        <v>2385</v>
      </c>
      <c r="B1178" t="s">
        <v>128</v>
      </c>
      <c r="C1178" t="s">
        <v>129</v>
      </c>
      <c r="D1178" t="s">
        <v>32</v>
      </c>
      <c r="E1178" t="s">
        <v>203</v>
      </c>
      <c r="F1178" t="s">
        <v>16</v>
      </c>
      <c r="G1178" t="s">
        <v>177</v>
      </c>
      <c r="H1178">
        <v>3</v>
      </c>
      <c r="I1178">
        <v>1492.75</v>
      </c>
      <c r="J1178">
        <v>4478.25</v>
      </c>
      <c r="K1178" t="s">
        <v>267</v>
      </c>
      <c r="L1178" t="s">
        <v>45</v>
      </c>
    </row>
    <row r="1179" spans="1:12" x14ac:dyDescent="0.35">
      <c r="A1179" t="s">
        <v>2386</v>
      </c>
      <c r="B1179" t="s">
        <v>12</v>
      </c>
      <c r="C1179" t="s">
        <v>13</v>
      </c>
      <c r="D1179" t="s">
        <v>14</v>
      </c>
      <c r="E1179" t="s">
        <v>266</v>
      </c>
      <c r="F1179" t="s">
        <v>25</v>
      </c>
      <c r="G1179" t="s">
        <v>34</v>
      </c>
      <c r="H1179">
        <v>1</v>
      </c>
      <c r="I1179">
        <v>749.39</v>
      </c>
      <c r="J1179">
        <v>749.39</v>
      </c>
      <c r="K1179" t="s">
        <v>701</v>
      </c>
      <c r="L1179" t="s">
        <v>28</v>
      </c>
    </row>
    <row r="1180" spans="1:12" x14ac:dyDescent="0.35">
      <c r="A1180" t="s">
        <v>2387</v>
      </c>
      <c r="B1180" t="s">
        <v>1281</v>
      </c>
      <c r="C1180" t="s">
        <v>1282</v>
      </c>
      <c r="D1180" t="s">
        <v>23</v>
      </c>
      <c r="E1180" t="s">
        <v>338</v>
      </c>
      <c r="F1180" t="s">
        <v>16</v>
      </c>
      <c r="G1180" t="s">
        <v>148</v>
      </c>
      <c r="H1180">
        <v>3</v>
      </c>
      <c r="I1180">
        <v>1252.78</v>
      </c>
      <c r="J1180">
        <v>3758.34</v>
      </c>
      <c r="K1180" t="s">
        <v>2388</v>
      </c>
      <c r="L1180" t="s">
        <v>19</v>
      </c>
    </row>
    <row r="1181" spans="1:12" x14ac:dyDescent="0.35">
      <c r="A1181" t="s">
        <v>2389</v>
      </c>
      <c r="B1181" t="s">
        <v>574</v>
      </c>
      <c r="C1181" t="s">
        <v>575</v>
      </c>
      <c r="D1181" t="s">
        <v>32</v>
      </c>
      <c r="E1181" t="s">
        <v>61</v>
      </c>
      <c r="F1181" t="s">
        <v>25</v>
      </c>
      <c r="G1181" t="s">
        <v>34</v>
      </c>
      <c r="H1181">
        <v>2</v>
      </c>
      <c r="I1181">
        <v>1118.99</v>
      </c>
      <c r="J1181">
        <v>2237.98</v>
      </c>
      <c r="K1181" t="s">
        <v>149</v>
      </c>
      <c r="L1181" t="s">
        <v>19</v>
      </c>
    </row>
    <row r="1182" spans="1:12" x14ac:dyDescent="0.35">
      <c r="A1182" t="s">
        <v>2390</v>
      </c>
      <c r="B1182" t="s">
        <v>159</v>
      </c>
      <c r="C1182" t="s">
        <v>160</v>
      </c>
      <c r="D1182" t="s">
        <v>14</v>
      </c>
      <c r="E1182" t="s">
        <v>125</v>
      </c>
      <c r="F1182" t="s">
        <v>25</v>
      </c>
      <c r="G1182" t="s">
        <v>139</v>
      </c>
      <c r="H1182">
        <v>1</v>
      </c>
      <c r="I1182">
        <v>305.04000000000002</v>
      </c>
      <c r="J1182">
        <v>305.04000000000002</v>
      </c>
      <c r="K1182" t="s">
        <v>452</v>
      </c>
      <c r="L1182" t="s">
        <v>28</v>
      </c>
    </row>
    <row r="1183" spans="1:12" x14ac:dyDescent="0.35">
      <c r="A1183" t="s">
        <v>2391</v>
      </c>
      <c r="B1183" t="s">
        <v>681</v>
      </c>
      <c r="C1183" t="s">
        <v>682</v>
      </c>
      <c r="D1183" t="s">
        <v>67</v>
      </c>
      <c r="E1183" t="s">
        <v>130</v>
      </c>
      <c r="F1183" t="s">
        <v>42</v>
      </c>
      <c r="G1183" t="s">
        <v>80</v>
      </c>
      <c r="H1183">
        <v>1</v>
      </c>
      <c r="I1183">
        <v>1429.33</v>
      </c>
      <c r="J1183">
        <v>1429.33</v>
      </c>
      <c r="K1183" t="s">
        <v>890</v>
      </c>
      <c r="L1183" t="s">
        <v>19</v>
      </c>
    </row>
    <row r="1184" spans="1:12" x14ac:dyDescent="0.35">
      <c r="A1184" t="s">
        <v>2392</v>
      </c>
      <c r="B1184" t="s">
        <v>384</v>
      </c>
      <c r="C1184" t="s">
        <v>385</v>
      </c>
      <c r="D1184" t="s">
        <v>23</v>
      </c>
      <c r="E1184" t="s">
        <v>24</v>
      </c>
      <c r="F1184" t="s">
        <v>101</v>
      </c>
      <c r="G1184" t="s">
        <v>165</v>
      </c>
      <c r="H1184">
        <v>2</v>
      </c>
      <c r="I1184">
        <v>1216.3699999999999</v>
      </c>
      <c r="J1184">
        <v>2432.7399999999998</v>
      </c>
      <c r="K1184" t="s">
        <v>1436</v>
      </c>
      <c r="L1184" t="s">
        <v>45</v>
      </c>
    </row>
    <row r="1185" spans="1:12" x14ac:dyDescent="0.35">
      <c r="A1185" t="s">
        <v>2393</v>
      </c>
      <c r="B1185" t="s">
        <v>1743</v>
      </c>
      <c r="C1185" t="s">
        <v>1744</v>
      </c>
      <c r="D1185" t="s">
        <v>23</v>
      </c>
      <c r="E1185" t="s">
        <v>24</v>
      </c>
      <c r="F1185" t="s">
        <v>101</v>
      </c>
      <c r="G1185" t="s">
        <v>373</v>
      </c>
      <c r="H1185">
        <v>5</v>
      </c>
      <c r="I1185">
        <v>990.09</v>
      </c>
      <c r="J1185">
        <v>4950.45</v>
      </c>
      <c r="K1185" t="s">
        <v>844</v>
      </c>
      <c r="L1185" t="s">
        <v>28</v>
      </c>
    </row>
    <row r="1186" spans="1:12" x14ac:dyDescent="0.35">
      <c r="A1186" t="s">
        <v>2394</v>
      </c>
      <c r="B1186" t="s">
        <v>197</v>
      </c>
      <c r="C1186" t="s">
        <v>198</v>
      </c>
      <c r="D1186" t="s">
        <v>14</v>
      </c>
      <c r="E1186" t="s">
        <v>15</v>
      </c>
      <c r="F1186" t="s">
        <v>42</v>
      </c>
      <c r="G1186" t="s">
        <v>89</v>
      </c>
      <c r="H1186">
        <v>5</v>
      </c>
      <c r="I1186">
        <v>663.12</v>
      </c>
      <c r="J1186">
        <v>3315.6</v>
      </c>
      <c r="K1186" t="s">
        <v>1026</v>
      </c>
      <c r="L1186" t="s">
        <v>45</v>
      </c>
    </row>
    <row r="1187" spans="1:12" x14ac:dyDescent="0.35">
      <c r="A1187" t="s">
        <v>2395</v>
      </c>
      <c r="B1187" t="s">
        <v>1285</v>
      </c>
      <c r="C1187" t="s">
        <v>1286</v>
      </c>
      <c r="D1187" t="s">
        <v>14</v>
      </c>
      <c r="E1187" t="s">
        <v>266</v>
      </c>
      <c r="F1187" t="s">
        <v>16</v>
      </c>
      <c r="G1187" t="s">
        <v>182</v>
      </c>
      <c r="H1187">
        <v>1</v>
      </c>
      <c r="I1187">
        <v>1331</v>
      </c>
      <c r="J1187">
        <v>1331</v>
      </c>
      <c r="K1187" t="s">
        <v>2396</v>
      </c>
      <c r="L1187" t="s">
        <v>91</v>
      </c>
    </row>
    <row r="1188" spans="1:12" x14ac:dyDescent="0.35">
      <c r="A1188" t="s">
        <v>2397</v>
      </c>
      <c r="B1188" t="s">
        <v>1179</v>
      </c>
      <c r="C1188" t="s">
        <v>1180</v>
      </c>
      <c r="D1188" t="s">
        <v>14</v>
      </c>
      <c r="E1188" t="s">
        <v>100</v>
      </c>
      <c r="F1188" t="s">
        <v>50</v>
      </c>
      <c r="G1188" t="s">
        <v>170</v>
      </c>
      <c r="H1188">
        <v>4</v>
      </c>
      <c r="I1188">
        <v>1252.45</v>
      </c>
      <c r="J1188">
        <v>5009.8</v>
      </c>
      <c r="K1188" t="s">
        <v>890</v>
      </c>
      <c r="L1188" t="s">
        <v>19</v>
      </c>
    </row>
    <row r="1189" spans="1:12" x14ac:dyDescent="0.35">
      <c r="A1189" t="s">
        <v>2398</v>
      </c>
      <c r="B1189" t="s">
        <v>2399</v>
      </c>
      <c r="C1189" t="s">
        <v>2400</v>
      </c>
      <c r="D1189" t="s">
        <v>32</v>
      </c>
      <c r="E1189" t="s">
        <v>61</v>
      </c>
      <c r="F1189" t="s">
        <v>42</v>
      </c>
      <c r="G1189" t="s">
        <v>89</v>
      </c>
      <c r="H1189">
        <v>3</v>
      </c>
      <c r="I1189">
        <v>874.9</v>
      </c>
      <c r="J1189">
        <v>2624.7</v>
      </c>
      <c r="K1189" t="s">
        <v>876</v>
      </c>
      <c r="L1189" t="s">
        <v>28</v>
      </c>
    </row>
    <row r="1190" spans="1:12" x14ac:dyDescent="0.35">
      <c r="A1190" t="s">
        <v>2401</v>
      </c>
      <c r="B1190" t="s">
        <v>180</v>
      </c>
      <c r="C1190" t="s">
        <v>181</v>
      </c>
      <c r="D1190" t="s">
        <v>32</v>
      </c>
      <c r="E1190" t="s">
        <v>61</v>
      </c>
      <c r="F1190" t="s">
        <v>16</v>
      </c>
      <c r="G1190" t="s">
        <v>177</v>
      </c>
      <c r="H1190">
        <v>5</v>
      </c>
      <c r="I1190">
        <v>350.3</v>
      </c>
      <c r="J1190">
        <v>1751.5</v>
      </c>
      <c r="K1190" t="s">
        <v>2221</v>
      </c>
      <c r="L1190" t="s">
        <v>91</v>
      </c>
    </row>
    <row r="1191" spans="1:12" x14ac:dyDescent="0.35">
      <c r="A1191" t="s">
        <v>2402</v>
      </c>
      <c r="B1191" t="s">
        <v>396</v>
      </c>
      <c r="C1191" t="s">
        <v>397</v>
      </c>
      <c r="D1191" t="s">
        <v>67</v>
      </c>
      <c r="E1191" t="s">
        <v>130</v>
      </c>
      <c r="F1191" t="s">
        <v>50</v>
      </c>
      <c r="G1191" t="s">
        <v>170</v>
      </c>
      <c r="H1191">
        <v>4</v>
      </c>
      <c r="I1191">
        <v>1080.22</v>
      </c>
      <c r="J1191">
        <v>4320.88</v>
      </c>
      <c r="K1191" t="s">
        <v>1491</v>
      </c>
      <c r="L1191" t="s">
        <v>45</v>
      </c>
    </row>
    <row r="1192" spans="1:12" x14ac:dyDescent="0.35">
      <c r="A1192" t="s">
        <v>2403</v>
      </c>
      <c r="B1192" t="s">
        <v>359</v>
      </c>
      <c r="C1192" t="s">
        <v>360</v>
      </c>
      <c r="D1192" t="s">
        <v>67</v>
      </c>
      <c r="E1192" t="s">
        <v>68</v>
      </c>
      <c r="F1192" t="s">
        <v>101</v>
      </c>
      <c r="G1192" t="s">
        <v>373</v>
      </c>
      <c r="H1192">
        <v>1</v>
      </c>
      <c r="I1192">
        <v>907.84</v>
      </c>
      <c r="J1192">
        <v>907.84</v>
      </c>
      <c r="K1192" t="s">
        <v>1727</v>
      </c>
      <c r="L1192" t="s">
        <v>45</v>
      </c>
    </row>
    <row r="1193" spans="1:12" x14ac:dyDescent="0.35">
      <c r="A1193" t="s">
        <v>2404</v>
      </c>
      <c r="B1193" t="s">
        <v>707</v>
      </c>
      <c r="C1193" t="s">
        <v>708</v>
      </c>
      <c r="D1193" t="s">
        <v>67</v>
      </c>
      <c r="E1193" t="s">
        <v>68</v>
      </c>
      <c r="F1193" t="s">
        <v>101</v>
      </c>
      <c r="G1193" t="s">
        <v>165</v>
      </c>
      <c r="H1193">
        <v>3</v>
      </c>
      <c r="I1193">
        <v>1321.2</v>
      </c>
      <c r="J1193">
        <v>3963.6</v>
      </c>
      <c r="K1193" t="s">
        <v>2405</v>
      </c>
      <c r="L1193" t="s">
        <v>28</v>
      </c>
    </row>
    <row r="1194" spans="1:12" x14ac:dyDescent="0.35">
      <c r="A1194" t="s">
        <v>2406</v>
      </c>
      <c r="B1194" t="s">
        <v>1212</v>
      </c>
      <c r="C1194" t="s">
        <v>1213</v>
      </c>
      <c r="D1194" t="s">
        <v>32</v>
      </c>
      <c r="E1194" t="s">
        <v>61</v>
      </c>
      <c r="F1194" t="s">
        <v>101</v>
      </c>
      <c r="G1194" t="s">
        <v>237</v>
      </c>
      <c r="H1194">
        <v>5</v>
      </c>
      <c r="I1194">
        <v>667.41</v>
      </c>
      <c r="J1194">
        <v>3337.05</v>
      </c>
      <c r="K1194" t="s">
        <v>289</v>
      </c>
      <c r="L1194" t="s">
        <v>91</v>
      </c>
    </row>
    <row r="1195" spans="1:12" x14ac:dyDescent="0.35">
      <c r="A1195" t="s">
        <v>2407</v>
      </c>
      <c r="B1195" t="s">
        <v>402</v>
      </c>
      <c r="C1195" t="s">
        <v>403</v>
      </c>
      <c r="D1195" t="s">
        <v>40</v>
      </c>
      <c r="E1195" t="s">
        <v>120</v>
      </c>
      <c r="F1195" t="s">
        <v>16</v>
      </c>
      <c r="G1195" t="s">
        <v>182</v>
      </c>
      <c r="H1195">
        <v>3</v>
      </c>
      <c r="I1195">
        <v>1370.24</v>
      </c>
      <c r="J1195">
        <v>4110.72</v>
      </c>
      <c r="K1195" t="s">
        <v>2100</v>
      </c>
      <c r="L1195" t="s">
        <v>19</v>
      </c>
    </row>
    <row r="1196" spans="1:12" x14ac:dyDescent="0.35">
      <c r="A1196" t="s">
        <v>2408</v>
      </c>
      <c r="B1196" t="s">
        <v>809</v>
      </c>
      <c r="C1196" t="s">
        <v>810</v>
      </c>
      <c r="D1196" t="s">
        <v>32</v>
      </c>
      <c r="E1196" t="s">
        <v>61</v>
      </c>
      <c r="F1196" t="s">
        <v>42</v>
      </c>
      <c r="G1196" t="s">
        <v>80</v>
      </c>
      <c r="H1196">
        <v>1</v>
      </c>
      <c r="I1196">
        <v>940.44</v>
      </c>
      <c r="J1196">
        <v>940.44</v>
      </c>
      <c r="K1196" t="s">
        <v>2409</v>
      </c>
      <c r="L1196" t="s">
        <v>91</v>
      </c>
    </row>
    <row r="1197" spans="1:12" x14ac:dyDescent="0.35">
      <c r="A1197" t="s">
        <v>2410</v>
      </c>
      <c r="B1197" t="s">
        <v>868</v>
      </c>
      <c r="C1197" t="s">
        <v>869</v>
      </c>
      <c r="D1197" t="s">
        <v>23</v>
      </c>
      <c r="E1197" t="s">
        <v>49</v>
      </c>
      <c r="F1197" t="s">
        <v>50</v>
      </c>
      <c r="G1197" t="s">
        <v>69</v>
      </c>
      <c r="H1197">
        <v>5</v>
      </c>
      <c r="I1197">
        <v>784.23</v>
      </c>
      <c r="J1197">
        <v>3921.15</v>
      </c>
      <c r="K1197" t="s">
        <v>1852</v>
      </c>
      <c r="L1197" t="s">
        <v>45</v>
      </c>
    </row>
    <row r="1198" spans="1:12" x14ac:dyDescent="0.35">
      <c r="A1198" t="s">
        <v>2411</v>
      </c>
      <c r="B1198" t="s">
        <v>820</v>
      </c>
      <c r="C1198" t="s">
        <v>821</v>
      </c>
      <c r="D1198" t="s">
        <v>32</v>
      </c>
      <c r="E1198" t="s">
        <v>61</v>
      </c>
      <c r="F1198" t="s">
        <v>101</v>
      </c>
      <c r="G1198" t="s">
        <v>165</v>
      </c>
      <c r="H1198">
        <v>3</v>
      </c>
      <c r="I1198">
        <v>538.27</v>
      </c>
      <c r="J1198">
        <v>1614.81</v>
      </c>
      <c r="K1198" t="s">
        <v>2412</v>
      </c>
      <c r="L1198" t="s">
        <v>28</v>
      </c>
    </row>
    <row r="1199" spans="1:12" x14ac:dyDescent="0.35">
      <c r="A1199" t="s">
        <v>2413</v>
      </c>
      <c r="B1199" t="s">
        <v>1677</v>
      </c>
      <c r="C1199" t="s">
        <v>1678</v>
      </c>
      <c r="D1199" t="s">
        <v>40</v>
      </c>
      <c r="E1199" t="s">
        <v>120</v>
      </c>
      <c r="F1199" t="s">
        <v>50</v>
      </c>
      <c r="G1199" t="s">
        <v>216</v>
      </c>
      <c r="H1199">
        <v>1</v>
      </c>
      <c r="I1199">
        <v>61.73</v>
      </c>
      <c r="J1199">
        <v>61.73</v>
      </c>
      <c r="K1199" t="s">
        <v>1344</v>
      </c>
      <c r="L1199" t="s">
        <v>36</v>
      </c>
    </row>
    <row r="1200" spans="1:12" x14ac:dyDescent="0.35">
      <c r="A1200" t="s">
        <v>2414</v>
      </c>
      <c r="B1200" t="s">
        <v>396</v>
      </c>
      <c r="C1200" t="s">
        <v>397</v>
      </c>
      <c r="D1200" t="s">
        <v>67</v>
      </c>
      <c r="E1200" t="s">
        <v>68</v>
      </c>
      <c r="F1200" t="s">
        <v>25</v>
      </c>
      <c r="G1200" t="s">
        <v>74</v>
      </c>
      <c r="H1200">
        <v>3</v>
      </c>
      <c r="I1200">
        <v>432.97</v>
      </c>
      <c r="J1200">
        <v>1298.9100000000001</v>
      </c>
      <c r="K1200" t="s">
        <v>2415</v>
      </c>
      <c r="L1200" t="s">
        <v>45</v>
      </c>
    </row>
    <row r="1201" spans="1:12" x14ac:dyDescent="0.35">
      <c r="A1201" t="s">
        <v>2416</v>
      </c>
      <c r="B1201" t="s">
        <v>718</v>
      </c>
      <c r="C1201" t="s">
        <v>719</v>
      </c>
      <c r="D1201" t="s">
        <v>23</v>
      </c>
      <c r="E1201" t="s">
        <v>24</v>
      </c>
      <c r="F1201" t="s">
        <v>101</v>
      </c>
      <c r="G1201" t="s">
        <v>165</v>
      </c>
      <c r="H1201">
        <v>1</v>
      </c>
      <c r="I1201">
        <v>641.04</v>
      </c>
      <c r="J1201">
        <v>641.04</v>
      </c>
      <c r="K1201" t="s">
        <v>890</v>
      </c>
      <c r="L1201" t="s">
        <v>36</v>
      </c>
    </row>
    <row r="1202" spans="1:12" x14ac:dyDescent="0.35">
      <c r="A1202" t="s">
        <v>2417</v>
      </c>
      <c r="B1202" t="s">
        <v>206</v>
      </c>
      <c r="C1202" t="s">
        <v>207</v>
      </c>
      <c r="D1202" t="s">
        <v>14</v>
      </c>
      <c r="E1202" t="s">
        <v>266</v>
      </c>
      <c r="F1202" t="s">
        <v>25</v>
      </c>
      <c r="G1202" t="s">
        <v>62</v>
      </c>
      <c r="H1202">
        <v>1</v>
      </c>
      <c r="I1202">
        <v>1070.8699999999999</v>
      </c>
      <c r="J1202">
        <v>1070.8699999999999</v>
      </c>
      <c r="K1202" t="s">
        <v>1553</v>
      </c>
      <c r="L1202" t="s">
        <v>28</v>
      </c>
    </row>
    <row r="1203" spans="1:12" x14ac:dyDescent="0.35">
      <c r="A1203" t="s">
        <v>2418</v>
      </c>
      <c r="B1203" t="s">
        <v>1444</v>
      </c>
      <c r="C1203" t="s">
        <v>1445</v>
      </c>
      <c r="D1203" t="s">
        <v>32</v>
      </c>
      <c r="E1203" t="s">
        <v>33</v>
      </c>
      <c r="F1203" t="s">
        <v>25</v>
      </c>
      <c r="G1203" t="s">
        <v>26</v>
      </c>
      <c r="H1203">
        <v>5</v>
      </c>
      <c r="I1203">
        <v>1059.02</v>
      </c>
      <c r="J1203">
        <v>5295.1</v>
      </c>
      <c r="K1203" t="s">
        <v>35</v>
      </c>
      <c r="L1203" t="s">
        <v>19</v>
      </c>
    </row>
    <row r="1204" spans="1:12" x14ac:dyDescent="0.35">
      <c r="A1204" t="s">
        <v>2419</v>
      </c>
      <c r="B1204" t="s">
        <v>146</v>
      </c>
      <c r="C1204" t="s">
        <v>147</v>
      </c>
      <c r="D1204" t="s">
        <v>67</v>
      </c>
      <c r="E1204" t="s">
        <v>115</v>
      </c>
      <c r="F1204" t="s">
        <v>25</v>
      </c>
      <c r="G1204" t="s">
        <v>26</v>
      </c>
      <c r="H1204">
        <v>3</v>
      </c>
      <c r="I1204">
        <v>445.54</v>
      </c>
      <c r="J1204">
        <v>1336.62</v>
      </c>
      <c r="K1204" t="s">
        <v>2420</v>
      </c>
      <c r="L1204" t="s">
        <v>36</v>
      </c>
    </row>
    <row r="1205" spans="1:12" x14ac:dyDescent="0.35">
      <c r="A1205" t="s">
        <v>2421</v>
      </c>
      <c r="B1205" t="s">
        <v>1369</v>
      </c>
      <c r="C1205" t="s">
        <v>1370</v>
      </c>
      <c r="D1205" t="s">
        <v>67</v>
      </c>
      <c r="E1205" t="s">
        <v>130</v>
      </c>
      <c r="F1205" t="s">
        <v>16</v>
      </c>
      <c r="G1205" t="s">
        <v>230</v>
      </c>
      <c r="H1205">
        <v>2</v>
      </c>
      <c r="I1205">
        <v>908.54</v>
      </c>
      <c r="J1205">
        <v>1817.08</v>
      </c>
      <c r="K1205" t="s">
        <v>1701</v>
      </c>
      <c r="L1205" t="s">
        <v>19</v>
      </c>
    </row>
    <row r="1206" spans="1:12" x14ac:dyDescent="0.35">
      <c r="A1206" t="s">
        <v>2422</v>
      </c>
      <c r="B1206" t="s">
        <v>197</v>
      </c>
      <c r="C1206" t="s">
        <v>198</v>
      </c>
      <c r="D1206" t="s">
        <v>67</v>
      </c>
      <c r="E1206" t="s">
        <v>130</v>
      </c>
      <c r="F1206" t="s">
        <v>50</v>
      </c>
      <c r="G1206" t="s">
        <v>170</v>
      </c>
      <c r="H1206">
        <v>3</v>
      </c>
      <c r="I1206">
        <v>883.37</v>
      </c>
      <c r="J1206">
        <v>2650.11</v>
      </c>
      <c r="K1206" t="s">
        <v>2423</v>
      </c>
      <c r="L1206" t="s">
        <v>36</v>
      </c>
    </row>
    <row r="1207" spans="1:12" x14ac:dyDescent="0.35">
      <c r="A1207" t="s">
        <v>2424</v>
      </c>
      <c r="B1207" t="s">
        <v>123</v>
      </c>
      <c r="C1207" t="s">
        <v>124</v>
      </c>
      <c r="D1207" t="s">
        <v>32</v>
      </c>
      <c r="E1207" t="s">
        <v>33</v>
      </c>
      <c r="F1207" t="s">
        <v>25</v>
      </c>
      <c r="G1207" t="s">
        <v>34</v>
      </c>
      <c r="H1207">
        <v>2</v>
      </c>
      <c r="I1207">
        <v>125.6</v>
      </c>
      <c r="J1207">
        <v>251.2</v>
      </c>
      <c r="K1207" t="s">
        <v>157</v>
      </c>
      <c r="L1207" t="s">
        <v>91</v>
      </c>
    </row>
    <row r="1208" spans="1:12" x14ac:dyDescent="0.35">
      <c r="A1208" t="s">
        <v>2425</v>
      </c>
      <c r="B1208" t="s">
        <v>742</v>
      </c>
      <c r="C1208" t="s">
        <v>743</v>
      </c>
      <c r="D1208" t="s">
        <v>40</v>
      </c>
      <c r="E1208" t="s">
        <v>41</v>
      </c>
      <c r="F1208" t="s">
        <v>101</v>
      </c>
      <c r="G1208" t="s">
        <v>165</v>
      </c>
      <c r="H1208">
        <v>4</v>
      </c>
      <c r="I1208">
        <v>1480.3</v>
      </c>
      <c r="J1208">
        <v>5921.2</v>
      </c>
      <c r="K1208" t="s">
        <v>1600</v>
      </c>
      <c r="L1208" t="s">
        <v>36</v>
      </c>
    </row>
    <row r="1209" spans="1:12" x14ac:dyDescent="0.35">
      <c r="A1209" t="s">
        <v>2426</v>
      </c>
      <c r="B1209" t="s">
        <v>1170</v>
      </c>
      <c r="C1209" t="s">
        <v>1171</v>
      </c>
      <c r="D1209" t="s">
        <v>23</v>
      </c>
      <c r="E1209" t="s">
        <v>49</v>
      </c>
      <c r="F1209" t="s">
        <v>42</v>
      </c>
      <c r="G1209" t="s">
        <v>43</v>
      </c>
      <c r="H1209">
        <v>5</v>
      </c>
      <c r="I1209">
        <v>288.2</v>
      </c>
      <c r="J1209">
        <v>1441</v>
      </c>
      <c r="K1209" t="s">
        <v>1251</v>
      </c>
      <c r="L1209" t="s">
        <v>19</v>
      </c>
    </row>
    <row r="1210" spans="1:12" x14ac:dyDescent="0.35">
      <c r="A1210" t="s">
        <v>2427</v>
      </c>
      <c r="B1210" t="s">
        <v>197</v>
      </c>
      <c r="C1210" t="s">
        <v>198</v>
      </c>
      <c r="D1210" t="s">
        <v>32</v>
      </c>
      <c r="E1210" t="s">
        <v>33</v>
      </c>
      <c r="F1210" t="s">
        <v>42</v>
      </c>
      <c r="G1210" t="s">
        <v>43</v>
      </c>
      <c r="H1210">
        <v>3</v>
      </c>
      <c r="I1210">
        <v>587.5</v>
      </c>
      <c r="J1210">
        <v>1762.5</v>
      </c>
      <c r="K1210" t="s">
        <v>2428</v>
      </c>
      <c r="L1210" t="s">
        <v>45</v>
      </c>
    </row>
    <row r="1211" spans="1:12" x14ac:dyDescent="0.35">
      <c r="A1211" t="s">
        <v>2429</v>
      </c>
      <c r="B1211" t="s">
        <v>1301</v>
      </c>
      <c r="C1211" t="s">
        <v>1302</v>
      </c>
      <c r="D1211" t="s">
        <v>32</v>
      </c>
      <c r="E1211" t="s">
        <v>33</v>
      </c>
      <c r="F1211" t="s">
        <v>101</v>
      </c>
      <c r="G1211" t="s">
        <v>165</v>
      </c>
      <c r="H1211">
        <v>4</v>
      </c>
      <c r="I1211">
        <v>708.14</v>
      </c>
      <c r="J1211">
        <v>2832.56</v>
      </c>
      <c r="K1211" t="s">
        <v>2430</v>
      </c>
      <c r="L1211" t="s">
        <v>36</v>
      </c>
    </row>
    <row r="1212" spans="1:12" x14ac:dyDescent="0.35">
      <c r="A1212" t="s">
        <v>2431</v>
      </c>
      <c r="B1212" t="s">
        <v>751</v>
      </c>
      <c r="C1212" t="s">
        <v>752</v>
      </c>
      <c r="D1212" t="s">
        <v>40</v>
      </c>
      <c r="E1212" t="s">
        <v>79</v>
      </c>
      <c r="F1212" t="s">
        <v>42</v>
      </c>
      <c r="G1212" t="s">
        <v>170</v>
      </c>
      <c r="H1212">
        <v>2</v>
      </c>
      <c r="I1212">
        <v>581.30999999999995</v>
      </c>
      <c r="J1212">
        <v>1162.6199999999999</v>
      </c>
      <c r="K1212" t="s">
        <v>1598</v>
      </c>
      <c r="L1212" t="s">
        <v>91</v>
      </c>
    </row>
    <row r="1213" spans="1:12" x14ac:dyDescent="0.35">
      <c r="A1213" t="s">
        <v>2432</v>
      </c>
      <c r="B1213" t="s">
        <v>1496</v>
      </c>
      <c r="C1213" t="s">
        <v>1497</v>
      </c>
      <c r="D1213" t="s">
        <v>32</v>
      </c>
      <c r="E1213" t="s">
        <v>203</v>
      </c>
      <c r="F1213" t="s">
        <v>101</v>
      </c>
      <c r="G1213" t="s">
        <v>237</v>
      </c>
      <c r="H1213">
        <v>3</v>
      </c>
      <c r="I1213">
        <v>1168.45</v>
      </c>
      <c r="J1213">
        <v>3505.35</v>
      </c>
      <c r="K1213" t="s">
        <v>512</v>
      </c>
      <c r="L1213" t="s">
        <v>19</v>
      </c>
    </row>
    <row r="1214" spans="1:12" x14ac:dyDescent="0.35">
      <c r="A1214" t="s">
        <v>2433</v>
      </c>
      <c r="B1214" t="s">
        <v>228</v>
      </c>
      <c r="C1214" t="s">
        <v>229</v>
      </c>
      <c r="D1214" t="s">
        <v>40</v>
      </c>
      <c r="E1214" t="s">
        <v>41</v>
      </c>
      <c r="F1214" t="s">
        <v>25</v>
      </c>
      <c r="G1214" t="s">
        <v>34</v>
      </c>
      <c r="H1214">
        <v>3</v>
      </c>
      <c r="I1214">
        <v>179.2</v>
      </c>
      <c r="J1214">
        <v>537.6</v>
      </c>
      <c r="K1214" t="s">
        <v>221</v>
      </c>
      <c r="L1214" t="s">
        <v>45</v>
      </c>
    </row>
    <row r="1215" spans="1:12" x14ac:dyDescent="0.35">
      <c r="A1215" t="s">
        <v>2434</v>
      </c>
      <c r="B1215" t="s">
        <v>105</v>
      </c>
      <c r="C1215" t="s">
        <v>106</v>
      </c>
      <c r="D1215" t="s">
        <v>32</v>
      </c>
      <c r="E1215" t="s">
        <v>61</v>
      </c>
      <c r="F1215" t="s">
        <v>16</v>
      </c>
      <c r="G1215" t="s">
        <v>230</v>
      </c>
      <c r="H1215">
        <v>1</v>
      </c>
      <c r="I1215">
        <v>1463.65</v>
      </c>
      <c r="J1215">
        <v>1463.65</v>
      </c>
      <c r="K1215" t="s">
        <v>2153</v>
      </c>
      <c r="L1215" t="s">
        <v>28</v>
      </c>
    </row>
    <row r="1216" spans="1:12" x14ac:dyDescent="0.35">
      <c r="A1216" t="s">
        <v>2435</v>
      </c>
      <c r="B1216" t="s">
        <v>325</v>
      </c>
      <c r="C1216" t="s">
        <v>326</v>
      </c>
      <c r="D1216" t="s">
        <v>14</v>
      </c>
      <c r="E1216" t="s">
        <v>266</v>
      </c>
      <c r="F1216" t="s">
        <v>50</v>
      </c>
      <c r="G1216" t="s">
        <v>170</v>
      </c>
      <c r="H1216">
        <v>4</v>
      </c>
      <c r="I1216">
        <v>561.64</v>
      </c>
      <c r="J1216">
        <v>2246.56</v>
      </c>
      <c r="K1216" t="s">
        <v>1669</v>
      </c>
      <c r="L1216" t="s">
        <v>45</v>
      </c>
    </row>
    <row r="1217" spans="1:12" x14ac:dyDescent="0.35">
      <c r="A1217" t="s">
        <v>2436</v>
      </c>
      <c r="B1217" t="s">
        <v>299</v>
      </c>
      <c r="C1217" t="s">
        <v>300</v>
      </c>
      <c r="D1217" t="s">
        <v>67</v>
      </c>
      <c r="E1217" t="s">
        <v>68</v>
      </c>
      <c r="F1217" t="s">
        <v>25</v>
      </c>
      <c r="G1217" t="s">
        <v>74</v>
      </c>
      <c r="H1217">
        <v>4</v>
      </c>
      <c r="I1217">
        <v>1046.51</v>
      </c>
      <c r="J1217">
        <v>4186.04</v>
      </c>
      <c r="K1217" t="s">
        <v>2437</v>
      </c>
      <c r="L1217" t="s">
        <v>28</v>
      </c>
    </row>
    <row r="1218" spans="1:12" x14ac:dyDescent="0.35">
      <c r="A1218" t="s">
        <v>2438</v>
      </c>
      <c r="B1218" t="s">
        <v>1226</v>
      </c>
      <c r="C1218" t="s">
        <v>1227</v>
      </c>
      <c r="D1218" t="s">
        <v>32</v>
      </c>
      <c r="E1218" t="s">
        <v>61</v>
      </c>
      <c r="F1218" t="s">
        <v>50</v>
      </c>
      <c r="G1218" t="s">
        <v>56</v>
      </c>
      <c r="H1218">
        <v>3</v>
      </c>
      <c r="I1218">
        <v>1011.97</v>
      </c>
      <c r="J1218">
        <v>3035.91</v>
      </c>
      <c r="K1218" t="s">
        <v>2439</v>
      </c>
      <c r="L1218" t="s">
        <v>19</v>
      </c>
    </row>
    <row r="1219" spans="1:12" x14ac:dyDescent="0.35">
      <c r="A1219" t="s">
        <v>2440</v>
      </c>
      <c r="B1219" t="s">
        <v>355</v>
      </c>
      <c r="C1219" t="s">
        <v>356</v>
      </c>
      <c r="D1219" t="s">
        <v>67</v>
      </c>
      <c r="E1219" t="s">
        <v>68</v>
      </c>
      <c r="F1219" t="s">
        <v>42</v>
      </c>
      <c r="G1219" t="s">
        <v>225</v>
      </c>
      <c r="H1219">
        <v>2</v>
      </c>
      <c r="I1219">
        <v>690.96</v>
      </c>
      <c r="J1219">
        <v>1381.92</v>
      </c>
      <c r="K1219" t="s">
        <v>1873</v>
      </c>
      <c r="L1219" t="s">
        <v>19</v>
      </c>
    </row>
    <row r="1220" spans="1:12" x14ac:dyDescent="0.35">
      <c r="A1220" t="s">
        <v>2441</v>
      </c>
      <c r="B1220" t="s">
        <v>1516</v>
      </c>
      <c r="C1220" t="s">
        <v>1517</v>
      </c>
      <c r="D1220" t="s">
        <v>23</v>
      </c>
      <c r="E1220" t="s">
        <v>338</v>
      </c>
      <c r="F1220" t="s">
        <v>101</v>
      </c>
      <c r="G1220" t="s">
        <v>165</v>
      </c>
      <c r="H1220">
        <v>3</v>
      </c>
      <c r="I1220">
        <v>116.71</v>
      </c>
      <c r="J1220">
        <v>350.13</v>
      </c>
      <c r="K1220" t="s">
        <v>305</v>
      </c>
      <c r="L1220" t="s">
        <v>91</v>
      </c>
    </row>
    <row r="1221" spans="1:12" x14ac:dyDescent="0.35">
      <c r="A1221" t="s">
        <v>2442</v>
      </c>
      <c r="B1221" t="s">
        <v>1203</v>
      </c>
      <c r="C1221" t="s">
        <v>1204</v>
      </c>
      <c r="D1221" t="s">
        <v>32</v>
      </c>
      <c r="E1221" t="s">
        <v>33</v>
      </c>
      <c r="F1221" t="s">
        <v>101</v>
      </c>
      <c r="G1221" t="s">
        <v>373</v>
      </c>
      <c r="H1221">
        <v>4</v>
      </c>
      <c r="I1221">
        <v>1153.3800000000001</v>
      </c>
      <c r="J1221">
        <v>4613.5200000000004</v>
      </c>
      <c r="K1221" t="s">
        <v>1735</v>
      </c>
      <c r="L1221" t="s">
        <v>45</v>
      </c>
    </row>
    <row r="1222" spans="1:12" x14ac:dyDescent="0.35">
      <c r="A1222" t="s">
        <v>2443</v>
      </c>
      <c r="B1222" t="s">
        <v>711</v>
      </c>
      <c r="C1222" t="s">
        <v>712</v>
      </c>
      <c r="D1222" t="s">
        <v>67</v>
      </c>
      <c r="E1222" t="s">
        <v>68</v>
      </c>
      <c r="F1222" t="s">
        <v>16</v>
      </c>
      <c r="G1222" t="s">
        <v>182</v>
      </c>
      <c r="H1222">
        <v>2</v>
      </c>
      <c r="I1222">
        <v>1472.11</v>
      </c>
      <c r="J1222">
        <v>2944.22</v>
      </c>
      <c r="K1222" t="s">
        <v>1016</v>
      </c>
      <c r="L1222" t="s">
        <v>28</v>
      </c>
    </row>
    <row r="1223" spans="1:12" x14ac:dyDescent="0.35">
      <c r="A1223" t="s">
        <v>2444</v>
      </c>
      <c r="B1223" t="s">
        <v>1046</v>
      </c>
      <c r="C1223" t="s">
        <v>1047</v>
      </c>
      <c r="D1223" t="s">
        <v>32</v>
      </c>
      <c r="E1223" t="s">
        <v>61</v>
      </c>
      <c r="F1223" t="s">
        <v>16</v>
      </c>
      <c r="G1223" t="s">
        <v>182</v>
      </c>
      <c r="H1223">
        <v>4</v>
      </c>
      <c r="I1223">
        <v>891.2</v>
      </c>
      <c r="J1223">
        <v>3564.8</v>
      </c>
      <c r="K1223" t="s">
        <v>2437</v>
      </c>
      <c r="L1223" t="s">
        <v>45</v>
      </c>
    </row>
    <row r="1224" spans="1:12" x14ac:dyDescent="0.35">
      <c r="A1224" t="s">
        <v>2445</v>
      </c>
      <c r="B1224" t="s">
        <v>376</v>
      </c>
      <c r="C1224" t="s">
        <v>377</v>
      </c>
      <c r="D1224" t="s">
        <v>40</v>
      </c>
      <c r="E1224" t="s">
        <v>41</v>
      </c>
      <c r="F1224" t="s">
        <v>42</v>
      </c>
      <c r="G1224" t="s">
        <v>225</v>
      </c>
      <c r="H1224">
        <v>2</v>
      </c>
      <c r="I1224">
        <v>117.33</v>
      </c>
      <c r="J1224">
        <v>234.66</v>
      </c>
      <c r="K1224" t="s">
        <v>2446</v>
      </c>
      <c r="L1224" t="s">
        <v>28</v>
      </c>
    </row>
    <row r="1225" spans="1:12" x14ac:dyDescent="0.35">
      <c r="A1225" t="s">
        <v>2447</v>
      </c>
      <c r="B1225" t="s">
        <v>1532</v>
      </c>
      <c r="C1225" t="s">
        <v>1533</v>
      </c>
      <c r="D1225" t="s">
        <v>23</v>
      </c>
      <c r="E1225" t="s">
        <v>24</v>
      </c>
      <c r="F1225" t="s">
        <v>101</v>
      </c>
      <c r="G1225" t="s">
        <v>102</v>
      </c>
      <c r="H1225">
        <v>3</v>
      </c>
      <c r="I1225">
        <v>729.44</v>
      </c>
      <c r="J1225">
        <v>2188.3200000000002</v>
      </c>
      <c r="K1225" t="s">
        <v>1894</v>
      </c>
      <c r="L1225" t="s">
        <v>45</v>
      </c>
    </row>
    <row r="1226" spans="1:12" x14ac:dyDescent="0.35">
      <c r="A1226" t="s">
        <v>2448</v>
      </c>
      <c r="B1226" t="s">
        <v>2188</v>
      </c>
      <c r="C1226" t="s">
        <v>2189</v>
      </c>
      <c r="D1226" t="s">
        <v>14</v>
      </c>
      <c r="E1226" t="s">
        <v>125</v>
      </c>
      <c r="F1226" t="s">
        <v>101</v>
      </c>
      <c r="G1226" t="s">
        <v>373</v>
      </c>
      <c r="H1226">
        <v>5</v>
      </c>
      <c r="I1226">
        <v>1276.92</v>
      </c>
      <c r="J1226">
        <v>6384.6</v>
      </c>
      <c r="K1226" t="s">
        <v>2334</v>
      </c>
      <c r="L1226" t="s">
        <v>91</v>
      </c>
    </row>
    <row r="1227" spans="1:12" x14ac:dyDescent="0.35">
      <c r="A1227" t="s">
        <v>2449</v>
      </c>
      <c r="B1227" t="s">
        <v>311</v>
      </c>
      <c r="C1227" t="s">
        <v>312</v>
      </c>
      <c r="D1227" t="s">
        <v>40</v>
      </c>
      <c r="E1227" t="s">
        <v>41</v>
      </c>
      <c r="F1227" t="s">
        <v>50</v>
      </c>
      <c r="G1227" t="s">
        <v>216</v>
      </c>
      <c r="H1227">
        <v>4</v>
      </c>
      <c r="I1227">
        <v>717.62</v>
      </c>
      <c r="J1227">
        <v>2870.48</v>
      </c>
      <c r="K1227" t="s">
        <v>2450</v>
      </c>
      <c r="L1227" t="s">
        <v>36</v>
      </c>
    </row>
    <row r="1228" spans="1:12" x14ac:dyDescent="0.35">
      <c r="A1228" t="s">
        <v>2451</v>
      </c>
      <c r="B1228" t="s">
        <v>464</v>
      </c>
      <c r="C1228" t="s">
        <v>465</v>
      </c>
      <c r="D1228" t="s">
        <v>14</v>
      </c>
      <c r="E1228" t="s">
        <v>95</v>
      </c>
      <c r="F1228" t="s">
        <v>101</v>
      </c>
      <c r="G1228" t="s">
        <v>102</v>
      </c>
      <c r="H1228">
        <v>5</v>
      </c>
      <c r="I1228">
        <v>1409.68</v>
      </c>
      <c r="J1228">
        <v>7048.4</v>
      </c>
      <c r="K1228" t="s">
        <v>161</v>
      </c>
      <c r="L1228" t="s">
        <v>91</v>
      </c>
    </row>
    <row r="1229" spans="1:12" x14ac:dyDescent="0.35">
      <c r="A1229" t="s">
        <v>2452</v>
      </c>
      <c r="B1229" t="s">
        <v>711</v>
      </c>
      <c r="C1229" t="s">
        <v>712</v>
      </c>
      <c r="D1229" t="s">
        <v>40</v>
      </c>
      <c r="E1229" t="s">
        <v>79</v>
      </c>
      <c r="F1229" t="s">
        <v>25</v>
      </c>
      <c r="G1229" t="s">
        <v>74</v>
      </c>
      <c r="H1229">
        <v>1</v>
      </c>
      <c r="I1229">
        <v>255.27</v>
      </c>
      <c r="J1229">
        <v>255.27</v>
      </c>
      <c r="K1229" t="s">
        <v>433</v>
      </c>
      <c r="L1229" t="s">
        <v>45</v>
      </c>
    </row>
    <row r="1230" spans="1:12" x14ac:dyDescent="0.35">
      <c r="A1230" t="s">
        <v>2453</v>
      </c>
      <c r="B1230" t="s">
        <v>1001</v>
      </c>
      <c r="C1230" t="s">
        <v>1002</v>
      </c>
      <c r="D1230" t="s">
        <v>40</v>
      </c>
      <c r="E1230" t="s">
        <v>79</v>
      </c>
      <c r="F1230" t="s">
        <v>25</v>
      </c>
      <c r="G1230" t="s">
        <v>62</v>
      </c>
      <c r="H1230">
        <v>5</v>
      </c>
      <c r="I1230">
        <v>669.5</v>
      </c>
      <c r="J1230">
        <v>3347.5</v>
      </c>
      <c r="K1230" t="s">
        <v>486</v>
      </c>
      <c r="L1230" t="s">
        <v>91</v>
      </c>
    </row>
    <row r="1231" spans="1:12" x14ac:dyDescent="0.35">
      <c r="A1231" t="s">
        <v>2454</v>
      </c>
      <c r="B1231" t="s">
        <v>142</v>
      </c>
      <c r="C1231" t="s">
        <v>143</v>
      </c>
      <c r="D1231" t="s">
        <v>67</v>
      </c>
      <c r="E1231" t="s">
        <v>68</v>
      </c>
      <c r="F1231" t="s">
        <v>101</v>
      </c>
      <c r="G1231" t="s">
        <v>237</v>
      </c>
      <c r="H1231">
        <v>2</v>
      </c>
      <c r="I1231">
        <v>769.94</v>
      </c>
      <c r="J1231">
        <v>1539.88</v>
      </c>
      <c r="K1231" t="s">
        <v>1251</v>
      </c>
      <c r="L1231" t="s">
        <v>45</v>
      </c>
    </row>
    <row r="1232" spans="1:12" x14ac:dyDescent="0.35">
      <c r="A1232" t="s">
        <v>2455</v>
      </c>
      <c r="B1232" t="s">
        <v>1516</v>
      </c>
      <c r="C1232" t="s">
        <v>1517</v>
      </c>
      <c r="D1232" t="s">
        <v>23</v>
      </c>
      <c r="E1232" t="s">
        <v>49</v>
      </c>
      <c r="F1232" t="s">
        <v>50</v>
      </c>
      <c r="G1232" t="s">
        <v>216</v>
      </c>
      <c r="H1232">
        <v>1</v>
      </c>
      <c r="I1232">
        <v>971.39</v>
      </c>
      <c r="J1232">
        <v>971.39</v>
      </c>
      <c r="K1232" t="s">
        <v>2223</v>
      </c>
      <c r="L1232" t="s">
        <v>45</v>
      </c>
    </row>
    <row r="1233" spans="1:12" x14ac:dyDescent="0.35">
      <c r="A1233" t="s">
        <v>2456</v>
      </c>
      <c r="B1233" t="s">
        <v>723</v>
      </c>
      <c r="C1233" t="s">
        <v>724</v>
      </c>
      <c r="D1233" t="s">
        <v>67</v>
      </c>
      <c r="E1233" t="s">
        <v>115</v>
      </c>
      <c r="F1233" t="s">
        <v>25</v>
      </c>
      <c r="G1233" t="s">
        <v>139</v>
      </c>
      <c r="H1233">
        <v>5</v>
      </c>
      <c r="I1233">
        <v>148.58000000000001</v>
      </c>
      <c r="J1233">
        <v>742.9</v>
      </c>
      <c r="K1233" t="s">
        <v>1669</v>
      </c>
      <c r="L1233" t="s">
        <v>91</v>
      </c>
    </row>
    <row r="1234" spans="1:12" x14ac:dyDescent="0.35">
      <c r="A1234" t="s">
        <v>2457</v>
      </c>
      <c r="B1234" t="s">
        <v>1662</v>
      </c>
      <c r="C1234" t="s">
        <v>1663</v>
      </c>
      <c r="D1234" t="s">
        <v>23</v>
      </c>
      <c r="E1234" t="s">
        <v>49</v>
      </c>
      <c r="F1234" t="s">
        <v>101</v>
      </c>
      <c r="G1234" t="s">
        <v>373</v>
      </c>
      <c r="H1234">
        <v>1</v>
      </c>
      <c r="I1234">
        <v>1293.52</v>
      </c>
      <c r="J1234">
        <v>1293.52</v>
      </c>
      <c r="K1234" t="s">
        <v>2237</v>
      </c>
      <c r="L1234" t="s">
        <v>91</v>
      </c>
    </row>
    <row r="1235" spans="1:12" x14ac:dyDescent="0.35">
      <c r="A1235" t="s">
        <v>2458</v>
      </c>
      <c r="B1235" t="s">
        <v>1793</v>
      </c>
      <c r="C1235" t="s">
        <v>1794</v>
      </c>
      <c r="D1235" t="s">
        <v>14</v>
      </c>
      <c r="E1235" t="s">
        <v>15</v>
      </c>
      <c r="F1235" t="s">
        <v>25</v>
      </c>
      <c r="G1235" t="s">
        <v>62</v>
      </c>
      <c r="H1235">
        <v>2</v>
      </c>
      <c r="I1235">
        <v>748.52</v>
      </c>
      <c r="J1235">
        <v>1497.04</v>
      </c>
      <c r="K1235" t="s">
        <v>1809</v>
      </c>
      <c r="L1235" t="s">
        <v>19</v>
      </c>
    </row>
    <row r="1236" spans="1:12" x14ac:dyDescent="0.35">
      <c r="A1236" t="s">
        <v>2459</v>
      </c>
      <c r="B1236" t="s">
        <v>201</v>
      </c>
      <c r="C1236" t="s">
        <v>202</v>
      </c>
      <c r="D1236" t="s">
        <v>67</v>
      </c>
      <c r="E1236" t="s">
        <v>68</v>
      </c>
      <c r="F1236" t="s">
        <v>101</v>
      </c>
      <c r="G1236" t="s">
        <v>165</v>
      </c>
      <c r="H1236">
        <v>5</v>
      </c>
      <c r="I1236">
        <v>903.42</v>
      </c>
      <c r="J1236">
        <v>4517.1000000000004</v>
      </c>
      <c r="K1236" t="s">
        <v>2377</v>
      </c>
      <c r="L1236" t="s">
        <v>45</v>
      </c>
    </row>
    <row r="1237" spans="1:12" x14ac:dyDescent="0.35">
      <c r="A1237" t="s">
        <v>2460</v>
      </c>
      <c r="B1237" t="s">
        <v>901</v>
      </c>
      <c r="C1237" t="s">
        <v>902</v>
      </c>
      <c r="D1237" t="s">
        <v>67</v>
      </c>
      <c r="E1237" t="s">
        <v>130</v>
      </c>
      <c r="F1237" t="s">
        <v>42</v>
      </c>
      <c r="G1237" t="s">
        <v>225</v>
      </c>
      <c r="H1237">
        <v>5</v>
      </c>
      <c r="I1237">
        <v>468.4</v>
      </c>
      <c r="J1237">
        <v>2342</v>
      </c>
      <c r="K1237" t="s">
        <v>1408</v>
      </c>
      <c r="L1237" t="s">
        <v>45</v>
      </c>
    </row>
    <row r="1238" spans="1:12" x14ac:dyDescent="0.35">
      <c r="A1238" t="s">
        <v>2461</v>
      </c>
      <c r="B1238" t="s">
        <v>1137</v>
      </c>
      <c r="C1238" t="s">
        <v>1138</v>
      </c>
      <c r="D1238" t="s">
        <v>67</v>
      </c>
      <c r="E1238" t="s">
        <v>130</v>
      </c>
      <c r="F1238" t="s">
        <v>16</v>
      </c>
      <c r="G1238" t="s">
        <v>17</v>
      </c>
      <c r="H1238">
        <v>2</v>
      </c>
      <c r="I1238">
        <v>584.70000000000005</v>
      </c>
      <c r="J1238">
        <v>1169.4000000000001</v>
      </c>
      <c r="K1238" t="s">
        <v>2315</v>
      </c>
      <c r="L1238" t="s">
        <v>28</v>
      </c>
    </row>
    <row r="1239" spans="1:12" x14ac:dyDescent="0.35">
      <c r="A1239" t="s">
        <v>2462</v>
      </c>
      <c r="B1239" t="s">
        <v>1028</v>
      </c>
      <c r="C1239" t="s">
        <v>1029</v>
      </c>
      <c r="D1239" t="s">
        <v>14</v>
      </c>
      <c r="E1239" t="s">
        <v>266</v>
      </c>
      <c r="F1239" t="s">
        <v>16</v>
      </c>
      <c r="G1239" t="s">
        <v>177</v>
      </c>
      <c r="H1239">
        <v>2</v>
      </c>
      <c r="I1239">
        <v>1094.7</v>
      </c>
      <c r="J1239">
        <v>2189.4</v>
      </c>
      <c r="K1239" t="s">
        <v>2463</v>
      </c>
      <c r="L1239" t="s">
        <v>28</v>
      </c>
    </row>
    <row r="1240" spans="1:12" x14ac:dyDescent="0.35">
      <c r="A1240" t="s">
        <v>2464</v>
      </c>
      <c r="B1240" t="s">
        <v>590</v>
      </c>
      <c r="C1240" t="s">
        <v>591</v>
      </c>
      <c r="D1240" t="s">
        <v>32</v>
      </c>
      <c r="E1240" t="s">
        <v>33</v>
      </c>
      <c r="F1240" t="s">
        <v>50</v>
      </c>
      <c r="G1240" t="s">
        <v>170</v>
      </c>
      <c r="H1240">
        <v>1</v>
      </c>
      <c r="I1240">
        <v>360.44</v>
      </c>
      <c r="J1240">
        <v>360.44</v>
      </c>
      <c r="K1240" t="s">
        <v>2465</v>
      </c>
      <c r="L1240" t="s">
        <v>28</v>
      </c>
    </row>
    <row r="1241" spans="1:12" x14ac:dyDescent="0.35">
      <c r="A1241" t="s">
        <v>2466</v>
      </c>
      <c r="B1241" t="s">
        <v>201</v>
      </c>
      <c r="C1241" t="s">
        <v>202</v>
      </c>
      <c r="D1241" t="s">
        <v>40</v>
      </c>
      <c r="E1241" t="s">
        <v>79</v>
      </c>
      <c r="F1241" t="s">
        <v>50</v>
      </c>
      <c r="G1241" t="s">
        <v>69</v>
      </c>
      <c r="H1241">
        <v>5</v>
      </c>
      <c r="I1241">
        <v>479.66</v>
      </c>
      <c r="J1241">
        <v>2398.3000000000002</v>
      </c>
      <c r="K1241" t="s">
        <v>662</v>
      </c>
      <c r="L1241" t="s">
        <v>91</v>
      </c>
    </row>
    <row r="1242" spans="1:12" x14ac:dyDescent="0.35">
      <c r="A1242" t="s">
        <v>2467</v>
      </c>
      <c r="B1242" t="s">
        <v>842</v>
      </c>
      <c r="C1242" t="s">
        <v>843</v>
      </c>
      <c r="D1242" t="s">
        <v>40</v>
      </c>
      <c r="E1242" t="s">
        <v>120</v>
      </c>
      <c r="F1242" t="s">
        <v>50</v>
      </c>
      <c r="G1242" t="s">
        <v>56</v>
      </c>
      <c r="H1242">
        <v>2</v>
      </c>
      <c r="I1242">
        <v>859.2</v>
      </c>
      <c r="J1242">
        <v>1718.4</v>
      </c>
      <c r="K1242" t="s">
        <v>1235</v>
      </c>
      <c r="L1242" t="s">
        <v>36</v>
      </c>
    </row>
    <row r="1243" spans="1:12" x14ac:dyDescent="0.35">
      <c r="A1243" t="s">
        <v>2468</v>
      </c>
      <c r="B1243" t="s">
        <v>367</v>
      </c>
      <c r="C1243" t="s">
        <v>368</v>
      </c>
      <c r="D1243" t="s">
        <v>67</v>
      </c>
      <c r="E1243" t="s">
        <v>68</v>
      </c>
      <c r="F1243" t="s">
        <v>16</v>
      </c>
      <c r="G1243" t="s">
        <v>182</v>
      </c>
      <c r="H1243">
        <v>5</v>
      </c>
      <c r="I1243">
        <v>1189.8599999999999</v>
      </c>
      <c r="J1243">
        <v>5949.3</v>
      </c>
      <c r="K1243" t="s">
        <v>1612</v>
      </c>
      <c r="L1243" t="s">
        <v>19</v>
      </c>
    </row>
    <row r="1244" spans="1:12" x14ac:dyDescent="0.35">
      <c r="A1244" t="s">
        <v>2469</v>
      </c>
      <c r="B1244" t="s">
        <v>464</v>
      </c>
      <c r="C1244" t="s">
        <v>465</v>
      </c>
      <c r="D1244" t="s">
        <v>32</v>
      </c>
      <c r="E1244" t="s">
        <v>33</v>
      </c>
      <c r="F1244" t="s">
        <v>101</v>
      </c>
      <c r="G1244" t="s">
        <v>373</v>
      </c>
      <c r="H1244">
        <v>2</v>
      </c>
      <c r="I1244">
        <v>982.36</v>
      </c>
      <c r="J1244">
        <v>1964.72</v>
      </c>
      <c r="K1244" t="s">
        <v>1540</v>
      </c>
      <c r="L1244" t="s">
        <v>28</v>
      </c>
    </row>
    <row r="1245" spans="1:12" x14ac:dyDescent="0.35">
      <c r="A1245" t="s">
        <v>2470</v>
      </c>
      <c r="B1245" t="s">
        <v>1307</v>
      </c>
      <c r="C1245" t="s">
        <v>1308</v>
      </c>
      <c r="D1245" t="s">
        <v>67</v>
      </c>
      <c r="E1245" t="s">
        <v>130</v>
      </c>
      <c r="F1245" t="s">
        <v>101</v>
      </c>
      <c r="G1245" t="s">
        <v>165</v>
      </c>
      <c r="H1245">
        <v>2</v>
      </c>
      <c r="I1245">
        <v>1410.05</v>
      </c>
      <c r="J1245">
        <v>2820.1</v>
      </c>
      <c r="K1245" t="s">
        <v>938</v>
      </c>
      <c r="L1245" t="s">
        <v>45</v>
      </c>
    </row>
    <row r="1246" spans="1:12" x14ac:dyDescent="0.35">
      <c r="A1246" t="s">
        <v>2471</v>
      </c>
      <c r="B1246" t="s">
        <v>173</v>
      </c>
      <c r="C1246" t="s">
        <v>174</v>
      </c>
      <c r="D1246" t="s">
        <v>23</v>
      </c>
      <c r="E1246" t="s">
        <v>24</v>
      </c>
      <c r="F1246" t="s">
        <v>25</v>
      </c>
      <c r="G1246" t="s">
        <v>26</v>
      </c>
      <c r="H1246">
        <v>2</v>
      </c>
      <c r="I1246">
        <v>375.58</v>
      </c>
      <c r="J1246">
        <v>751.16</v>
      </c>
      <c r="K1246" t="s">
        <v>2046</v>
      </c>
      <c r="L1246" t="s">
        <v>19</v>
      </c>
    </row>
    <row r="1247" spans="1:12" x14ac:dyDescent="0.35">
      <c r="A1247" t="s">
        <v>2472</v>
      </c>
      <c r="B1247" t="s">
        <v>345</v>
      </c>
      <c r="C1247" t="s">
        <v>346</v>
      </c>
      <c r="D1247" t="s">
        <v>14</v>
      </c>
      <c r="E1247" t="s">
        <v>266</v>
      </c>
      <c r="F1247" t="s">
        <v>25</v>
      </c>
      <c r="G1247" t="s">
        <v>26</v>
      </c>
      <c r="H1247">
        <v>2</v>
      </c>
      <c r="I1247">
        <v>968.03</v>
      </c>
      <c r="J1247">
        <v>1936.06</v>
      </c>
      <c r="K1247" t="s">
        <v>468</v>
      </c>
      <c r="L1247" t="s">
        <v>36</v>
      </c>
    </row>
    <row r="1248" spans="1:12" x14ac:dyDescent="0.35">
      <c r="A1248" t="s">
        <v>2473</v>
      </c>
      <c r="B1248" t="s">
        <v>767</v>
      </c>
      <c r="C1248" t="s">
        <v>768</v>
      </c>
      <c r="D1248" t="s">
        <v>67</v>
      </c>
      <c r="E1248" t="s">
        <v>130</v>
      </c>
      <c r="F1248" t="s">
        <v>42</v>
      </c>
      <c r="G1248" t="s">
        <v>170</v>
      </c>
      <c r="H1248">
        <v>2</v>
      </c>
      <c r="I1248">
        <v>356.81</v>
      </c>
      <c r="J1248">
        <v>713.62</v>
      </c>
      <c r="K1248" t="s">
        <v>2474</v>
      </c>
      <c r="L1248" t="s">
        <v>91</v>
      </c>
    </row>
    <row r="1249" spans="1:12" x14ac:dyDescent="0.35">
      <c r="A1249" t="s">
        <v>2475</v>
      </c>
      <c r="B1249" t="s">
        <v>506</v>
      </c>
      <c r="C1249" t="s">
        <v>507</v>
      </c>
      <c r="D1249" t="s">
        <v>14</v>
      </c>
      <c r="E1249" t="s">
        <v>100</v>
      </c>
      <c r="F1249" t="s">
        <v>25</v>
      </c>
      <c r="G1249" t="s">
        <v>74</v>
      </c>
      <c r="H1249">
        <v>1</v>
      </c>
      <c r="I1249">
        <v>1209.81</v>
      </c>
      <c r="J1249">
        <v>1209.81</v>
      </c>
      <c r="K1249" t="s">
        <v>2320</v>
      </c>
      <c r="L1249" t="s">
        <v>19</v>
      </c>
    </row>
    <row r="1250" spans="1:12" x14ac:dyDescent="0.35">
      <c r="A1250" t="s">
        <v>2476</v>
      </c>
      <c r="B1250" t="s">
        <v>189</v>
      </c>
      <c r="C1250" t="s">
        <v>190</v>
      </c>
      <c r="D1250" t="s">
        <v>23</v>
      </c>
      <c r="E1250" t="s">
        <v>24</v>
      </c>
      <c r="F1250" t="s">
        <v>101</v>
      </c>
      <c r="G1250" t="s">
        <v>165</v>
      </c>
      <c r="H1250">
        <v>5</v>
      </c>
      <c r="I1250">
        <v>1397.74</v>
      </c>
      <c r="J1250">
        <v>6988.7</v>
      </c>
      <c r="K1250" t="s">
        <v>1987</v>
      </c>
      <c r="L1250" t="s">
        <v>28</v>
      </c>
    </row>
    <row r="1251" spans="1:12" x14ac:dyDescent="0.35">
      <c r="A1251" t="s">
        <v>2477</v>
      </c>
      <c r="B1251" t="s">
        <v>185</v>
      </c>
      <c r="C1251" t="s">
        <v>186</v>
      </c>
      <c r="D1251" t="s">
        <v>40</v>
      </c>
      <c r="E1251" t="s">
        <v>120</v>
      </c>
      <c r="F1251" t="s">
        <v>42</v>
      </c>
      <c r="G1251" t="s">
        <v>89</v>
      </c>
      <c r="H1251">
        <v>1</v>
      </c>
      <c r="I1251">
        <v>121.39</v>
      </c>
      <c r="J1251">
        <v>121.39</v>
      </c>
      <c r="K1251" t="s">
        <v>2478</v>
      </c>
      <c r="L1251" t="s">
        <v>36</v>
      </c>
    </row>
    <row r="1252" spans="1:12" x14ac:dyDescent="0.35">
      <c r="A1252" t="s">
        <v>2479</v>
      </c>
      <c r="B1252" t="s">
        <v>464</v>
      </c>
      <c r="C1252" t="s">
        <v>465</v>
      </c>
      <c r="D1252" t="s">
        <v>14</v>
      </c>
      <c r="E1252" t="s">
        <v>100</v>
      </c>
      <c r="F1252" t="s">
        <v>25</v>
      </c>
      <c r="G1252" t="s">
        <v>74</v>
      </c>
      <c r="H1252">
        <v>3</v>
      </c>
      <c r="I1252">
        <v>1051.6300000000001</v>
      </c>
      <c r="J1252">
        <v>3154.89</v>
      </c>
      <c r="K1252" t="s">
        <v>1319</v>
      </c>
      <c r="L1252" t="s">
        <v>19</v>
      </c>
    </row>
    <row r="1253" spans="1:12" x14ac:dyDescent="0.35">
      <c r="A1253" t="s">
        <v>2480</v>
      </c>
      <c r="B1253" t="s">
        <v>960</v>
      </c>
      <c r="C1253" t="s">
        <v>961</v>
      </c>
      <c r="D1253" t="s">
        <v>67</v>
      </c>
      <c r="E1253" t="s">
        <v>115</v>
      </c>
      <c r="F1253" t="s">
        <v>25</v>
      </c>
      <c r="G1253" t="s">
        <v>34</v>
      </c>
      <c r="H1253">
        <v>3</v>
      </c>
      <c r="I1253">
        <v>246.4</v>
      </c>
      <c r="J1253">
        <v>739.2</v>
      </c>
      <c r="K1253" t="s">
        <v>431</v>
      </c>
      <c r="L1253" t="s">
        <v>36</v>
      </c>
    </row>
    <row r="1254" spans="1:12" x14ac:dyDescent="0.35">
      <c r="A1254" t="s">
        <v>2481</v>
      </c>
      <c r="B1254" t="s">
        <v>602</v>
      </c>
      <c r="C1254" t="s">
        <v>603</v>
      </c>
      <c r="D1254" t="s">
        <v>40</v>
      </c>
      <c r="E1254" t="s">
        <v>79</v>
      </c>
      <c r="F1254" t="s">
        <v>16</v>
      </c>
      <c r="G1254" t="s">
        <v>177</v>
      </c>
      <c r="H1254">
        <v>4</v>
      </c>
      <c r="I1254">
        <v>1019.25</v>
      </c>
      <c r="J1254">
        <v>4077</v>
      </c>
      <c r="K1254" t="s">
        <v>317</v>
      </c>
      <c r="L1254" t="s">
        <v>19</v>
      </c>
    </row>
    <row r="1255" spans="1:12" x14ac:dyDescent="0.35">
      <c r="A1255" t="s">
        <v>2482</v>
      </c>
      <c r="B1255" t="s">
        <v>185</v>
      </c>
      <c r="C1255" t="s">
        <v>186</v>
      </c>
      <c r="D1255" t="s">
        <v>14</v>
      </c>
      <c r="E1255" t="s">
        <v>15</v>
      </c>
      <c r="F1255" t="s">
        <v>50</v>
      </c>
      <c r="G1255" t="s">
        <v>170</v>
      </c>
      <c r="H1255">
        <v>3</v>
      </c>
      <c r="I1255">
        <v>248</v>
      </c>
      <c r="J1255">
        <v>744</v>
      </c>
      <c r="K1255" t="s">
        <v>669</v>
      </c>
      <c r="L1255" t="s">
        <v>19</v>
      </c>
    </row>
    <row r="1256" spans="1:12" x14ac:dyDescent="0.35">
      <c r="A1256" t="s">
        <v>2483</v>
      </c>
      <c r="B1256" t="s">
        <v>1005</v>
      </c>
      <c r="C1256" t="s">
        <v>1006</v>
      </c>
      <c r="D1256" t="s">
        <v>40</v>
      </c>
      <c r="E1256" t="s">
        <v>41</v>
      </c>
      <c r="F1256" t="s">
        <v>101</v>
      </c>
      <c r="G1256" t="s">
        <v>373</v>
      </c>
      <c r="H1256">
        <v>3</v>
      </c>
      <c r="I1256">
        <v>1091.6400000000001</v>
      </c>
      <c r="J1256">
        <v>3274.92</v>
      </c>
      <c r="K1256" t="s">
        <v>1763</v>
      </c>
      <c r="L1256" t="s">
        <v>19</v>
      </c>
    </row>
    <row r="1257" spans="1:12" x14ac:dyDescent="0.35">
      <c r="A1257" t="s">
        <v>2484</v>
      </c>
      <c r="B1257" t="s">
        <v>990</v>
      </c>
      <c r="C1257" t="s">
        <v>991</v>
      </c>
      <c r="D1257" t="s">
        <v>67</v>
      </c>
      <c r="E1257" t="s">
        <v>115</v>
      </c>
      <c r="F1257" t="s">
        <v>42</v>
      </c>
      <c r="G1257" t="s">
        <v>170</v>
      </c>
      <c r="H1257">
        <v>1</v>
      </c>
      <c r="I1257">
        <v>1037.5999999999999</v>
      </c>
      <c r="J1257">
        <v>1037.5999999999999</v>
      </c>
      <c r="K1257" t="s">
        <v>63</v>
      </c>
      <c r="L1257" t="s">
        <v>36</v>
      </c>
    </row>
    <row r="1258" spans="1:12" x14ac:dyDescent="0.35">
      <c r="A1258" t="s">
        <v>2485</v>
      </c>
      <c r="B1258" t="s">
        <v>109</v>
      </c>
      <c r="C1258" t="s">
        <v>110</v>
      </c>
      <c r="D1258" t="s">
        <v>23</v>
      </c>
      <c r="E1258" t="s">
        <v>49</v>
      </c>
      <c r="F1258" t="s">
        <v>25</v>
      </c>
      <c r="G1258" t="s">
        <v>62</v>
      </c>
      <c r="H1258">
        <v>2</v>
      </c>
      <c r="I1258">
        <v>645.76</v>
      </c>
      <c r="J1258">
        <v>1291.52</v>
      </c>
      <c r="K1258" t="s">
        <v>1108</v>
      </c>
      <c r="L1258" t="s">
        <v>45</v>
      </c>
    </row>
    <row r="1259" spans="1:12" x14ac:dyDescent="0.35">
      <c r="A1259" t="s">
        <v>2486</v>
      </c>
      <c r="B1259" t="s">
        <v>2399</v>
      </c>
      <c r="C1259" t="s">
        <v>2400</v>
      </c>
      <c r="D1259" t="s">
        <v>14</v>
      </c>
      <c r="E1259" t="s">
        <v>266</v>
      </c>
      <c r="F1259" t="s">
        <v>50</v>
      </c>
      <c r="G1259" t="s">
        <v>69</v>
      </c>
      <c r="H1259">
        <v>5</v>
      </c>
      <c r="I1259">
        <v>246.6</v>
      </c>
      <c r="J1259">
        <v>1233</v>
      </c>
      <c r="K1259" t="s">
        <v>1103</v>
      </c>
      <c r="L1259" t="s">
        <v>91</v>
      </c>
    </row>
    <row r="1260" spans="1:12" x14ac:dyDescent="0.35">
      <c r="A1260" t="s">
        <v>2487</v>
      </c>
      <c r="B1260" t="s">
        <v>219</v>
      </c>
      <c r="C1260" t="s">
        <v>220</v>
      </c>
      <c r="D1260" t="s">
        <v>32</v>
      </c>
      <c r="E1260" t="s">
        <v>203</v>
      </c>
      <c r="F1260" t="s">
        <v>50</v>
      </c>
      <c r="G1260" t="s">
        <v>69</v>
      </c>
      <c r="H1260">
        <v>3</v>
      </c>
      <c r="I1260">
        <v>1262.49</v>
      </c>
      <c r="J1260">
        <v>3787.47</v>
      </c>
      <c r="K1260" t="s">
        <v>614</v>
      </c>
      <c r="L1260" t="s">
        <v>45</v>
      </c>
    </row>
    <row r="1261" spans="1:12" x14ac:dyDescent="0.35">
      <c r="A1261" t="s">
        <v>2488</v>
      </c>
      <c r="B1261" t="s">
        <v>460</v>
      </c>
      <c r="C1261" t="s">
        <v>461</v>
      </c>
      <c r="D1261" t="s">
        <v>14</v>
      </c>
      <c r="E1261" t="s">
        <v>266</v>
      </c>
      <c r="F1261" t="s">
        <v>42</v>
      </c>
      <c r="G1261" t="s">
        <v>170</v>
      </c>
      <c r="H1261">
        <v>2</v>
      </c>
      <c r="I1261">
        <v>845.27</v>
      </c>
      <c r="J1261">
        <v>1690.54</v>
      </c>
      <c r="K1261" t="s">
        <v>538</v>
      </c>
      <c r="L1261" t="s">
        <v>91</v>
      </c>
    </row>
    <row r="1262" spans="1:12" x14ac:dyDescent="0.35">
      <c r="A1262" t="s">
        <v>2489</v>
      </c>
      <c r="B1262" t="s">
        <v>723</v>
      </c>
      <c r="C1262" t="s">
        <v>724</v>
      </c>
      <c r="D1262" t="s">
        <v>14</v>
      </c>
      <c r="E1262" t="s">
        <v>100</v>
      </c>
      <c r="F1262" t="s">
        <v>42</v>
      </c>
      <c r="G1262" t="s">
        <v>225</v>
      </c>
      <c r="H1262">
        <v>5</v>
      </c>
      <c r="I1262">
        <v>106.23</v>
      </c>
      <c r="J1262">
        <v>531.15</v>
      </c>
      <c r="K1262" t="s">
        <v>2490</v>
      </c>
      <c r="L1262" t="s">
        <v>45</v>
      </c>
    </row>
    <row r="1263" spans="1:12" x14ac:dyDescent="0.35">
      <c r="A1263" t="s">
        <v>2491</v>
      </c>
      <c r="B1263" t="s">
        <v>412</v>
      </c>
      <c r="C1263" t="s">
        <v>413</v>
      </c>
      <c r="D1263" t="s">
        <v>14</v>
      </c>
      <c r="E1263" t="s">
        <v>125</v>
      </c>
      <c r="F1263" t="s">
        <v>16</v>
      </c>
      <c r="G1263" t="s">
        <v>230</v>
      </c>
      <c r="H1263">
        <v>5</v>
      </c>
      <c r="I1263">
        <v>490.39</v>
      </c>
      <c r="J1263">
        <v>2451.9499999999998</v>
      </c>
      <c r="K1263" t="s">
        <v>1458</v>
      </c>
      <c r="L1263" t="s">
        <v>45</v>
      </c>
    </row>
    <row r="1264" spans="1:12" x14ac:dyDescent="0.35">
      <c r="A1264" t="s">
        <v>2492</v>
      </c>
      <c r="B1264" t="s">
        <v>206</v>
      </c>
      <c r="C1264" t="s">
        <v>207</v>
      </c>
      <c r="D1264" t="s">
        <v>32</v>
      </c>
      <c r="E1264" t="s">
        <v>61</v>
      </c>
      <c r="F1264" t="s">
        <v>101</v>
      </c>
      <c r="G1264" t="s">
        <v>102</v>
      </c>
      <c r="H1264">
        <v>3</v>
      </c>
      <c r="I1264">
        <v>143.82</v>
      </c>
      <c r="J1264">
        <v>431.46</v>
      </c>
      <c r="K1264" t="s">
        <v>135</v>
      </c>
      <c r="L1264" t="s">
        <v>36</v>
      </c>
    </row>
    <row r="1265" spans="1:12" x14ac:dyDescent="0.35">
      <c r="A1265" t="s">
        <v>2493</v>
      </c>
      <c r="B1265" t="s">
        <v>2157</v>
      </c>
      <c r="C1265" t="s">
        <v>2158</v>
      </c>
      <c r="D1265" t="s">
        <v>14</v>
      </c>
      <c r="E1265" t="s">
        <v>95</v>
      </c>
      <c r="F1265" t="s">
        <v>25</v>
      </c>
      <c r="G1265" t="s">
        <v>74</v>
      </c>
      <c r="H1265">
        <v>1</v>
      </c>
      <c r="I1265">
        <v>311.02999999999997</v>
      </c>
      <c r="J1265">
        <v>311.02999999999997</v>
      </c>
      <c r="K1265" t="s">
        <v>1845</v>
      </c>
      <c r="L1265" t="s">
        <v>28</v>
      </c>
    </row>
    <row r="1266" spans="1:12" x14ac:dyDescent="0.35">
      <c r="A1266" t="s">
        <v>2494</v>
      </c>
      <c r="B1266" t="s">
        <v>185</v>
      </c>
      <c r="C1266" t="s">
        <v>186</v>
      </c>
      <c r="D1266" t="s">
        <v>67</v>
      </c>
      <c r="E1266" t="s">
        <v>115</v>
      </c>
      <c r="F1266" t="s">
        <v>42</v>
      </c>
      <c r="G1266" t="s">
        <v>170</v>
      </c>
      <c r="H1266">
        <v>5</v>
      </c>
      <c r="I1266">
        <v>701.47</v>
      </c>
      <c r="J1266">
        <v>3507.35</v>
      </c>
      <c r="K1266" t="s">
        <v>2495</v>
      </c>
      <c r="L1266" t="s">
        <v>28</v>
      </c>
    </row>
    <row r="1267" spans="1:12" x14ac:dyDescent="0.35">
      <c r="A1267" t="s">
        <v>2496</v>
      </c>
      <c r="B1267" t="s">
        <v>1940</v>
      </c>
      <c r="C1267" t="s">
        <v>1941</v>
      </c>
      <c r="D1267" t="s">
        <v>23</v>
      </c>
      <c r="E1267" t="s">
        <v>338</v>
      </c>
      <c r="F1267" t="s">
        <v>50</v>
      </c>
      <c r="G1267" t="s">
        <v>170</v>
      </c>
      <c r="H1267">
        <v>1</v>
      </c>
      <c r="I1267">
        <v>955.89</v>
      </c>
      <c r="J1267">
        <v>955.89</v>
      </c>
      <c r="K1267" t="s">
        <v>1992</v>
      </c>
      <c r="L1267" t="s">
        <v>91</v>
      </c>
    </row>
    <row r="1268" spans="1:12" x14ac:dyDescent="0.35">
      <c r="A1268" t="s">
        <v>2497</v>
      </c>
      <c r="B1268" t="s">
        <v>931</v>
      </c>
      <c r="C1268" t="s">
        <v>932</v>
      </c>
      <c r="D1268" t="s">
        <v>14</v>
      </c>
      <c r="E1268" t="s">
        <v>100</v>
      </c>
      <c r="F1268" t="s">
        <v>101</v>
      </c>
      <c r="G1268" t="s">
        <v>165</v>
      </c>
      <c r="H1268">
        <v>5</v>
      </c>
      <c r="I1268">
        <v>259.20999999999998</v>
      </c>
      <c r="J1268">
        <v>1296.05</v>
      </c>
      <c r="K1268" t="s">
        <v>1251</v>
      </c>
      <c r="L1268" t="s">
        <v>91</v>
      </c>
    </row>
    <row r="1269" spans="1:12" x14ac:dyDescent="0.35">
      <c r="A1269" t="s">
        <v>2498</v>
      </c>
      <c r="B1269" t="s">
        <v>348</v>
      </c>
      <c r="C1269" t="s">
        <v>349</v>
      </c>
      <c r="D1269" t="s">
        <v>14</v>
      </c>
      <c r="E1269" t="s">
        <v>15</v>
      </c>
      <c r="F1269" t="s">
        <v>101</v>
      </c>
      <c r="G1269" t="s">
        <v>102</v>
      </c>
      <c r="H1269">
        <v>1</v>
      </c>
      <c r="I1269">
        <v>1458.5</v>
      </c>
      <c r="J1269">
        <v>1458.5</v>
      </c>
      <c r="K1269" t="s">
        <v>1207</v>
      </c>
      <c r="L1269" t="s">
        <v>91</v>
      </c>
    </row>
    <row r="1270" spans="1:12" x14ac:dyDescent="0.35">
      <c r="A1270" t="s">
        <v>2499</v>
      </c>
      <c r="B1270" t="s">
        <v>1532</v>
      </c>
      <c r="C1270" t="s">
        <v>1533</v>
      </c>
      <c r="D1270" t="s">
        <v>67</v>
      </c>
      <c r="E1270" t="s">
        <v>115</v>
      </c>
      <c r="F1270" t="s">
        <v>16</v>
      </c>
      <c r="G1270" t="s">
        <v>177</v>
      </c>
      <c r="H1270">
        <v>4</v>
      </c>
      <c r="I1270">
        <v>1017.49</v>
      </c>
      <c r="J1270">
        <v>4069.96</v>
      </c>
      <c r="K1270" t="s">
        <v>1411</v>
      </c>
      <c r="L1270" t="s">
        <v>36</v>
      </c>
    </row>
    <row r="1271" spans="1:12" x14ac:dyDescent="0.35">
      <c r="A1271" t="s">
        <v>2500</v>
      </c>
      <c r="B1271" t="s">
        <v>552</v>
      </c>
      <c r="C1271" t="s">
        <v>553</v>
      </c>
      <c r="D1271" t="s">
        <v>23</v>
      </c>
      <c r="E1271" t="s">
        <v>49</v>
      </c>
      <c r="F1271" t="s">
        <v>101</v>
      </c>
      <c r="G1271" t="s">
        <v>649</v>
      </c>
      <c r="H1271">
        <v>4</v>
      </c>
      <c r="I1271">
        <v>714.62</v>
      </c>
      <c r="J1271">
        <v>2858.48</v>
      </c>
      <c r="K1271" t="s">
        <v>927</v>
      </c>
      <c r="L1271" t="s">
        <v>36</v>
      </c>
    </row>
    <row r="1272" spans="1:12" x14ac:dyDescent="0.35">
      <c r="A1272" t="s">
        <v>2501</v>
      </c>
      <c r="B1272" t="s">
        <v>827</v>
      </c>
      <c r="C1272" t="s">
        <v>828</v>
      </c>
      <c r="D1272" t="s">
        <v>23</v>
      </c>
      <c r="E1272" t="s">
        <v>49</v>
      </c>
      <c r="F1272" t="s">
        <v>16</v>
      </c>
      <c r="G1272" t="s">
        <v>230</v>
      </c>
      <c r="H1272">
        <v>2</v>
      </c>
      <c r="I1272">
        <v>1321.57</v>
      </c>
      <c r="J1272">
        <v>2643.14</v>
      </c>
      <c r="K1272" t="s">
        <v>365</v>
      </c>
      <c r="L1272" t="s">
        <v>28</v>
      </c>
    </row>
    <row r="1273" spans="1:12" x14ac:dyDescent="0.35">
      <c r="A1273" t="s">
        <v>2502</v>
      </c>
      <c r="B1273" t="s">
        <v>359</v>
      </c>
      <c r="C1273" t="s">
        <v>360</v>
      </c>
      <c r="D1273" t="s">
        <v>14</v>
      </c>
      <c r="E1273" t="s">
        <v>100</v>
      </c>
      <c r="F1273" t="s">
        <v>42</v>
      </c>
      <c r="G1273" t="s">
        <v>89</v>
      </c>
      <c r="H1273">
        <v>5</v>
      </c>
      <c r="I1273">
        <v>1494.87</v>
      </c>
      <c r="J1273">
        <v>7474.35</v>
      </c>
      <c r="K1273" t="s">
        <v>2503</v>
      </c>
      <c r="L1273" t="s">
        <v>45</v>
      </c>
    </row>
    <row r="1274" spans="1:12" x14ac:dyDescent="0.35">
      <c r="A1274" t="s">
        <v>2504</v>
      </c>
      <c r="B1274" t="s">
        <v>751</v>
      </c>
      <c r="C1274" t="s">
        <v>752</v>
      </c>
      <c r="D1274" t="s">
        <v>67</v>
      </c>
      <c r="E1274" t="s">
        <v>68</v>
      </c>
      <c r="F1274" t="s">
        <v>50</v>
      </c>
      <c r="G1274" t="s">
        <v>170</v>
      </c>
      <c r="H1274">
        <v>3</v>
      </c>
      <c r="I1274">
        <v>951.56</v>
      </c>
      <c r="J1274">
        <v>2854.68</v>
      </c>
      <c r="K1274" t="s">
        <v>1995</v>
      </c>
      <c r="L1274" t="s">
        <v>45</v>
      </c>
    </row>
    <row r="1275" spans="1:12" x14ac:dyDescent="0.35">
      <c r="A1275" t="s">
        <v>2505</v>
      </c>
      <c r="B1275" t="s">
        <v>214</v>
      </c>
      <c r="C1275" t="s">
        <v>215</v>
      </c>
      <c r="D1275" t="s">
        <v>32</v>
      </c>
      <c r="E1275" t="s">
        <v>203</v>
      </c>
      <c r="F1275" t="s">
        <v>25</v>
      </c>
      <c r="G1275" t="s">
        <v>139</v>
      </c>
      <c r="H1275">
        <v>1</v>
      </c>
      <c r="I1275">
        <v>870.43</v>
      </c>
      <c r="J1275">
        <v>870.43</v>
      </c>
      <c r="K1275" t="s">
        <v>1900</v>
      </c>
      <c r="L1275" t="s">
        <v>28</v>
      </c>
    </row>
    <row r="1276" spans="1:12" x14ac:dyDescent="0.35">
      <c r="A1276" t="s">
        <v>2506</v>
      </c>
      <c r="B1276" t="s">
        <v>269</v>
      </c>
      <c r="C1276" t="s">
        <v>270</v>
      </c>
      <c r="D1276" t="s">
        <v>32</v>
      </c>
      <c r="E1276" t="s">
        <v>61</v>
      </c>
      <c r="F1276" t="s">
        <v>42</v>
      </c>
      <c r="G1276" t="s">
        <v>43</v>
      </c>
      <c r="H1276">
        <v>2</v>
      </c>
      <c r="I1276">
        <v>243.33</v>
      </c>
      <c r="J1276">
        <v>486.66</v>
      </c>
      <c r="K1276" t="s">
        <v>131</v>
      </c>
      <c r="L1276" t="s">
        <v>28</v>
      </c>
    </row>
    <row r="1277" spans="1:12" x14ac:dyDescent="0.35">
      <c r="A1277" t="s">
        <v>2507</v>
      </c>
      <c r="B1277" t="s">
        <v>707</v>
      </c>
      <c r="C1277" t="s">
        <v>708</v>
      </c>
      <c r="D1277" t="s">
        <v>23</v>
      </c>
      <c r="E1277" t="s">
        <v>338</v>
      </c>
      <c r="F1277" t="s">
        <v>50</v>
      </c>
      <c r="G1277" t="s">
        <v>216</v>
      </c>
      <c r="H1277">
        <v>5</v>
      </c>
      <c r="I1277">
        <v>982.76</v>
      </c>
      <c r="J1277">
        <v>4913.8</v>
      </c>
      <c r="K1277" t="s">
        <v>410</v>
      </c>
      <c r="L1277" t="s">
        <v>28</v>
      </c>
    </row>
    <row r="1278" spans="1:12" x14ac:dyDescent="0.35">
      <c r="A1278" t="s">
        <v>2508</v>
      </c>
      <c r="B1278" t="s">
        <v>355</v>
      </c>
      <c r="C1278" t="s">
        <v>356</v>
      </c>
      <c r="D1278" t="s">
        <v>32</v>
      </c>
      <c r="E1278" t="s">
        <v>203</v>
      </c>
      <c r="F1278" t="s">
        <v>101</v>
      </c>
      <c r="G1278" t="s">
        <v>649</v>
      </c>
      <c r="H1278">
        <v>5</v>
      </c>
      <c r="I1278">
        <v>59.89</v>
      </c>
      <c r="J1278">
        <v>299.45</v>
      </c>
      <c r="K1278" t="s">
        <v>313</v>
      </c>
      <c r="L1278" t="s">
        <v>45</v>
      </c>
    </row>
    <row r="1279" spans="1:12" x14ac:dyDescent="0.35">
      <c r="A1279" t="s">
        <v>2509</v>
      </c>
      <c r="B1279" t="s">
        <v>1828</v>
      </c>
      <c r="C1279" t="s">
        <v>1829</v>
      </c>
      <c r="D1279" t="s">
        <v>23</v>
      </c>
      <c r="E1279" t="s">
        <v>49</v>
      </c>
      <c r="F1279" t="s">
        <v>16</v>
      </c>
      <c r="G1279" t="s">
        <v>17</v>
      </c>
      <c r="H1279">
        <v>1</v>
      </c>
      <c r="I1279">
        <v>569.74</v>
      </c>
      <c r="J1279">
        <v>569.74</v>
      </c>
      <c r="K1279" t="s">
        <v>789</v>
      </c>
      <c r="L1279" t="s">
        <v>36</v>
      </c>
    </row>
    <row r="1280" spans="1:12" x14ac:dyDescent="0.35">
      <c r="A1280" t="s">
        <v>2510</v>
      </c>
      <c r="B1280" t="s">
        <v>295</v>
      </c>
      <c r="C1280" t="s">
        <v>296</v>
      </c>
      <c r="D1280" t="s">
        <v>32</v>
      </c>
      <c r="E1280" t="s">
        <v>33</v>
      </c>
      <c r="F1280" t="s">
        <v>25</v>
      </c>
      <c r="G1280" t="s">
        <v>139</v>
      </c>
      <c r="H1280">
        <v>5</v>
      </c>
      <c r="I1280">
        <v>137.06</v>
      </c>
      <c r="J1280">
        <v>685.3</v>
      </c>
      <c r="K1280" t="s">
        <v>1040</v>
      </c>
      <c r="L1280" t="s">
        <v>19</v>
      </c>
    </row>
    <row r="1281" spans="1:12" x14ac:dyDescent="0.35">
      <c r="A1281" t="s">
        <v>2511</v>
      </c>
      <c r="B1281" t="s">
        <v>359</v>
      </c>
      <c r="C1281" t="s">
        <v>360</v>
      </c>
      <c r="D1281" t="s">
        <v>67</v>
      </c>
      <c r="E1281" t="s">
        <v>68</v>
      </c>
      <c r="F1281" t="s">
        <v>16</v>
      </c>
      <c r="G1281" t="s">
        <v>177</v>
      </c>
      <c r="H1281">
        <v>1</v>
      </c>
      <c r="I1281">
        <v>630.6</v>
      </c>
      <c r="J1281">
        <v>630.6</v>
      </c>
      <c r="K1281" t="s">
        <v>1716</v>
      </c>
      <c r="L1281" t="s">
        <v>45</v>
      </c>
    </row>
    <row r="1282" spans="1:12" x14ac:dyDescent="0.35">
      <c r="A1282" t="s">
        <v>2512</v>
      </c>
      <c r="B1282" t="s">
        <v>1196</v>
      </c>
      <c r="C1282" t="s">
        <v>1197</v>
      </c>
      <c r="D1282" t="s">
        <v>14</v>
      </c>
      <c r="E1282" t="s">
        <v>15</v>
      </c>
      <c r="F1282" t="s">
        <v>16</v>
      </c>
      <c r="G1282" t="s">
        <v>182</v>
      </c>
      <c r="H1282">
        <v>1</v>
      </c>
      <c r="I1282">
        <v>1234.21</v>
      </c>
      <c r="J1282">
        <v>1234.21</v>
      </c>
      <c r="K1282" t="s">
        <v>1701</v>
      </c>
      <c r="L1282" t="s">
        <v>91</v>
      </c>
    </row>
    <row r="1283" spans="1:12" x14ac:dyDescent="0.35">
      <c r="A1283" t="s">
        <v>2513</v>
      </c>
      <c r="B1283" t="s">
        <v>206</v>
      </c>
      <c r="C1283" t="s">
        <v>207</v>
      </c>
      <c r="D1283" t="s">
        <v>23</v>
      </c>
      <c r="E1283" t="s">
        <v>24</v>
      </c>
      <c r="F1283" t="s">
        <v>42</v>
      </c>
      <c r="G1283" t="s">
        <v>89</v>
      </c>
      <c r="H1283">
        <v>4</v>
      </c>
      <c r="I1283">
        <v>1091.9000000000001</v>
      </c>
      <c r="J1283">
        <v>4367.6000000000004</v>
      </c>
      <c r="K1283" t="s">
        <v>1919</v>
      </c>
      <c r="L1283" t="s">
        <v>28</v>
      </c>
    </row>
    <row r="1284" spans="1:12" x14ac:dyDescent="0.35">
      <c r="A1284" t="s">
        <v>2514</v>
      </c>
      <c r="B1284" t="s">
        <v>269</v>
      </c>
      <c r="C1284" t="s">
        <v>270</v>
      </c>
      <c r="D1284" t="s">
        <v>67</v>
      </c>
      <c r="E1284" t="s">
        <v>130</v>
      </c>
      <c r="F1284" t="s">
        <v>101</v>
      </c>
      <c r="G1284" t="s">
        <v>102</v>
      </c>
      <c r="H1284">
        <v>4</v>
      </c>
      <c r="I1284">
        <v>1313.19</v>
      </c>
      <c r="J1284">
        <v>5252.76</v>
      </c>
      <c r="K1284" t="s">
        <v>822</v>
      </c>
      <c r="L1284" t="s">
        <v>19</v>
      </c>
    </row>
    <row r="1285" spans="1:12" x14ac:dyDescent="0.35">
      <c r="A1285" t="s">
        <v>2515</v>
      </c>
      <c r="B1285" t="s">
        <v>960</v>
      </c>
      <c r="C1285" t="s">
        <v>961</v>
      </c>
      <c r="D1285" t="s">
        <v>32</v>
      </c>
      <c r="E1285" t="s">
        <v>33</v>
      </c>
      <c r="F1285" t="s">
        <v>101</v>
      </c>
      <c r="G1285" t="s">
        <v>165</v>
      </c>
      <c r="H1285">
        <v>4</v>
      </c>
      <c r="I1285">
        <v>428.62</v>
      </c>
      <c r="J1285">
        <v>1714.48</v>
      </c>
      <c r="K1285" t="s">
        <v>570</v>
      </c>
      <c r="L1285" t="s">
        <v>45</v>
      </c>
    </row>
    <row r="1286" spans="1:12" x14ac:dyDescent="0.35">
      <c r="A1286" t="s">
        <v>2516</v>
      </c>
      <c r="B1286" t="s">
        <v>925</v>
      </c>
      <c r="C1286" t="s">
        <v>926</v>
      </c>
      <c r="D1286" t="s">
        <v>14</v>
      </c>
      <c r="E1286" t="s">
        <v>100</v>
      </c>
      <c r="F1286" t="s">
        <v>50</v>
      </c>
      <c r="G1286" t="s">
        <v>51</v>
      </c>
      <c r="H1286">
        <v>5</v>
      </c>
      <c r="I1286">
        <v>1206.25</v>
      </c>
      <c r="J1286">
        <v>6031.25</v>
      </c>
      <c r="K1286" t="s">
        <v>2294</v>
      </c>
      <c r="L1286" t="s">
        <v>19</v>
      </c>
    </row>
    <row r="1287" spans="1:12" x14ac:dyDescent="0.35">
      <c r="A1287" t="s">
        <v>2517</v>
      </c>
      <c r="B1287" t="s">
        <v>677</v>
      </c>
      <c r="C1287" t="s">
        <v>678</v>
      </c>
      <c r="D1287" t="s">
        <v>67</v>
      </c>
      <c r="E1287" t="s">
        <v>130</v>
      </c>
      <c r="F1287" t="s">
        <v>50</v>
      </c>
      <c r="G1287" t="s">
        <v>216</v>
      </c>
      <c r="H1287">
        <v>3</v>
      </c>
      <c r="I1287">
        <v>245.74</v>
      </c>
      <c r="J1287">
        <v>737.22</v>
      </c>
      <c r="K1287" t="s">
        <v>2518</v>
      </c>
      <c r="L1287" t="s">
        <v>28</v>
      </c>
    </row>
    <row r="1288" spans="1:12" x14ac:dyDescent="0.35">
      <c r="A1288" t="s">
        <v>2519</v>
      </c>
      <c r="B1288" t="s">
        <v>579</v>
      </c>
      <c r="C1288" t="s">
        <v>580</v>
      </c>
      <c r="D1288" t="s">
        <v>23</v>
      </c>
      <c r="E1288" t="s">
        <v>338</v>
      </c>
      <c r="F1288" t="s">
        <v>25</v>
      </c>
      <c r="G1288" t="s">
        <v>139</v>
      </c>
      <c r="H1288">
        <v>2</v>
      </c>
      <c r="I1288">
        <v>256.31</v>
      </c>
      <c r="J1288">
        <v>512.62</v>
      </c>
      <c r="K1288" t="s">
        <v>204</v>
      </c>
      <c r="L1288" t="s">
        <v>36</v>
      </c>
    </row>
    <row r="1289" spans="1:12" x14ac:dyDescent="0.35">
      <c r="A1289" t="s">
        <v>2520</v>
      </c>
      <c r="B1289" t="s">
        <v>964</v>
      </c>
      <c r="C1289" t="s">
        <v>965</v>
      </c>
      <c r="D1289" t="s">
        <v>14</v>
      </c>
      <c r="E1289" t="s">
        <v>100</v>
      </c>
      <c r="F1289" t="s">
        <v>50</v>
      </c>
      <c r="G1289" t="s">
        <v>56</v>
      </c>
      <c r="H1289">
        <v>2</v>
      </c>
      <c r="I1289">
        <v>143.52000000000001</v>
      </c>
      <c r="J1289">
        <v>287.04000000000002</v>
      </c>
      <c r="K1289" t="s">
        <v>1026</v>
      </c>
      <c r="L1289" t="s">
        <v>36</v>
      </c>
    </row>
    <row r="1290" spans="1:12" x14ac:dyDescent="0.35">
      <c r="A1290" t="s">
        <v>2521</v>
      </c>
      <c r="B1290" t="s">
        <v>30</v>
      </c>
      <c r="C1290" t="s">
        <v>31</v>
      </c>
      <c r="D1290" t="s">
        <v>40</v>
      </c>
      <c r="E1290" t="s">
        <v>79</v>
      </c>
      <c r="F1290" t="s">
        <v>101</v>
      </c>
      <c r="G1290" t="s">
        <v>102</v>
      </c>
      <c r="H1290">
        <v>3</v>
      </c>
      <c r="I1290">
        <v>1137.6600000000001</v>
      </c>
      <c r="J1290">
        <v>3412.98</v>
      </c>
      <c r="K1290" t="s">
        <v>2334</v>
      </c>
      <c r="L1290" t="s">
        <v>19</v>
      </c>
    </row>
    <row r="1291" spans="1:12" x14ac:dyDescent="0.35">
      <c r="A1291" t="s">
        <v>2522</v>
      </c>
      <c r="B1291" t="s">
        <v>594</v>
      </c>
      <c r="C1291" t="s">
        <v>595</v>
      </c>
      <c r="D1291" t="s">
        <v>32</v>
      </c>
      <c r="E1291" t="s">
        <v>61</v>
      </c>
      <c r="F1291" t="s">
        <v>101</v>
      </c>
      <c r="G1291" t="s">
        <v>102</v>
      </c>
      <c r="H1291">
        <v>4</v>
      </c>
      <c r="I1291">
        <v>319.69</v>
      </c>
      <c r="J1291">
        <v>1278.76</v>
      </c>
      <c r="K1291" t="s">
        <v>35</v>
      </c>
      <c r="L1291" t="s">
        <v>28</v>
      </c>
    </row>
    <row r="1292" spans="1:12" x14ac:dyDescent="0.35">
      <c r="A1292" t="s">
        <v>2523</v>
      </c>
      <c r="B1292" t="s">
        <v>376</v>
      </c>
      <c r="C1292" t="s">
        <v>377</v>
      </c>
      <c r="D1292" t="s">
        <v>23</v>
      </c>
      <c r="E1292" t="s">
        <v>338</v>
      </c>
      <c r="F1292" t="s">
        <v>50</v>
      </c>
      <c r="G1292" t="s">
        <v>51</v>
      </c>
      <c r="H1292">
        <v>3</v>
      </c>
      <c r="I1292">
        <v>746.26</v>
      </c>
      <c r="J1292">
        <v>2238.7800000000002</v>
      </c>
      <c r="K1292" t="s">
        <v>1373</v>
      </c>
      <c r="L1292" t="s">
        <v>91</v>
      </c>
    </row>
    <row r="1293" spans="1:12" x14ac:dyDescent="0.35">
      <c r="A1293" t="s">
        <v>2524</v>
      </c>
      <c r="B1293" t="s">
        <v>690</v>
      </c>
      <c r="C1293" t="s">
        <v>691</v>
      </c>
      <c r="D1293" t="s">
        <v>23</v>
      </c>
      <c r="E1293" t="s">
        <v>49</v>
      </c>
      <c r="F1293" t="s">
        <v>50</v>
      </c>
      <c r="G1293" t="s">
        <v>56</v>
      </c>
      <c r="H1293">
        <v>3</v>
      </c>
      <c r="I1293">
        <v>451.65</v>
      </c>
      <c r="J1293">
        <v>1354.95</v>
      </c>
      <c r="K1293" t="s">
        <v>1174</v>
      </c>
      <c r="L1293" t="s">
        <v>45</v>
      </c>
    </row>
    <row r="1294" spans="1:12" x14ac:dyDescent="0.35">
      <c r="A1294" t="s">
        <v>2525</v>
      </c>
      <c r="B1294" t="s">
        <v>1203</v>
      </c>
      <c r="C1294" t="s">
        <v>1204</v>
      </c>
      <c r="D1294" t="s">
        <v>23</v>
      </c>
      <c r="E1294" t="s">
        <v>338</v>
      </c>
      <c r="F1294" t="s">
        <v>25</v>
      </c>
      <c r="G1294" t="s">
        <v>34</v>
      </c>
      <c r="H1294">
        <v>2</v>
      </c>
      <c r="I1294">
        <v>298.11</v>
      </c>
      <c r="J1294">
        <v>596.22</v>
      </c>
      <c r="K1294" t="s">
        <v>382</v>
      </c>
      <c r="L1294" t="s">
        <v>45</v>
      </c>
    </row>
    <row r="1295" spans="1:12" x14ac:dyDescent="0.35">
      <c r="A1295" t="s">
        <v>2526</v>
      </c>
      <c r="B1295" t="s">
        <v>21</v>
      </c>
      <c r="C1295" t="s">
        <v>22</v>
      </c>
      <c r="D1295" t="s">
        <v>14</v>
      </c>
      <c r="E1295" t="s">
        <v>100</v>
      </c>
      <c r="F1295" t="s">
        <v>42</v>
      </c>
      <c r="G1295" t="s">
        <v>80</v>
      </c>
      <c r="H1295">
        <v>5</v>
      </c>
      <c r="I1295">
        <v>164.72</v>
      </c>
      <c r="J1295">
        <v>823.6</v>
      </c>
      <c r="K1295" t="s">
        <v>140</v>
      </c>
      <c r="L1295" t="s">
        <v>28</v>
      </c>
    </row>
    <row r="1296" spans="1:12" x14ac:dyDescent="0.35">
      <c r="A1296" t="s">
        <v>2527</v>
      </c>
      <c r="B1296" t="s">
        <v>193</v>
      </c>
      <c r="C1296" t="s">
        <v>194</v>
      </c>
      <c r="D1296" t="s">
        <v>23</v>
      </c>
      <c r="E1296" t="s">
        <v>49</v>
      </c>
      <c r="F1296" t="s">
        <v>101</v>
      </c>
      <c r="G1296" t="s">
        <v>165</v>
      </c>
      <c r="H1296">
        <v>3</v>
      </c>
      <c r="I1296">
        <v>139.66</v>
      </c>
      <c r="J1296">
        <v>418.98</v>
      </c>
      <c r="K1296" t="s">
        <v>896</v>
      </c>
      <c r="L1296" t="s">
        <v>36</v>
      </c>
    </row>
    <row r="1297" spans="1:12" x14ac:dyDescent="0.35">
      <c r="A1297" t="s">
        <v>2528</v>
      </c>
      <c r="B1297" t="s">
        <v>742</v>
      </c>
      <c r="C1297" t="s">
        <v>743</v>
      </c>
      <c r="D1297" t="s">
        <v>23</v>
      </c>
      <c r="E1297" t="s">
        <v>338</v>
      </c>
      <c r="F1297" t="s">
        <v>50</v>
      </c>
      <c r="G1297" t="s">
        <v>170</v>
      </c>
      <c r="H1297">
        <v>5</v>
      </c>
      <c r="I1297">
        <v>1213.5899999999999</v>
      </c>
      <c r="J1297">
        <v>6067.95</v>
      </c>
      <c r="K1297" t="s">
        <v>2260</v>
      </c>
      <c r="L1297" t="s">
        <v>36</v>
      </c>
    </row>
    <row r="1298" spans="1:12" x14ac:dyDescent="0.35">
      <c r="A1298" t="s">
        <v>2529</v>
      </c>
      <c r="B1298" t="s">
        <v>388</v>
      </c>
      <c r="C1298" t="s">
        <v>389</v>
      </c>
      <c r="D1298" t="s">
        <v>67</v>
      </c>
      <c r="E1298" t="s">
        <v>130</v>
      </c>
      <c r="F1298" t="s">
        <v>42</v>
      </c>
      <c r="G1298" t="s">
        <v>80</v>
      </c>
      <c r="H1298">
        <v>5</v>
      </c>
      <c r="I1298">
        <v>973.34</v>
      </c>
      <c r="J1298">
        <v>4866.7</v>
      </c>
      <c r="K1298" t="s">
        <v>1432</v>
      </c>
      <c r="L1298" t="s">
        <v>45</v>
      </c>
    </row>
    <row r="1299" spans="1:12" x14ac:dyDescent="0.35">
      <c r="A1299" t="s">
        <v>2530</v>
      </c>
      <c r="B1299" t="s">
        <v>59</v>
      </c>
      <c r="C1299" t="s">
        <v>60</v>
      </c>
      <c r="D1299" t="s">
        <v>23</v>
      </c>
      <c r="E1299" t="s">
        <v>49</v>
      </c>
      <c r="F1299" t="s">
        <v>42</v>
      </c>
      <c r="G1299" t="s">
        <v>80</v>
      </c>
      <c r="H1299">
        <v>1</v>
      </c>
      <c r="I1299">
        <v>619.54999999999995</v>
      </c>
      <c r="J1299">
        <v>619.54999999999995</v>
      </c>
      <c r="K1299" t="s">
        <v>1440</v>
      </c>
      <c r="L1299" t="s">
        <v>19</v>
      </c>
    </row>
    <row r="1300" spans="1:12" x14ac:dyDescent="0.35">
      <c r="A1300" t="s">
        <v>2531</v>
      </c>
      <c r="B1300" t="s">
        <v>273</v>
      </c>
      <c r="C1300" t="s">
        <v>274</v>
      </c>
      <c r="D1300" t="s">
        <v>40</v>
      </c>
      <c r="E1300" t="s">
        <v>79</v>
      </c>
      <c r="F1300" t="s">
        <v>50</v>
      </c>
      <c r="G1300" t="s">
        <v>51</v>
      </c>
      <c r="H1300">
        <v>5</v>
      </c>
      <c r="I1300">
        <v>1358.61</v>
      </c>
      <c r="J1300">
        <v>6793.05</v>
      </c>
      <c r="K1300" t="s">
        <v>2532</v>
      </c>
      <c r="L1300" t="s">
        <v>28</v>
      </c>
    </row>
    <row r="1301" spans="1:12" x14ac:dyDescent="0.35">
      <c r="A1301" t="s">
        <v>2533</v>
      </c>
      <c r="B1301" t="s">
        <v>838</v>
      </c>
      <c r="C1301" t="s">
        <v>839</v>
      </c>
      <c r="D1301" t="s">
        <v>23</v>
      </c>
      <c r="E1301" t="s">
        <v>24</v>
      </c>
      <c r="F1301" t="s">
        <v>50</v>
      </c>
      <c r="G1301" t="s">
        <v>216</v>
      </c>
      <c r="H1301">
        <v>1</v>
      </c>
      <c r="I1301">
        <v>738.31</v>
      </c>
      <c r="J1301">
        <v>738.31</v>
      </c>
      <c r="K1301" t="s">
        <v>2534</v>
      </c>
      <c r="L1301" t="s">
        <v>45</v>
      </c>
    </row>
    <row r="1302" spans="1:12" x14ac:dyDescent="0.35">
      <c r="A1302" t="s">
        <v>2535</v>
      </c>
      <c r="B1302" t="s">
        <v>450</v>
      </c>
      <c r="C1302" t="s">
        <v>451</v>
      </c>
      <c r="D1302" t="s">
        <v>32</v>
      </c>
      <c r="E1302" t="s">
        <v>203</v>
      </c>
      <c r="F1302" t="s">
        <v>50</v>
      </c>
      <c r="G1302" t="s">
        <v>170</v>
      </c>
      <c r="H1302">
        <v>2</v>
      </c>
      <c r="I1302">
        <v>1362.83</v>
      </c>
      <c r="J1302">
        <v>2725.66</v>
      </c>
      <c r="K1302" t="s">
        <v>2490</v>
      </c>
      <c r="L1302" t="s">
        <v>45</v>
      </c>
    </row>
    <row r="1303" spans="1:12" x14ac:dyDescent="0.35">
      <c r="A1303" t="s">
        <v>2536</v>
      </c>
      <c r="B1303" t="s">
        <v>1428</v>
      </c>
      <c r="C1303" t="s">
        <v>1429</v>
      </c>
      <c r="D1303" t="s">
        <v>67</v>
      </c>
      <c r="E1303" t="s">
        <v>115</v>
      </c>
      <c r="F1303" t="s">
        <v>16</v>
      </c>
      <c r="G1303" t="s">
        <v>177</v>
      </c>
      <c r="H1303">
        <v>3</v>
      </c>
      <c r="I1303">
        <v>1281.72</v>
      </c>
      <c r="J1303">
        <v>3845.16</v>
      </c>
      <c r="K1303" t="s">
        <v>1251</v>
      </c>
      <c r="L1303" t="s">
        <v>91</v>
      </c>
    </row>
    <row r="1304" spans="1:12" x14ac:dyDescent="0.35">
      <c r="A1304" t="s">
        <v>2537</v>
      </c>
      <c r="B1304" t="s">
        <v>470</v>
      </c>
      <c r="C1304" t="s">
        <v>471</v>
      </c>
      <c r="D1304" t="s">
        <v>14</v>
      </c>
      <c r="E1304" t="s">
        <v>266</v>
      </c>
      <c r="F1304" t="s">
        <v>101</v>
      </c>
      <c r="G1304" t="s">
        <v>237</v>
      </c>
      <c r="H1304">
        <v>5</v>
      </c>
      <c r="I1304">
        <v>390.71</v>
      </c>
      <c r="J1304">
        <v>1953.55</v>
      </c>
      <c r="K1304" t="s">
        <v>811</v>
      </c>
      <c r="L1304" t="s">
        <v>36</v>
      </c>
    </row>
    <row r="1305" spans="1:12" x14ac:dyDescent="0.35">
      <c r="A1305" t="s">
        <v>2538</v>
      </c>
      <c r="B1305" t="s">
        <v>2245</v>
      </c>
      <c r="C1305" t="s">
        <v>2246</v>
      </c>
      <c r="D1305" t="s">
        <v>32</v>
      </c>
      <c r="E1305" t="s">
        <v>203</v>
      </c>
      <c r="F1305" t="s">
        <v>42</v>
      </c>
      <c r="G1305" t="s">
        <v>89</v>
      </c>
      <c r="H1305">
        <v>5</v>
      </c>
      <c r="I1305">
        <v>714.44</v>
      </c>
      <c r="J1305">
        <v>3572.2</v>
      </c>
      <c r="K1305" t="s">
        <v>1660</v>
      </c>
      <c r="L1305" t="s">
        <v>45</v>
      </c>
    </row>
    <row r="1306" spans="1:12" x14ac:dyDescent="0.35">
      <c r="A1306" t="s">
        <v>2539</v>
      </c>
      <c r="B1306" t="s">
        <v>622</v>
      </c>
      <c r="C1306" t="s">
        <v>623</v>
      </c>
      <c r="D1306" t="s">
        <v>14</v>
      </c>
      <c r="E1306" t="s">
        <v>100</v>
      </c>
      <c r="F1306" t="s">
        <v>50</v>
      </c>
      <c r="G1306" t="s">
        <v>216</v>
      </c>
      <c r="H1306">
        <v>3</v>
      </c>
      <c r="I1306">
        <v>1105.6300000000001</v>
      </c>
      <c r="J1306">
        <v>3316.89</v>
      </c>
      <c r="K1306" t="s">
        <v>2540</v>
      </c>
      <c r="L1306" t="s">
        <v>28</v>
      </c>
    </row>
    <row r="1307" spans="1:12" x14ac:dyDescent="0.35">
      <c r="A1307" t="s">
        <v>2541</v>
      </c>
      <c r="B1307" t="s">
        <v>464</v>
      </c>
      <c r="C1307" t="s">
        <v>465</v>
      </c>
      <c r="D1307" t="s">
        <v>40</v>
      </c>
      <c r="E1307" t="s">
        <v>79</v>
      </c>
      <c r="F1307" t="s">
        <v>25</v>
      </c>
      <c r="G1307" t="s">
        <v>74</v>
      </c>
      <c r="H1307">
        <v>1</v>
      </c>
      <c r="I1307">
        <v>201.66</v>
      </c>
      <c r="J1307">
        <v>201.66</v>
      </c>
      <c r="K1307" t="s">
        <v>2542</v>
      </c>
      <c r="L1307" t="s">
        <v>36</v>
      </c>
    </row>
    <row r="1308" spans="1:12" x14ac:dyDescent="0.35">
      <c r="A1308" t="s">
        <v>2543</v>
      </c>
      <c r="B1308" t="s">
        <v>367</v>
      </c>
      <c r="C1308" t="s">
        <v>368</v>
      </c>
      <c r="D1308" t="s">
        <v>40</v>
      </c>
      <c r="E1308" t="s">
        <v>41</v>
      </c>
      <c r="F1308" t="s">
        <v>16</v>
      </c>
      <c r="G1308" t="s">
        <v>230</v>
      </c>
      <c r="H1308">
        <v>1</v>
      </c>
      <c r="I1308">
        <v>470</v>
      </c>
      <c r="J1308">
        <v>470</v>
      </c>
      <c r="K1308" t="s">
        <v>528</v>
      </c>
      <c r="L1308" t="s">
        <v>36</v>
      </c>
    </row>
    <row r="1309" spans="1:12" x14ac:dyDescent="0.35">
      <c r="A1309" t="s">
        <v>2544</v>
      </c>
      <c r="B1309" t="s">
        <v>1464</v>
      </c>
      <c r="C1309" t="s">
        <v>1465</v>
      </c>
      <c r="D1309" t="s">
        <v>67</v>
      </c>
      <c r="E1309" t="s">
        <v>68</v>
      </c>
      <c r="F1309" t="s">
        <v>101</v>
      </c>
      <c r="G1309" t="s">
        <v>237</v>
      </c>
      <c r="H1309">
        <v>4</v>
      </c>
      <c r="I1309">
        <v>1289.3499999999999</v>
      </c>
      <c r="J1309">
        <v>5157.3999999999996</v>
      </c>
      <c r="K1309" t="s">
        <v>596</v>
      </c>
      <c r="L1309" t="s">
        <v>45</v>
      </c>
    </row>
    <row r="1310" spans="1:12" x14ac:dyDescent="0.35">
      <c r="A1310" t="s">
        <v>2545</v>
      </c>
      <c r="B1310" t="s">
        <v>163</v>
      </c>
      <c r="C1310" t="s">
        <v>164</v>
      </c>
      <c r="D1310" t="s">
        <v>14</v>
      </c>
      <c r="E1310" t="s">
        <v>125</v>
      </c>
      <c r="F1310" t="s">
        <v>25</v>
      </c>
      <c r="G1310" t="s">
        <v>62</v>
      </c>
      <c r="H1310">
        <v>5</v>
      </c>
      <c r="I1310">
        <v>421.54</v>
      </c>
      <c r="J1310">
        <v>2107.6999999999998</v>
      </c>
      <c r="K1310" t="s">
        <v>1491</v>
      </c>
      <c r="L1310" t="s">
        <v>28</v>
      </c>
    </row>
    <row r="1311" spans="1:12" x14ac:dyDescent="0.35">
      <c r="A1311" t="s">
        <v>2546</v>
      </c>
      <c r="B1311" t="s">
        <v>838</v>
      </c>
      <c r="C1311" t="s">
        <v>839</v>
      </c>
      <c r="D1311" t="s">
        <v>67</v>
      </c>
      <c r="E1311" t="s">
        <v>68</v>
      </c>
      <c r="F1311" t="s">
        <v>16</v>
      </c>
      <c r="G1311" t="s">
        <v>182</v>
      </c>
      <c r="H1311">
        <v>2</v>
      </c>
      <c r="I1311">
        <v>124.18</v>
      </c>
      <c r="J1311">
        <v>248.36</v>
      </c>
      <c r="K1311" t="s">
        <v>2547</v>
      </c>
      <c r="L1311" t="s">
        <v>91</v>
      </c>
    </row>
    <row r="1312" spans="1:12" x14ac:dyDescent="0.35">
      <c r="A1312" t="s">
        <v>2548</v>
      </c>
      <c r="B1312" t="s">
        <v>832</v>
      </c>
      <c r="C1312" t="s">
        <v>833</v>
      </c>
      <c r="D1312" t="s">
        <v>67</v>
      </c>
      <c r="E1312" t="s">
        <v>115</v>
      </c>
      <c r="F1312" t="s">
        <v>42</v>
      </c>
      <c r="G1312" t="s">
        <v>89</v>
      </c>
      <c r="H1312">
        <v>5</v>
      </c>
      <c r="I1312">
        <v>801.12</v>
      </c>
      <c r="J1312">
        <v>4005.6</v>
      </c>
      <c r="K1312" t="s">
        <v>795</v>
      </c>
      <c r="L1312" t="s">
        <v>19</v>
      </c>
    </row>
    <row r="1313" spans="1:12" x14ac:dyDescent="0.35">
      <c r="A1313" t="s">
        <v>2549</v>
      </c>
      <c r="B1313" t="s">
        <v>244</v>
      </c>
      <c r="C1313" t="s">
        <v>245</v>
      </c>
      <c r="D1313" t="s">
        <v>14</v>
      </c>
      <c r="E1313" t="s">
        <v>15</v>
      </c>
      <c r="F1313" t="s">
        <v>25</v>
      </c>
      <c r="G1313" t="s">
        <v>74</v>
      </c>
      <c r="H1313">
        <v>2</v>
      </c>
      <c r="I1313">
        <v>1329.51</v>
      </c>
      <c r="J1313">
        <v>2659.02</v>
      </c>
      <c r="K1313" t="s">
        <v>730</v>
      </c>
      <c r="L1313" t="s">
        <v>36</v>
      </c>
    </row>
    <row r="1314" spans="1:12" x14ac:dyDescent="0.35">
      <c r="A1314" t="s">
        <v>2550</v>
      </c>
      <c r="B1314" t="s">
        <v>518</v>
      </c>
      <c r="C1314" t="s">
        <v>519</v>
      </c>
      <c r="D1314" t="s">
        <v>23</v>
      </c>
      <c r="E1314" t="s">
        <v>49</v>
      </c>
      <c r="F1314" t="s">
        <v>101</v>
      </c>
      <c r="G1314" t="s">
        <v>165</v>
      </c>
      <c r="H1314">
        <v>3</v>
      </c>
      <c r="I1314">
        <v>26.89</v>
      </c>
      <c r="J1314">
        <v>80.67</v>
      </c>
      <c r="K1314" t="s">
        <v>2551</v>
      </c>
      <c r="L1314" t="s">
        <v>45</v>
      </c>
    </row>
    <row r="1315" spans="1:12" x14ac:dyDescent="0.35">
      <c r="A1315" t="s">
        <v>2552</v>
      </c>
      <c r="B1315" t="s">
        <v>1464</v>
      </c>
      <c r="C1315" t="s">
        <v>1465</v>
      </c>
      <c r="D1315" t="s">
        <v>40</v>
      </c>
      <c r="E1315" t="s">
        <v>41</v>
      </c>
      <c r="F1315" t="s">
        <v>16</v>
      </c>
      <c r="G1315" t="s">
        <v>230</v>
      </c>
      <c r="H1315">
        <v>2</v>
      </c>
      <c r="I1315">
        <v>231.94</v>
      </c>
      <c r="J1315">
        <v>463.88</v>
      </c>
      <c r="K1315" t="s">
        <v>1536</v>
      </c>
      <c r="L1315" t="s">
        <v>28</v>
      </c>
    </row>
    <row r="1316" spans="1:12" x14ac:dyDescent="0.35">
      <c r="A1316" t="s">
        <v>2553</v>
      </c>
      <c r="B1316" t="s">
        <v>210</v>
      </c>
      <c r="C1316" t="s">
        <v>211</v>
      </c>
      <c r="D1316" t="s">
        <v>40</v>
      </c>
      <c r="E1316" t="s">
        <v>120</v>
      </c>
      <c r="F1316" t="s">
        <v>42</v>
      </c>
      <c r="G1316" t="s">
        <v>43</v>
      </c>
      <c r="H1316">
        <v>2</v>
      </c>
      <c r="I1316">
        <v>1428.98</v>
      </c>
      <c r="J1316">
        <v>2857.96</v>
      </c>
      <c r="K1316" t="s">
        <v>2554</v>
      </c>
      <c r="L1316" t="s">
        <v>45</v>
      </c>
    </row>
    <row r="1317" spans="1:12" x14ac:dyDescent="0.35">
      <c r="A1317" t="s">
        <v>2555</v>
      </c>
      <c r="B1317" t="s">
        <v>759</v>
      </c>
      <c r="C1317" t="s">
        <v>760</v>
      </c>
      <c r="D1317" t="s">
        <v>40</v>
      </c>
      <c r="E1317" t="s">
        <v>120</v>
      </c>
      <c r="F1317" t="s">
        <v>101</v>
      </c>
      <c r="G1317" t="s">
        <v>373</v>
      </c>
      <c r="H1317">
        <v>2</v>
      </c>
      <c r="I1317">
        <v>619.21</v>
      </c>
      <c r="J1317">
        <v>1238.42</v>
      </c>
      <c r="K1317" t="s">
        <v>2556</v>
      </c>
      <c r="L1317" t="s">
        <v>91</v>
      </c>
    </row>
    <row r="1318" spans="1:12" x14ac:dyDescent="0.35">
      <c r="A1318" t="s">
        <v>2557</v>
      </c>
      <c r="B1318" t="s">
        <v>21</v>
      </c>
      <c r="C1318" t="s">
        <v>22</v>
      </c>
      <c r="D1318" t="s">
        <v>32</v>
      </c>
      <c r="E1318" t="s">
        <v>203</v>
      </c>
      <c r="F1318" t="s">
        <v>42</v>
      </c>
      <c r="G1318" t="s">
        <v>89</v>
      </c>
      <c r="H1318">
        <v>2</v>
      </c>
      <c r="I1318">
        <v>615.24</v>
      </c>
      <c r="J1318">
        <v>1230.48</v>
      </c>
      <c r="K1318" t="s">
        <v>2042</v>
      </c>
      <c r="L1318" t="s">
        <v>36</v>
      </c>
    </row>
    <row r="1319" spans="1:12" x14ac:dyDescent="0.35">
      <c r="A1319" t="s">
        <v>2558</v>
      </c>
      <c r="B1319" t="s">
        <v>1340</v>
      </c>
      <c r="C1319" t="s">
        <v>1341</v>
      </c>
      <c r="D1319" t="s">
        <v>23</v>
      </c>
      <c r="E1319" t="s">
        <v>24</v>
      </c>
      <c r="F1319" t="s">
        <v>16</v>
      </c>
      <c r="G1319" t="s">
        <v>230</v>
      </c>
      <c r="H1319">
        <v>3</v>
      </c>
      <c r="I1319">
        <v>116.67</v>
      </c>
      <c r="J1319">
        <v>350.01</v>
      </c>
      <c r="K1319" t="s">
        <v>956</v>
      </c>
      <c r="L1319" t="s">
        <v>45</v>
      </c>
    </row>
    <row r="1320" spans="1:12" x14ac:dyDescent="0.35">
      <c r="A1320" t="s">
        <v>2559</v>
      </c>
      <c r="B1320" t="s">
        <v>1307</v>
      </c>
      <c r="C1320" t="s">
        <v>1308</v>
      </c>
      <c r="D1320" t="s">
        <v>32</v>
      </c>
      <c r="E1320" t="s">
        <v>33</v>
      </c>
      <c r="F1320" t="s">
        <v>25</v>
      </c>
      <c r="G1320" t="s">
        <v>62</v>
      </c>
      <c r="H1320">
        <v>3</v>
      </c>
      <c r="I1320">
        <v>900.82</v>
      </c>
      <c r="J1320">
        <v>2702.46</v>
      </c>
      <c r="K1320" t="s">
        <v>1122</v>
      </c>
      <c r="L1320" t="s">
        <v>19</v>
      </c>
    </row>
    <row r="1321" spans="1:12" x14ac:dyDescent="0.35">
      <c r="A1321" t="s">
        <v>2560</v>
      </c>
      <c r="B1321" t="s">
        <v>311</v>
      </c>
      <c r="C1321" t="s">
        <v>312</v>
      </c>
      <c r="D1321" t="s">
        <v>23</v>
      </c>
      <c r="E1321" t="s">
        <v>49</v>
      </c>
      <c r="F1321" t="s">
        <v>101</v>
      </c>
      <c r="G1321" t="s">
        <v>373</v>
      </c>
      <c r="H1321">
        <v>4</v>
      </c>
      <c r="I1321">
        <v>357.02</v>
      </c>
      <c r="J1321">
        <v>1428.08</v>
      </c>
      <c r="K1321" t="s">
        <v>2561</v>
      </c>
      <c r="L1321" t="s">
        <v>91</v>
      </c>
    </row>
    <row r="1322" spans="1:12" x14ac:dyDescent="0.35">
      <c r="A1322" t="s">
        <v>2562</v>
      </c>
      <c r="B1322" t="s">
        <v>223</v>
      </c>
      <c r="C1322" t="s">
        <v>224</v>
      </c>
      <c r="D1322" t="s">
        <v>23</v>
      </c>
      <c r="E1322" t="s">
        <v>338</v>
      </c>
      <c r="F1322" t="s">
        <v>101</v>
      </c>
      <c r="G1322" t="s">
        <v>165</v>
      </c>
      <c r="H1322">
        <v>2</v>
      </c>
      <c r="I1322">
        <v>539.83000000000004</v>
      </c>
      <c r="J1322">
        <v>1079.6600000000001</v>
      </c>
      <c r="K1322" t="s">
        <v>2327</v>
      </c>
      <c r="L1322" t="s">
        <v>19</v>
      </c>
    </row>
    <row r="1323" spans="1:12" x14ac:dyDescent="0.35">
      <c r="A1323" t="s">
        <v>2563</v>
      </c>
      <c r="B1323" t="s">
        <v>248</v>
      </c>
      <c r="C1323" t="s">
        <v>249</v>
      </c>
      <c r="D1323" t="s">
        <v>23</v>
      </c>
      <c r="E1323" t="s">
        <v>338</v>
      </c>
      <c r="F1323" t="s">
        <v>25</v>
      </c>
      <c r="G1323" t="s">
        <v>26</v>
      </c>
      <c r="H1323">
        <v>1</v>
      </c>
      <c r="I1323">
        <v>714.87</v>
      </c>
      <c r="J1323">
        <v>714.87</v>
      </c>
      <c r="K1323" t="s">
        <v>1378</v>
      </c>
      <c r="L1323" t="s">
        <v>19</v>
      </c>
    </row>
    <row r="1324" spans="1:12" x14ac:dyDescent="0.35">
      <c r="A1324" t="s">
        <v>2564</v>
      </c>
      <c r="B1324" t="s">
        <v>1167</v>
      </c>
      <c r="C1324" t="s">
        <v>1168</v>
      </c>
      <c r="D1324" t="s">
        <v>32</v>
      </c>
      <c r="E1324" t="s">
        <v>203</v>
      </c>
      <c r="F1324" t="s">
        <v>101</v>
      </c>
      <c r="G1324" t="s">
        <v>165</v>
      </c>
      <c r="H1324">
        <v>5</v>
      </c>
      <c r="I1324">
        <v>347.23</v>
      </c>
      <c r="J1324">
        <v>1736.15</v>
      </c>
      <c r="K1324" t="s">
        <v>2565</v>
      </c>
      <c r="L1324" t="s">
        <v>91</v>
      </c>
    </row>
    <row r="1325" spans="1:12" x14ac:dyDescent="0.35">
      <c r="A1325" t="s">
        <v>2566</v>
      </c>
      <c r="B1325" t="s">
        <v>1516</v>
      </c>
      <c r="C1325" t="s">
        <v>1517</v>
      </c>
      <c r="D1325" t="s">
        <v>32</v>
      </c>
      <c r="E1325" t="s">
        <v>33</v>
      </c>
      <c r="F1325" t="s">
        <v>16</v>
      </c>
      <c r="G1325" t="s">
        <v>17</v>
      </c>
      <c r="H1325">
        <v>4</v>
      </c>
      <c r="I1325">
        <v>460.63</v>
      </c>
      <c r="J1325">
        <v>1842.52</v>
      </c>
      <c r="K1325" t="s">
        <v>1489</v>
      </c>
      <c r="L1325" t="s">
        <v>28</v>
      </c>
    </row>
    <row r="1326" spans="1:12" x14ac:dyDescent="0.35">
      <c r="A1326" t="s">
        <v>2567</v>
      </c>
      <c r="B1326" t="s">
        <v>1278</v>
      </c>
      <c r="C1326" t="s">
        <v>1279</v>
      </c>
      <c r="D1326" t="s">
        <v>23</v>
      </c>
      <c r="E1326" t="s">
        <v>338</v>
      </c>
      <c r="F1326" t="s">
        <v>101</v>
      </c>
      <c r="G1326" t="s">
        <v>165</v>
      </c>
      <c r="H1326">
        <v>3</v>
      </c>
      <c r="I1326">
        <v>1251.3699999999999</v>
      </c>
      <c r="J1326">
        <v>3754.11</v>
      </c>
      <c r="K1326" t="s">
        <v>2568</v>
      </c>
      <c r="L1326" t="s">
        <v>45</v>
      </c>
    </row>
    <row r="1327" spans="1:12" x14ac:dyDescent="0.35">
      <c r="A1327" t="s">
        <v>2569</v>
      </c>
      <c r="B1327" t="s">
        <v>38</v>
      </c>
      <c r="C1327" t="s">
        <v>39</v>
      </c>
      <c r="D1327" t="s">
        <v>32</v>
      </c>
      <c r="E1327" t="s">
        <v>203</v>
      </c>
      <c r="F1327" t="s">
        <v>101</v>
      </c>
      <c r="G1327" t="s">
        <v>165</v>
      </c>
      <c r="H1327">
        <v>2</v>
      </c>
      <c r="I1327">
        <v>223.74</v>
      </c>
      <c r="J1327">
        <v>447.48</v>
      </c>
      <c r="K1327" t="s">
        <v>1378</v>
      </c>
      <c r="L1327" t="s">
        <v>28</v>
      </c>
    </row>
    <row r="1328" spans="1:12" x14ac:dyDescent="0.35">
      <c r="A1328" t="s">
        <v>2570</v>
      </c>
      <c r="B1328" t="s">
        <v>402</v>
      </c>
      <c r="C1328" t="s">
        <v>403</v>
      </c>
      <c r="D1328" t="s">
        <v>40</v>
      </c>
      <c r="E1328" t="s">
        <v>41</v>
      </c>
      <c r="F1328" t="s">
        <v>50</v>
      </c>
      <c r="G1328" t="s">
        <v>170</v>
      </c>
      <c r="H1328">
        <v>3</v>
      </c>
      <c r="I1328">
        <v>1030.26</v>
      </c>
      <c r="J1328">
        <v>3090.78</v>
      </c>
      <c r="K1328" t="s">
        <v>2146</v>
      </c>
      <c r="L1328" t="s">
        <v>45</v>
      </c>
    </row>
    <row r="1329" spans="1:12" x14ac:dyDescent="0.35">
      <c r="A1329" t="s">
        <v>2571</v>
      </c>
      <c r="B1329" t="s">
        <v>295</v>
      </c>
      <c r="C1329" t="s">
        <v>296</v>
      </c>
      <c r="D1329" t="s">
        <v>67</v>
      </c>
      <c r="E1329" t="s">
        <v>130</v>
      </c>
      <c r="F1329" t="s">
        <v>25</v>
      </c>
      <c r="G1329" t="s">
        <v>139</v>
      </c>
      <c r="H1329">
        <v>2</v>
      </c>
      <c r="I1329">
        <v>1271.95</v>
      </c>
      <c r="J1329">
        <v>2543.9</v>
      </c>
      <c r="K1329" t="s">
        <v>564</v>
      </c>
      <c r="L1329" t="s">
        <v>19</v>
      </c>
    </row>
    <row r="1330" spans="1:12" x14ac:dyDescent="0.35">
      <c r="A1330" t="s">
        <v>2572</v>
      </c>
      <c r="B1330" t="s">
        <v>1001</v>
      </c>
      <c r="C1330" t="s">
        <v>1002</v>
      </c>
      <c r="D1330" t="s">
        <v>23</v>
      </c>
      <c r="E1330" t="s">
        <v>338</v>
      </c>
      <c r="F1330" t="s">
        <v>16</v>
      </c>
      <c r="G1330" t="s">
        <v>177</v>
      </c>
      <c r="H1330">
        <v>5</v>
      </c>
      <c r="I1330">
        <v>1320.77</v>
      </c>
      <c r="J1330">
        <v>6603.85</v>
      </c>
      <c r="K1330" t="s">
        <v>483</v>
      </c>
      <c r="L1330" t="s">
        <v>28</v>
      </c>
    </row>
    <row r="1331" spans="1:12" x14ac:dyDescent="0.35">
      <c r="A1331" t="s">
        <v>2573</v>
      </c>
      <c r="B1331" t="s">
        <v>299</v>
      </c>
      <c r="C1331" t="s">
        <v>300</v>
      </c>
      <c r="D1331" t="s">
        <v>32</v>
      </c>
      <c r="E1331" t="s">
        <v>33</v>
      </c>
      <c r="F1331" t="s">
        <v>25</v>
      </c>
      <c r="G1331" t="s">
        <v>74</v>
      </c>
      <c r="H1331">
        <v>4</v>
      </c>
      <c r="I1331">
        <v>1333.68</v>
      </c>
      <c r="J1331">
        <v>5334.72</v>
      </c>
      <c r="K1331" t="s">
        <v>2052</v>
      </c>
      <c r="L1331" t="s">
        <v>28</v>
      </c>
    </row>
    <row r="1332" spans="1:12" x14ac:dyDescent="0.35">
      <c r="A1332" t="s">
        <v>2574</v>
      </c>
      <c r="B1332" t="s">
        <v>83</v>
      </c>
      <c r="C1332" t="s">
        <v>84</v>
      </c>
      <c r="D1332" t="s">
        <v>32</v>
      </c>
      <c r="E1332" t="s">
        <v>61</v>
      </c>
      <c r="F1332" t="s">
        <v>101</v>
      </c>
      <c r="G1332" t="s">
        <v>373</v>
      </c>
      <c r="H1332">
        <v>5</v>
      </c>
      <c r="I1332">
        <v>1207.02</v>
      </c>
      <c r="J1332">
        <v>6035.1</v>
      </c>
      <c r="K1332" t="s">
        <v>2575</v>
      </c>
      <c r="L1332" t="s">
        <v>28</v>
      </c>
    </row>
    <row r="1333" spans="1:12" x14ac:dyDescent="0.35">
      <c r="A1333" t="s">
        <v>2576</v>
      </c>
      <c r="B1333" t="s">
        <v>352</v>
      </c>
      <c r="C1333" t="s">
        <v>353</v>
      </c>
      <c r="D1333" t="s">
        <v>14</v>
      </c>
      <c r="E1333" t="s">
        <v>266</v>
      </c>
      <c r="F1333" t="s">
        <v>42</v>
      </c>
      <c r="G1333" t="s">
        <v>225</v>
      </c>
      <c r="H1333">
        <v>1</v>
      </c>
      <c r="I1333">
        <v>1402.67</v>
      </c>
      <c r="J1333">
        <v>1402.67</v>
      </c>
      <c r="K1333" t="s">
        <v>1564</v>
      </c>
      <c r="L1333" t="s">
        <v>19</v>
      </c>
    </row>
    <row r="1334" spans="1:12" x14ac:dyDescent="0.35">
      <c r="A1334" t="s">
        <v>2577</v>
      </c>
      <c r="B1334" t="s">
        <v>429</v>
      </c>
      <c r="C1334" t="s">
        <v>430</v>
      </c>
      <c r="D1334" t="s">
        <v>67</v>
      </c>
      <c r="E1334" t="s">
        <v>130</v>
      </c>
      <c r="F1334" t="s">
        <v>42</v>
      </c>
      <c r="G1334" t="s">
        <v>43</v>
      </c>
      <c r="H1334">
        <v>2</v>
      </c>
      <c r="I1334">
        <v>631.39</v>
      </c>
      <c r="J1334">
        <v>1262.78</v>
      </c>
      <c r="K1334" t="s">
        <v>2578</v>
      </c>
      <c r="L1334" t="s">
        <v>28</v>
      </c>
    </row>
    <row r="1335" spans="1:12" x14ac:dyDescent="0.35">
      <c r="A1335" t="s">
        <v>2579</v>
      </c>
      <c r="B1335" t="s">
        <v>622</v>
      </c>
      <c r="C1335" t="s">
        <v>623</v>
      </c>
      <c r="D1335" t="s">
        <v>23</v>
      </c>
      <c r="E1335" t="s">
        <v>49</v>
      </c>
      <c r="F1335" t="s">
        <v>50</v>
      </c>
      <c r="G1335" t="s">
        <v>69</v>
      </c>
      <c r="H1335">
        <v>5</v>
      </c>
      <c r="I1335">
        <v>1311.18</v>
      </c>
      <c r="J1335">
        <v>6555.9</v>
      </c>
      <c r="K1335" t="s">
        <v>1003</v>
      </c>
      <c r="L1335" t="s">
        <v>45</v>
      </c>
    </row>
    <row r="1336" spans="1:12" x14ac:dyDescent="0.35">
      <c r="A1336" t="s">
        <v>2580</v>
      </c>
      <c r="B1336" t="s">
        <v>235</v>
      </c>
      <c r="C1336" t="s">
        <v>236</v>
      </c>
      <c r="D1336" t="s">
        <v>32</v>
      </c>
      <c r="E1336" t="s">
        <v>203</v>
      </c>
      <c r="F1336" t="s">
        <v>50</v>
      </c>
      <c r="G1336" t="s">
        <v>69</v>
      </c>
      <c r="H1336">
        <v>3</v>
      </c>
      <c r="I1336">
        <v>211.33</v>
      </c>
      <c r="J1336">
        <v>633.99</v>
      </c>
      <c r="K1336" t="s">
        <v>2581</v>
      </c>
      <c r="L1336" t="s">
        <v>91</v>
      </c>
    </row>
    <row r="1337" spans="1:12" x14ac:dyDescent="0.35">
      <c r="A1337" t="s">
        <v>2582</v>
      </c>
      <c r="B1337" t="s">
        <v>605</v>
      </c>
      <c r="C1337" t="s">
        <v>606</v>
      </c>
      <c r="D1337" t="s">
        <v>67</v>
      </c>
      <c r="E1337" t="s">
        <v>115</v>
      </c>
      <c r="F1337" t="s">
        <v>16</v>
      </c>
      <c r="G1337" t="s">
        <v>177</v>
      </c>
      <c r="H1337">
        <v>2</v>
      </c>
      <c r="I1337">
        <v>1448.79</v>
      </c>
      <c r="J1337">
        <v>2897.58</v>
      </c>
      <c r="K1337" t="s">
        <v>2285</v>
      </c>
      <c r="L1337" t="s">
        <v>36</v>
      </c>
    </row>
    <row r="1338" spans="1:12" x14ac:dyDescent="0.35">
      <c r="A1338" t="s">
        <v>2583</v>
      </c>
      <c r="B1338" t="s">
        <v>496</v>
      </c>
      <c r="C1338" t="s">
        <v>497</v>
      </c>
      <c r="D1338" t="s">
        <v>40</v>
      </c>
      <c r="E1338" t="s">
        <v>41</v>
      </c>
      <c r="F1338" t="s">
        <v>101</v>
      </c>
      <c r="G1338" t="s">
        <v>237</v>
      </c>
      <c r="H1338">
        <v>4</v>
      </c>
      <c r="I1338">
        <v>1101.67</v>
      </c>
      <c r="J1338">
        <v>4406.68</v>
      </c>
      <c r="K1338" t="s">
        <v>1112</v>
      </c>
      <c r="L1338" t="s">
        <v>19</v>
      </c>
    </row>
    <row r="1339" spans="1:12" x14ac:dyDescent="0.35">
      <c r="A1339" t="s">
        <v>2584</v>
      </c>
      <c r="B1339" t="s">
        <v>72</v>
      </c>
      <c r="C1339" t="s">
        <v>73</v>
      </c>
      <c r="D1339" t="s">
        <v>14</v>
      </c>
      <c r="E1339" t="s">
        <v>15</v>
      </c>
      <c r="F1339" t="s">
        <v>25</v>
      </c>
      <c r="G1339" t="s">
        <v>62</v>
      </c>
      <c r="H1339">
        <v>2</v>
      </c>
      <c r="I1339">
        <v>1403.38</v>
      </c>
      <c r="J1339">
        <v>2806.76</v>
      </c>
      <c r="K1339" t="s">
        <v>1892</v>
      </c>
      <c r="L1339" t="s">
        <v>45</v>
      </c>
    </row>
    <row r="1340" spans="1:12" x14ac:dyDescent="0.35">
      <c r="A1340" t="s">
        <v>2585</v>
      </c>
      <c r="B1340" t="s">
        <v>2157</v>
      </c>
      <c r="C1340" t="s">
        <v>2158</v>
      </c>
      <c r="D1340" t="s">
        <v>14</v>
      </c>
      <c r="E1340" t="s">
        <v>266</v>
      </c>
      <c r="F1340" t="s">
        <v>25</v>
      </c>
      <c r="G1340" t="s">
        <v>34</v>
      </c>
      <c r="H1340">
        <v>3</v>
      </c>
      <c r="I1340">
        <v>1395.01</v>
      </c>
      <c r="J1340">
        <v>4185.03</v>
      </c>
      <c r="K1340" t="s">
        <v>490</v>
      </c>
      <c r="L1340" t="s">
        <v>36</v>
      </c>
    </row>
    <row r="1341" spans="1:12" x14ac:dyDescent="0.35">
      <c r="A1341" t="s">
        <v>2586</v>
      </c>
      <c r="B1341" t="s">
        <v>406</v>
      </c>
      <c r="C1341" t="s">
        <v>407</v>
      </c>
      <c r="D1341" t="s">
        <v>40</v>
      </c>
      <c r="E1341" t="s">
        <v>41</v>
      </c>
      <c r="F1341" t="s">
        <v>16</v>
      </c>
      <c r="G1341" t="s">
        <v>148</v>
      </c>
      <c r="H1341">
        <v>1</v>
      </c>
      <c r="I1341">
        <v>1347.47</v>
      </c>
      <c r="J1341">
        <v>1347.47</v>
      </c>
      <c r="K1341" t="s">
        <v>967</v>
      </c>
      <c r="L1341" t="s">
        <v>28</v>
      </c>
    </row>
    <row r="1342" spans="1:12" x14ac:dyDescent="0.35">
      <c r="A1342" t="s">
        <v>2587</v>
      </c>
      <c r="B1342" t="s">
        <v>2245</v>
      </c>
      <c r="C1342" t="s">
        <v>2246</v>
      </c>
      <c r="D1342" t="s">
        <v>32</v>
      </c>
      <c r="E1342" t="s">
        <v>203</v>
      </c>
      <c r="F1342" t="s">
        <v>101</v>
      </c>
      <c r="G1342" t="s">
        <v>165</v>
      </c>
      <c r="H1342">
        <v>5</v>
      </c>
      <c r="I1342">
        <v>1408.36</v>
      </c>
      <c r="J1342">
        <v>7041.8</v>
      </c>
      <c r="K1342" t="s">
        <v>2588</v>
      </c>
      <c r="L1342" t="s">
        <v>91</v>
      </c>
    </row>
    <row r="1343" spans="1:12" x14ac:dyDescent="0.35">
      <c r="A1343" t="s">
        <v>2589</v>
      </c>
      <c r="B1343" t="s">
        <v>168</v>
      </c>
      <c r="C1343" t="s">
        <v>169</v>
      </c>
      <c r="D1343" t="s">
        <v>23</v>
      </c>
      <c r="E1343" t="s">
        <v>24</v>
      </c>
      <c r="F1343" t="s">
        <v>25</v>
      </c>
      <c r="G1343" t="s">
        <v>34</v>
      </c>
      <c r="H1343">
        <v>4</v>
      </c>
      <c r="I1343">
        <v>1389.51</v>
      </c>
      <c r="J1343">
        <v>5558.04</v>
      </c>
      <c r="K1343" t="s">
        <v>2388</v>
      </c>
      <c r="L1343" t="s">
        <v>19</v>
      </c>
    </row>
    <row r="1344" spans="1:12" x14ac:dyDescent="0.35">
      <c r="A1344" t="s">
        <v>2590</v>
      </c>
      <c r="B1344" t="s">
        <v>269</v>
      </c>
      <c r="C1344" t="s">
        <v>270</v>
      </c>
      <c r="D1344" t="s">
        <v>14</v>
      </c>
      <c r="E1344" t="s">
        <v>95</v>
      </c>
      <c r="F1344" t="s">
        <v>25</v>
      </c>
      <c r="G1344" t="s">
        <v>34</v>
      </c>
      <c r="H1344">
        <v>2</v>
      </c>
      <c r="I1344">
        <v>525.82000000000005</v>
      </c>
      <c r="J1344">
        <v>1051.6400000000001</v>
      </c>
      <c r="K1344" t="s">
        <v>369</v>
      </c>
      <c r="L1344" t="s">
        <v>19</v>
      </c>
    </row>
    <row r="1345" spans="1:12" x14ac:dyDescent="0.35">
      <c r="A1345" t="s">
        <v>2591</v>
      </c>
      <c r="B1345" t="s">
        <v>763</v>
      </c>
      <c r="C1345" t="s">
        <v>764</v>
      </c>
      <c r="D1345" t="s">
        <v>32</v>
      </c>
      <c r="E1345" t="s">
        <v>33</v>
      </c>
      <c r="F1345" t="s">
        <v>25</v>
      </c>
      <c r="G1345" t="s">
        <v>74</v>
      </c>
      <c r="H1345">
        <v>5</v>
      </c>
      <c r="I1345">
        <v>378.06</v>
      </c>
      <c r="J1345">
        <v>1890.3</v>
      </c>
      <c r="K1345" t="s">
        <v>1631</v>
      </c>
      <c r="L1345" t="s">
        <v>19</v>
      </c>
    </row>
    <row r="1346" spans="1:12" x14ac:dyDescent="0.35">
      <c r="A1346" t="s">
        <v>2592</v>
      </c>
      <c r="B1346" t="s">
        <v>446</v>
      </c>
      <c r="C1346" t="s">
        <v>447</v>
      </c>
      <c r="D1346" t="s">
        <v>67</v>
      </c>
      <c r="E1346" t="s">
        <v>115</v>
      </c>
      <c r="F1346" t="s">
        <v>16</v>
      </c>
      <c r="G1346" t="s">
        <v>17</v>
      </c>
      <c r="H1346">
        <v>2</v>
      </c>
      <c r="I1346">
        <v>886.68</v>
      </c>
      <c r="J1346">
        <v>1773.36</v>
      </c>
      <c r="K1346" t="s">
        <v>1491</v>
      </c>
      <c r="L1346" t="s">
        <v>28</v>
      </c>
    </row>
    <row r="1347" spans="1:12" x14ac:dyDescent="0.35">
      <c r="A1347" t="s">
        <v>2593</v>
      </c>
      <c r="B1347" t="s">
        <v>2245</v>
      </c>
      <c r="C1347" t="s">
        <v>2246</v>
      </c>
      <c r="D1347" t="s">
        <v>32</v>
      </c>
      <c r="E1347" t="s">
        <v>33</v>
      </c>
      <c r="F1347" t="s">
        <v>50</v>
      </c>
      <c r="G1347" t="s">
        <v>69</v>
      </c>
      <c r="H1347">
        <v>1</v>
      </c>
      <c r="I1347">
        <v>886.63</v>
      </c>
      <c r="J1347">
        <v>886.63</v>
      </c>
      <c r="K1347" t="s">
        <v>2437</v>
      </c>
      <c r="L1347" t="s">
        <v>45</v>
      </c>
    </row>
    <row r="1348" spans="1:12" x14ac:dyDescent="0.35">
      <c r="A1348" t="s">
        <v>2594</v>
      </c>
      <c r="B1348" t="s">
        <v>742</v>
      </c>
      <c r="C1348" t="s">
        <v>743</v>
      </c>
      <c r="D1348" t="s">
        <v>14</v>
      </c>
      <c r="E1348" t="s">
        <v>95</v>
      </c>
      <c r="F1348" t="s">
        <v>42</v>
      </c>
      <c r="G1348" t="s">
        <v>43</v>
      </c>
      <c r="H1348">
        <v>2</v>
      </c>
      <c r="I1348">
        <v>374.21</v>
      </c>
      <c r="J1348">
        <v>748.42</v>
      </c>
      <c r="K1348" t="s">
        <v>2518</v>
      </c>
      <c r="L1348" t="s">
        <v>19</v>
      </c>
    </row>
    <row r="1349" spans="1:12" x14ac:dyDescent="0.35">
      <c r="A1349" t="s">
        <v>2595</v>
      </c>
      <c r="B1349" t="s">
        <v>481</v>
      </c>
      <c r="C1349" t="s">
        <v>482</v>
      </c>
      <c r="D1349" t="s">
        <v>67</v>
      </c>
      <c r="E1349" t="s">
        <v>130</v>
      </c>
      <c r="F1349" t="s">
        <v>50</v>
      </c>
      <c r="G1349" t="s">
        <v>69</v>
      </c>
      <c r="H1349">
        <v>1</v>
      </c>
      <c r="I1349">
        <v>490.06</v>
      </c>
      <c r="J1349">
        <v>490.06</v>
      </c>
      <c r="K1349" t="s">
        <v>2146</v>
      </c>
      <c r="L1349" t="s">
        <v>91</v>
      </c>
    </row>
    <row r="1350" spans="1:12" x14ac:dyDescent="0.35">
      <c r="A1350" t="s">
        <v>2596</v>
      </c>
      <c r="B1350" t="s">
        <v>1307</v>
      </c>
      <c r="C1350" t="s">
        <v>1308</v>
      </c>
      <c r="D1350" t="s">
        <v>40</v>
      </c>
      <c r="E1350" t="s">
        <v>120</v>
      </c>
      <c r="F1350" t="s">
        <v>50</v>
      </c>
      <c r="G1350" t="s">
        <v>51</v>
      </c>
      <c r="H1350">
        <v>5</v>
      </c>
      <c r="I1350">
        <v>1076.26</v>
      </c>
      <c r="J1350">
        <v>5381.3</v>
      </c>
      <c r="K1350" t="s">
        <v>1334</v>
      </c>
      <c r="L1350" t="s">
        <v>28</v>
      </c>
    </row>
    <row r="1351" spans="1:12" x14ac:dyDescent="0.35">
      <c r="A1351" t="s">
        <v>2597</v>
      </c>
      <c r="B1351" t="s">
        <v>506</v>
      </c>
      <c r="C1351" t="s">
        <v>507</v>
      </c>
      <c r="D1351" t="s">
        <v>32</v>
      </c>
      <c r="E1351" t="s">
        <v>33</v>
      </c>
      <c r="F1351" t="s">
        <v>16</v>
      </c>
      <c r="G1351" t="s">
        <v>17</v>
      </c>
      <c r="H1351">
        <v>2</v>
      </c>
      <c r="I1351">
        <v>1280.21</v>
      </c>
      <c r="J1351">
        <v>2560.42</v>
      </c>
      <c r="K1351" t="s">
        <v>27</v>
      </c>
      <c r="L1351" t="s">
        <v>19</v>
      </c>
    </row>
    <row r="1352" spans="1:12" x14ac:dyDescent="0.35">
      <c r="A1352" t="s">
        <v>2598</v>
      </c>
      <c r="B1352" t="s">
        <v>1307</v>
      </c>
      <c r="C1352" t="s">
        <v>1308</v>
      </c>
      <c r="D1352" t="s">
        <v>67</v>
      </c>
      <c r="E1352" t="s">
        <v>68</v>
      </c>
      <c r="F1352" t="s">
        <v>50</v>
      </c>
      <c r="G1352" t="s">
        <v>56</v>
      </c>
      <c r="H1352">
        <v>4</v>
      </c>
      <c r="I1352">
        <v>174.26</v>
      </c>
      <c r="J1352">
        <v>697.04</v>
      </c>
      <c r="K1352" t="s">
        <v>662</v>
      </c>
      <c r="L1352" t="s">
        <v>36</v>
      </c>
    </row>
    <row r="1353" spans="1:12" x14ac:dyDescent="0.35">
      <c r="A1353" t="s">
        <v>2599</v>
      </c>
      <c r="B1353" t="s">
        <v>922</v>
      </c>
      <c r="C1353" t="s">
        <v>923</v>
      </c>
      <c r="D1353" t="s">
        <v>40</v>
      </c>
      <c r="E1353" t="s">
        <v>120</v>
      </c>
      <c r="F1353" t="s">
        <v>101</v>
      </c>
      <c r="G1353" t="s">
        <v>165</v>
      </c>
      <c r="H1353">
        <v>5</v>
      </c>
      <c r="I1353">
        <v>79.290000000000006</v>
      </c>
      <c r="J1353">
        <v>396.45</v>
      </c>
      <c r="K1353" t="s">
        <v>975</v>
      </c>
      <c r="L1353" t="s">
        <v>36</v>
      </c>
    </row>
    <row r="1354" spans="1:12" x14ac:dyDescent="0.35">
      <c r="A1354" t="s">
        <v>2600</v>
      </c>
      <c r="B1354" t="s">
        <v>801</v>
      </c>
      <c r="C1354" t="s">
        <v>802</v>
      </c>
      <c r="D1354" t="s">
        <v>67</v>
      </c>
      <c r="E1354" t="s">
        <v>115</v>
      </c>
      <c r="F1354" t="s">
        <v>42</v>
      </c>
      <c r="G1354" t="s">
        <v>80</v>
      </c>
      <c r="H1354">
        <v>2</v>
      </c>
      <c r="I1354">
        <v>1384.47</v>
      </c>
      <c r="J1354">
        <v>2768.94</v>
      </c>
      <c r="K1354" t="s">
        <v>1421</v>
      </c>
      <c r="L1354" t="s">
        <v>45</v>
      </c>
    </row>
    <row r="1355" spans="1:12" x14ac:dyDescent="0.35">
      <c r="A1355" t="s">
        <v>2601</v>
      </c>
      <c r="B1355" t="s">
        <v>1278</v>
      </c>
      <c r="C1355" t="s">
        <v>1279</v>
      </c>
      <c r="D1355" t="s">
        <v>23</v>
      </c>
      <c r="E1355" t="s">
        <v>338</v>
      </c>
      <c r="F1355" t="s">
        <v>50</v>
      </c>
      <c r="G1355" t="s">
        <v>69</v>
      </c>
      <c r="H1355">
        <v>5</v>
      </c>
      <c r="I1355">
        <v>1478.83</v>
      </c>
      <c r="J1355">
        <v>7394.15</v>
      </c>
      <c r="K1355" t="s">
        <v>2315</v>
      </c>
      <c r="L1355" t="s">
        <v>36</v>
      </c>
    </row>
    <row r="1356" spans="1:12" x14ac:dyDescent="0.35">
      <c r="A1356" t="s">
        <v>2602</v>
      </c>
      <c r="B1356" t="s">
        <v>406</v>
      </c>
      <c r="C1356" t="s">
        <v>407</v>
      </c>
      <c r="D1356" t="s">
        <v>40</v>
      </c>
      <c r="E1356" t="s">
        <v>41</v>
      </c>
      <c r="F1356" t="s">
        <v>16</v>
      </c>
      <c r="G1356" t="s">
        <v>17</v>
      </c>
      <c r="H1356">
        <v>1</v>
      </c>
      <c r="I1356">
        <v>1382.34</v>
      </c>
      <c r="J1356">
        <v>1382.34</v>
      </c>
      <c r="K1356" t="s">
        <v>815</v>
      </c>
      <c r="L1356" t="s">
        <v>91</v>
      </c>
    </row>
    <row r="1357" spans="1:12" x14ac:dyDescent="0.35">
      <c r="A1357" t="s">
        <v>2603</v>
      </c>
      <c r="B1357" t="s">
        <v>348</v>
      </c>
      <c r="C1357" t="s">
        <v>349</v>
      </c>
      <c r="D1357" t="s">
        <v>23</v>
      </c>
      <c r="E1357" t="s">
        <v>24</v>
      </c>
      <c r="F1357" t="s">
        <v>101</v>
      </c>
      <c r="G1357" t="s">
        <v>102</v>
      </c>
      <c r="H1357">
        <v>4</v>
      </c>
      <c r="I1357">
        <v>795.29</v>
      </c>
      <c r="J1357">
        <v>3181.16</v>
      </c>
      <c r="K1357" t="s">
        <v>713</v>
      </c>
      <c r="L1357" t="s">
        <v>36</v>
      </c>
    </row>
    <row r="1358" spans="1:12" x14ac:dyDescent="0.35">
      <c r="A1358" t="s">
        <v>2604</v>
      </c>
      <c r="B1358" t="s">
        <v>388</v>
      </c>
      <c r="C1358" t="s">
        <v>389</v>
      </c>
      <c r="D1358" t="s">
        <v>32</v>
      </c>
      <c r="E1358" t="s">
        <v>203</v>
      </c>
      <c r="F1358" t="s">
        <v>16</v>
      </c>
      <c r="G1358" t="s">
        <v>230</v>
      </c>
      <c r="H1358">
        <v>1</v>
      </c>
      <c r="I1358">
        <v>282.33</v>
      </c>
      <c r="J1358">
        <v>282.33</v>
      </c>
      <c r="K1358" t="s">
        <v>1256</v>
      </c>
      <c r="L1358" t="s">
        <v>91</v>
      </c>
    </row>
    <row r="1359" spans="1:12" x14ac:dyDescent="0.35">
      <c r="A1359" t="s">
        <v>2605</v>
      </c>
      <c r="B1359" t="s">
        <v>240</v>
      </c>
      <c r="C1359" t="s">
        <v>241</v>
      </c>
      <c r="D1359" t="s">
        <v>14</v>
      </c>
      <c r="E1359" t="s">
        <v>100</v>
      </c>
      <c r="F1359" t="s">
        <v>25</v>
      </c>
      <c r="G1359" t="s">
        <v>74</v>
      </c>
      <c r="H1359">
        <v>4</v>
      </c>
      <c r="I1359">
        <v>1231.2</v>
      </c>
      <c r="J1359">
        <v>4924.8</v>
      </c>
      <c r="K1359" t="s">
        <v>2606</v>
      </c>
      <c r="L1359" t="s">
        <v>36</v>
      </c>
    </row>
    <row r="1360" spans="1:12" x14ac:dyDescent="0.35">
      <c r="A1360" t="s">
        <v>2607</v>
      </c>
      <c r="B1360" t="s">
        <v>180</v>
      </c>
      <c r="C1360" t="s">
        <v>181</v>
      </c>
      <c r="D1360" t="s">
        <v>40</v>
      </c>
      <c r="E1360" t="s">
        <v>41</v>
      </c>
      <c r="F1360" t="s">
        <v>50</v>
      </c>
      <c r="G1360" t="s">
        <v>51</v>
      </c>
      <c r="H1360">
        <v>2</v>
      </c>
      <c r="I1360">
        <v>1258.98</v>
      </c>
      <c r="J1360">
        <v>2517.96</v>
      </c>
      <c r="K1360" t="s">
        <v>1549</v>
      </c>
      <c r="L1360" t="s">
        <v>36</v>
      </c>
    </row>
    <row r="1361" spans="1:12" x14ac:dyDescent="0.35">
      <c r="A1361" t="s">
        <v>2608</v>
      </c>
      <c r="B1361" t="s">
        <v>681</v>
      </c>
      <c r="C1361" t="s">
        <v>682</v>
      </c>
      <c r="D1361" t="s">
        <v>32</v>
      </c>
      <c r="E1361" t="s">
        <v>33</v>
      </c>
      <c r="F1361" t="s">
        <v>25</v>
      </c>
      <c r="G1361" t="s">
        <v>26</v>
      </c>
      <c r="H1361">
        <v>5</v>
      </c>
      <c r="I1361">
        <v>1389.15</v>
      </c>
      <c r="J1361">
        <v>6945.75</v>
      </c>
      <c r="K1361" t="s">
        <v>2609</v>
      </c>
      <c r="L1361" t="s">
        <v>19</v>
      </c>
    </row>
    <row r="1362" spans="1:12" x14ac:dyDescent="0.35">
      <c r="A1362" t="s">
        <v>2610</v>
      </c>
      <c r="B1362" t="s">
        <v>380</v>
      </c>
      <c r="C1362" t="s">
        <v>381</v>
      </c>
      <c r="D1362" t="s">
        <v>23</v>
      </c>
      <c r="E1362" t="s">
        <v>338</v>
      </c>
      <c r="F1362" t="s">
        <v>101</v>
      </c>
      <c r="G1362" t="s">
        <v>102</v>
      </c>
      <c r="H1362">
        <v>2</v>
      </c>
      <c r="I1362">
        <v>1491.96</v>
      </c>
      <c r="J1362">
        <v>2983.92</v>
      </c>
      <c r="K1362" t="s">
        <v>166</v>
      </c>
      <c r="L1362" t="s">
        <v>28</v>
      </c>
    </row>
    <row r="1363" spans="1:12" x14ac:dyDescent="0.35">
      <c r="A1363" t="s">
        <v>2611</v>
      </c>
      <c r="B1363" t="s">
        <v>718</v>
      </c>
      <c r="C1363" t="s">
        <v>719</v>
      </c>
      <c r="D1363" t="s">
        <v>67</v>
      </c>
      <c r="E1363" t="s">
        <v>130</v>
      </c>
      <c r="F1363" t="s">
        <v>25</v>
      </c>
      <c r="G1363" t="s">
        <v>74</v>
      </c>
      <c r="H1363">
        <v>5</v>
      </c>
      <c r="I1363">
        <v>258.45999999999998</v>
      </c>
      <c r="J1363">
        <v>1292.3</v>
      </c>
      <c r="K1363" t="s">
        <v>297</v>
      </c>
      <c r="L1363" t="s">
        <v>28</v>
      </c>
    </row>
    <row r="1364" spans="1:12" x14ac:dyDescent="0.35">
      <c r="A1364" t="s">
        <v>2612</v>
      </c>
      <c r="B1364" t="s">
        <v>1246</v>
      </c>
      <c r="C1364" t="s">
        <v>1247</v>
      </c>
      <c r="D1364" t="s">
        <v>23</v>
      </c>
      <c r="E1364" t="s">
        <v>338</v>
      </c>
      <c r="F1364" t="s">
        <v>25</v>
      </c>
      <c r="G1364" t="s">
        <v>74</v>
      </c>
      <c r="H1364">
        <v>1</v>
      </c>
      <c r="I1364">
        <v>960.05</v>
      </c>
      <c r="J1364">
        <v>960.05</v>
      </c>
      <c r="K1364" t="s">
        <v>2613</v>
      </c>
      <c r="L1364" t="s">
        <v>28</v>
      </c>
    </row>
    <row r="1365" spans="1:12" x14ac:dyDescent="0.35">
      <c r="A1365" t="s">
        <v>2614</v>
      </c>
      <c r="B1365" t="s">
        <v>376</v>
      </c>
      <c r="C1365" t="s">
        <v>377</v>
      </c>
      <c r="D1365" t="s">
        <v>14</v>
      </c>
      <c r="E1365" t="s">
        <v>15</v>
      </c>
      <c r="F1365" t="s">
        <v>16</v>
      </c>
      <c r="G1365" t="s">
        <v>148</v>
      </c>
      <c r="H1365">
        <v>5</v>
      </c>
      <c r="I1365">
        <v>1429.33</v>
      </c>
      <c r="J1365">
        <v>7146.65</v>
      </c>
      <c r="K1365" t="s">
        <v>1931</v>
      </c>
      <c r="L1365" t="s">
        <v>45</v>
      </c>
    </row>
    <row r="1366" spans="1:12" x14ac:dyDescent="0.35">
      <c r="A1366" t="s">
        <v>2615</v>
      </c>
      <c r="B1366" t="s">
        <v>299</v>
      </c>
      <c r="C1366" t="s">
        <v>300</v>
      </c>
      <c r="D1366" t="s">
        <v>32</v>
      </c>
      <c r="E1366" t="s">
        <v>33</v>
      </c>
      <c r="F1366" t="s">
        <v>25</v>
      </c>
      <c r="G1366" t="s">
        <v>26</v>
      </c>
      <c r="H1366">
        <v>5</v>
      </c>
      <c r="I1366">
        <v>809.63</v>
      </c>
      <c r="J1366">
        <v>4048.15</v>
      </c>
      <c r="K1366" t="s">
        <v>1161</v>
      </c>
      <c r="L1366" t="s">
        <v>28</v>
      </c>
    </row>
    <row r="1367" spans="1:12" x14ac:dyDescent="0.35">
      <c r="A1367" t="s">
        <v>2616</v>
      </c>
      <c r="B1367" t="s">
        <v>1594</v>
      </c>
      <c r="C1367" t="s">
        <v>1595</v>
      </c>
      <c r="D1367" t="s">
        <v>23</v>
      </c>
      <c r="E1367" t="s">
        <v>49</v>
      </c>
      <c r="F1367" t="s">
        <v>25</v>
      </c>
      <c r="G1367" t="s">
        <v>34</v>
      </c>
      <c r="H1367">
        <v>1</v>
      </c>
      <c r="I1367">
        <v>1227.42</v>
      </c>
      <c r="J1367">
        <v>1227.42</v>
      </c>
      <c r="K1367" t="s">
        <v>1228</v>
      </c>
      <c r="L1367" t="s">
        <v>28</v>
      </c>
    </row>
    <row r="1368" spans="1:12" x14ac:dyDescent="0.35">
      <c r="A1368" t="s">
        <v>2617</v>
      </c>
      <c r="B1368" t="s">
        <v>2188</v>
      </c>
      <c r="C1368" t="s">
        <v>2189</v>
      </c>
      <c r="D1368" t="s">
        <v>67</v>
      </c>
      <c r="E1368" t="s">
        <v>130</v>
      </c>
      <c r="F1368" t="s">
        <v>42</v>
      </c>
      <c r="G1368" t="s">
        <v>89</v>
      </c>
      <c r="H1368">
        <v>1</v>
      </c>
      <c r="I1368">
        <v>1035.0999999999999</v>
      </c>
      <c r="J1368">
        <v>1035.0999999999999</v>
      </c>
      <c r="K1368" t="s">
        <v>1075</v>
      </c>
      <c r="L1368" t="s">
        <v>28</v>
      </c>
    </row>
    <row r="1369" spans="1:12" x14ac:dyDescent="0.35">
      <c r="A1369" t="s">
        <v>2618</v>
      </c>
      <c r="B1369" t="s">
        <v>521</v>
      </c>
      <c r="C1369" t="s">
        <v>522</v>
      </c>
      <c r="D1369" t="s">
        <v>40</v>
      </c>
      <c r="E1369" t="s">
        <v>120</v>
      </c>
      <c r="F1369" t="s">
        <v>42</v>
      </c>
      <c r="G1369" t="s">
        <v>43</v>
      </c>
      <c r="H1369">
        <v>2</v>
      </c>
      <c r="I1369">
        <v>640.55999999999995</v>
      </c>
      <c r="J1369">
        <v>1281.1199999999999</v>
      </c>
      <c r="K1369" t="s">
        <v>2232</v>
      </c>
      <c r="L1369" t="s">
        <v>28</v>
      </c>
    </row>
    <row r="1370" spans="1:12" x14ac:dyDescent="0.35">
      <c r="A1370" t="s">
        <v>2619</v>
      </c>
      <c r="B1370" t="s">
        <v>54</v>
      </c>
      <c r="C1370" t="s">
        <v>55</v>
      </c>
      <c r="D1370" t="s">
        <v>40</v>
      </c>
      <c r="E1370" t="s">
        <v>120</v>
      </c>
      <c r="F1370" t="s">
        <v>42</v>
      </c>
      <c r="G1370" t="s">
        <v>80</v>
      </c>
      <c r="H1370">
        <v>4</v>
      </c>
      <c r="I1370">
        <v>339.44</v>
      </c>
      <c r="J1370">
        <v>1357.76</v>
      </c>
      <c r="K1370" t="s">
        <v>466</v>
      </c>
      <c r="L1370" t="s">
        <v>91</v>
      </c>
    </row>
    <row r="1371" spans="1:12" x14ac:dyDescent="0.35">
      <c r="A1371" t="s">
        <v>2620</v>
      </c>
      <c r="B1371" t="s">
        <v>594</v>
      </c>
      <c r="C1371" t="s">
        <v>595</v>
      </c>
      <c r="D1371" t="s">
        <v>40</v>
      </c>
      <c r="E1371" t="s">
        <v>120</v>
      </c>
      <c r="F1371" t="s">
        <v>42</v>
      </c>
      <c r="G1371" t="s">
        <v>89</v>
      </c>
      <c r="H1371">
        <v>1</v>
      </c>
      <c r="I1371">
        <v>312.18</v>
      </c>
      <c r="J1371">
        <v>312.18</v>
      </c>
      <c r="K1371" t="s">
        <v>1026</v>
      </c>
      <c r="L1371" t="s">
        <v>45</v>
      </c>
    </row>
    <row r="1372" spans="1:12" x14ac:dyDescent="0.35">
      <c r="A1372" t="s">
        <v>2621</v>
      </c>
      <c r="B1372" t="s">
        <v>1662</v>
      </c>
      <c r="C1372" t="s">
        <v>1663</v>
      </c>
      <c r="D1372" t="s">
        <v>23</v>
      </c>
      <c r="E1372" t="s">
        <v>49</v>
      </c>
      <c r="F1372" t="s">
        <v>25</v>
      </c>
      <c r="G1372" t="s">
        <v>62</v>
      </c>
      <c r="H1372">
        <v>3</v>
      </c>
      <c r="I1372">
        <v>857.75</v>
      </c>
      <c r="J1372">
        <v>2573.25</v>
      </c>
      <c r="K1372" t="s">
        <v>2074</v>
      </c>
      <c r="L1372" t="s">
        <v>91</v>
      </c>
    </row>
    <row r="1373" spans="1:12" x14ac:dyDescent="0.35">
      <c r="A1373" t="s">
        <v>2622</v>
      </c>
      <c r="B1373" t="s">
        <v>878</v>
      </c>
      <c r="C1373" t="s">
        <v>879</v>
      </c>
      <c r="D1373" t="s">
        <v>40</v>
      </c>
      <c r="E1373" t="s">
        <v>120</v>
      </c>
      <c r="F1373" t="s">
        <v>25</v>
      </c>
      <c r="G1373" t="s">
        <v>34</v>
      </c>
      <c r="H1373">
        <v>5</v>
      </c>
      <c r="I1373">
        <v>783</v>
      </c>
      <c r="J1373">
        <v>3915</v>
      </c>
      <c r="K1373" t="s">
        <v>2623</v>
      </c>
      <c r="L1373" t="s">
        <v>36</v>
      </c>
    </row>
    <row r="1374" spans="1:12" x14ac:dyDescent="0.35">
      <c r="A1374" t="s">
        <v>2624</v>
      </c>
      <c r="B1374" t="s">
        <v>598</v>
      </c>
      <c r="C1374" t="s">
        <v>599</v>
      </c>
      <c r="D1374" t="s">
        <v>14</v>
      </c>
      <c r="E1374" t="s">
        <v>95</v>
      </c>
      <c r="F1374" t="s">
        <v>25</v>
      </c>
      <c r="G1374" t="s">
        <v>74</v>
      </c>
      <c r="H1374">
        <v>5</v>
      </c>
      <c r="I1374">
        <v>1382.17</v>
      </c>
      <c r="J1374">
        <v>6910.85</v>
      </c>
      <c r="K1374" t="s">
        <v>2057</v>
      </c>
      <c r="L1374" t="s">
        <v>45</v>
      </c>
    </row>
    <row r="1375" spans="1:12" x14ac:dyDescent="0.35">
      <c r="A1375" t="s">
        <v>2625</v>
      </c>
      <c r="B1375" t="s">
        <v>321</v>
      </c>
      <c r="C1375" t="s">
        <v>322</v>
      </c>
      <c r="D1375" t="s">
        <v>40</v>
      </c>
      <c r="E1375" t="s">
        <v>41</v>
      </c>
      <c r="F1375" t="s">
        <v>42</v>
      </c>
      <c r="G1375" t="s">
        <v>43</v>
      </c>
      <c r="H1375">
        <v>1</v>
      </c>
      <c r="I1375">
        <v>741.96</v>
      </c>
      <c r="J1375">
        <v>741.96</v>
      </c>
      <c r="K1375" t="s">
        <v>131</v>
      </c>
      <c r="L1375" t="s">
        <v>28</v>
      </c>
    </row>
    <row r="1376" spans="1:12" x14ac:dyDescent="0.35">
      <c r="A1376" t="s">
        <v>2626</v>
      </c>
      <c r="B1376" t="s">
        <v>544</v>
      </c>
      <c r="C1376" t="s">
        <v>545</v>
      </c>
      <c r="D1376" t="s">
        <v>23</v>
      </c>
      <c r="E1376" t="s">
        <v>338</v>
      </c>
      <c r="F1376" t="s">
        <v>16</v>
      </c>
      <c r="G1376" t="s">
        <v>182</v>
      </c>
      <c r="H1376">
        <v>3</v>
      </c>
      <c r="I1376">
        <v>1049.1300000000001</v>
      </c>
      <c r="J1376">
        <v>3147.39</v>
      </c>
      <c r="K1376" t="s">
        <v>267</v>
      </c>
      <c r="L1376" t="s">
        <v>91</v>
      </c>
    </row>
    <row r="1377" spans="1:12" x14ac:dyDescent="0.35">
      <c r="A1377" t="s">
        <v>2627</v>
      </c>
      <c r="B1377" t="s">
        <v>1046</v>
      </c>
      <c r="C1377" t="s">
        <v>1047</v>
      </c>
      <c r="D1377" t="s">
        <v>67</v>
      </c>
      <c r="E1377" t="s">
        <v>115</v>
      </c>
      <c r="F1377" t="s">
        <v>25</v>
      </c>
      <c r="G1377" t="s">
        <v>62</v>
      </c>
      <c r="H1377">
        <v>1</v>
      </c>
      <c r="I1377">
        <v>873.02</v>
      </c>
      <c r="J1377">
        <v>873.02</v>
      </c>
      <c r="K1377" t="s">
        <v>1266</v>
      </c>
      <c r="L1377" t="s">
        <v>36</v>
      </c>
    </row>
    <row r="1378" spans="1:12" x14ac:dyDescent="0.35">
      <c r="A1378" t="s">
        <v>2628</v>
      </c>
      <c r="B1378" t="s">
        <v>922</v>
      </c>
      <c r="C1378" t="s">
        <v>923</v>
      </c>
      <c r="D1378" t="s">
        <v>40</v>
      </c>
      <c r="E1378" t="s">
        <v>120</v>
      </c>
      <c r="F1378" t="s">
        <v>101</v>
      </c>
      <c r="G1378" t="s">
        <v>237</v>
      </c>
      <c r="H1378">
        <v>4</v>
      </c>
      <c r="I1378">
        <v>18.510000000000002</v>
      </c>
      <c r="J1378">
        <v>74.040000000000006</v>
      </c>
      <c r="K1378" t="s">
        <v>1479</v>
      </c>
      <c r="L1378" t="s">
        <v>36</v>
      </c>
    </row>
    <row r="1379" spans="1:12" x14ac:dyDescent="0.35">
      <c r="A1379" t="s">
        <v>2629</v>
      </c>
      <c r="B1379" t="s">
        <v>532</v>
      </c>
      <c r="C1379" t="s">
        <v>533</v>
      </c>
      <c r="D1379" t="s">
        <v>14</v>
      </c>
      <c r="E1379" t="s">
        <v>100</v>
      </c>
      <c r="F1379" t="s">
        <v>101</v>
      </c>
      <c r="G1379" t="s">
        <v>649</v>
      </c>
      <c r="H1379">
        <v>5</v>
      </c>
      <c r="I1379">
        <v>71.03</v>
      </c>
      <c r="J1379">
        <v>355.15</v>
      </c>
      <c r="K1379" t="s">
        <v>416</v>
      </c>
      <c r="L1379" t="s">
        <v>91</v>
      </c>
    </row>
    <row r="1380" spans="1:12" x14ac:dyDescent="0.35">
      <c r="A1380" t="s">
        <v>2630</v>
      </c>
      <c r="B1380" t="s">
        <v>727</v>
      </c>
      <c r="C1380" t="s">
        <v>728</v>
      </c>
      <c r="D1380" t="s">
        <v>40</v>
      </c>
      <c r="E1380" t="s">
        <v>120</v>
      </c>
      <c r="F1380" t="s">
        <v>16</v>
      </c>
      <c r="G1380" t="s">
        <v>177</v>
      </c>
      <c r="H1380">
        <v>2</v>
      </c>
      <c r="I1380">
        <v>730.49</v>
      </c>
      <c r="J1380">
        <v>1460.98</v>
      </c>
      <c r="K1380" t="s">
        <v>2631</v>
      </c>
      <c r="L1380" t="s">
        <v>28</v>
      </c>
    </row>
    <row r="1381" spans="1:12" x14ac:dyDescent="0.35">
      <c r="A1381" t="s">
        <v>2632</v>
      </c>
      <c r="B1381" t="s">
        <v>1058</v>
      </c>
      <c r="C1381" t="s">
        <v>1059</v>
      </c>
      <c r="D1381" t="s">
        <v>14</v>
      </c>
      <c r="E1381" t="s">
        <v>266</v>
      </c>
      <c r="F1381" t="s">
        <v>101</v>
      </c>
      <c r="G1381" t="s">
        <v>649</v>
      </c>
      <c r="H1381">
        <v>2</v>
      </c>
      <c r="I1381">
        <v>1000.42</v>
      </c>
      <c r="J1381">
        <v>2000.84</v>
      </c>
      <c r="K1381" t="s">
        <v>1542</v>
      </c>
      <c r="L1381" t="s">
        <v>36</v>
      </c>
    </row>
    <row r="1382" spans="1:12" x14ac:dyDescent="0.35">
      <c r="A1382" t="s">
        <v>2633</v>
      </c>
      <c r="B1382" t="s">
        <v>1005</v>
      </c>
      <c r="C1382" t="s">
        <v>1006</v>
      </c>
      <c r="D1382" t="s">
        <v>32</v>
      </c>
      <c r="E1382" t="s">
        <v>203</v>
      </c>
      <c r="F1382" t="s">
        <v>16</v>
      </c>
      <c r="G1382" t="s">
        <v>148</v>
      </c>
      <c r="H1382">
        <v>2</v>
      </c>
      <c r="I1382">
        <v>272.07</v>
      </c>
      <c r="J1382">
        <v>544.14</v>
      </c>
      <c r="K1382" t="s">
        <v>744</v>
      </c>
      <c r="L1382" t="s">
        <v>91</v>
      </c>
    </row>
    <row r="1383" spans="1:12" x14ac:dyDescent="0.35">
      <c r="A1383" t="s">
        <v>2634</v>
      </c>
      <c r="B1383" t="s">
        <v>1005</v>
      </c>
      <c r="C1383" t="s">
        <v>1006</v>
      </c>
      <c r="D1383" t="s">
        <v>40</v>
      </c>
      <c r="E1383" t="s">
        <v>120</v>
      </c>
      <c r="F1383" t="s">
        <v>101</v>
      </c>
      <c r="G1383" t="s">
        <v>373</v>
      </c>
      <c r="H1383">
        <v>5</v>
      </c>
      <c r="I1383">
        <v>316.02999999999997</v>
      </c>
      <c r="J1383">
        <v>1580.15</v>
      </c>
      <c r="K1383" t="s">
        <v>1982</v>
      </c>
      <c r="L1383" t="s">
        <v>28</v>
      </c>
    </row>
    <row r="1384" spans="1:12" x14ac:dyDescent="0.35">
      <c r="A1384" t="s">
        <v>2635</v>
      </c>
      <c r="B1384" t="s">
        <v>853</v>
      </c>
      <c r="C1384" t="s">
        <v>854</v>
      </c>
      <c r="D1384" t="s">
        <v>32</v>
      </c>
      <c r="E1384" t="s">
        <v>61</v>
      </c>
      <c r="F1384" t="s">
        <v>42</v>
      </c>
      <c r="G1384" t="s">
        <v>89</v>
      </c>
      <c r="H1384">
        <v>5</v>
      </c>
      <c r="I1384">
        <v>1333.85</v>
      </c>
      <c r="J1384">
        <v>6669.25</v>
      </c>
      <c r="K1384" t="s">
        <v>479</v>
      </c>
      <c r="L1384" t="s">
        <v>28</v>
      </c>
    </row>
    <row r="1385" spans="1:12" x14ac:dyDescent="0.35">
      <c r="A1385" t="s">
        <v>2636</v>
      </c>
      <c r="B1385" t="s">
        <v>30</v>
      </c>
      <c r="C1385" t="s">
        <v>31</v>
      </c>
      <c r="D1385" t="s">
        <v>32</v>
      </c>
      <c r="E1385" t="s">
        <v>203</v>
      </c>
      <c r="F1385" t="s">
        <v>16</v>
      </c>
      <c r="G1385" t="s">
        <v>17</v>
      </c>
      <c r="H1385">
        <v>5</v>
      </c>
      <c r="I1385">
        <v>1178.8</v>
      </c>
      <c r="J1385">
        <v>5894</v>
      </c>
      <c r="K1385" t="s">
        <v>1919</v>
      </c>
      <c r="L1385" t="s">
        <v>91</v>
      </c>
    </row>
    <row r="1386" spans="1:12" x14ac:dyDescent="0.35">
      <c r="A1386" t="s">
        <v>2637</v>
      </c>
      <c r="B1386" t="s">
        <v>460</v>
      </c>
      <c r="C1386" t="s">
        <v>461</v>
      </c>
      <c r="D1386" t="s">
        <v>40</v>
      </c>
      <c r="E1386" t="s">
        <v>41</v>
      </c>
      <c r="F1386" t="s">
        <v>25</v>
      </c>
      <c r="G1386" t="s">
        <v>139</v>
      </c>
      <c r="H1386">
        <v>2</v>
      </c>
      <c r="I1386">
        <v>504.34</v>
      </c>
      <c r="J1386">
        <v>1008.68</v>
      </c>
      <c r="K1386" t="s">
        <v>488</v>
      </c>
      <c r="L1386" t="s">
        <v>36</v>
      </c>
    </row>
    <row r="1387" spans="1:12" x14ac:dyDescent="0.35">
      <c r="A1387" t="s">
        <v>2638</v>
      </c>
      <c r="B1387" t="s">
        <v>1131</v>
      </c>
      <c r="C1387" t="s">
        <v>1132</v>
      </c>
      <c r="D1387" t="s">
        <v>67</v>
      </c>
      <c r="E1387" t="s">
        <v>130</v>
      </c>
      <c r="F1387" t="s">
        <v>50</v>
      </c>
      <c r="G1387" t="s">
        <v>216</v>
      </c>
      <c r="H1387">
        <v>2</v>
      </c>
      <c r="I1387">
        <v>1163.22</v>
      </c>
      <c r="J1387">
        <v>2326.44</v>
      </c>
      <c r="K1387" t="s">
        <v>2086</v>
      </c>
      <c r="L1387" t="s">
        <v>45</v>
      </c>
    </row>
    <row r="1388" spans="1:12" x14ac:dyDescent="0.35">
      <c r="A1388" t="s">
        <v>2639</v>
      </c>
      <c r="B1388" t="s">
        <v>210</v>
      </c>
      <c r="C1388" t="s">
        <v>211</v>
      </c>
      <c r="D1388" t="s">
        <v>67</v>
      </c>
      <c r="E1388" t="s">
        <v>130</v>
      </c>
      <c r="F1388" t="s">
        <v>101</v>
      </c>
      <c r="G1388" t="s">
        <v>165</v>
      </c>
      <c r="H1388">
        <v>4</v>
      </c>
      <c r="I1388">
        <v>680.36</v>
      </c>
      <c r="J1388">
        <v>2721.44</v>
      </c>
      <c r="K1388" t="s">
        <v>1934</v>
      </c>
      <c r="L1388" t="s">
        <v>36</v>
      </c>
    </row>
    <row r="1389" spans="1:12" x14ac:dyDescent="0.35">
      <c r="A1389" t="s">
        <v>2640</v>
      </c>
      <c r="B1389" t="s">
        <v>1058</v>
      </c>
      <c r="C1389" t="s">
        <v>1059</v>
      </c>
      <c r="D1389" t="s">
        <v>32</v>
      </c>
      <c r="E1389" t="s">
        <v>203</v>
      </c>
      <c r="F1389" t="s">
        <v>101</v>
      </c>
      <c r="G1389" t="s">
        <v>165</v>
      </c>
      <c r="H1389">
        <v>4</v>
      </c>
      <c r="I1389">
        <v>6.21</v>
      </c>
      <c r="J1389">
        <v>24.84</v>
      </c>
      <c r="K1389" t="s">
        <v>2641</v>
      </c>
      <c r="L1389" t="s">
        <v>19</v>
      </c>
    </row>
    <row r="1390" spans="1:12" x14ac:dyDescent="0.35">
      <c r="A1390" t="s">
        <v>2642</v>
      </c>
      <c r="B1390" t="s">
        <v>718</v>
      </c>
      <c r="C1390" t="s">
        <v>719</v>
      </c>
      <c r="D1390" t="s">
        <v>40</v>
      </c>
      <c r="E1390" t="s">
        <v>41</v>
      </c>
      <c r="F1390" t="s">
        <v>101</v>
      </c>
      <c r="G1390" t="s">
        <v>165</v>
      </c>
      <c r="H1390">
        <v>4</v>
      </c>
      <c r="I1390">
        <v>968.15</v>
      </c>
      <c r="J1390">
        <v>3872.6</v>
      </c>
      <c r="K1390" t="s">
        <v>2057</v>
      </c>
      <c r="L1390" t="s">
        <v>28</v>
      </c>
    </row>
    <row r="1391" spans="1:12" x14ac:dyDescent="0.35">
      <c r="A1391" t="s">
        <v>2643</v>
      </c>
      <c r="B1391" t="s">
        <v>1066</v>
      </c>
      <c r="C1391" t="s">
        <v>1067</v>
      </c>
      <c r="D1391" t="s">
        <v>32</v>
      </c>
      <c r="E1391" t="s">
        <v>33</v>
      </c>
      <c r="F1391" t="s">
        <v>25</v>
      </c>
      <c r="G1391" t="s">
        <v>62</v>
      </c>
      <c r="H1391">
        <v>5</v>
      </c>
      <c r="I1391">
        <v>777.62</v>
      </c>
      <c r="J1391">
        <v>3888.1</v>
      </c>
      <c r="K1391" t="s">
        <v>1367</v>
      </c>
      <c r="L1391" t="s">
        <v>91</v>
      </c>
    </row>
    <row r="1392" spans="1:12" x14ac:dyDescent="0.35">
      <c r="A1392" t="s">
        <v>2644</v>
      </c>
      <c r="B1392" t="s">
        <v>163</v>
      </c>
      <c r="C1392" t="s">
        <v>164</v>
      </c>
      <c r="D1392" t="s">
        <v>40</v>
      </c>
      <c r="E1392" t="s">
        <v>41</v>
      </c>
      <c r="F1392" t="s">
        <v>25</v>
      </c>
      <c r="G1392" t="s">
        <v>139</v>
      </c>
      <c r="H1392">
        <v>3</v>
      </c>
      <c r="I1392">
        <v>441.96</v>
      </c>
      <c r="J1392">
        <v>1325.88</v>
      </c>
      <c r="K1392" t="s">
        <v>1575</v>
      </c>
      <c r="L1392" t="s">
        <v>19</v>
      </c>
    </row>
    <row r="1393" spans="1:12" x14ac:dyDescent="0.35">
      <c r="A1393" t="s">
        <v>2645</v>
      </c>
      <c r="B1393" t="s">
        <v>336</v>
      </c>
      <c r="C1393" t="s">
        <v>337</v>
      </c>
      <c r="D1393" t="s">
        <v>14</v>
      </c>
      <c r="E1393" t="s">
        <v>266</v>
      </c>
      <c r="F1393" t="s">
        <v>42</v>
      </c>
      <c r="G1393" t="s">
        <v>225</v>
      </c>
      <c r="H1393">
        <v>3</v>
      </c>
      <c r="I1393">
        <v>1170.19</v>
      </c>
      <c r="J1393">
        <v>3510.57</v>
      </c>
      <c r="K1393" t="s">
        <v>1248</v>
      </c>
      <c r="L1393" t="s">
        <v>36</v>
      </c>
    </row>
    <row r="1394" spans="1:12" x14ac:dyDescent="0.35">
      <c r="A1394" t="s">
        <v>2646</v>
      </c>
      <c r="B1394" t="s">
        <v>496</v>
      </c>
      <c r="C1394" t="s">
        <v>497</v>
      </c>
      <c r="D1394" t="s">
        <v>67</v>
      </c>
      <c r="E1394" t="s">
        <v>130</v>
      </c>
      <c r="F1394" t="s">
        <v>50</v>
      </c>
      <c r="G1394" t="s">
        <v>56</v>
      </c>
      <c r="H1394">
        <v>3</v>
      </c>
      <c r="I1394">
        <v>14.35</v>
      </c>
      <c r="J1394">
        <v>43.05</v>
      </c>
      <c r="K1394" t="s">
        <v>2311</v>
      </c>
      <c r="L1394" t="s">
        <v>28</v>
      </c>
    </row>
    <row r="1395" spans="1:12" x14ac:dyDescent="0.35">
      <c r="A1395" t="s">
        <v>2647</v>
      </c>
      <c r="B1395" t="s">
        <v>715</v>
      </c>
      <c r="C1395" t="s">
        <v>716</v>
      </c>
      <c r="D1395" t="s">
        <v>23</v>
      </c>
      <c r="E1395" t="s">
        <v>24</v>
      </c>
      <c r="F1395" t="s">
        <v>42</v>
      </c>
      <c r="G1395" t="s">
        <v>225</v>
      </c>
      <c r="H1395">
        <v>3</v>
      </c>
      <c r="I1395">
        <v>1426.9</v>
      </c>
      <c r="J1395">
        <v>4280.7</v>
      </c>
      <c r="K1395" t="s">
        <v>2648</v>
      </c>
      <c r="L1395" t="s">
        <v>45</v>
      </c>
    </row>
    <row r="1396" spans="1:12" x14ac:dyDescent="0.35">
      <c r="A1396" t="s">
        <v>2649</v>
      </c>
      <c r="B1396" t="s">
        <v>367</v>
      </c>
      <c r="C1396" t="s">
        <v>368</v>
      </c>
      <c r="D1396" t="s">
        <v>32</v>
      </c>
      <c r="E1396" t="s">
        <v>203</v>
      </c>
      <c r="F1396" t="s">
        <v>16</v>
      </c>
      <c r="G1396" t="s">
        <v>230</v>
      </c>
      <c r="H1396">
        <v>3</v>
      </c>
      <c r="I1396">
        <v>1077.83</v>
      </c>
      <c r="J1396">
        <v>3233.49</v>
      </c>
      <c r="K1396" t="s">
        <v>35</v>
      </c>
      <c r="L1396" t="s">
        <v>28</v>
      </c>
    </row>
    <row r="1397" spans="1:12" x14ac:dyDescent="0.35">
      <c r="A1397" t="s">
        <v>2650</v>
      </c>
      <c r="B1397" t="s">
        <v>791</v>
      </c>
      <c r="C1397" t="s">
        <v>792</v>
      </c>
      <c r="D1397" t="s">
        <v>67</v>
      </c>
      <c r="E1397" t="s">
        <v>68</v>
      </c>
      <c r="F1397" t="s">
        <v>25</v>
      </c>
      <c r="G1397" t="s">
        <v>34</v>
      </c>
      <c r="H1397">
        <v>2</v>
      </c>
      <c r="I1397">
        <v>1095.1199999999999</v>
      </c>
      <c r="J1397">
        <v>2190.2399999999998</v>
      </c>
      <c r="K1397" t="s">
        <v>876</v>
      </c>
      <c r="L1397" t="s">
        <v>28</v>
      </c>
    </row>
    <row r="1398" spans="1:12" x14ac:dyDescent="0.35">
      <c r="A1398" t="s">
        <v>2651</v>
      </c>
      <c r="B1398" t="s">
        <v>2245</v>
      </c>
      <c r="C1398" t="s">
        <v>2246</v>
      </c>
      <c r="D1398" t="s">
        <v>67</v>
      </c>
      <c r="E1398" t="s">
        <v>130</v>
      </c>
      <c r="F1398" t="s">
        <v>101</v>
      </c>
      <c r="G1398" t="s">
        <v>165</v>
      </c>
      <c r="H1398">
        <v>5</v>
      </c>
      <c r="I1398">
        <v>1380.48</v>
      </c>
      <c r="J1398">
        <v>6902.4</v>
      </c>
      <c r="K1398" t="s">
        <v>2278</v>
      </c>
      <c r="L1398" t="s">
        <v>36</v>
      </c>
    </row>
    <row r="1399" spans="1:12" x14ac:dyDescent="0.35">
      <c r="A1399" t="s">
        <v>2652</v>
      </c>
      <c r="B1399" t="s">
        <v>163</v>
      </c>
      <c r="C1399" t="s">
        <v>164</v>
      </c>
      <c r="D1399" t="s">
        <v>14</v>
      </c>
      <c r="E1399" t="s">
        <v>266</v>
      </c>
      <c r="F1399" t="s">
        <v>16</v>
      </c>
      <c r="G1399" t="s">
        <v>17</v>
      </c>
      <c r="H1399">
        <v>3</v>
      </c>
      <c r="I1399">
        <v>1330.62</v>
      </c>
      <c r="J1399">
        <v>3991.86</v>
      </c>
      <c r="K1399" t="s">
        <v>1839</v>
      </c>
      <c r="L1399" t="s">
        <v>19</v>
      </c>
    </row>
    <row r="1400" spans="1:12" x14ac:dyDescent="0.35">
      <c r="A1400" t="s">
        <v>2653</v>
      </c>
      <c r="B1400" t="s">
        <v>1005</v>
      </c>
      <c r="C1400" t="s">
        <v>1006</v>
      </c>
      <c r="D1400" t="s">
        <v>32</v>
      </c>
      <c r="E1400" t="s">
        <v>203</v>
      </c>
      <c r="F1400" t="s">
        <v>101</v>
      </c>
      <c r="G1400" t="s">
        <v>102</v>
      </c>
      <c r="H1400">
        <v>3</v>
      </c>
      <c r="I1400">
        <v>1211.02</v>
      </c>
      <c r="J1400">
        <v>3633.06</v>
      </c>
      <c r="K1400" t="s">
        <v>35</v>
      </c>
      <c r="L1400" t="s">
        <v>91</v>
      </c>
    </row>
    <row r="1401" spans="1:12" x14ac:dyDescent="0.35">
      <c r="A1401" t="s">
        <v>2654</v>
      </c>
      <c r="B1401" t="s">
        <v>133</v>
      </c>
      <c r="C1401" t="s">
        <v>134</v>
      </c>
      <c r="D1401" t="s">
        <v>67</v>
      </c>
      <c r="E1401" t="s">
        <v>68</v>
      </c>
      <c r="F1401" t="s">
        <v>25</v>
      </c>
      <c r="G1401" t="s">
        <v>139</v>
      </c>
      <c r="H1401">
        <v>1</v>
      </c>
      <c r="I1401">
        <v>1365.02</v>
      </c>
      <c r="J1401">
        <v>1365.02</v>
      </c>
      <c r="K1401" t="s">
        <v>2655</v>
      </c>
      <c r="L1401" t="s">
        <v>36</v>
      </c>
    </row>
    <row r="1402" spans="1:12" x14ac:dyDescent="0.35">
      <c r="A1402" t="s">
        <v>2656</v>
      </c>
      <c r="B1402" t="s">
        <v>1428</v>
      </c>
      <c r="C1402" t="s">
        <v>1429</v>
      </c>
      <c r="D1402" t="s">
        <v>23</v>
      </c>
      <c r="E1402" t="s">
        <v>24</v>
      </c>
      <c r="F1402" t="s">
        <v>101</v>
      </c>
      <c r="G1402" t="s">
        <v>649</v>
      </c>
      <c r="H1402">
        <v>4</v>
      </c>
      <c r="I1402">
        <v>287.10000000000002</v>
      </c>
      <c r="J1402">
        <v>1148.4000000000001</v>
      </c>
      <c r="K1402" t="s">
        <v>1151</v>
      </c>
      <c r="L1402" t="s">
        <v>45</v>
      </c>
    </row>
    <row r="1403" spans="1:12" x14ac:dyDescent="0.35">
      <c r="A1403" t="s">
        <v>2657</v>
      </c>
      <c r="B1403" t="s">
        <v>755</v>
      </c>
      <c r="C1403" t="s">
        <v>756</v>
      </c>
      <c r="D1403" t="s">
        <v>40</v>
      </c>
      <c r="E1403" t="s">
        <v>79</v>
      </c>
      <c r="F1403" t="s">
        <v>16</v>
      </c>
      <c r="G1403" t="s">
        <v>17</v>
      </c>
      <c r="H1403">
        <v>2</v>
      </c>
      <c r="I1403">
        <v>1241.3800000000001</v>
      </c>
      <c r="J1403">
        <v>2482.7600000000002</v>
      </c>
      <c r="K1403" t="s">
        <v>1731</v>
      </c>
      <c r="L1403" t="s">
        <v>36</v>
      </c>
    </row>
    <row r="1404" spans="1:12" x14ac:dyDescent="0.35">
      <c r="A1404" t="s">
        <v>2658</v>
      </c>
      <c r="B1404" t="s">
        <v>1101</v>
      </c>
      <c r="C1404" t="s">
        <v>1102</v>
      </c>
      <c r="D1404" t="s">
        <v>14</v>
      </c>
      <c r="E1404" t="s">
        <v>100</v>
      </c>
      <c r="F1404" t="s">
        <v>25</v>
      </c>
      <c r="G1404" t="s">
        <v>26</v>
      </c>
      <c r="H1404">
        <v>4</v>
      </c>
      <c r="I1404">
        <v>627.4</v>
      </c>
      <c r="J1404">
        <v>2509.6</v>
      </c>
      <c r="K1404" t="s">
        <v>1852</v>
      </c>
      <c r="L1404" t="s">
        <v>45</v>
      </c>
    </row>
    <row r="1405" spans="1:12" x14ac:dyDescent="0.35">
      <c r="A1405" t="s">
        <v>2659</v>
      </c>
      <c r="B1405" t="s">
        <v>1285</v>
      </c>
      <c r="C1405" t="s">
        <v>1286</v>
      </c>
      <c r="D1405" t="s">
        <v>23</v>
      </c>
      <c r="E1405" t="s">
        <v>49</v>
      </c>
      <c r="F1405" t="s">
        <v>25</v>
      </c>
      <c r="G1405" t="s">
        <v>139</v>
      </c>
      <c r="H1405">
        <v>2</v>
      </c>
      <c r="I1405">
        <v>381.81</v>
      </c>
      <c r="J1405">
        <v>763.62</v>
      </c>
      <c r="K1405" t="s">
        <v>131</v>
      </c>
      <c r="L1405" t="s">
        <v>19</v>
      </c>
    </row>
    <row r="1406" spans="1:12" x14ac:dyDescent="0.35">
      <c r="A1406" t="s">
        <v>2660</v>
      </c>
      <c r="B1406" t="s">
        <v>1167</v>
      </c>
      <c r="C1406" t="s">
        <v>1168</v>
      </c>
      <c r="D1406" t="s">
        <v>14</v>
      </c>
      <c r="E1406" t="s">
        <v>15</v>
      </c>
      <c r="F1406" t="s">
        <v>25</v>
      </c>
      <c r="G1406" t="s">
        <v>34</v>
      </c>
      <c r="H1406">
        <v>2</v>
      </c>
      <c r="I1406">
        <v>1126.6099999999999</v>
      </c>
      <c r="J1406">
        <v>2253.2199999999998</v>
      </c>
      <c r="K1406" t="s">
        <v>952</v>
      </c>
      <c r="L1406" t="s">
        <v>28</v>
      </c>
    </row>
    <row r="1407" spans="1:12" x14ac:dyDescent="0.35">
      <c r="A1407" t="s">
        <v>2661</v>
      </c>
      <c r="B1407" t="s">
        <v>1828</v>
      </c>
      <c r="C1407" t="s">
        <v>1829</v>
      </c>
      <c r="D1407" t="s">
        <v>40</v>
      </c>
      <c r="E1407" t="s">
        <v>120</v>
      </c>
      <c r="F1407" t="s">
        <v>16</v>
      </c>
      <c r="G1407" t="s">
        <v>148</v>
      </c>
      <c r="H1407">
        <v>3</v>
      </c>
      <c r="I1407">
        <v>1151.3399999999999</v>
      </c>
      <c r="J1407">
        <v>3454.02</v>
      </c>
      <c r="K1407" t="s">
        <v>2662</v>
      </c>
      <c r="L1407" t="s">
        <v>91</v>
      </c>
    </row>
    <row r="1408" spans="1:12" x14ac:dyDescent="0.35">
      <c r="A1408" t="s">
        <v>2663</v>
      </c>
      <c r="B1408" t="s">
        <v>299</v>
      </c>
      <c r="C1408" t="s">
        <v>300</v>
      </c>
      <c r="D1408" t="s">
        <v>32</v>
      </c>
      <c r="E1408" t="s">
        <v>61</v>
      </c>
      <c r="F1408" t="s">
        <v>101</v>
      </c>
      <c r="G1408" t="s">
        <v>102</v>
      </c>
      <c r="H1408">
        <v>2</v>
      </c>
      <c r="I1408">
        <v>1065.43</v>
      </c>
      <c r="J1408">
        <v>2130.86</v>
      </c>
      <c r="K1408" t="s">
        <v>217</v>
      </c>
      <c r="L1408" t="s">
        <v>36</v>
      </c>
    </row>
    <row r="1409" spans="1:12" x14ac:dyDescent="0.35">
      <c r="A1409" t="s">
        <v>2664</v>
      </c>
      <c r="B1409" t="s">
        <v>269</v>
      </c>
      <c r="C1409" t="s">
        <v>270</v>
      </c>
      <c r="D1409" t="s">
        <v>23</v>
      </c>
      <c r="E1409" t="s">
        <v>49</v>
      </c>
      <c r="F1409" t="s">
        <v>16</v>
      </c>
      <c r="G1409" t="s">
        <v>182</v>
      </c>
      <c r="H1409">
        <v>2</v>
      </c>
      <c r="I1409">
        <v>1480.9</v>
      </c>
      <c r="J1409">
        <v>2961.8</v>
      </c>
      <c r="K1409" t="s">
        <v>289</v>
      </c>
      <c r="L1409" t="s">
        <v>19</v>
      </c>
    </row>
    <row r="1410" spans="1:12" x14ac:dyDescent="0.35">
      <c r="A1410" t="s">
        <v>2665</v>
      </c>
      <c r="B1410" t="s">
        <v>901</v>
      </c>
      <c r="C1410" t="s">
        <v>902</v>
      </c>
      <c r="D1410" t="s">
        <v>14</v>
      </c>
      <c r="E1410" t="s">
        <v>125</v>
      </c>
      <c r="F1410" t="s">
        <v>25</v>
      </c>
      <c r="G1410" t="s">
        <v>34</v>
      </c>
      <c r="H1410">
        <v>5</v>
      </c>
      <c r="I1410">
        <v>1215.04</v>
      </c>
      <c r="J1410">
        <v>6075.2</v>
      </c>
      <c r="K1410" t="s">
        <v>313</v>
      </c>
      <c r="L1410" t="s">
        <v>36</v>
      </c>
    </row>
    <row r="1411" spans="1:12" x14ac:dyDescent="0.35">
      <c r="A1411" t="s">
        <v>2666</v>
      </c>
      <c r="B1411" t="s">
        <v>376</v>
      </c>
      <c r="C1411" t="s">
        <v>377</v>
      </c>
      <c r="D1411" t="s">
        <v>14</v>
      </c>
      <c r="E1411" t="s">
        <v>100</v>
      </c>
      <c r="F1411" t="s">
        <v>16</v>
      </c>
      <c r="G1411" t="s">
        <v>182</v>
      </c>
      <c r="H1411">
        <v>4</v>
      </c>
      <c r="I1411">
        <v>49.53</v>
      </c>
      <c r="J1411">
        <v>198.12</v>
      </c>
      <c r="K1411" t="s">
        <v>2667</v>
      </c>
      <c r="L1411" t="s">
        <v>45</v>
      </c>
    </row>
    <row r="1412" spans="1:12" x14ac:dyDescent="0.35">
      <c r="A1412" t="s">
        <v>2668</v>
      </c>
      <c r="B1412" t="s">
        <v>544</v>
      </c>
      <c r="C1412" t="s">
        <v>545</v>
      </c>
      <c r="D1412" t="s">
        <v>14</v>
      </c>
      <c r="E1412" t="s">
        <v>266</v>
      </c>
      <c r="F1412" t="s">
        <v>16</v>
      </c>
      <c r="G1412" t="s">
        <v>182</v>
      </c>
      <c r="H1412">
        <v>3</v>
      </c>
      <c r="I1412">
        <v>1001.01</v>
      </c>
      <c r="J1412">
        <v>3003.03</v>
      </c>
      <c r="K1412" t="s">
        <v>2100</v>
      </c>
      <c r="L1412" t="s">
        <v>19</v>
      </c>
    </row>
    <row r="1413" spans="1:12" x14ac:dyDescent="0.35">
      <c r="A1413" t="s">
        <v>2669</v>
      </c>
      <c r="B1413" t="s">
        <v>443</v>
      </c>
      <c r="C1413" t="s">
        <v>444</v>
      </c>
      <c r="D1413" t="s">
        <v>40</v>
      </c>
      <c r="E1413" t="s">
        <v>41</v>
      </c>
      <c r="F1413" t="s">
        <v>25</v>
      </c>
      <c r="G1413" t="s">
        <v>62</v>
      </c>
      <c r="H1413">
        <v>4</v>
      </c>
      <c r="I1413">
        <v>937.85</v>
      </c>
      <c r="J1413">
        <v>3751.4</v>
      </c>
      <c r="K1413" t="s">
        <v>1090</v>
      </c>
      <c r="L1413" t="s">
        <v>91</v>
      </c>
    </row>
    <row r="1414" spans="1:12" x14ac:dyDescent="0.35">
      <c r="A1414" t="s">
        <v>2670</v>
      </c>
      <c r="B1414" t="s">
        <v>252</v>
      </c>
      <c r="C1414" t="s">
        <v>253</v>
      </c>
      <c r="D1414" t="s">
        <v>32</v>
      </c>
      <c r="E1414" t="s">
        <v>33</v>
      </c>
      <c r="F1414" t="s">
        <v>42</v>
      </c>
      <c r="G1414" t="s">
        <v>170</v>
      </c>
      <c r="H1414">
        <v>5</v>
      </c>
      <c r="I1414">
        <v>1393.66</v>
      </c>
      <c r="J1414">
        <v>6968.3</v>
      </c>
      <c r="K1414" t="s">
        <v>927</v>
      </c>
      <c r="L1414" t="s">
        <v>91</v>
      </c>
    </row>
    <row r="1415" spans="1:12" x14ac:dyDescent="0.35">
      <c r="A1415" t="s">
        <v>2671</v>
      </c>
      <c r="B1415" t="s">
        <v>163</v>
      </c>
      <c r="C1415" t="s">
        <v>164</v>
      </c>
      <c r="D1415" t="s">
        <v>40</v>
      </c>
      <c r="E1415" t="s">
        <v>120</v>
      </c>
      <c r="F1415" t="s">
        <v>50</v>
      </c>
      <c r="G1415" t="s">
        <v>56</v>
      </c>
      <c r="H1415">
        <v>2</v>
      </c>
      <c r="I1415">
        <v>554.23</v>
      </c>
      <c r="J1415">
        <v>1108.46</v>
      </c>
      <c r="K1415" t="s">
        <v>761</v>
      </c>
      <c r="L1415" t="s">
        <v>28</v>
      </c>
    </row>
    <row r="1416" spans="1:12" x14ac:dyDescent="0.35">
      <c r="A1416" t="s">
        <v>2672</v>
      </c>
      <c r="B1416" t="s">
        <v>189</v>
      </c>
      <c r="C1416" t="s">
        <v>190</v>
      </c>
      <c r="D1416" t="s">
        <v>23</v>
      </c>
      <c r="E1416" t="s">
        <v>24</v>
      </c>
      <c r="F1416" t="s">
        <v>25</v>
      </c>
      <c r="G1416" t="s">
        <v>26</v>
      </c>
      <c r="H1416">
        <v>3</v>
      </c>
      <c r="I1416">
        <v>833.06</v>
      </c>
      <c r="J1416">
        <v>2499.1799999999998</v>
      </c>
      <c r="K1416" t="s">
        <v>2673</v>
      </c>
      <c r="L1416" t="s">
        <v>19</v>
      </c>
    </row>
    <row r="1417" spans="1:12" x14ac:dyDescent="0.35">
      <c r="A1417" t="s">
        <v>2674</v>
      </c>
      <c r="B1417" t="s">
        <v>418</v>
      </c>
      <c r="C1417" t="s">
        <v>419</v>
      </c>
      <c r="D1417" t="s">
        <v>14</v>
      </c>
      <c r="E1417" t="s">
        <v>15</v>
      </c>
      <c r="F1417" t="s">
        <v>16</v>
      </c>
      <c r="G1417" t="s">
        <v>17</v>
      </c>
      <c r="H1417">
        <v>5</v>
      </c>
      <c r="I1417">
        <v>1319.89</v>
      </c>
      <c r="J1417">
        <v>6599.45</v>
      </c>
      <c r="K1417" t="s">
        <v>1321</v>
      </c>
      <c r="L1417" t="s">
        <v>91</v>
      </c>
    </row>
    <row r="1418" spans="1:12" x14ac:dyDescent="0.35">
      <c r="A1418" t="s">
        <v>2675</v>
      </c>
      <c r="B1418" t="s">
        <v>446</v>
      </c>
      <c r="C1418" t="s">
        <v>447</v>
      </c>
      <c r="D1418" t="s">
        <v>14</v>
      </c>
      <c r="E1418" t="s">
        <v>95</v>
      </c>
      <c r="F1418" t="s">
        <v>42</v>
      </c>
      <c r="G1418" t="s">
        <v>43</v>
      </c>
      <c r="H1418">
        <v>5</v>
      </c>
      <c r="I1418">
        <v>1162.51</v>
      </c>
      <c r="J1418">
        <v>5812.55</v>
      </c>
      <c r="K1418" t="s">
        <v>70</v>
      </c>
      <c r="L1418" t="s">
        <v>45</v>
      </c>
    </row>
    <row r="1419" spans="1:12" x14ac:dyDescent="0.35">
      <c r="A1419" t="s">
        <v>2676</v>
      </c>
      <c r="B1419" t="s">
        <v>960</v>
      </c>
      <c r="C1419" t="s">
        <v>961</v>
      </c>
      <c r="D1419" t="s">
        <v>32</v>
      </c>
      <c r="E1419" t="s">
        <v>203</v>
      </c>
      <c r="F1419" t="s">
        <v>16</v>
      </c>
      <c r="G1419" t="s">
        <v>148</v>
      </c>
      <c r="H1419">
        <v>5</v>
      </c>
      <c r="I1419">
        <v>813.28</v>
      </c>
      <c r="J1419">
        <v>4066.4</v>
      </c>
      <c r="K1419" t="s">
        <v>2503</v>
      </c>
      <c r="L1419" t="s">
        <v>45</v>
      </c>
    </row>
    <row r="1420" spans="1:12" x14ac:dyDescent="0.35">
      <c r="A1420" t="s">
        <v>2677</v>
      </c>
      <c r="B1420" t="s">
        <v>1278</v>
      </c>
      <c r="C1420" t="s">
        <v>1279</v>
      </c>
      <c r="D1420" t="s">
        <v>14</v>
      </c>
      <c r="E1420" t="s">
        <v>95</v>
      </c>
      <c r="F1420" t="s">
        <v>42</v>
      </c>
      <c r="G1420" t="s">
        <v>80</v>
      </c>
      <c r="H1420">
        <v>1</v>
      </c>
      <c r="I1420">
        <v>552.47</v>
      </c>
      <c r="J1420">
        <v>552.47</v>
      </c>
      <c r="K1420" t="s">
        <v>2532</v>
      </c>
      <c r="L1420" t="s">
        <v>91</v>
      </c>
    </row>
    <row r="1421" spans="1:12" x14ac:dyDescent="0.35">
      <c r="A1421" t="s">
        <v>2678</v>
      </c>
      <c r="B1421" t="s">
        <v>947</v>
      </c>
      <c r="C1421" t="s">
        <v>948</v>
      </c>
      <c r="D1421" t="s">
        <v>40</v>
      </c>
      <c r="E1421" t="s">
        <v>120</v>
      </c>
      <c r="F1421" t="s">
        <v>25</v>
      </c>
      <c r="G1421" t="s">
        <v>62</v>
      </c>
      <c r="H1421">
        <v>5</v>
      </c>
      <c r="I1421">
        <v>946.35</v>
      </c>
      <c r="J1421">
        <v>4731.75</v>
      </c>
      <c r="K1421" t="s">
        <v>662</v>
      </c>
      <c r="L1421" t="s">
        <v>36</v>
      </c>
    </row>
    <row r="1422" spans="1:12" x14ac:dyDescent="0.35">
      <c r="A1422" t="s">
        <v>2679</v>
      </c>
      <c r="B1422" t="s">
        <v>1176</v>
      </c>
      <c r="C1422" t="s">
        <v>1177</v>
      </c>
      <c r="D1422" t="s">
        <v>32</v>
      </c>
      <c r="E1422" t="s">
        <v>203</v>
      </c>
      <c r="F1422" t="s">
        <v>101</v>
      </c>
      <c r="G1422" t="s">
        <v>649</v>
      </c>
      <c r="H1422">
        <v>4</v>
      </c>
      <c r="I1422">
        <v>1030.79</v>
      </c>
      <c r="J1422">
        <v>4123.16</v>
      </c>
      <c r="K1422" t="s">
        <v>2680</v>
      </c>
      <c r="L1422" t="s">
        <v>28</v>
      </c>
    </row>
    <row r="1423" spans="1:12" x14ac:dyDescent="0.35">
      <c r="A1423" t="s">
        <v>2681</v>
      </c>
      <c r="B1423" t="s">
        <v>1092</v>
      </c>
      <c r="C1423" t="s">
        <v>1093</v>
      </c>
      <c r="D1423" t="s">
        <v>14</v>
      </c>
      <c r="E1423" t="s">
        <v>100</v>
      </c>
      <c r="F1423" t="s">
        <v>50</v>
      </c>
      <c r="G1423" t="s">
        <v>69</v>
      </c>
      <c r="H1423">
        <v>5</v>
      </c>
      <c r="I1423">
        <v>1052.79</v>
      </c>
      <c r="J1423">
        <v>5263.95</v>
      </c>
      <c r="K1423" t="s">
        <v>2682</v>
      </c>
      <c r="L1423" t="s">
        <v>45</v>
      </c>
    </row>
    <row r="1424" spans="1:12" x14ac:dyDescent="0.35">
      <c r="A1424" t="s">
        <v>2683</v>
      </c>
      <c r="B1424" t="s">
        <v>791</v>
      </c>
      <c r="C1424" t="s">
        <v>792</v>
      </c>
      <c r="D1424" t="s">
        <v>67</v>
      </c>
      <c r="E1424" t="s">
        <v>115</v>
      </c>
      <c r="F1424" t="s">
        <v>42</v>
      </c>
      <c r="G1424" t="s">
        <v>225</v>
      </c>
      <c r="H1424">
        <v>4</v>
      </c>
      <c r="I1424">
        <v>1447.86</v>
      </c>
      <c r="J1424">
        <v>5791.44</v>
      </c>
      <c r="K1424" t="s">
        <v>2684</v>
      </c>
      <c r="L1424" t="s">
        <v>91</v>
      </c>
    </row>
    <row r="1425" spans="1:12" x14ac:dyDescent="0.35">
      <c r="A1425" t="s">
        <v>2685</v>
      </c>
      <c r="B1425" t="s">
        <v>38</v>
      </c>
      <c r="C1425" t="s">
        <v>39</v>
      </c>
      <c r="D1425" t="s">
        <v>40</v>
      </c>
      <c r="E1425" t="s">
        <v>41</v>
      </c>
      <c r="F1425" t="s">
        <v>42</v>
      </c>
      <c r="G1425" t="s">
        <v>80</v>
      </c>
      <c r="H1425">
        <v>5</v>
      </c>
      <c r="I1425">
        <v>563.49</v>
      </c>
      <c r="J1425">
        <v>2817.45</v>
      </c>
      <c r="K1425" t="s">
        <v>815</v>
      </c>
      <c r="L1425" t="s">
        <v>19</v>
      </c>
    </row>
    <row r="1426" spans="1:12" x14ac:dyDescent="0.35">
      <c r="A1426" t="s">
        <v>2686</v>
      </c>
      <c r="B1426" t="s">
        <v>1101</v>
      </c>
      <c r="C1426" t="s">
        <v>1102</v>
      </c>
      <c r="D1426" t="s">
        <v>32</v>
      </c>
      <c r="E1426" t="s">
        <v>203</v>
      </c>
      <c r="F1426" t="s">
        <v>50</v>
      </c>
      <c r="G1426" t="s">
        <v>216</v>
      </c>
      <c r="H1426">
        <v>1</v>
      </c>
      <c r="I1426">
        <v>1362.64</v>
      </c>
      <c r="J1426">
        <v>1362.64</v>
      </c>
      <c r="K1426" t="s">
        <v>1610</v>
      </c>
      <c r="L1426" t="s">
        <v>91</v>
      </c>
    </row>
    <row r="1427" spans="1:12" x14ac:dyDescent="0.35">
      <c r="A1427" t="s">
        <v>2687</v>
      </c>
      <c r="B1427" t="s">
        <v>228</v>
      </c>
      <c r="C1427" t="s">
        <v>229</v>
      </c>
      <c r="D1427" t="s">
        <v>67</v>
      </c>
      <c r="E1427" t="s">
        <v>130</v>
      </c>
      <c r="F1427" t="s">
        <v>25</v>
      </c>
      <c r="G1427" t="s">
        <v>26</v>
      </c>
      <c r="H1427">
        <v>2</v>
      </c>
      <c r="I1427">
        <v>805.56</v>
      </c>
      <c r="J1427">
        <v>1611.12</v>
      </c>
      <c r="K1427" t="s">
        <v>908</v>
      </c>
      <c r="L1427" t="s">
        <v>36</v>
      </c>
    </row>
    <row r="1428" spans="1:12" x14ac:dyDescent="0.35">
      <c r="A1428" t="s">
        <v>2688</v>
      </c>
      <c r="B1428" t="s">
        <v>1875</v>
      </c>
      <c r="C1428" t="s">
        <v>1876</v>
      </c>
      <c r="D1428" t="s">
        <v>67</v>
      </c>
      <c r="E1428" t="s">
        <v>115</v>
      </c>
      <c r="F1428" t="s">
        <v>101</v>
      </c>
      <c r="G1428" t="s">
        <v>165</v>
      </c>
      <c r="H1428">
        <v>4</v>
      </c>
      <c r="I1428">
        <v>1109.6400000000001</v>
      </c>
      <c r="J1428">
        <v>4438.5600000000004</v>
      </c>
      <c r="K1428" t="s">
        <v>331</v>
      </c>
      <c r="L1428" t="s">
        <v>28</v>
      </c>
    </row>
    <row r="1429" spans="1:12" x14ac:dyDescent="0.35">
      <c r="A1429" t="s">
        <v>2689</v>
      </c>
      <c r="B1429" t="s">
        <v>1179</v>
      </c>
      <c r="C1429" t="s">
        <v>1180</v>
      </c>
      <c r="D1429" t="s">
        <v>23</v>
      </c>
      <c r="E1429" t="s">
        <v>338</v>
      </c>
      <c r="F1429" t="s">
        <v>50</v>
      </c>
      <c r="G1429" t="s">
        <v>51</v>
      </c>
      <c r="H1429">
        <v>1</v>
      </c>
      <c r="I1429">
        <v>1197.6300000000001</v>
      </c>
      <c r="J1429">
        <v>1197.6300000000001</v>
      </c>
      <c r="K1429" t="s">
        <v>1466</v>
      </c>
      <c r="L1429" t="s">
        <v>19</v>
      </c>
    </row>
    <row r="1430" spans="1:12" x14ac:dyDescent="0.35">
      <c r="A1430" t="s">
        <v>2690</v>
      </c>
      <c r="B1430" t="s">
        <v>109</v>
      </c>
      <c r="C1430" t="s">
        <v>110</v>
      </c>
      <c r="D1430" t="s">
        <v>67</v>
      </c>
      <c r="E1430" t="s">
        <v>68</v>
      </c>
      <c r="F1430" t="s">
        <v>101</v>
      </c>
      <c r="G1430" t="s">
        <v>373</v>
      </c>
      <c r="H1430">
        <v>1</v>
      </c>
      <c r="I1430">
        <v>1494.88</v>
      </c>
      <c r="J1430">
        <v>1494.88</v>
      </c>
      <c r="K1430" t="s">
        <v>1122</v>
      </c>
      <c r="L1430" t="s">
        <v>19</v>
      </c>
    </row>
    <row r="1431" spans="1:12" x14ac:dyDescent="0.35">
      <c r="A1431" t="s">
        <v>2691</v>
      </c>
      <c r="B1431" t="s">
        <v>189</v>
      </c>
      <c r="C1431" t="s">
        <v>190</v>
      </c>
      <c r="D1431" t="s">
        <v>23</v>
      </c>
      <c r="E1431" t="s">
        <v>49</v>
      </c>
      <c r="F1431" t="s">
        <v>16</v>
      </c>
      <c r="G1431" t="s">
        <v>182</v>
      </c>
      <c r="H1431">
        <v>3</v>
      </c>
      <c r="I1431">
        <v>843.01</v>
      </c>
      <c r="J1431">
        <v>2529.0300000000002</v>
      </c>
      <c r="K1431" t="s">
        <v>583</v>
      </c>
      <c r="L1431" t="s">
        <v>45</v>
      </c>
    </row>
    <row r="1432" spans="1:12" x14ac:dyDescent="0.35">
      <c r="A1432" t="s">
        <v>2692</v>
      </c>
      <c r="B1432" t="s">
        <v>1159</v>
      </c>
      <c r="C1432" t="s">
        <v>1160</v>
      </c>
      <c r="D1432" t="s">
        <v>40</v>
      </c>
      <c r="E1432" t="s">
        <v>41</v>
      </c>
      <c r="F1432" t="s">
        <v>101</v>
      </c>
      <c r="G1432" t="s">
        <v>373</v>
      </c>
      <c r="H1432">
        <v>1</v>
      </c>
      <c r="I1432">
        <v>1465.7</v>
      </c>
      <c r="J1432">
        <v>1465.7</v>
      </c>
      <c r="K1432" t="s">
        <v>896</v>
      </c>
      <c r="L1432" t="s">
        <v>36</v>
      </c>
    </row>
    <row r="1433" spans="1:12" x14ac:dyDescent="0.35">
      <c r="A1433" t="s">
        <v>2693</v>
      </c>
      <c r="B1433" t="s">
        <v>586</v>
      </c>
      <c r="C1433" t="s">
        <v>587</v>
      </c>
      <c r="D1433" t="s">
        <v>67</v>
      </c>
      <c r="E1433" t="s">
        <v>130</v>
      </c>
      <c r="F1433" t="s">
        <v>101</v>
      </c>
      <c r="G1433" t="s">
        <v>237</v>
      </c>
      <c r="H1433">
        <v>4</v>
      </c>
      <c r="I1433">
        <v>742.03</v>
      </c>
      <c r="J1433">
        <v>2968.12</v>
      </c>
      <c r="K1433" t="s">
        <v>1583</v>
      </c>
      <c r="L1433" t="s">
        <v>45</v>
      </c>
    </row>
    <row r="1434" spans="1:12" x14ac:dyDescent="0.35">
      <c r="A1434" t="s">
        <v>2694</v>
      </c>
      <c r="B1434" t="s">
        <v>590</v>
      </c>
      <c r="C1434" t="s">
        <v>591</v>
      </c>
      <c r="D1434" t="s">
        <v>14</v>
      </c>
      <c r="E1434" t="s">
        <v>15</v>
      </c>
      <c r="F1434" t="s">
        <v>16</v>
      </c>
      <c r="G1434" t="s">
        <v>148</v>
      </c>
      <c r="H1434">
        <v>4</v>
      </c>
      <c r="I1434">
        <v>661.17</v>
      </c>
      <c r="J1434">
        <v>2644.68</v>
      </c>
      <c r="K1434" t="s">
        <v>2695</v>
      </c>
      <c r="L1434" t="s">
        <v>36</v>
      </c>
    </row>
    <row r="1435" spans="1:12" x14ac:dyDescent="0.35">
      <c r="A1435" t="s">
        <v>2696</v>
      </c>
      <c r="B1435" t="s">
        <v>1203</v>
      </c>
      <c r="C1435" t="s">
        <v>1204</v>
      </c>
      <c r="D1435" t="s">
        <v>32</v>
      </c>
      <c r="E1435" t="s">
        <v>33</v>
      </c>
      <c r="F1435" t="s">
        <v>42</v>
      </c>
      <c r="G1435" t="s">
        <v>170</v>
      </c>
      <c r="H1435">
        <v>5</v>
      </c>
      <c r="I1435">
        <v>431.54</v>
      </c>
      <c r="J1435">
        <v>2157.6999999999998</v>
      </c>
      <c r="K1435" t="s">
        <v>1262</v>
      </c>
      <c r="L1435" t="s">
        <v>91</v>
      </c>
    </row>
    <row r="1436" spans="1:12" x14ac:dyDescent="0.35">
      <c r="A1436" t="s">
        <v>2697</v>
      </c>
      <c r="B1436" t="s">
        <v>470</v>
      </c>
      <c r="C1436" t="s">
        <v>471</v>
      </c>
      <c r="D1436" t="s">
        <v>40</v>
      </c>
      <c r="E1436" t="s">
        <v>79</v>
      </c>
      <c r="F1436" t="s">
        <v>42</v>
      </c>
      <c r="G1436" t="s">
        <v>89</v>
      </c>
      <c r="H1436">
        <v>5</v>
      </c>
      <c r="I1436">
        <v>953.19</v>
      </c>
      <c r="J1436">
        <v>4765.95</v>
      </c>
      <c r="K1436" t="s">
        <v>486</v>
      </c>
      <c r="L1436" t="s">
        <v>19</v>
      </c>
    </row>
    <row r="1437" spans="1:12" x14ac:dyDescent="0.35">
      <c r="A1437" t="s">
        <v>2698</v>
      </c>
      <c r="B1437" t="s">
        <v>311</v>
      </c>
      <c r="C1437" t="s">
        <v>312</v>
      </c>
      <c r="D1437" t="s">
        <v>32</v>
      </c>
      <c r="E1437" t="s">
        <v>33</v>
      </c>
      <c r="F1437" t="s">
        <v>25</v>
      </c>
      <c r="G1437" t="s">
        <v>62</v>
      </c>
      <c r="H1437">
        <v>3</v>
      </c>
      <c r="I1437">
        <v>1012.29</v>
      </c>
      <c r="J1437">
        <v>3036.87</v>
      </c>
      <c r="K1437" t="s">
        <v>2108</v>
      </c>
      <c r="L1437" t="s">
        <v>45</v>
      </c>
    </row>
    <row r="1438" spans="1:12" x14ac:dyDescent="0.35">
      <c r="A1438" t="s">
        <v>2699</v>
      </c>
      <c r="B1438" t="s">
        <v>738</v>
      </c>
      <c r="C1438" t="s">
        <v>739</v>
      </c>
      <c r="D1438" t="s">
        <v>67</v>
      </c>
      <c r="E1438" t="s">
        <v>130</v>
      </c>
      <c r="F1438" t="s">
        <v>42</v>
      </c>
      <c r="G1438" t="s">
        <v>89</v>
      </c>
      <c r="H1438">
        <v>3</v>
      </c>
      <c r="I1438">
        <v>607.48</v>
      </c>
      <c r="J1438">
        <v>1822.44</v>
      </c>
      <c r="K1438" t="s">
        <v>448</v>
      </c>
      <c r="L1438" t="s">
        <v>91</v>
      </c>
    </row>
    <row r="1439" spans="1:12" x14ac:dyDescent="0.35">
      <c r="A1439" t="s">
        <v>2700</v>
      </c>
      <c r="B1439" t="s">
        <v>842</v>
      </c>
      <c r="C1439" t="s">
        <v>843</v>
      </c>
      <c r="D1439" t="s">
        <v>67</v>
      </c>
      <c r="E1439" t="s">
        <v>68</v>
      </c>
      <c r="F1439" t="s">
        <v>101</v>
      </c>
      <c r="G1439" t="s">
        <v>373</v>
      </c>
      <c r="H1439">
        <v>5</v>
      </c>
      <c r="I1439">
        <v>247.69</v>
      </c>
      <c r="J1439">
        <v>1238.45</v>
      </c>
      <c r="K1439" t="s">
        <v>662</v>
      </c>
      <c r="L1439" t="s">
        <v>45</v>
      </c>
    </row>
    <row r="1440" spans="1:12" x14ac:dyDescent="0.35">
      <c r="A1440" t="s">
        <v>2701</v>
      </c>
      <c r="B1440" t="s">
        <v>1743</v>
      </c>
      <c r="C1440" t="s">
        <v>1744</v>
      </c>
      <c r="D1440" t="s">
        <v>32</v>
      </c>
      <c r="E1440" t="s">
        <v>33</v>
      </c>
      <c r="F1440" t="s">
        <v>25</v>
      </c>
      <c r="G1440" t="s">
        <v>26</v>
      </c>
      <c r="H1440">
        <v>5</v>
      </c>
      <c r="I1440">
        <v>512.04999999999995</v>
      </c>
      <c r="J1440">
        <v>2560.25</v>
      </c>
      <c r="K1440" t="s">
        <v>912</v>
      </c>
      <c r="L1440" t="s">
        <v>28</v>
      </c>
    </row>
    <row r="1441" spans="1:12" x14ac:dyDescent="0.35">
      <c r="A1441" t="s">
        <v>2702</v>
      </c>
      <c r="B1441" t="s">
        <v>1046</v>
      </c>
      <c r="C1441" t="s">
        <v>1047</v>
      </c>
      <c r="D1441" t="s">
        <v>32</v>
      </c>
      <c r="E1441" t="s">
        <v>33</v>
      </c>
      <c r="F1441" t="s">
        <v>42</v>
      </c>
      <c r="G1441" t="s">
        <v>89</v>
      </c>
      <c r="H1441">
        <v>4</v>
      </c>
      <c r="I1441">
        <v>1366.07</v>
      </c>
      <c r="J1441">
        <v>5464.28</v>
      </c>
      <c r="K1441" t="s">
        <v>2703</v>
      </c>
      <c r="L1441" t="s">
        <v>36</v>
      </c>
    </row>
    <row r="1442" spans="1:12" x14ac:dyDescent="0.35">
      <c r="A1442" t="s">
        <v>2704</v>
      </c>
      <c r="B1442" t="s">
        <v>1285</v>
      </c>
      <c r="C1442" t="s">
        <v>1286</v>
      </c>
      <c r="D1442" t="s">
        <v>23</v>
      </c>
      <c r="E1442" t="s">
        <v>338</v>
      </c>
      <c r="F1442" t="s">
        <v>42</v>
      </c>
      <c r="G1442" t="s">
        <v>170</v>
      </c>
      <c r="H1442">
        <v>3</v>
      </c>
      <c r="I1442">
        <v>288.54000000000002</v>
      </c>
      <c r="J1442">
        <v>865.62</v>
      </c>
      <c r="K1442" t="s">
        <v>2705</v>
      </c>
      <c r="L1442" t="s">
        <v>36</v>
      </c>
    </row>
    <row r="1443" spans="1:12" x14ac:dyDescent="0.35">
      <c r="A1443" t="s">
        <v>2706</v>
      </c>
      <c r="B1443" t="s">
        <v>574</v>
      </c>
      <c r="C1443" t="s">
        <v>575</v>
      </c>
      <c r="D1443" t="s">
        <v>40</v>
      </c>
      <c r="E1443" t="s">
        <v>41</v>
      </c>
      <c r="F1443" t="s">
        <v>50</v>
      </c>
      <c r="G1443" t="s">
        <v>56</v>
      </c>
      <c r="H1443">
        <v>5</v>
      </c>
      <c r="I1443">
        <v>770.71</v>
      </c>
      <c r="J1443">
        <v>3853.55</v>
      </c>
      <c r="K1443" t="s">
        <v>523</v>
      </c>
      <c r="L1443" t="s">
        <v>91</v>
      </c>
    </row>
    <row r="1444" spans="1:12" x14ac:dyDescent="0.35">
      <c r="A1444" t="s">
        <v>2707</v>
      </c>
      <c r="B1444" t="s">
        <v>412</v>
      </c>
      <c r="C1444" t="s">
        <v>413</v>
      </c>
      <c r="D1444" t="s">
        <v>32</v>
      </c>
      <c r="E1444" t="s">
        <v>61</v>
      </c>
      <c r="F1444" t="s">
        <v>101</v>
      </c>
      <c r="G1444" t="s">
        <v>237</v>
      </c>
      <c r="H1444">
        <v>4</v>
      </c>
      <c r="I1444">
        <v>681.23</v>
      </c>
      <c r="J1444">
        <v>2724.92</v>
      </c>
      <c r="K1444" t="s">
        <v>96</v>
      </c>
      <c r="L1444" t="s">
        <v>28</v>
      </c>
    </row>
    <row r="1445" spans="1:12" x14ac:dyDescent="0.35">
      <c r="A1445" t="s">
        <v>2708</v>
      </c>
      <c r="B1445" t="s">
        <v>1444</v>
      </c>
      <c r="C1445" t="s">
        <v>1445</v>
      </c>
      <c r="D1445" t="s">
        <v>14</v>
      </c>
      <c r="E1445" t="s">
        <v>266</v>
      </c>
      <c r="F1445" t="s">
        <v>25</v>
      </c>
      <c r="G1445" t="s">
        <v>139</v>
      </c>
      <c r="H1445">
        <v>1</v>
      </c>
      <c r="I1445">
        <v>929.89</v>
      </c>
      <c r="J1445">
        <v>929.89</v>
      </c>
      <c r="K1445" t="s">
        <v>1629</v>
      </c>
      <c r="L1445" t="s">
        <v>91</v>
      </c>
    </row>
    <row r="1446" spans="1:12" x14ac:dyDescent="0.35">
      <c r="A1446" t="s">
        <v>2709</v>
      </c>
      <c r="B1446" t="s">
        <v>118</v>
      </c>
      <c r="C1446" t="s">
        <v>119</v>
      </c>
      <c r="D1446" t="s">
        <v>14</v>
      </c>
      <c r="E1446" t="s">
        <v>266</v>
      </c>
      <c r="F1446" t="s">
        <v>16</v>
      </c>
      <c r="G1446" t="s">
        <v>177</v>
      </c>
      <c r="H1446">
        <v>3</v>
      </c>
      <c r="I1446">
        <v>502.4</v>
      </c>
      <c r="J1446">
        <v>1507.2</v>
      </c>
      <c r="K1446" t="s">
        <v>1321</v>
      </c>
      <c r="L1446" t="s">
        <v>28</v>
      </c>
    </row>
    <row r="1447" spans="1:12" x14ac:dyDescent="0.35">
      <c r="A1447" t="s">
        <v>2710</v>
      </c>
      <c r="B1447" t="s">
        <v>321</v>
      </c>
      <c r="C1447" t="s">
        <v>322</v>
      </c>
      <c r="D1447" t="s">
        <v>14</v>
      </c>
      <c r="E1447" t="s">
        <v>266</v>
      </c>
      <c r="F1447" t="s">
        <v>25</v>
      </c>
      <c r="G1447" t="s">
        <v>139</v>
      </c>
      <c r="H1447">
        <v>3</v>
      </c>
      <c r="I1447">
        <v>1181.17</v>
      </c>
      <c r="J1447">
        <v>3543.51</v>
      </c>
      <c r="K1447" t="s">
        <v>301</v>
      </c>
      <c r="L1447" t="s">
        <v>45</v>
      </c>
    </row>
    <row r="1448" spans="1:12" x14ac:dyDescent="0.35">
      <c r="A1448" t="s">
        <v>2711</v>
      </c>
      <c r="B1448" t="s">
        <v>2188</v>
      </c>
      <c r="C1448" t="s">
        <v>2189</v>
      </c>
      <c r="D1448" t="s">
        <v>14</v>
      </c>
      <c r="E1448" t="s">
        <v>100</v>
      </c>
      <c r="F1448" t="s">
        <v>101</v>
      </c>
      <c r="G1448" t="s">
        <v>102</v>
      </c>
      <c r="H1448">
        <v>4</v>
      </c>
      <c r="I1448">
        <v>41.52</v>
      </c>
      <c r="J1448">
        <v>166.08</v>
      </c>
      <c r="K1448" t="s">
        <v>319</v>
      </c>
      <c r="L1448" t="s">
        <v>19</v>
      </c>
    </row>
    <row r="1449" spans="1:12" x14ac:dyDescent="0.35">
      <c r="A1449" t="s">
        <v>2712</v>
      </c>
      <c r="B1449" t="s">
        <v>562</v>
      </c>
      <c r="C1449" t="s">
        <v>563</v>
      </c>
      <c r="D1449" t="s">
        <v>67</v>
      </c>
      <c r="E1449" t="s">
        <v>130</v>
      </c>
      <c r="F1449" t="s">
        <v>101</v>
      </c>
      <c r="G1449" t="s">
        <v>165</v>
      </c>
      <c r="H1449">
        <v>3</v>
      </c>
      <c r="I1449">
        <v>1093.54</v>
      </c>
      <c r="J1449">
        <v>3280.62</v>
      </c>
      <c r="K1449" t="s">
        <v>1843</v>
      </c>
      <c r="L1449" t="s">
        <v>28</v>
      </c>
    </row>
    <row r="1450" spans="1:12" x14ac:dyDescent="0.35">
      <c r="A1450" t="s">
        <v>2713</v>
      </c>
      <c r="B1450" t="s">
        <v>791</v>
      </c>
      <c r="C1450" t="s">
        <v>792</v>
      </c>
      <c r="D1450" t="s">
        <v>23</v>
      </c>
      <c r="E1450" t="s">
        <v>24</v>
      </c>
      <c r="F1450" t="s">
        <v>50</v>
      </c>
      <c r="G1450" t="s">
        <v>170</v>
      </c>
      <c r="H1450">
        <v>1</v>
      </c>
      <c r="I1450">
        <v>607.87</v>
      </c>
      <c r="J1450">
        <v>607.87</v>
      </c>
      <c r="K1450" t="s">
        <v>1505</v>
      </c>
      <c r="L1450" t="s">
        <v>19</v>
      </c>
    </row>
    <row r="1451" spans="1:12" x14ac:dyDescent="0.35">
      <c r="A1451" t="s">
        <v>2714</v>
      </c>
      <c r="B1451" t="s">
        <v>1940</v>
      </c>
      <c r="C1451" t="s">
        <v>1941</v>
      </c>
      <c r="D1451" t="s">
        <v>32</v>
      </c>
      <c r="E1451" t="s">
        <v>61</v>
      </c>
      <c r="F1451" t="s">
        <v>50</v>
      </c>
      <c r="G1451" t="s">
        <v>56</v>
      </c>
      <c r="H1451">
        <v>4</v>
      </c>
      <c r="I1451">
        <v>473.68</v>
      </c>
      <c r="J1451">
        <v>1894.72</v>
      </c>
      <c r="K1451" t="s">
        <v>1763</v>
      </c>
      <c r="L1451" t="s">
        <v>36</v>
      </c>
    </row>
    <row r="1452" spans="1:12" x14ac:dyDescent="0.35">
      <c r="A1452" t="s">
        <v>2715</v>
      </c>
      <c r="B1452" t="s">
        <v>142</v>
      </c>
      <c r="C1452" t="s">
        <v>143</v>
      </c>
      <c r="D1452" t="s">
        <v>32</v>
      </c>
      <c r="E1452" t="s">
        <v>203</v>
      </c>
      <c r="F1452" t="s">
        <v>16</v>
      </c>
      <c r="G1452" t="s">
        <v>230</v>
      </c>
      <c r="H1452">
        <v>3</v>
      </c>
      <c r="I1452">
        <v>1380.42</v>
      </c>
      <c r="J1452">
        <v>4141.26</v>
      </c>
      <c r="K1452" t="s">
        <v>2207</v>
      </c>
      <c r="L1452" t="s">
        <v>36</v>
      </c>
    </row>
    <row r="1453" spans="1:12" x14ac:dyDescent="0.35">
      <c r="A1453" t="s">
        <v>2716</v>
      </c>
      <c r="B1453" t="s">
        <v>1153</v>
      </c>
      <c r="C1453" t="s">
        <v>1154</v>
      </c>
      <c r="D1453" t="s">
        <v>23</v>
      </c>
      <c r="E1453" t="s">
        <v>338</v>
      </c>
      <c r="F1453" t="s">
        <v>50</v>
      </c>
      <c r="G1453" t="s">
        <v>69</v>
      </c>
      <c r="H1453">
        <v>3</v>
      </c>
      <c r="I1453">
        <v>1336.39</v>
      </c>
      <c r="J1453">
        <v>4009.17</v>
      </c>
      <c r="K1453" t="s">
        <v>1852</v>
      </c>
      <c r="L1453" t="s">
        <v>19</v>
      </c>
    </row>
    <row r="1454" spans="1:12" x14ac:dyDescent="0.35">
      <c r="A1454" t="s">
        <v>2717</v>
      </c>
      <c r="B1454" t="s">
        <v>1510</v>
      </c>
      <c r="C1454" t="s">
        <v>1511</v>
      </c>
      <c r="D1454" t="s">
        <v>32</v>
      </c>
      <c r="E1454" t="s">
        <v>203</v>
      </c>
      <c r="F1454" t="s">
        <v>50</v>
      </c>
      <c r="G1454" t="s">
        <v>216</v>
      </c>
      <c r="H1454">
        <v>1</v>
      </c>
      <c r="I1454">
        <v>639.14</v>
      </c>
      <c r="J1454">
        <v>639.14</v>
      </c>
      <c r="K1454" t="s">
        <v>2074</v>
      </c>
      <c r="L1454" t="s">
        <v>45</v>
      </c>
    </row>
    <row r="1455" spans="1:12" x14ac:dyDescent="0.35">
      <c r="A1455" t="s">
        <v>2718</v>
      </c>
      <c r="B1455" t="s">
        <v>2719</v>
      </c>
      <c r="C1455" t="s">
        <v>2720</v>
      </c>
      <c r="D1455" t="s">
        <v>40</v>
      </c>
      <c r="E1455" t="s">
        <v>79</v>
      </c>
      <c r="F1455" t="s">
        <v>101</v>
      </c>
      <c r="G1455" t="s">
        <v>165</v>
      </c>
      <c r="H1455">
        <v>1</v>
      </c>
      <c r="I1455">
        <v>190.93</v>
      </c>
      <c r="J1455">
        <v>190.93</v>
      </c>
      <c r="K1455" t="s">
        <v>705</v>
      </c>
      <c r="L1455" t="s">
        <v>91</v>
      </c>
    </row>
    <row r="1456" spans="1:12" x14ac:dyDescent="0.35">
      <c r="A1456" t="s">
        <v>2721</v>
      </c>
      <c r="B1456" t="s">
        <v>1260</v>
      </c>
      <c r="C1456" t="s">
        <v>1261</v>
      </c>
      <c r="D1456" t="s">
        <v>67</v>
      </c>
      <c r="E1456" t="s">
        <v>115</v>
      </c>
      <c r="F1456" t="s">
        <v>101</v>
      </c>
      <c r="G1456" t="s">
        <v>165</v>
      </c>
      <c r="H1456">
        <v>5</v>
      </c>
      <c r="I1456">
        <v>917</v>
      </c>
      <c r="J1456">
        <v>4585</v>
      </c>
      <c r="K1456" t="s">
        <v>789</v>
      </c>
      <c r="L1456" t="s">
        <v>28</v>
      </c>
    </row>
    <row r="1457" spans="1:12" x14ac:dyDescent="0.35">
      <c r="A1457" t="s">
        <v>2722</v>
      </c>
      <c r="B1457" t="s">
        <v>602</v>
      </c>
      <c r="C1457" t="s">
        <v>603</v>
      </c>
      <c r="D1457" t="s">
        <v>23</v>
      </c>
      <c r="E1457" t="s">
        <v>49</v>
      </c>
      <c r="F1457" t="s">
        <v>50</v>
      </c>
      <c r="G1457" t="s">
        <v>56</v>
      </c>
      <c r="H1457">
        <v>5</v>
      </c>
      <c r="I1457">
        <v>1379.57</v>
      </c>
      <c r="J1457">
        <v>6897.85</v>
      </c>
      <c r="K1457" t="s">
        <v>1289</v>
      </c>
      <c r="L1457" t="s">
        <v>36</v>
      </c>
    </row>
    <row r="1458" spans="1:12" x14ac:dyDescent="0.35">
      <c r="A1458" t="s">
        <v>2723</v>
      </c>
      <c r="B1458" t="s">
        <v>341</v>
      </c>
      <c r="C1458" t="s">
        <v>342</v>
      </c>
      <c r="D1458" t="s">
        <v>67</v>
      </c>
      <c r="E1458" t="s">
        <v>68</v>
      </c>
      <c r="F1458" t="s">
        <v>16</v>
      </c>
      <c r="G1458" t="s">
        <v>230</v>
      </c>
      <c r="H1458">
        <v>1</v>
      </c>
      <c r="I1458">
        <v>488.01</v>
      </c>
      <c r="J1458">
        <v>488.01</v>
      </c>
      <c r="K1458" t="s">
        <v>27</v>
      </c>
      <c r="L1458" t="s">
        <v>91</v>
      </c>
    </row>
    <row r="1459" spans="1:12" x14ac:dyDescent="0.35">
      <c r="A1459" t="s">
        <v>2724</v>
      </c>
      <c r="B1459" t="s">
        <v>367</v>
      </c>
      <c r="C1459" t="s">
        <v>368</v>
      </c>
      <c r="D1459" t="s">
        <v>23</v>
      </c>
      <c r="E1459" t="s">
        <v>338</v>
      </c>
      <c r="F1459" t="s">
        <v>16</v>
      </c>
      <c r="G1459" t="s">
        <v>17</v>
      </c>
      <c r="H1459">
        <v>3</v>
      </c>
      <c r="I1459">
        <v>1212.94</v>
      </c>
      <c r="J1459">
        <v>3638.82</v>
      </c>
      <c r="K1459" t="s">
        <v>466</v>
      </c>
      <c r="L1459" t="s">
        <v>91</v>
      </c>
    </row>
    <row r="1460" spans="1:12" x14ac:dyDescent="0.35">
      <c r="A1460" t="s">
        <v>2725</v>
      </c>
      <c r="B1460" t="s">
        <v>1176</v>
      </c>
      <c r="C1460" t="s">
        <v>1177</v>
      </c>
      <c r="D1460" t="s">
        <v>23</v>
      </c>
      <c r="E1460" t="s">
        <v>338</v>
      </c>
      <c r="F1460" t="s">
        <v>16</v>
      </c>
      <c r="G1460" t="s">
        <v>17</v>
      </c>
      <c r="H1460">
        <v>1</v>
      </c>
      <c r="I1460">
        <v>1488.74</v>
      </c>
      <c r="J1460">
        <v>1488.74</v>
      </c>
      <c r="K1460" t="s">
        <v>1585</v>
      </c>
      <c r="L1460" t="s">
        <v>45</v>
      </c>
    </row>
    <row r="1461" spans="1:12" x14ac:dyDescent="0.35">
      <c r="A1461" t="s">
        <v>2726</v>
      </c>
      <c r="B1461" t="s">
        <v>827</v>
      </c>
      <c r="C1461" t="s">
        <v>828</v>
      </c>
      <c r="D1461" t="s">
        <v>32</v>
      </c>
      <c r="E1461" t="s">
        <v>61</v>
      </c>
      <c r="F1461" t="s">
        <v>50</v>
      </c>
      <c r="G1461" t="s">
        <v>170</v>
      </c>
      <c r="H1461">
        <v>1</v>
      </c>
      <c r="I1461">
        <v>757.12</v>
      </c>
      <c r="J1461">
        <v>757.12</v>
      </c>
      <c r="K1461" t="s">
        <v>2276</v>
      </c>
      <c r="L1461" t="s">
        <v>28</v>
      </c>
    </row>
    <row r="1462" spans="1:12" x14ac:dyDescent="0.35">
      <c r="A1462" t="s">
        <v>2727</v>
      </c>
      <c r="B1462" t="s">
        <v>1428</v>
      </c>
      <c r="C1462" t="s">
        <v>1429</v>
      </c>
      <c r="D1462" t="s">
        <v>32</v>
      </c>
      <c r="E1462" t="s">
        <v>203</v>
      </c>
      <c r="F1462" t="s">
        <v>16</v>
      </c>
      <c r="G1462" t="s">
        <v>148</v>
      </c>
      <c r="H1462">
        <v>5</v>
      </c>
      <c r="I1462">
        <v>265.83999999999997</v>
      </c>
      <c r="J1462">
        <v>1329.2</v>
      </c>
      <c r="K1462" t="s">
        <v>1032</v>
      </c>
      <c r="L1462" t="s">
        <v>28</v>
      </c>
    </row>
    <row r="1463" spans="1:12" x14ac:dyDescent="0.35">
      <c r="A1463" t="s">
        <v>2728</v>
      </c>
      <c r="B1463" t="s">
        <v>173</v>
      </c>
      <c r="C1463" t="s">
        <v>174</v>
      </c>
      <c r="D1463" t="s">
        <v>23</v>
      </c>
      <c r="E1463" t="s">
        <v>24</v>
      </c>
      <c r="F1463" t="s">
        <v>25</v>
      </c>
      <c r="G1463" t="s">
        <v>26</v>
      </c>
      <c r="H1463">
        <v>1</v>
      </c>
      <c r="I1463">
        <v>792.18</v>
      </c>
      <c r="J1463">
        <v>792.18</v>
      </c>
      <c r="K1463" t="s">
        <v>2729</v>
      </c>
      <c r="L1463" t="s">
        <v>36</v>
      </c>
    </row>
    <row r="1464" spans="1:12" x14ac:dyDescent="0.35">
      <c r="A1464" t="s">
        <v>2730</v>
      </c>
      <c r="B1464" t="s">
        <v>827</v>
      </c>
      <c r="C1464" t="s">
        <v>828</v>
      </c>
      <c r="D1464" t="s">
        <v>40</v>
      </c>
      <c r="E1464" t="s">
        <v>79</v>
      </c>
      <c r="F1464" t="s">
        <v>16</v>
      </c>
      <c r="G1464" t="s">
        <v>230</v>
      </c>
      <c r="H1464">
        <v>5</v>
      </c>
      <c r="I1464">
        <v>728.67</v>
      </c>
      <c r="J1464">
        <v>3643.35</v>
      </c>
      <c r="K1464" t="s">
        <v>2136</v>
      </c>
      <c r="L1464" t="s">
        <v>36</v>
      </c>
    </row>
    <row r="1465" spans="1:12" x14ac:dyDescent="0.35">
      <c r="A1465" t="s">
        <v>2731</v>
      </c>
      <c r="B1465" t="s">
        <v>699</v>
      </c>
      <c r="C1465" t="s">
        <v>700</v>
      </c>
      <c r="D1465" t="s">
        <v>40</v>
      </c>
      <c r="E1465" t="s">
        <v>120</v>
      </c>
      <c r="F1465" t="s">
        <v>50</v>
      </c>
      <c r="G1465" t="s">
        <v>51</v>
      </c>
      <c r="H1465">
        <v>4</v>
      </c>
      <c r="I1465">
        <v>580.47</v>
      </c>
      <c r="J1465">
        <v>2321.88</v>
      </c>
      <c r="K1465" t="s">
        <v>662</v>
      </c>
      <c r="L1465" t="s">
        <v>36</v>
      </c>
    </row>
    <row r="1466" spans="1:12" x14ac:dyDescent="0.35">
      <c r="A1466" t="s">
        <v>2732</v>
      </c>
      <c r="B1466" t="s">
        <v>260</v>
      </c>
      <c r="C1466" t="s">
        <v>261</v>
      </c>
      <c r="D1466" t="s">
        <v>14</v>
      </c>
      <c r="E1466" t="s">
        <v>100</v>
      </c>
      <c r="F1466" t="s">
        <v>101</v>
      </c>
      <c r="G1466" t="s">
        <v>237</v>
      </c>
      <c r="H1466">
        <v>3</v>
      </c>
      <c r="I1466">
        <v>1006.28</v>
      </c>
      <c r="J1466">
        <v>3018.84</v>
      </c>
      <c r="K1466" t="s">
        <v>2052</v>
      </c>
      <c r="L1466" t="s">
        <v>45</v>
      </c>
    </row>
    <row r="1467" spans="1:12" x14ac:dyDescent="0.35">
      <c r="A1467" t="s">
        <v>2733</v>
      </c>
      <c r="B1467" t="s">
        <v>918</v>
      </c>
      <c r="C1467" t="s">
        <v>919</v>
      </c>
      <c r="D1467" t="s">
        <v>23</v>
      </c>
      <c r="E1467" t="s">
        <v>338</v>
      </c>
      <c r="F1467" t="s">
        <v>101</v>
      </c>
      <c r="G1467" t="s">
        <v>237</v>
      </c>
      <c r="H1467">
        <v>1</v>
      </c>
      <c r="I1467">
        <v>951.09</v>
      </c>
      <c r="J1467">
        <v>951.09</v>
      </c>
      <c r="K1467" t="s">
        <v>662</v>
      </c>
      <c r="L1467" t="s">
        <v>91</v>
      </c>
    </row>
    <row r="1468" spans="1:12" x14ac:dyDescent="0.35">
      <c r="A1468" t="s">
        <v>2734</v>
      </c>
      <c r="B1468" t="s">
        <v>1066</v>
      </c>
      <c r="C1468" t="s">
        <v>1067</v>
      </c>
      <c r="D1468" t="s">
        <v>32</v>
      </c>
      <c r="E1468" t="s">
        <v>33</v>
      </c>
      <c r="F1468" t="s">
        <v>16</v>
      </c>
      <c r="G1468" t="s">
        <v>177</v>
      </c>
      <c r="H1468">
        <v>4</v>
      </c>
      <c r="I1468">
        <v>769.62</v>
      </c>
      <c r="J1468">
        <v>3078.48</v>
      </c>
      <c r="K1468" t="s">
        <v>2151</v>
      </c>
      <c r="L1468" t="s">
        <v>19</v>
      </c>
    </row>
    <row r="1469" spans="1:12" x14ac:dyDescent="0.35">
      <c r="A1469" t="s">
        <v>2735</v>
      </c>
      <c r="B1469" t="s">
        <v>426</v>
      </c>
      <c r="C1469" t="s">
        <v>427</v>
      </c>
      <c r="D1469" t="s">
        <v>14</v>
      </c>
      <c r="E1469" t="s">
        <v>95</v>
      </c>
      <c r="F1469" t="s">
        <v>42</v>
      </c>
      <c r="G1469" t="s">
        <v>43</v>
      </c>
      <c r="H1469">
        <v>4</v>
      </c>
      <c r="I1469">
        <v>609.78</v>
      </c>
      <c r="J1469">
        <v>2439.12</v>
      </c>
      <c r="K1469" t="s">
        <v>1549</v>
      </c>
      <c r="L1469" t="s">
        <v>19</v>
      </c>
    </row>
    <row r="1470" spans="1:12" x14ac:dyDescent="0.35">
      <c r="A1470" t="s">
        <v>2736</v>
      </c>
      <c r="B1470" t="s">
        <v>142</v>
      </c>
      <c r="C1470" t="s">
        <v>143</v>
      </c>
      <c r="D1470" t="s">
        <v>32</v>
      </c>
      <c r="E1470" t="s">
        <v>203</v>
      </c>
      <c r="F1470" t="s">
        <v>50</v>
      </c>
      <c r="G1470" t="s">
        <v>216</v>
      </c>
      <c r="H1470">
        <v>1</v>
      </c>
      <c r="I1470">
        <v>552.34</v>
      </c>
      <c r="J1470">
        <v>552.34</v>
      </c>
      <c r="K1470" t="s">
        <v>1194</v>
      </c>
      <c r="L1470" t="s">
        <v>45</v>
      </c>
    </row>
    <row r="1471" spans="1:12" x14ac:dyDescent="0.35">
      <c r="A1471" t="s">
        <v>2737</v>
      </c>
      <c r="B1471" t="s">
        <v>146</v>
      </c>
      <c r="C1471" t="s">
        <v>147</v>
      </c>
      <c r="D1471" t="s">
        <v>23</v>
      </c>
      <c r="E1471" t="s">
        <v>49</v>
      </c>
      <c r="F1471" t="s">
        <v>42</v>
      </c>
      <c r="G1471" t="s">
        <v>89</v>
      </c>
      <c r="H1471">
        <v>3</v>
      </c>
      <c r="I1471">
        <v>617.29999999999995</v>
      </c>
      <c r="J1471">
        <v>1851.9</v>
      </c>
      <c r="K1471" t="s">
        <v>183</v>
      </c>
      <c r="L1471" t="s">
        <v>28</v>
      </c>
    </row>
    <row r="1472" spans="1:12" x14ac:dyDescent="0.35">
      <c r="A1472" t="s">
        <v>2738</v>
      </c>
      <c r="B1472" t="s">
        <v>30</v>
      </c>
      <c r="C1472" t="s">
        <v>31</v>
      </c>
      <c r="D1472" t="s">
        <v>14</v>
      </c>
      <c r="E1472" t="s">
        <v>125</v>
      </c>
      <c r="F1472" t="s">
        <v>50</v>
      </c>
      <c r="G1472" t="s">
        <v>216</v>
      </c>
      <c r="H1472">
        <v>1</v>
      </c>
      <c r="I1472">
        <v>1326.4</v>
      </c>
      <c r="J1472">
        <v>1326.4</v>
      </c>
      <c r="K1472" t="s">
        <v>730</v>
      </c>
      <c r="L1472" t="s">
        <v>91</v>
      </c>
    </row>
    <row r="1473" spans="1:12" x14ac:dyDescent="0.35">
      <c r="A1473" t="s">
        <v>2739</v>
      </c>
      <c r="B1473" t="s">
        <v>1346</v>
      </c>
      <c r="C1473" t="s">
        <v>1347</v>
      </c>
      <c r="D1473" t="s">
        <v>40</v>
      </c>
      <c r="E1473" t="s">
        <v>79</v>
      </c>
      <c r="F1473" t="s">
        <v>50</v>
      </c>
      <c r="G1473" t="s">
        <v>216</v>
      </c>
      <c r="H1473">
        <v>2</v>
      </c>
      <c r="I1473">
        <v>776.56</v>
      </c>
      <c r="J1473">
        <v>1553.12</v>
      </c>
      <c r="K1473" t="s">
        <v>777</v>
      </c>
      <c r="L1473" t="s">
        <v>36</v>
      </c>
    </row>
    <row r="1474" spans="1:12" x14ac:dyDescent="0.35">
      <c r="A1474" t="s">
        <v>2740</v>
      </c>
      <c r="B1474" t="s">
        <v>197</v>
      </c>
      <c r="C1474" t="s">
        <v>198</v>
      </c>
      <c r="D1474" t="s">
        <v>23</v>
      </c>
      <c r="E1474" t="s">
        <v>49</v>
      </c>
      <c r="F1474" t="s">
        <v>101</v>
      </c>
      <c r="G1474" t="s">
        <v>165</v>
      </c>
      <c r="H1474">
        <v>1</v>
      </c>
      <c r="I1474">
        <v>1471.14</v>
      </c>
      <c r="J1474">
        <v>1471.14</v>
      </c>
      <c r="K1474" t="s">
        <v>1108</v>
      </c>
      <c r="L1474" t="s">
        <v>19</v>
      </c>
    </row>
    <row r="1475" spans="1:12" x14ac:dyDescent="0.35">
      <c r="A1475" t="s">
        <v>2741</v>
      </c>
      <c r="B1475" t="s">
        <v>65</v>
      </c>
      <c r="C1475" t="s">
        <v>66</v>
      </c>
      <c r="D1475" t="s">
        <v>40</v>
      </c>
      <c r="E1475" t="s">
        <v>120</v>
      </c>
      <c r="F1475" t="s">
        <v>42</v>
      </c>
      <c r="G1475" t="s">
        <v>89</v>
      </c>
      <c r="H1475">
        <v>1</v>
      </c>
      <c r="I1475">
        <v>271.67</v>
      </c>
      <c r="J1475">
        <v>271.67</v>
      </c>
      <c r="K1475" t="s">
        <v>866</v>
      </c>
      <c r="L1475" t="s">
        <v>91</v>
      </c>
    </row>
    <row r="1476" spans="1:12" x14ac:dyDescent="0.35">
      <c r="A1476" t="s">
        <v>2742</v>
      </c>
      <c r="B1476" t="s">
        <v>755</v>
      </c>
      <c r="C1476" t="s">
        <v>756</v>
      </c>
      <c r="D1476" t="s">
        <v>67</v>
      </c>
      <c r="E1476" t="s">
        <v>130</v>
      </c>
      <c r="F1476" t="s">
        <v>101</v>
      </c>
      <c r="G1476" t="s">
        <v>237</v>
      </c>
      <c r="H1476">
        <v>3</v>
      </c>
      <c r="I1476">
        <v>828.67</v>
      </c>
      <c r="J1476">
        <v>2486.0100000000002</v>
      </c>
      <c r="K1476" t="s">
        <v>433</v>
      </c>
      <c r="L1476" t="s">
        <v>36</v>
      </c>
    </row>
    <row r="1477" spans="1:12" x14ac:dyDescent="0.35">
      <c r="A1477" t="s">
        <v>2743</v>
      </c>
      <c r="B1477" t="s">
        <v>1042</v>
      </c>
      <c r="C1477" t="s">
        <v>1043</v>
      </c>
      <c r="D1477" t="s">
        <v>67</v>
      </c>
      <c r="E1477" t="s">
        <v>68</v>
      </c>
      <c r="F1477" t="s">
        <v>25</v>
      </c>
      <c r="G1477" t="s">
        <v>139</v>
      </c>
      <c r="H1477">
        <v>1</v>
      </c>
      <c r="I1477">
        <v>359.66</v>
      </c>
      <c r="J1477">
        <v>359.66</v>
      </c>
      <c r="K1477" t="s">
        <v>1332</v>
      </c>
      <c r="L1477" t="s">
        <v>91</v>
      </c>
    </row>
    <row r="1478" spans="1:12" x14ac:dyDescent="0.35">
      <c r="A1478" t="s">
        <v>2744</v>
      </c>
      <c r="B1478" t="s">
        <v>1066</v>
      </c>
      <c r="C1478" t="s">
        <v>1067</v>
      </c>
      <c r="D1478" t="s">
        <v>67</v>
      </c>
      <c r="E1478" t="s">
        <v>68</v>
      </c>
      <c r="F1478" t="s">
        <v>101</v>
      </c>
      <c r="G1478" t="s">
        <v>649</v>
      </c>
      <c r="H1478">
        <v>2</v>
      </c>
      <c r="I1478">
        <v>1363.4</v>
      </c>
      <c r="J1478">
        <v>2726.8</v>
      </c>
      <c r="K1478" t="s">
        <v>998</v>
      </c>
      <c r="L1478" t="s">
        <v>45</v>
      </c>
    </row>
    <row r="1479" spans="1:12" x14ac:dyDescent="0.35">
      <c r="A1479" t="s">
        <v>2745</v>
      </c>
      <c r="B1479" t="s">
        <v>65</v>
      </c>
      <c r="C1479" t="s">
        <v>66</v>
      </c>
      <c r="D1479" t="s">
        <v>40</v>
      </c>
      <c r="E1479" t="s">
        <v>41</v>
      </c>
      <c r="F1479" t="s">
        <v>50</v>
      </c>
      <c r="G1479" t="s">
        <v>69</v>
      </c>
      <c r="H1479">
        <v>1</v>
      </c>
      <c r="I1479">
        <v>1008.62</v>
      </c>
      <c r="J1479">
        <v>1008.62</v>
      </c>
      <c r="K1479" t="s">
        <v>297</v>
      </c>
      <c r="L1479" t="s">
        <v>19</v>
      </c>
    </row>
    <row r="1480" spans="1:12" x14ac:dyDescent="0.35">
      <c r="A1480" t="s">
        <v>2746</v>
      </c>
      <c r="B1480" t="s">
        <v>1170</v>
      </c>
      <c r="C1480" t="s">
        <v>1171</v>
      </c>
      <c r="D1480" t="s">
        <v>40</v>
      </c>
      <c r="E1480" t="s">
        <v>120</v>
      </c>
      <c r="F1480" t="s">
        <v>42</v>
      </c>
      <c r="G1480" t="s">
        <v>89</v>
      </c>
      <c r="H1480">
        <v>3</v>
      </c>
      <c r="I1480">
        <v>1244.9100000000001</v>
      </c>
      <c r="J1480">
        <v>3734.73</v>
      </c>
      <c r="K1480" t="s">
        <v>2662</v>
      </c>
      <c r="L1480" t="s">
        <v>91</v>
      </c>
    </row>
    <row r="1481" spans="1:12" x14ac:dyDescent="0.35">
      <c r="A1481" t="s">
        <v>2747</v>
      </c>
      <c r="B1481" t="s">
        <v>568</v>
      </c>
      <c r="C1481" t="s">
        <v>569</v>
      </c>
      <c r="D1481" t="s">
        <v>67</v>
      </c>
      <c r="E1481" t="s">
        <v>68</v>
      </c>
      <c r="F1481" t="s">
        <v>101</v>
      </c>
      <c r="G1481" t="s">
        <v>649</v>
      </c>
      <c r="H1481">
        <v>1</v>
      </c>
      <c r="I1481">
        <v>1489.38</v>
      </c>
      <c r="J1481">
        <v>1489.38</v>
      </c>
      <c r="K1481" t="s">
        <v>1540</v>
      </c>
      <c r="L1481" t="s">
        <v>28</v>
      </c>
    </row>
    <row r="1482" spans="1:12" x14ac:dyDescent="0.35">
      <c r="A1482" t="s">
        <v>2748</v>
      </c>
      <c r="B1482" t="s">
        <v>532</v>
      </c>
      <c r="C1482" t="s">
        <v>533</v>
      </c>
      <c r="D1482" t="s">
        <v>67</v>
      </c>
      <c r="E1482" t="s">
        <v>68</v>
      </c>
      <c r="F1482" t="s">
        <v>101</v>
      </c>
      <c r="G1482" t="s">
        <v>165</v>
      </c>
      <c r="H1482">
        <v>3</v>
      </c>
      <c r="I1482">
        <v>1235.73</v>
      </c>
      <c r="J1482">
        <v>3707.19</v>
      </c>
      <c r="K1482" t="s">
        <v>1505</v>
      </c>
      <c r="L1482" t="s">
        <v>28</v>
      </c>
    </row>
    <row r="1483" spans="1:12" x14ac:dyDescent="0.35">
      <c r="A1483" t="s">
        <v>2749</v>
      </c>
      <c r="B1483" t="s">
        <v>1018</v>
      </c>
      <c r="C1483" t="s">
        <v>1019</v>
      </c>
      <c r="D1483" t="s">
        <v>67</v>
      </c>
      <c r="E1483" t="s">
        <v>115</v>
      </c>
      <c r="F1483" t="s">
        <v>25</v>
      </c>
      <c r="G1483" t="s">
        <v>74</v>
      </c>
      <c r="H1483">
        <v>2</v>
      </c>
      <c r="I1483">
        <v>1489.23</v>
      </c>
      <c r="J1483">
        <v>2978.46</v>
      </c>
      <c r="K1483" t="s">
        <v>437</v>
      </c>
      <c r="L1483" t="s">
        <v>36</v>
      </c>
    </row>
    <row r="1484" spans="1:12" x14ac:dyDescent="0.35">
      <c r="A1484" t="s">
        <v>2750</v>
      </c>
      <c r="B1484" t="s">
        <v>1307</v>
      </c>
      <c r="C1484" t="s">
        <v>1308</v>
      </c>
      <c r="D1484" t="s">
        <v>67</v>
      </c>
      <c r="E1484" t="s">
        <v>115</v>
      </c>
      <c r="F1484" t="s">
        <v>42</v>
      </c>
      <c r="G1484" t="s">
        <v>225</v>
      </c>
      <c r="H1484">
        <v>1</v>
      </c>
      <c r="I1484">
        <v>99.38</v>
      </c>
      <c r="J1484">
        <v>99.38</v>
      </c>
      <c r="K1484" t="s">
        <v>410</v>
      </c>
      <c r="L1484" t="s">
        <v>91</v>
      </c>
    </row>
    <row r="1485" spans="1:12" x14ac:dyDescent="0.35">
      <c r="A1485" t="s">
        <v>2751</v>
      </c>
      <c r="B1485" t="s">
        <v>240</v>
      </c>
      <c r="C1485" t="s">
        <v>241</v>
      </c>
      <c r="D1485" t="s">
        <v>14</v>
      </c>
      <c r="E1485" t="s">
        <v>125</v>
      </c>
      <c r="F1485" t="s">
        <v>25</v>
      </c>
      <c r="G1485" t="s">
        <v>26</v>
      </c>
      <c r="H1485">
        <v>5</v>
      </c>
      <c r="I1485">
        <v>831.96</v>
      </c>
      <c r="J1485">
        <v>4159.8</v>
      </c>
      <c r="K1485" t="s">
        <v>1501</v>
      </c>
      <c r="L1485" t="s">
        <v>36</v>
      </c>
    </row>
    <row r="1486" spans="1:12" x14ac:dyDescent="0.35">
      <c r="A1486" t="s">
        <v>2752</v>
      </c>
      <c r="B1486" t="s">
        <v>47</v>
      </c>
      <c r="C1486" t="s">
        <v>48</v>
      </c>
      <c r="D1486" t="s">
        <v>40</v>
      </c>
      <c r="E1486" t="s">
        <v>120</v>
      </c>
      <c r="F1486" t="s">
        <v>16</v>
      </c>
      <c r="G1486" t="s">
        <v>182</v>
      </c>
      <c r="H1486">
        <v>4</v>
      </c>
      <c r="I1486">
        <v>945.75</v>
      </c>
      <c r="J1486">
        <v>3783</v>
      </c>
      <c r="K1486" t="s">
        <v>822</v>
      </c>
      <c r="L1486" t="s">
        <v>36</v>
      </c>
    </row>
    <row r="1487" spans="1:12" x14ac:dyDescent="0.35">
      <c r="A1487" t="s">
        <v>2753</v>
      </c>
      <c r="B1487" t="s">
        <v>295</v>
      </c>
      <c r="C1487" t="s">
        <v>296</v>
      </c>
      <c r="D1487" t="s">
        <v>40</v>
      </c>
      <c r="E1487" t="s">
        <v>41</v>
      </c>
      <c r="F1487" t="s">
        <v>101</v>
      </c>
      <c r="G1487" t="s">
        <v>102</v>
      </c>
      <c r="H1487">
        <v>5</v>
      </c>
      <c r="I1487">
        <v>497.78</v>
      </c>
      <c r="J1487">
        <v>2488.9</v>
      </c>
      <c r="K1487" t="s">
        <v>1126</v>
      </c>
      <c r="L1487" t="s">
        <v>36</v>
      </c>
    </row>
    <row r="1488" spans="1:12" x14ac:dyDescent="0.35">
      <c r="A1488" t="s">
        <v>2754</v>
      </c>
      <c r="B1488" t="s">
        <v>299</v>
      </c>
      <c r="C1488" t="s">
        <v>300</v>
      </c>
      <c r="D1488" t="s">
        <v>23</v>
      </c>
      <c r="E1488" t="s">
        <v>338</v>
      </c>
      <c r="F1488" t="s">
        <v>25</v>
      </c>
      <c r="G1488" t="s">
        <v>34</v>
      </c>
      <c r="H1488">
        <v>5</v>
      </c>
      <c r="I1488">
        <v>889.78</v>
      </c>
      <c r="J1488">
        <v>4448.8999999999996</v>
      </c>
      <c r="K1488" t="s">
        <v>2755</v>
      </c>
      <c r="L1488" t="s">
        <v>28</v>
      </c>
    </row>
    <row r="1489" spans="1:12" x14ac:dyDescent="0.35">
      <c r="A1489" t="s">
        <v>2756</v>
      </c>
      <c r="B1489" t="s">
        <v>947</v>
      </c>
      <c r="C1489" t="s">
        <v>948</v>
      </c>
      <c r="D1489" t="s">
        <v>23</v>
      </c>
      <c r="E1489" t="s">
        <v>24</v>
      </c>
      <c r="F1489" t="s">
        <v>101</v>
      </c>
      <c r="G1489" t="s">
        <v>373</v>
      </c>
      <c r="H1489">
        <v>5</v>
      </c>
      <c r="I1489">
        <v>372.19</v>
      </c>
      <c r="J1489">
        <v>1860.95</v>
      </c>
      <c r="K1489" t="s">
        <v>1348</v>
      </c>
      <c r="L1489" t="s">
        <v>91</v>
      </c>
    </row>
    <row r="1490" spans="1:12" x14ac:dyDescent="0.35">
      <c r="A1490" t="s">
        <v>2757</v>
      </c>
      <c r="B1490" t="s">
        <v>629</v>
      </c>
      <c r="C1490" t="s">
        <v>630</v>
      </c>
      <c r="D1490" t="s">
        <v>14</v>
      </c>
      <c r="E1490" t="s">
        <v>100</v>
      </c>
      <c r="F1490" t="s">
        <v>50</v>
      </c>
      <c r="G1490" t="s">
        <v>51</v>
      </c>
      <c r="H1490">
        <v>1</v>
      </c>
      <c r="I1490">
        <v>1457.31</v>
      </c>
      <c r="J1490">
        <v>1457.31</v>
      </c>
      <c r="K1490" t="s">
        <v>662</v>
      </c>
      <c r="L1490" t="s">
        <v>19</v>
      </c>
    </row>
    <row r="1491" spans="1:12" x14ac:dyDescent="0.35">
      <c r="A1491" t="s">
        <v>2758</v>
      </c>
      <c r="B1491" t="s">
        <v>168</v>
      </c>
      <c r="C1491" t="s">
        <v>169</v>
      </c>
      <c r="D1491" t="s">
        <v>32</v>
      </c>
      <c r="E1491" t="s">
        <v>203</v>
      </c>
      <c r="F1491" t="s">
        <v>16</v>
      </c>
      <c r="G1491" t="s">
        <v>177</v>
      </c>
      <c r="H1491">
        <v>4</v>
      </c>
      <c r="I1491">
        <v>489.82</v>
      </c>
      <c r="J1491">
        <v>1959.28</v>
      </c>
      <c r="K1491" t="s">
        <v>472</v>
      </c>
      <c r="L1491" t="s">
        <v>91</v>
      </c>
    </row>
    <row r="1492" spans="1:12" x14ac:dyDescent="0.35">
      <c r="A1492" t="s">
        <v>2759</v>
      </c>
      <c r="B1492" t="s">
        <v>392</v>
      </c>
      <c r="C1492" t="s">
        <v>393</v>
      </c>
      <c r="D1492" t="s">
        <v>40</v>
      </c>
      <c r="E1492" t="s">
        <v>120</v>
      </c>
      <c r="F1492" t="s">
        <v>16</v>
      </c>
      <c r="G1492" t="s">
        <v>182</v>
      </c>
      <c r="H1492">
        <v>1</v>
      </c>
      <c r="I1492">
        <v>758.39</v>
      </c>
      <c r="J1492">
        <v>758.39</v>
      </c>
      <c r="K1492" t="s">
        <v>761</v>
      </c>
      <c r="L1492" t="s">
        <v>91</v>
      </c>
    </row>
    <row r="1493" spans="1:12" x14ac:dyDescent="0.35">
      <c r="A1493" t="s">
        <v>2760</v>
      </c>
      <c r="B1493" t="s">
        <v>189</v>
      </c>
      <c r="C1493" t="s">
        <v>190</v>
      </c>
      <c r="D1493" t="s">
        <v>14</v>
      </c>
      <c r="E1493" t="s">
        <v>100</v>
      </c>
      <c r="F1493" t="s">
        <v>42</v>
      </c>
      <c r="G1493" t="s">
        <v>170</v>
      </c>
      <c r="H1493">
        <v>1</v>
      </c>
      <c r="I1493">
        <v>1490.87</v>
      </c>
      <c r="J1493">
        <v>1490.87</v>
      </c>
      <c r="K1493" t="s">
        <v>1219</v>
      </c>
      <c r="L1493" t="s">
        <v>45</v>
      </c>
    </row>
    <row r="1494" spans="1:12" x14ac:dyDescent="0.35">
      <c r="A1494" t="s">
        <v>2761</v>
      </c>
      <c r="B1494" t="s">
        <v>801</v>
      </c>
      <c r="C1494" t="s">
        <v>802</v>
      </c>
      <c r="D1494" t="s">
        <v>23</v>
      </c>
      <c r="E1494" t="s">
        <v>338</v>
      </c>
      <c r="F1494" t="s">
        <v>42</v>
      </c>
      <c r="G1494" t="s">
        <v>170</v>
      </c>
      <c r="H1494">
        <v>2</v>
      </c>
      <c r="I1494">
        <v>155.62</v>
      </c>
      <c r="J1494">
        <v>311.24</v>
      </c>
      <c r="K1494" t="s">
        <v>1056</v>
      </c>
      <c r="L1494" t="s">
        <v>91</v>
      </c>
    </row>
    <row r="1495" spans="1:12" x14ac:dyDescent="0.35">
      <c r="A1495" t="s">
        <v>2762</v>
      </c>
      <c r="B1495" t="s">
        <v>1212</v>
      </c>
      <c r="C1495" t="s">
        <v>1213</v>
      </c>
      <c r="D1495" t="s">
        <v>14</v>
      </c>
      <c r="E1495" t="s">
        <v>95</v>
      </c>
      <c r="F1495" t="s">
        <v>25</v>
      </c>
      <c r="G1495" t="s">
        <v>26</v>
      </c>
      <c r="H1495">
        <v>2</v>
      </c>
      <c r="I1495">
        <v>235.3</v>
      </c>
      <c r="J1495">
        <v>470.6</v>
      </c>
      <c r="K1495" t="s">
        <v>422</v>
      </c>
      <c r="L1495" t="s">
        <v>28</v>
      </c>
    </row>
    <row r="1496" spans="1:12" x14ac:dyDescent="0.35">
      <c r="A1496" t="s">
        <v>2763</v>
      </c>
      <c r="B1496" t="s">
        <v>618</v>
      </c>
      <c r="C1496" t="s">
        <v>619</v>
      </c>
      <c r="D1496" t="s">
        <v>23</v>
      </c>
      <c r="E1496" t="s">
        <v>338</v>
      </c>
      <c r="F1496" t="s">
        <v>101</v>
      </c>
      <c r="G1496" t="s">
        <v>165</v>
      </c>
      <c r="H1496">
        <v>3</v>
      </c>
      <c r="I1496">
        <v>1275.4000000000001</v>
      </c>
      <c r="J1496">
        <v>3826.2</v>
      </c>
      <c r="K1496" t="s">
        <v>1976</v>
      </c>
      <c r="L1496" t="s">
        <v>45</v>
      </c>
    </row>
    <row r="1497" spans="1:12" x14ac:dyDescent="0.35">
      <c r="A1497" t="s">
        <v>2764</v>
      </c>
      <c r="B1497" t="s">
        <v>936</v>
      </c>
      <c r="C1497" t="s">
        <v>937</v>
      </c>
      <c r="D1497" t="s">
        <v>23</v>
      </c>
      <c r="E1497" t="s">
        <v>49</v>
      </c>
      <c r="F1497" t="s">
        <v>42</v>
      </c>
      <c r="G1497" t="s">
        <v>89</v>
      </c>
      <c r="H1497">
        <v>5</v>
      </c>
      <c r="I1497">
        <v>665.68</v>
      </c>
      <c r="J1497">
        <v>3328.4</v>
      </c>
      <c r="K1497" t="s">
        <v>1841</v>
      </c>
      <c r="L1497" t="s">
        <v>28</v>
      </c>
    </row>
    <row r="1498" spans="1:12" x14ac:dyDescent="0.35">
      <c r="A1498" t="s">
        <v>2765</v>
      </c>
      <c r="B1498" t="s">
        <v>1510</v>
      </c>
      <c r="C1498" t="s">
        <v>1511</v>
      </c>
      <c r="D1498" t="s">
        <v>32</v>
      </c>
      <c r="E1498" t="s">
        <v>61</v>
      </c>
      <c r="F1498" t="s">
        <v>101</v>
      </c>
      <c r="G1498" t="s">
        <v>373</v>
      </c>
      <c r="H1498">
        <v>2</v>
      </c>
      <c r="I1498">
        <v>1330.22</v>
      </c>
      <c r="J1498">
        <v>2660.44</v>
      </c>
      <c r="K1498" t="s">
        <v>2766</v>
      </c>
      <c r="L1498" t="s">
        <v>45</v>
      </c>
    </row>
    <row r="1499" spans="1:12" x14ac:dyDescent="0.35">
      <c r="A1499" t="s">
        <v>2767</v>
      </c>
      <c r="B1499" t="s">
        <v>548</v>
      </c>
      <c r="C1499" t="s">
        <v>549</v>
      </c>
      <c r="D1499" t="s">
        <v>14</v>
      </c>
      <c r="E1499" t="s">
        <v>15</v>
      </c>
      <c r="F1499" t="s">
        <v>42</v>
      </c>
      <c r="G1499" t="s">
        <v>225</v>
      </c>
      <c r="H1499">
        <v>3</v>
      </c>
      <c r="I1499">
        <v>881.92</v>
      </c>
      <c r="J1499">
        <v>2645.76</v>
      </c>
      <c r="K1499" t="s">
        <v>2446</v>
      </c>
      <c r="L1499" t="s">
        <v>19</v>
      </c>
    </row>
    <row r="1500" spans="1:12" x14ac:dyDescent="0.35">
      <c r="A1500" t="s">
        <v>2768</v>
      </c>
      <c r="B1500" t="s">
        <v>1749</v>
      </c>
      <c r="C1500" t="s">
        <v>1750</v>
      </c>
      <c r="D1500" t="s">
        <v>32</v>
      </c>
      <c r="E1500" t="s">
        <v>33</v>
      </c>
      <c r="F1500" t="s">
        <v>25</v>
      </c>
      <c r="G1500" t="s">
        <v>139</v>
      </c>
      <c r="H1500">
        <v>2</v>
      </c>
      <c r="I1500">
        <v>355.7</v>
      </c>
      <c r="J1500">
        <v>711.4</v>
      </c>
      <c r="K1500" t="s">
        <v>2311</v>
      </c>
      <c r="L1500" t="s">
        <v>45</v>
      </c>
    </row>
    <row r="1501" spans="1:12" x14ac:dyDescent="0.35">
      <c r="A1501" t="s">
        <v>2769</v>
      </c>
      <c r="B1501" t="s">
        <v>723</v>
      </c>
      <c r="C1501" t="s">
        <v>724</v>
      </c>
      <c r="D1501" t="s">
        <v>32</v>
      </c>
      <c r="E1501" t="s">
        <v>33</v>
      </c>
      <c r="F1501" t="s">
        <v>50</v>
      </c>
      <c r="G1501" t="s">
        <v>69</v>
      </c>
      <c r="H1501">
        <v>5</v>
      </c>
      <c r="I1501">
        <v>16.670000000000002</v>
      </c>
      <c r="J1501">
        <v>83.35</v>
      </c>
      <c r="K1501" t="s">
        <v>63</v>
      </c>
      <c r="L1501" t="s">
        <v>19</v>
      </c>
    </row>
    <row r="1502" spans="1:12" x14ac:dyDescent="0.35">
      <c r="A1502" t="s">
        <v>2770</v>
      </c>
      <c r="B1502" t="s">
        <v>367</v>
      </c>
      <c r="C1502" t="s">
        <v>368</v>
      </c>
      <c r="D1502" t="s">
        <v>23</v>
      </c>
      <c r="E1502" t="s">
        <v>49</v>
      </c>
      <c r="F1502" t="s">
        <v>101</v>
      </c>
      <c r="G1502" t="s">
        <v>102</v>
      </c>
      <c r="H1502">
        <v>3</v>
      </c>
      <c r="I1502">
        <v>1318.71</v>
      </c>
      <c r="J1502">
        <v>3956.13</v>
      </c>
      <c r="K1502" t="s">
        <v>1214</v>
      </c>
      <c r="L1502" t="s">
        <v>45</v>
      </c>
    </row>
    <row r="1503" spans="1:12" x14ac:dyDescent="0.35">
      <c r="A1503" t="s">
        <v>2771</v>
      </c>
      <c r="B1503" t="s">
        <v>59</v>
      </c>
      <c r="C1503" t="s">
        <v>60</v>
      </c>
      <c r="D1503" t="s">
        <v>32</v>
      </c>
      <c r="E1503" t="s">
        <v>61</v>
      </c>
      <c r="F1503" t="s">
        <v>101</v>
      </c>
      <c r="G1503" t="s">
        <v>237</v>
      </c>
      <c r="H1503">
        <v>3</v>
      </c>
      <c r="I1503">
        <v>79.86</v>
      </c>
      <c r="J1503">
        <v>239.58</v>
      </c>
      <c r="K1503" t="s">
        <v>2772</v>
      </c>
      <c r="L1503" t="s">
        <v>19</v>
      </c>
    </row>
    <row r="1504" spans="1:12" x14ac:dyDescent="0.35">
      <c r="A1504" t="s">
        <v>2773</v>
      </c>
      <c r="B1504" t="s">
        <v>2002</v>
      </c>
      <c r="C1504" t="s">
        <v>2003</v>
      </c>
      <c r="D1504" t="s">
        <v>67</v>
      </c>
      <c r="E1504" t="s">
        <v>115</v>
      </c>
      <c r="F1504" t="s">
        <v>42</v>
      </c>
      <c r="G1504" t="s">
        <v>225</v>
      </c>
      <c r="H1504">
        <v>5</v>
      </c>
      <c r="I1504">
        <v>901.33</v>
      </c>
      <c r="J1504">
        <v>4506.6499999999996</v>
      </c>
      <c r="K1504" t="s">
        <v>1931</v>
      </c>
      <c r="L1504" t="s">
        <v>36</v>
      </c>
    </row>
    <row r="1505" spans="1:12" x14ac:dyDescent="0.35">
      <c r="A1505" t="s">
        <v>2774</v>
      </c>
      <c r="B1505" t="s">
        <v>59</v>
      </c>
      <c r="C1505" t="s">
        <v>60</v>
      </c>
      <c r="D1505" t="s">
        <v>32</v>
      </c>
      <c r="E1505" t="s">
        <v>33</v>
      </c>
      <c r="F1505" t="s">
        <v>25</v>
      </c>
      <c r="G1505" t="s">
        <v>62</v>
      </c>
      <c r="H1505">
        <v>5</v>
      </c>
      <c r="I1505">
        <v>1336.83</v>
      </c>
      <c r="J1505">
        <v>6684.15</v>
      </c>
      <c r="K1505" t="s">
        <v>665</v>
      </c>
      <c r="L1505" t="s">
        <v>91</v>
      </c>
    </row>
    <row r="1506" spans="1:12" x14ac:dyDescent="0.35">
      <c r="A1506" t="s">
        <v>2775</v>
      </c>
      <c r="B1506" t="s">
        <v>598</v>
      </c>
      <c r="C1506" t="s">
        <v>599</v>
      </c>
      <c r="D1506" t="s">
        <v>40</v>
      </c>
      <c r="E1506" t="s">
        <v>120</v>
      </c>
      <c r="F1506" t="s">
        <v>16</v>
      </c>
      <c r="G1506" t="s">
        <v>148</v>
      </c>
      <c r="H1506">
        <v>1</v>
      </c>
      <c r="I1506">
        <v>453.34</v>
      </c>
      <c r="J1506">
        <v>453.34</v>
      </c>
      <c r="K1506" t="s">
        <v>2684</v>
      </c>
      <c r="L1506" t="s">
        <v>28</v>
      </c>
    </row>
    <row r="1507" spans="1:12" x14ac:dyDescent="0.35">
      <c r="A1507" t="s">
        <v>2776</v>
      </c>
      <c r="B1507" t="s">
        <v>133</v>
      </c>
      <c r="C1507" t="s">
        <v>134</v>
      </c>
      <c r="D1507" t="s">
        <v>32</v>
      </c>
      <c r="E1507" t="s">
        <v>33</v>
      </c>
      <c r="F1507" t="s">
        <v>50</v>
      </c>
      <c r="G1507" t="s">
        <v>69</v>
      </c>
      <c r="H1507">
        <v>1</v>
      </c>
      <c r="I1507">
        <v>1384.46</v>
      </c>
      <c r="J1507">
        <v>1384.46</v>
      </c>
      <c r="K1507" t="s">
        <v>2086</v>
      </c>
      <c r="L1507" t="s">
        <v>36</v>
      </c>
    </row>
    <row r="1508" spans="1:12" x14ac:dyDescent="0.35">
      <c r="A1508" t="s">
        <v>2777</v>
      </c>
      <c r="B1508" t="s">
        <v>914</v>
      </c>
      <c r="C1508" t="s">
        <v>915</v>
      </c>
      <c r="D1508" t="s">
        <v>32</v>
      </c>
      <c r="E1508" t="s">
        <v>33</v>
      </c>
      <c r="F1508" t="s">
        <v>42</v>
      </c>
      <c r="G1508" t="s">
        <v>43</v>
      </c>
      <c r="H1508">
        <v>5</v>
      </c>
      <c r="I1508">
        <v>193.52</v>
      </c>
      <c r="J1508">
        <v>967.6</v>
      </c>
      <c r="K1508" t="s">
        <v>2054</v>
      </c>
      <c r="L1508" t="s">
        <v>36</v>
      </c>
    </row>
    <row r="1509" spans="1:12" x14ac:dyDescent="0.35">
      <c r="A1509" t="s">
        <v>2778</v>
      </c>
      <c r="B1509" t="s">
        <v>30</v>
      </c>
      <c r="C1509" t="s">
        <v>31</v>
      </c>
      <c r="D1509" t="s">
        <v>23</v>
      </c>
      <c r="E1509" t="s">
        <v>49</v>
      </c>
      <c r="F1509" t="s">
        <v>42</v>
      </c>
      <c r="G1509" t="s">
        <v>80</v>
      </c>
      <c r="H1509">
        <v>5</v>
      </c>
      <c r="I1509">
        <v>386.63</v>
      </c>
      <c r="J1509">
        <v>1933.15</v>
      </c>
      <c r="K1509" t="s">
        <v>2023</v>
      </c>
      <c r="L1509" t="s">
        <v>91</v>
      </c>
    </row>
    <row r="1510" spans="1:12" x14ac:dyDescent="0.35">
      <c r="A1510" t="s">
        <v>2779</v>
      </c>
      <c r="B1510" t="s">
        <v>727</v>
      </c>
      <c r="C1510" t="s">
        <v>728</v>
      </c>
      <c r="D1510" t="s">
        <v>14</v>
      </c>
      <c r="E1510" t="s">
        <v>266</v>
      </c>
      <c r="F1510" t="s">
        <v>25</v>
      </c>
      <c r="G1510" t="s">
        <v>139</v>
      </c>
      <c r="H1510">
        <v>5</v>
      </c>
      <c r="I1510">
        <v>681.7</v>
      </c>
      <c r="J1510">
        <v>3408.5</v>
      </c>
      <c r="K1510" t="s">
        <v>85</v>
      </c>
      <c r="L1510" t="s">
        <v>45</v>
      </c>
    </row>
    <row r="1511" spans="1:12" x14ac:dyDescent="0.35">
      <c r="A1511" t="s">
        <v>2780</v>
      </c>
      <c r="B1511" t="s">
        <v>1312</v>
      </c>
      <c r="C1511" t="s">
        <v>1313</v>
      </c>
      <c r="D1511" t="s">
        <v>32</v>
      </c>
      <c r="E1511" t="s">
        <v>33</v>
      </c>
      <c r="F1511" t="s">
        <v>16</v>
      </c>
      <c r="G1511" t="s">
        <v>177</v>
      </c>
      <c r="H1511">
        <v>2</v>
      </c>
      <c r="I1511">
        <v>892.09</v>
      </c>
      <c r="J1511">
        <v>1784.18</v>
      </c>
      <c r="K1511" t="s">
        <v>258</v>
      </c>
      <c r="L1511" t="s">
        <v>91</v>
      </c>
    </row>
    <row r="1512" spans="1:12" x14ac:dyDescent="0.35">
      <c r="A1512" t="s">
        <v>2781</v>
      </c>
      <c r="B1512" t="s">
        <v>1058</v>
      </c>
      <c r="C1512" t="s">
        <v>1059</v>
      </c>
      <c r="D1512" t="s">
        <v>32</v>
      </c>
      <c r="E1512" t="s">
        <v>61</v>
      </c>
      <c r="F1512" t="s">
        <v>101</v>
      </c>
      <c r="G1512" t="s">
        <v>373</v>
      </c>
      <c r="H1512">
        <v>1</v>
      </c>
      <c r="I1512">
        <v>1056.57</v>
      </c>
      <c r="J1512">
        <v>1056.57</v>
      </c>
      <c r="K1512" t="s">
        <v>504</v>
      </c>
      <c r="L1512" t="s">
        <v>19</v>
      </c>
    </row>
    <row r="1513" spans="1:12" x14ac:dyDescent="0.35">
      <c r="A1513" t="s">
        <v>2782</v>
      </c>
      <c r="B1513" t="s">
        <v>1191</v>
      </c>
      <c r="C1513" t="s">
        <v>1192</v>
      </c>
      <c r="D1513" t="s">
        <v>32</v>
      </c>
      <c r="E1513" t="s">
        <v>61</v>
      </c>
      <c r="F1513" t="s">
        <v>16</v>
      </c>
      <c r="G1513" t="s">
        <v>177</v>
      </c>
      <c r="H1513">
        <v>2</v>
      </c>
      <c r="I1513">
        <v>24.22</v>
      </c>
      <c r="J1513">
        <v>48.44</v>
      </c>
      <c r="K1513" t="s">
        <v>765</v>
      </c>
      <c r="L1513" t="s">
        <v>45</v>
      </c>
    </row>
    <row r="1514" spans="1:12" x14ac:dyDescent="0.35">
      <c r="A1514" t="s">
        <v>2783</v>
      </c>
      <c r="B1514" t="s">
        <v>418</v>
      </c>
      <c r="C1514" t="s">
        <v>419</v>
      </c>
      <c r="D1514" t="s">
        <v>23</v>
      </c>
      <c r="E1514" t="s">
        <v>338</v>
      </c>
      <c r="F1514" t="s">
        <v>16</v>
      </c>
      <c r="G1514" t="s">
        <v>182</v>
      </c>
      <c r="H1514">
        <v>5</v>
      </c>
      <c r="I1514">
        <v>960.99</v>
      </c>
      <c r="J1514">
        <v>4804.95</v>
      </c>
      <c r="K1514" t="s">
        <v>654</v>
      </c>
      <c r="L1514" t="s">
        <v>91</v>
      </c>
    </row>
    <row r="1515" spans="1:12" x14ac:dyDescent="0.35">
      <c r="A1515" t="s">
        <v>2784</v>
      </c>
      <c r="B1515" t="s">
        <v>699</v>
      </c>
      <c r="C1515" t="s">
        <v>700</v>
      </c>
      <c r="D1515" t="s">
        <v>14</v>
      </c>
      <c r="E1515" t="s">
        <v>15</v>
      </c>
      <c r="F1515" t="s">
        <v>101</v>
      </c>
      <c r="G1515" t="s">
        <v>165</v>
      </c>
      <c r="H1515">
        <v>1</v>
      </c>
      <c r="I1515">
        <v>435.5</v>
      </c>
      <c r="J1515">
        <v>435.5</v>
      </c>
      <c r="K1515" t="s">
        <v>1199</v>
      </c>
      <c r="L1515" t="s">
        <v>28</v>
      </c>
    </row>
    <row r="1516" spans="1:12" x14ac:dyDescent="0.35">
      <c r="A1516" t="s">
        <v>2785</v>
      </c>
      <c r="B1516" t="s">
        <v>481</v>
      </c>
      <c r="C1516" t="s">
        <v>482</v>
      </c>
      <c r="D1516" t="s">
        <v>23</v>
      </c>
      <c r="E1516" t="s">
        <v>49</v>
      </c>
      <c r="F1516" t="s">
        <v>25</v>
      </c>
      <c r="G1516" t="s">
        <v>34</v>
      </c>
      <c r="H1516">
        <v>1</v>
      </c>
      <c r="I1516">
        <v>1385.03</v>
      </c>
      <c r="J1516">
        <v>1385.03</v>
      </c>
      <c r="K1516" t="s">
        <v>1032</v>
      </c>
      <c r="L1516" t="s">
        <v>36</v>
      </c>
    </row>
    <row r="1517" spans="1:12" x14ac:dyDescent="0.35">
      <c r="A1517" t="s">
        <v>2786</v>
      </c>
      <c r="B1517" t="s">
        <v>2157</v>
      </c>
      <c r="C1517" t="s">
        <v>2158</v>
      </c>
      <c r="D1517" t="s">
        <v>32</v>
      </c>
      <c r="E1517" t="s">
        <v>61</v>
      </c>
      <c r="F1517" t="s">
        <v>25</v>
      </c>
      <c r="G1517" t="s">
        <v>62</v>
      </c>
      <c r="H1517">
        <v>1</v>
      </c>
      <c r="I1517">
        <v>814.62</v>
      </c>
      <c r="J1517">
        <v>814.62</v>
      </c>
      <c r="K1517" t="s">
        <v>1481</v>
      </c>
      <c r="L1517" t="s">
        <v>45</v>
      </c>
    </row>
    <row r="1518" spans="1:12" x14ac:dyDescent="0.35">
      <c r="A1518" t="s">
        <v>2787</v>
      </c>
      <c r="B1518" t="s">
        <v>832</v>
      </c>
      <c r="C1518" t="s">
        <v>833</v>
      </c>
      <c r="D1518" t="s">
        <v>23</v>
      </c>
      <c r="E1518" t="s">
        <v>338</v>
      </c>
      <c r="F1518" t="s">
        <v>25</v>
      </c>
      <c r="G1518" t="s">
        <v>74</v>
      </c>
      <c r="H1518">
        <v>1</v>
      </c>
      <c r="I1518">
        <v>258.73</v>
      </c>
      <c r="J1518">
        <v>258.73</v>
      </c>
      <c r="K1518" t="s">
        <v>2667</v>
      </c>
      <c r="L1518" t="s">
        <v>45</v>
      </c>
    </row>
    <row r="1519" spans="1:12" x14ac:dyDescent="0.35">
      <c r="A1519" t="s">
        <v>2788</v>
      </c>
      <c r="B1519" t="s">
        <v>1510</v>
      </c>
      <c r="C1519" t="s">
        <v>1511</v>
      </c>
      <c r="D1519" t="s">
        <v>14</v>
      </c>
      <c r="E1519" t="s">
        <v>266</v>
      </c>
      <c r="F1519" t="s">
        <v>16</v>
      </c>
      <c r="G1519" t="s">
        <v>182</v>
      </c>
      <c r="H1519">
        <v>5</v>
      </c>
      <c r="I1519">
        <v>841.22</v>
      </c>
      <c r="J1519">
        <v>4206.1000000000004</v>
      </c>
      <c r="K1519" t="s">
        <v>2588</v>
      </c>
      <c r="L1519" t="s">
        <v>45</v>
      </c>
    </row>
    <row r="1520" spans="1:12" x14ac:dyDescent="0.35">
      <c r="A1520" t="s">
        <v>2789</v>
      </c>
      <c r="B1520" t="s">
        <v>315</v>
      </c>
      <c r="C1520" t="s">
        <v>316</v>
      </c>
      <c r="D1520" t="s">
        <v>14</v>
      </c>
      <c r="E1520" t="s">
        <v>125</v>
      </c>
      <c r="F1520" t="s">
        <v>16</v>
      </c>
      <c r="G1520" t="s">
        <v>17</v>
      </c>
      <c r="H1520">
        <v>3</v>
      </c>
      <c r="I1520">
        <v>713.8</v>
      </c>
      <c r="J1520">
        <v>2141.4</v>
      </c>
      <c r="K1520" t="s">
        <v>212</v>
      </c>
      <c r="L1520" t="s">
        <v>28</v>
      </c>
    </row>
    <row r="1521" spans="1:12" x14ac:dyDescent="0.35">
      <c r="A1521" t="s">
        <v>2790</v>
      </c>
      <c r="B1521" t="s">
        <v>639</v>
      </c>
      <c r="C1521" t="s">
        <v>640</v>
      </c>
      <c r="D1521" t="s">
        <v>67</v>
      </c>
      <c r="E1521" t="s">
        <v>115</v>
      </c>
      <c r="F1521" t="s">
        <v>101</v>
      </c>
      <c r="G1521" t="s">
        <v>165</v>
      </c>
      <c r="H1521">
        <v>3</v>
      </c>
      <c r="I1521">
        <v>421.34</v>
      </c>
      <c r="J1521">
        <v>1264.02</v>
      </c>
      <c r="K1521" t="s">
        <v>896</v>
      </c>
      <c r="L1521" t="s">
        <v>91</v>
      </c>
    </row>
    <row r="1522" spans="1:12" x14ac:dyDescent="0.35">
      <c r="A1522" t="s">
        <v>2791</v>
      </c>
      <c r="B1522" t="s">
        <v>439</v>
      </c>
      <c r="C1522" t="s">
        <v>440</v>
      </c>
      <c r="D1522" t="s">
        <v>40</v>
      </c>
      <c r="E1522" t="s">
        <v>120</v>
      </c>
      <c r="F1522" t="s">
        <v>42</v>
      </c>
      <c r="G1522" t="s">
        <v>43</v>
      </c>
      <c r="H1522">
        <v>4</v>
      </c>
      <c r="I1522">
        <v>1235.8800000000001</v>
      </c>
      <c r="J1522">
        <v>4943.5200000000004</v>
      </c>
      <c r="K1522" t="s">
        <v>1481</v>
      </c>
      <c r="L1522" t="s">
        <v>36</v>
      </c>
    </row>
    <row r="1523" spans="1:12" x14ac:dyDescent="0.35">
      <c r="A1523" t="s">
        <v>2792</v>
      </c>
      <c r="B1523" t="s">
        <v>500</v>
      </c>
      <c r="C1523" t="s">
        <v>501</v>
      </c>
      <c r="D1523" t="s">
        <v>23</v>
      </c>
      <c r="E1523" t="s">
        <v>49</v>
      </c>
      <c r="F1523" t="s">
        <v>101</v>
      </c>
      <c r="G1523" t="s">
        <v>373</v>
      </c>
      <c r="H1523">
        <v>2</v>
      </c>
      <c r="I1523">
        <v>1088.95</v>
      </c>
      <c r="J1523">
        <v>2177.9</v>
      </c>
      <c r="K1523" t="s">
        <v>2223</v>
      </c>
      <c r="L1523" t="s">
        <v>19</v>
      </c>
    </row>
    <row r="1524" spans="1:12" x14ac:dyDescent="0.35">
      <c r="A1524" t="s">
        <v>2793</v>
      </c>
      <c r="B1524" t="s">
        <v>586</v>
      </c>
      <c r="C1524" t="s">
        <v>587</v>
      </c>
      <c r="D1524" t="s">
        <v>14</v>
      </c>
      <c r="E1524" t="s">
        <v>266</v>
      </c>
      <c r="F1524" t="s">
        <v>50</v>
      </c>
      <c r="G1524" t="s">
        <v>51</v>
      </c>
      <c r="H1524">
        <v>3</v>
      </c>
      <c r="I1524">
        <v>1020.22</v>
      </c>
      <c r="J1524">
        <v>3060.66</v>
      </c>
      <c r="K1524" t="s">
        <v>2354</v>
      </c>
      <c r="L1524" t="s">
        <v>36</v>
      </c>
    </row>
    <row r="1525" spans="1:12" x14ac:dyDescent="0.35">
      <c r="A1525" t="s">
        <v>2794</v>
      </c>
      <c r="B1525" t="s">
        <v>380</v>
      </c>
      <c r="C1525" t="s">
        <v>381</v>
      </c>
      <c r="D1525" t="s">
        <v>23</v>
      </c>
      <c r="E1525" t="s">
        <v>49</v>
      </c>
      <c r="F1525" t="s">
        <v>50</v>
      </c>
      <c r="G1525" t="s">
        <v>51</v>
      </c>
      <c r="H1525">
        <v>3</v>
      </c>
      <c r="I1525">
        <v>440.77</v>
      </c>
      <c r="J1525">
        <v>1322.31</v>
      </c>
      <c r="K1525" t="s">
        <v>894</v>
      </c>
      <c r="L1525" t="s">
        <v>91</v>
      </c>
    </row>
    <row r="1526" spans="1:12" x14ac:dyDescent="0.35">
      <c r="A1526" t="s">
        <v>2795</v>
      </c>
      <c r="B1526" t="s">
        <v>315</v>
      </c>
      <c r="C1526" t="s">
        <v>316</v>
      </c>
      <c r="D1526" t="s">
        <v>14</v>
      </c>
      <c r="E1526" t="s">
        <v>100</v>
      </c>
      <c r="F1526" t="s">
        <v>16</v>
      </c>
      <c r="G1526" t="s">
        <v>182</v>
      </c>
      <c r="H1526">
        <v>1</v>
      </c>
      <c r="I1526">
        <v>755.15</v>
      </c>
      <c r="J1526">
        <v>755.15</v>
      </c>
      <c r="K1526" t="s">
        <v>1754</v>
      </c>
      <c r="L1526" t="s">
        <v>19</v>
      </c>
    </row>
    <row r="1527" spans="1:12" x14ac:dyDescent="0.35">
      <c r="A1527" t="s">
        <v>2796</v>
      </c>
      <c r="B1527" t="s">
        <v>820</v>
      </c>
      <c r="C1527" t="s">
        <v>821</v>
      </c>
      <c r="D1527" t="s">
        <v>14</v>
      </c>
      <c r="E1527" t="s">
        <v>100</v>
      </c>
      <c r="F1527" t="s">
        <v>101</v>
      </c>
      <c r="G1527" t="s">
        <v>165</v>
      </c>
      <c r="H1527">
        <v>5</v>
      </c>
      <c r="I1527">
        <v>1014.95</v>
      </c>
      <c r="J1527">
        <v>5074.75</v>
      </c>
      <c r="K1527" t="s">
        <v>1889</v>
      </c>
      <c r="L1527" t="s">
        <v>36</v>
      </c>
    </row>
    <row r="1528" spans="1:12" x14ac:dyDescent="0.35">
      <c r="A1528" t="s">
        <v>2797</v>
      </c>
      <c r="B1528" t="s">
        <v>918</v>
      </c>
      <c r="C1528" t="s">
        <v>919</v>
      </c>
      <c r="D1528" t="s">
        <v>23</v>
      </c>
      <c r="E1528" t="s">
        <v>338</v>
      </c>
      <c r="F1528" t="s">
        <v>16</v>
      </c>
      <c r="G1528" t="s">
        <v>230</v>
      </c>
      <c r="H1528">
        <v>4</v>
      </c>
      <c r="I1528">
        <v>62.72</v>
      </c>
      <c r="J1528">
        <v>250.88</v>
      </c>
      <c r="K1528" t="s">
        <v>2278</v>
      </c>
      <c r="L1528" t="s">
        <v>45</v>
      </c>
    </row>
    <row r="1529" spans="1:12" x14ac:dyDescent="0.35">
      <c r="A1529" t="s">
        <v>2798</v>
      </c>
      <c r="B1529" t="s">
        <v>990</v>
      </c>
      <c r="C1529" t="s">
        <v>991</v>
      </c>
      <c r="D1529" t="s">
        <v>23</v>
      </c>
      <c r="E1529" t="s">
        <v>24</v>
      </c>
      <c r="F1529" t="s">
        <v>101</v>
      </c>
      <c r="G1529" t="s">
        <v>237</v>
      </c>
      <c r="H1529">
        <v>1</v>
      </c>
      <c r="I1529">
        <v>1331.38</v>
      </c>
      <c r="J1529">
        <v>1331.38</v>
      </c>
      <c r="K1529" t="s">
        <v>1929</v>
      </c>
      <c r="L1529" t="s">
        <v>28</v>
      </c>
    </row>
    <row r="1530" spans="1:12" x14ac:dyDescent="0.35">
      <c r="A1530" t="s">
        <v>2799</v>
      </c>
      <c r="B1530" t="s">
        <v>639</v>
      </c>
      <c r="C1530" t="s">
        <v>640</v>
      </c>
      <c r="D1530" t="s">
        <v>32</v>
      </c>
      <c r="E1530" t="s">
        <v>203</v>
      </c>
      <c r="F1530" t="s">
        <v>25</v>
      </c>
      <c r="G1530" t="s">
        <v>62</v>
      </c>
      <c r="H1530">
        <v>3</v>
      </c>
      <c r="I1530">
        <v>777.13</v>
      </c>
      <c r="J1530">
        <v>2331.39</v>
      </c>
      <c r="K1530" t="s">
        <v>2800</v>
      </c>
      <c r="L1530" t="s">
        <v>91</v>
      </c>
    </row>
    <row r="1531" spans="1:12" x14ac:dyDescent="0.35">
      <c r="A1531" t="s">
        <v>2801</v>
      </c>
      <c r="B1531" t="s">
        <v>38</v>
      </c>
      <c r="C1531" t="s">
        <v>39</v>
      </c>
      <c r="D1531" t="s">
        <v>14</v>
      </c>
      <c r="E1531" t="s">
        <v>266</v>
      </c>
      <c r="F1531" t="s">
        <v>101</v>
      </c>
      <c r="G1531" t="s">
        <v>373</v>
      </c>
      <c r="H1531">
        <v>2</v>
      </c>
      <c r="I1531">
        <v>1363.98</v>
      </c>
      <c r="J1531">
        <v>2727.96</v>
      </c>
      <c r="K1531" t="s">
        <v>486</v>
      </c>
      <c r="L1531" t="s">
        <v>28</v>
      </c>
    </row>
    <row r="1532" spans="1:12" x14ac:dyDescent="0.35">
      <c r="A1532" t="s">
        <v>2802</v>
      </c>
      <c r="B1532" t="s">
        <v>228</v>
      </c>
      <c r="C1532" t="s">
        <v>229</v>
      </c>
      <c r="D1532" t="s">
        <v>14</v>
      </c>
      <c r="E1532" t="s">
        <v>100</v>
      </c>
      <c r="F1532" t="s">
        <v>16</v>
      </c>
      <c r="G1532" t="s">
        <v>177</v>
      </c>
      <c r="H1532">
        <v>2</v>
      </c>
      <c r="I1532">
        <v>62.59</v>
      </c>
      <c r="J1532">
        <v>125.18</v>
      </c>
      <c r="K1532" t="s">
        <v>1338</v>
      </c>
      <c r="L1532" t="s">
        <v>36</v>
      </c>
    </row>
    <row r="1533" spans="1:12" x14ac:dyDescent="0.35">
      <c r="A1533" t="s">
        <v>2803</v>
      </c>
      <c r="B1533" t="s">
        <v>723</v>
      </c>
      <c r="C1533" t="s">
        <v>724</v>
      </c>
      <c r="D1533" t="s">
        <v>14</v>
      </c>
      <c r="E1533" t="s">
        <v>266</v>
      </c>
      <c r="F1533" t="s">
        <v>16</v>
      </c>
      <c r="G1533" t="s">
        <v>17</v>
      </c>
      <c r="H1533">
        <v>4</v>
      </c>
      <c r="I1533">
        <v>1319.81</v>
      </c>
      <c r="J1533">
        <v>5279.24</v>
      </c>
      <c r="K1533" t="s">
        <v>339</v>
      </c>
      <c r="L1533" t="s">
        <v>36</v>
      </c>
    </row>
    <row r="1534" spans="1:12" x14ac:dyDescent="0.35">
      <c r="A1534" t="s">
        <v>2804</v>
      </c>
      <c r="B1534" t="s">
        <v>1001</v>
      </c>
      <c r="C1534" t="s">
        <v>1002</v>
      </c>
      <c r="D1534" t="s">
        <v>40</v>
      </c>
      <c r="E1534" t="s">
        <v>120</v>
      </c>
      <c r="F1534" t="s">
        <v>16</v>
      </c>
      <c r="G1534" t="s">
        <v>148</v>
      </c>
      <c r="H1534">
        <v>5</v>
      </c>
      <c r="I1534">
        <v>868.63</v>
      </c>
      <c r="J1534">
        <v>4343.1499999999996</v>
      </c>
      <c r="K1534" t="s">
        <v>2772</v>
      </c>
      <c r="L1534" t="s">
        <v>45</v>
      </c>
    </row>
    <row r="1535" spans="1:12" x14ac:dyDescent="0.35">
      <c r="A1535" t="s">
        <v>2805</v>
      </c>
      <c r="B1535" t="s">
        <v>1677</v>
      </c>
      <c r="C1535" t="s">
        <v>1678</v>
      </c>
      <c r="D1535" t="s">
        <v>23</v>
      </c>
      <c r="E1535" t="s">
        <v>49</v>
      </c>
      <c r="F1535" t="s">
        <v>25</v>
      </c>
      <c r="G1535" t="s">
        <v>74</v>
      </c>
      <c r="H1535">
        <v>3</v>
      </c>
      <c r="I1535">
        <v>1165.24</v>
      </c>
      <c r="J1535">
        <v>3495.72</v>
      </c>
      <c r="K1535" t="s">
        <v>1460</v>
      </c>
      <c r="L1535" t="s">
        <v>91</v>
      </c>
    </row>
    <row r="1536" spans="1:12" x14ac:dyDescent="0.35">
      <c r="A1536" t="s">
        <v>2806</v>
      </c>
      <c r="B1536" t="s">
        <v>658</v>
      </c>
      <c r="C1536" t="s">
        <v>659</v>
      </c>
      <c r="D1536" t="s">
        <v>23</v>
      </c>
      <c r="E1536" t="s">
        <v>338</v>
      </c>
      <c r="F1536" t="s">
        <v>42</v>
      </c>
      <c r="G1536" t="s">
        <v>43</v>
      </c>
      <c r="H1536">
        <v>3</v>
      </c>
      <c r="I1536">
        <v>650.88</v>
      </c>
      <c r="J1536">
        <v>1952.64</v>
      </c>
      <c r="K1536" t="s">
        <v>2334</v>
      </c>
      <c r="L1536" t="s">
        <v>36</v>
      </c>
    </row>
    <row r="1537" spans="1:12" x14ac:dyDescent="0.35">
      <c r="A1537" t="s">
        <v>2807</v>
      </c>
      <c r="B1537" t="s">
        <v>639</v>
      </c>
      <c r="C1537" t="s">
        <v>640</v>
      </c>
      <c r="D1537" t="s">
        <v>23</v>
      </c>
      <c r="E1537" t="s">
        <v>49</v>
      </c>
      <c r="F1537" t="s">
        <v>16</v>
      </c>
      <c r="G1537" t="s">
        <v>230</v>
      </c>
      <c r="H1537">
        <v>2</v>
      </c>
      <c r="I1537">
        <v>367.54</v>
      </c>
      <c r="J1537">
        <v>735.08</v>
      </c>
      <c r="K1537" t="s">
        <v>2808</v>
      </c>
      <c r="L1537" t="s">
        <v>19</v>
      </c>
    </row>
    <row r="1538" spans="1:12" x14ac:dyDescent="0.35">
      <c r="A1538" t="s">
        <v>2809</v>
      </c>
      <c r="B1538" t="s">
        <v>426</v>
      </c>
      <c r="C1538" t="s">
        <v>427</v>
      </c>
      <c r="D1538" t="s">
        <v>32</v>
      </c>
      <c r="E1538" t="s">
        <v>33</v>
      </c>
      <c r="F1538" t="s">
        <v>16</v>
      </c>
      <c r="G1538" t="s">
        <v>182</v>
      </c>
      <c r="H1538">
        <v>2</v>
      </c>
      <c r="I1538">
        <v>1077.42</v>
      </c>
      <c r="J1538">
        <v>2154.84</v>
      </c>
      <c r="K1538" t="s">
        <v>2081</v>
      </c>
      <c r="L1538" t="s">
        <v>36</v>
      </c>
    </row>
    <row r="1539" spans="1:12" x14ac:dyDescent="0.35">
      <c r="A1539" t="s">
        <v>2810</v>
      </c>
      <c r="B1539" t="s">
        <v>1510</v>
      </c>
      <c r="C1539" t="s">
        <v>1511</v>
      </c>
      <c r="D1539" t="s">
        <v>67</v>
      </c>
      <c r="E1539" t="s">
        <v>68</v>
      </c>
      <c r="F1539" t="s">
        <v>25</v>
      </c>
      <c r="G1539" t="s">
        <v>26</v>
      </c>
      <c r="H1539">
        <v>3</v>
      </c>
      <c r="I1539">
        <v>278.47000000000003</v>
      </c>
      <c r="J1539">
        <v>835.41</v>
      </c>
      <c r="K1539" t="s">
        <v>2412</v>
      </c>
      <c r="L1539" t="s">
        <v>19</v>
      </c>
    </row>
    <row r="1540" spans="1:12" x14ac:dyDescent="0.35">
      <c r="A1540" t="s">
        <v>2811</v>
      </c>
      <c r="B1540" t="s">
        <v>180</v>
      </c>
      <c r="C1540" t="s">
        <v>181</v>
      </c>
      <c r="D1540" t="s">
        <v>40</v>
      </c>
      <c r="E1540" t="s">
        <v>41</v>
      </c>
      <c r="F1540" t="s">
        <v>50</v>
      </c>
      <c r="G1540" t="s">
        <v>69</v>
      </c>
      <c r="H1540">
        <v>2</v>
      </c>
      <c r="I1540">
        <v>882.93</v>
      </c>
      <c r="J1540">
        <v>1765.86</v>
      </c>
      <c r="K1540" t="s">
        <v>2270</v>
      </c>
      <c r="L1540" t="s">
        <v>28</v>
      </c>
    </row>
    <row r="1541" spans="1:12" x14ac:dyDescent="0.35">
      <c r="A1541" t="s">
        <v>2812</v>
      </c>
      <c r="B1541" t="s">
        <v>260</v>
      </c>
      <c r="C1541" t="s">
        <v>261</v>
      </c>
      <c r="D1541" t="s">
        <v>40</v>
      </c>
      <c r="E1541" t="s">
        <v>41</v>
      </c>
      <c r="F1541" t="s">
        <v>16</v>
      </c>
      <c r="G1541" t="s">
        <v>17</v>
      </c>
      <c r="H1541">
        <v>5</v>
      </c>
      <c r="I1541">
        <v>1367.14</v>
      </c>
      <c r="J1541">
        <v>6835.7</v>
      </c>
      <c r="K1541" t="s">
        <v>1034</v>
      </c>
      <c r="L1541" t="s">
        <v>19</v>
      </c>
    </row>
    <row r="1542" spans="1:12" x14ac:dyDescent="0.35">
      <c r="A1542" t="s">
        <v>2813</v>
      </c>
      <c r="B1542" t="s">
        <v>450</v>
      </c>
      <c r="C1542" t="s">
        <v>451</v>
      </c>
      <c r="D1542" t="s">
        <v>14</v>
      </c>
      <c r="E1542" t="s">
        <v>100</v>
      </c>
      <c r="F1542" t="s">
        <v>50</v>
      </c>
      <c r="G1542" t="s">
        <v>51</v>
      </c>
      <c r="H1542">
        <v>5</v>
      </c>
      <c r="I1542">
        <v>7.74</v>
      </c>
      <c r="J1542">
        <v>38.700000000000003</v>
      </c>
      <c r="K1542" t="s">
        <v>1448</v>
      </c>
      <c r="L1542" t="s">
        <v>45</v>
      </c>
    </row>
    <row r="1543" spans="1:12" x14ac:dyDescent="0.35">
      <c r="A1543" t="s">
        <v>2814</v>
      </c>
      <c r="B1543" t="s">
        <v>240</v>
      </c>
      <c r="C1543" t="s">
        <v>241</v>
      </c>
      <c r="D1543" t="s">
        <v>14</v>
      </c>
      <c r="E1543" t="s">
        <v>15</v>
      </c>
      <c r="F1543" t="s">
        <v>25</v>
      </c>
      <c r="G1543" t="s">
        <v>139</v>
      </c>
      <c r="H1543">
        <v>3</v>
      </c>
      <c r="I1543">
        <v>481.72</v>
      </c>
      <c r="J1543">
        <v>1445.16</v>
      </c>
      <c r="K1543" t="s">
        <v>2116</v>
      </c>
      <c r="L1543" t="s">
        <v>91</v>
      </c>
    </row>
    <row r="1544" spans="1:12" x14ac:dyDescent="0.35">
      <c r="A1544" t="s">
        <v>2815</v>
      </c>
      <c r="B1544" t="s">
        <v>474</v>
      </c>
      <c r="C1544" t="s">
        <v>475</v>
      </c>
      <c r="D1544" t="s">
        <v>32</v>
      </c>
      <c r="E1544" t="s">
        <v>33</v>
      </c>
      <c r="F1544" t="s">
        <v>42</v>
      </c>
      <c r="G1544" t="s">
        <v>170</v>
      </c>
      <c r="H1544">
        <v>4</v>
      </c>
      <c r="I1544">
        <v>436.76</v>
      </c>
      <c r="J1544">
        <v>1747.04</v>
      </c>
      <c r="K1544" t="s">
        <v>1338</v>
      </c>
      <c r="L1544" t="s">
        <v>19</v>
      </c>
    </row>
    <row r="1545" spans="1:12" x14ac:dyDescent="0.35">
      <c r="A1545" t="s">
        <v>2816</v>
      </c>
      <c r="B1545" t="s">
        <v>384</v>
      </c>
      <c r="C1545" t="s">
        <v>385</v>
      </c>
      <c r="D1545" t="s">
        <v>23</v>
      </c>
      <c r="E1545" t="s">
        <v>24</v>
      </c>
      <c r="F1545" t="s">
        <v>42</v>
      </c>
      <c r="G1545" t="s">
        <v>225</v>
      </c>
      <c r="H1545">
        <v>3</v>
      </c>
      <c r="I1545">
        <v>1264.92</v>
      </c>
      <c r="J1545">
        <v>3794.76</v>
      </c>
      <c r="K1545" t="s">
        <v>709</v>
      </c>
      <c r="L1545" t="s">
        <v>28</v>
      </c>
    </row>
    <row r="1546" spans="1:12" x14ac:dyDescent="0.35">
      <c r="A1546" t="s">
        <v>2817</v>
      </c>
      <c r="B1546" t="s">
        <v>1179</v>
      </c>
      <c r="C1546" t="s">
        <v>1180</v>
      </c>
      <c r="D1546" t="s">
        <v>14</v>
      </c>
      <c r="E1546" t="s">
        <v>95</v>
      </c>
      <c r="F1546" t="s">
        <v>101</v>
      </c>
      <c r="G1546" t="s">
        <v>373</v>
      </c>
      <c r="H1546">
        <v>5</v>
      </c>
      <c r="I1546">
        <v>696.14</v>
      </c>
      <c r="J1546">
        <v>3480.7</v>
      </c>
      <c r="K1546" t="s">
        <v>2225</v>
      </c>
      <c r="L1546" t="s">
        <v>28</v>
      </c>
    </row>
    <row r="1547" spans="1:12" x14ac:dyDescent="0.35">
      <c r="A1547" t="s">
        <v>2818</v>
      </c>
      <c r="B1547" t="s">
        <v>336</v>
      </c>
      <c r="C1547" t="s">
        <v>337</v>
      </c>
      <c r="D1547" t="s">
        <v>14</v>
      </c>
      <c r="E1547" t="s">
        <v>125</v>
      </c>
      <c r="F1547" t="s">
        <v>101</v>
      </c>
      <c r="G1547" t="s">
        <v>237</v>
      </c>
      <c r="H1547">
        <v>4</v>
      </c>
      <c r="I1547">
        <v>1139.8900000000001</v>
      </c>
      <c r="J1547">
        <v>4559.5600000000004</v>
      </c>
      <c r="K1547" t="s">
        <v>1048</v>
      </c>
      <c r="L1547" t="s">
        <v>45</v>
      </c>
    </row>
    <row r="1548" spans="1:12" x14ac:dyDescent="0.35">
      <c r="A1548" t="s">
        <v>2819</v>
      </c>
      <c r="B1548" t="s">
        <v>228</v>
      </c>
      <c r="C1548" t="s">
        <v>229</v>
      </c>
      <c r="D1548" t="s">
        <v>14</v>
      </c>
      <c r="E1548" t="s">
        <v>100</v>
      </c>
      <c r="F1548" t="s">
        <v>16</v>
      </c>
      <c r="G1548" t="s">
        <v>148</v>
      </c>
      <c r="H1548">
        <v>2</v>
      </c>
      <c r="I1548">
        <v>1369.57</v>
      </c>
      <c r="J1548">
        <v>2739.14</v>
      </c>
      <c r="K1548" t="s">
        <v>365</v>
      </c>
      <c r="L1548" t="s">
        <v>45</v>
      </c>
    </row>
    <row r="1549" spans="1:12" x14ac:dyDescent="0.35">
      <c r="A1549" t="s">
        <v>2820</v>
      </c>
      <c r="B1549" t="s">
        <v>699</v>
      </c>
      <c r="C1549" t="s">
        <v>700</v>
      </c>
      <c r="D1549" t="s">
        <v>23</v>
      </c>
      <c r="E1549" t="s">
        <v>49</v>
      </c>
      <c r="F1549" t="s">
        <v>50</v>
      </c>
      <c r="G1549" t="s">
        <v>216</v>
      </c>
      <c r="H1549">
        <v>2</v>
      </c>
      <c r="I1549">
        <v>528.03</v>
      </c>
      <c r="J1549">
        <v>1056.06</v>
      </c>
      <c r="K1549" t="s">
        <v>1879</v>
      </c>
      <c r="L1549" t="s">
        <v>91</v>
      </c>
    </row>
    <row r="1550" spans="1:12" x14ac:dyDescent="0.35">
      <c r="A1550" t="s">
        <v>2821</v>
      </c>
      <c r="B1550" t="s">
        <v>244</v>
      </c>
      <c r="C1550" t="s">
        <v>245</v>
      </c>
      <c r="D1550" t="s">
        <v>67</v>
      </c>
      <c r="E1550" t="s">
        <v>68</v>
      </c>
      <c r="F1550" t="s">
        <v>25</v>
      </c>
      <c r="G1550" t="s">
        <v>34</v>
      </c>
      <c r="H1550">
        <v>2</v>
      </c>
      <c r="I1550">
        <v>984.54</v>
      </c>
      <c r="J1550">
        <v>1969.08</v>
      </c>
      <c r="K1550" t="s">
        <v>1779</v>
      </c>
      <c r="L1550" t="s">
        <v>19</v>
      </c>
    </row>
    <row r="1551" spans="1:12" x14ac:dyDescent="0.35">
      <c r="A1551" t="s">
        <v>2822</v>
      </c>
      <c r="B1551" t="s">
        <v>287</v>
      </c>
      <c r="C1551" t="s">
        <v>288</v>
      </c>
      <c r="D1551" t="s">
        <v>67</v>
      </c>
      <c r="E1551" t="s">
        <v>68</v>
      </c>
      <c r="F1551" t="s">
        <v>101</v>
      </c>
      <c r="G1551" t="s">
        <v>165</v>
      </c>
      <c r="H1551">
        <v>2</v>
      </c>
      <c r="I1551">
        <v>1299.31</v>
      </c>
      <c r="J1551">
        <v>2598.62</v>
      </c>
      <c r="K1551" t="s">
        <v>199</v>
      </c>
      <c r="L1551" t="s">
        <v>28</v>
      </c>
    </row>
    <row r="1552" spans="1:12" x14ac:dyDescent="0.35">
      <c r="A1552" t="s">
        <v>2823</v>
      </c>
      <c r="B1552" t="s">
        <v>446</v>
      </c>
      <c r="C1552" t="s">
        <v>447</v>
      </c>
      <c r="D1552" t="s">
        <v>67</v>
      </c>
      <c r="E1552" t="s">
        <v>68</v>
      </c>
      <c r="F1552" t="s">
        <v>25</v>
      </c>
      <c r="G1552" t="s">
        <v>139</v>
      </c>
      <c r="H1552">
        <v>5</v>
      </c>
      <c r="I1552">
        <v>1349.95</v>
      </c>
      <c r="J1552">
        <v>6749.75</v>
      </c>
      <c r="K1552" t="s">
        <v>765</v>
      </c>
      <c r="L1552" t="s">
        <v>91</v>
      </c>
    </row>
    <row r="1553" spans="1:12" x14ac:dyDescent="0.35">
      <c r="A1553" t="s">
        <v>2824</v>
      </c>
      <c r="B1553" t="s">
        <v>686</v>
      </c>
      <c r="C1553" t="s">
        <v>687</v>
      </c>
      <c r="D1553" t="s">
        <v>32</v>
      </c>
      <c r="E1553" t="s">
        <v>203</v>
      </c>
      <c r="F1553" t="s">
        <v>16</v>
      </c>
      <c r="G1553" t="s">
        <v>17</v>
      </c>
      <c r="H1553">
        <v>2</v>
      </c>
      <c r="I1553">
        <v>1299.79</v>
      </c>
      <c r="J1553">
        <v>2599.58</v>
      </c>
      <c r="K1553" t="s">
        <v>305</v>
      </c>
      <c r="L1553" t="s">
        <v>36</v>
      </c>
    </row>
    <row r="1554" spans="1:12" x14ac:dyDescent="0.35">
      <c r="A1554" t="s">
        <v>2825</v>
      </c>
      <c r="B1554" t="s">
        <v>299</v>
      </c>
      <c r="C1554" t="s">
        <v>300</v>
      </c>
      <c r="D1554" t="s">
        <v>67</v>
      </c>
      <c r="E1554" t="s">
        <v>130</v>
      </c>
      <c r="F1554" t="s">
        <v>25</v>
      </c>
      <c r="G1554" t="s">
        <v>62</v>
      </c>
      <c r="H1554">
        <v>4</v>
      </c>
      <c r="I1554">
        <v>165.95</v>
      </c>
      <c r="J1554">
        <v>663.8</v>
      </c>
      <c r="K1554" t="s">
        <v>1425</v>
      </c>
      <c r="L1554" t="s">
        <v>19</v>
      </c>
    </row>
    <row r="1555" spans="1:12" x14ac:dyDescent="0.35">
      <c r="A1555" t="s">
        <v>2826</v>
      </c>
      <c r="B1555" t="s">
        <v>598</v>
      </c>
      <c r="C1555" t="s">
        <v>599</v>
      </c>
      <c r="D1555" t="s">
        <v>67</v>
      </c>
      <c r="E1555" t="s">
        <v>130</v>
      </c>
      <c r="F1555" t="s">
        <v>50</v>
      </c>
      <c r="G1555" t="s">
        <v>170</v>
      </c>
      <c r="H1555">
        <v>3</v>
      </c>
      <c r="I1555">
        <v>184.32</v>
      </c>
      <c r="J1555">
        <v>552.96</v>
      </c>
      <c r="K1555" t="s">
        <v>761</v>
      </c>
      <c r="L1555" t="s">
        <v>19</v>
      </c>
    </row>
    <row r="1556" spans="1:12" x14ac:dyDescent="0.35">
      <c r="A1556" t="s">
        <v>2827</v>
      </c>
      <c r="B1556" t="s">
        <v>1073</v>
      </c>
      <c r="C1556" t="s">
        <v>1074</v>
      </c>
      <c r="D1556" t="s">
        <v>32</v>
      </c>
      <c r="E1556" t="s">
        <v>203</v>
      </c>
      <c r="F1556" t="s">
        <v>50</v>
      </c>
      <c r="G1556" t="s">
        <v>56</v>
      </c>
      <c r="H1556">
        <v>2</v>
      </c>
      <c r="I1556">
        <v>856.11</v>
      </c>
      <c r="J1556">
        <v>1712.22</v>
      </c>
      <c r="K1556" t="s">
        <v>44</v>
      </c>
      <c r="L1556" t="s">
        <v>28</v>
      </c>
    </row>
    <row r="1557" spans="1:12" x14ac:dyDescent="0.35">
      <c r="A1557" t="s">
        <v>2828</v>
      </c>
      <c r="B1557" t="s">
        <v>718</v>
      </c>
      <c r="C1557" t="s">
        <v>719</v>
      </c>
      <c r="D1557" t="s">
        <v>40</v>
      </c>
      <c r="E1557" t="s">
        <v>120</v>
      </c>
      <c r="F1557" t="s">
        <v>25</v>
      </c>
      <c r="G1557" t="s">
        <v>34</v>
      </c>
      <c r="H1557">
        <v>3</v>
      </c>
      <c r="I1557">
        <v>782.28</v>
      </c>
      <c r="J1557">
        <v>2346.84</v>
      </c>
      <c r="K1557" t="s">
        <v>1406</v>
      </c>
      <c r="L1557" t="s">
        <v>19</v>
      </c>
    </row>
    <row r="1558" spans="1:12" x14ac:dyDescent="0.35">
      <c r="A1558" t="s">
        <v>2829</v>
      </c>
      <c r="B1558" t="s">
        <v>12</v>
      </c>
      <c r="C1558" t="s">
        <v>13</v>
      </c>
      <c r="D1558" t="s">
        <v>23</v>
      </c>
      <c r="E1558" t="s">
        <v>338</v>
      </c>
      <c r="F1558" t="s">
        <v>42</v>
      </c>
      <c r="G1558" t="s">
        <v>89</v>
      </c>
      <c r="H1558">
        <v>3</v>
      </c>
      <c r="I1558">
        <v>668.91</v>
      </c>
      <c r="J1558">
        <v>2006.73</v>
      </c>
      <c r="K1558" t="s">
        <v>2027</v>
      </c>
      <c r="L1558" t="s">
        <v>45</v>
      </c>
    </row>
    <row r="1559" spans="1:12" x14ac:dyDescent="0.35">
      <c r="A1559" t="s">
        <v>2830</v>
      </c>
      <c r="B1559" t="s">
        <v>173</v>
      </c>
      <c r="C1559" t="s">
        <v>174</v>
      </c>
      <c r="D1559" t="s">
        <v>32</v>
      </c>
      <c r="E1559" t="s">
        <v>203</v>
      </c>
      <c r="F1559" t="s">
        <v>42</v>
      </c>
      <c r="G1559" t="s">
        <v>43</v>
      </c>
      <c r="H1559">
        <v>3</v>
      </c>
      <c r="I1559">
        <v>125.88</v>
      </c>
      <c r="J1559">
        <v>377.64</v>
      </c>
      <c r="K1559" t="s">
        <v>2831</v>
      </c>
      <c r="L1559" t="s">
        <v>91</v>
      </c>
    </row>
    <row r="1560" spans="1:12" x14ac:dyDescent="0.35">
      <c r="A1560" t="s">
        <v>2832</v>
      </c>
      <c r="B1560" t="s">
        <v>355</v>
      </c>
      <c r="C1560" t="s">
        <v>356</v>
      </c>
      <c r="D1560" t="s">
        <v>14</v>
      </c>
      <c r="E1560" t="s">
        <v>266</v>
      </c>
      <c r="F1560" t="s">
        <v>25</v>
      </c>
      <c r="G1560" t="s">
        <v>139</v>
      </c>
      <c r="H1560">
        <v>2</v>
      </c>
      <c r="I1560">
        <v>104.75</v>
      </c>
      <c r="J1560">
        <v>209.5</v>
      </c>
      <c r="K1560" t="s">
        <v>1826</v>
      </c>
      <c r="L1560" t="s">
        <v>19</v>
      </c>
    </row>
    <row r="1561" spans="1:12" x14ac:dyDescent="0.35">
      <c r="A1561" t="s">
        <v>2833</v>
      </c>
      <c r="B1561" t="s">
        <v>1743</v>
      </c>
      <c r="C1561" t="s">
        <v>1744</v>
      </c>
      <c r="D1561" t="s">
        <v>67</v>
      </c>
      <c r="E1561" t="s">
        <v>130</v>
      </c>
      <c r="F1561" t="s">
        <v>50</v>
      </c>
      <c r="G1561" t="s">
        <v>56</v>
      </c>
      <c r="H1561">
        <v>4</v>
      </c>
      <c r="I1561">
        <v>957.33</v>
      </c>
      <c r="J1561">
        <v>3829.32</v>
      </c>
      <c r="K1561" t="s">
        <v>400</v>
      </c>
      <c r="L1561" t="s">
        <v>36</v>
      </c>
    </row>
    <row r="1562" spans="1:12" x14ac:dyDescent="0.35">
      <c r="A1562" t="s">
        <v>2834</v>
      </c>
      <c r="B1562" t="s">
        <v>142</v>
      </c>
      <c r="C1562" t="s">
        <v>143</v>
      </c>
      <c r="D1562" t="s">
        <v>40</v>
      </c>
      <c r="E1562" t="s">
        <v>41</v>
      </c>
      <c r="F1562" t="s">
        <v>16</v>
      </c>
      <c r="G1562" t="s">
        <v>17</v>
      </c>
      <c r="H1562">
        <v>4</v>
      </c>
      <c r="I1562">
        <v>758.78</v>
      </c>
      <c r="J1562">
        <v>3035.12</v>
      </c>
      <c r="K1562" t="s">
        <v>1942</v>
      </c>
      <c r="L1562" t="s">
        <v>19</v>
      </c>
    </row>
    <row r="1563" spans="1:12" x14ac:dyDescent="0.35">
      <c r="A1563" t="s">
        <v>2835</v>
      </c>
      <c r="B1563" t="s">
        <v>931</v>
      </c>
      <c r="C1563" t="s">
        <v>932</v>
      </c>
      <c r="D1563" t="s">
        <v>32</v>
      </c>
      <c r="E1563" t="s">
        <v>203</v>
      </c>
      <c r="F1563" t="s">
        <v>101</v>
      </c>
      <c r="G1563" t="s">
        <v>373</v>
      </c>
      <c r="H1563">
        <v>4</v>
      </c>
      <c r="I1563">
        <v>277.07</v>
      </c>
      <c r="J1563">
        <v>1108.28</v>
      </c>
      <c r="K1563" t="s">
        <v>2415</v>
      </c>
      <c r="L1563" t="s">
        <v>91</v>
      </c>
    </row>
    <row r="1564" spans="1:12" x14ac:dyDescent="0.35">
      <c r="A1564" t="s">
        <v>2836</v>
      </c>
      <c r="B1564" t="s">
        <v>1940</v>
      </c>
      <c r="C1564" t="s">
        <v>1941</v>
      </c>
      <c r="D1564" t="s">
        <v>14</v>
      </c>
      <c r="E1564" t="s">
        <v>125</v>
      </c>
      <c r="F1564" t="s">
        <v>42</v>
      </c>
      <c r="G1564" t="s">
        <v>225</v>
      </c>
      <c r="H1564">
        <v>2</v>
      </c>
      <c r="I1564">
        <v>1323.92</v>
      </c>
      <c r="J1564">
        <v>2647.84</v>
      </c>
      <c r="K1564" t="s">
        <v>488</v>
      </c>
      <c r="L1564" t="s">
        <v>45</v>
      </c>
    </row>
    <row r="1565" spans="1:12" x14ac:dyDescent="0.35">
      <c r="A1565" t="s">
        <v>2837</v>
      </c>
      <c r="B1565" t="s">
        <v>1170</v>
      </c>
      <c r="C1565" t="s">
        <v>1171</v>
      </c>
      <c r="D1565" t="s">
        <v>14</v>
      </c>
      <c r="E1565" t="s">
        <v>95</v>
      </c>
      <c r="F1565" t="s">
        <v>16</v>
      </c>
      <c r="G1565" t="s">
        <v>230</v>
      </c>
      <c r="H1565">
        <v>3</v>
      </c>
      <c r="I1565">
        <v>214.55</v>
      </c>
      <c r="J1565">
        <v>643.65</v>
      </c>
      <c r="K1565" t="s">
        <v>1854</v>
      </c>
      <c r="L1565" t="s">
        <v>28</v>
      </c>
    </row>
    <row r="1566" spans="1:12" x14ac:dyDescent="0.35">
      <c r="A1566" t="s">
        <v>2838</v>
      </c>
      <c r="B1566" t="s">
        <v>256</v>
      </c>
      <c r="C1566" t="s">
        <v>257</v>
      </c>
      <c r="D1566" t="s">
        <v>23</v>
      </c>
      <c r="E1566" t="s">
        <v>49</v>
      </c>
      <c r="F1566" t="s">
        <v>50</v>
      </c>
      <c r="G1566" t="s">
        <v>51</v>
      </c>
      <c r="H1566">
        <v>3</v>
      </c>
      <c r="I1566">
        <v>16.170000000000002</v>
      </c>
      <c r="J1566">
        <v>48.51</v>
      </c>
      <c r="K1566" t="s">
        <v>1758</v>
      </c>
      <c r="L1566" t="s">
        <v>19</v>
      </c>
    </row>
    <row r="1567" spans="1:12" x14ac:dyDescent="0.35">
      <c r="A1567" t="s">
        <v>2839</v>
      </c>
      <c r="B1567" t="s">
        <v>1875</v>
      </c>
      <c r="C1567" t="s">
        <v>1876</v>
      </c>
      <c r="D1567" t="s">
        <v>32</v>
      </c>
      <c r="E1567" t="s">
        <v>203</v>
      </c>
      <c r="F1567" t="s">
        <v>25</v>
      </c>
      <c r="G1567" t="s">
        <v>34</v>
      </c>
      <c r="H1567">
        <v>3</v>
      </c>
      <c r="I1567">
        <v>1016.47</v>
      </c>
      <c r="J1567">
        <v>3049.41</v>
      </c>
      <c r="K1567" t="s">
        <v>1077</v>
      </c>
      <c r="L1567" t="s">
        <v>91</v>
      </c>
    </row>
    <row r="1568" spans="1:12" x14ac:dyDescent="0.35">
      <c r="A1568" t="s">
        <v>2840</v>
      </c>
      <c r="B1568" t="s">
        <v>470</v>
      </c>
      <c r="C1568" t="s">
        <v>471</v>
      </c>
      <c r="D1568" t="s">
        <v>23</v>
      </c>
      <c r="E1568" t="s">
        <v>24</v>
      </c>
      <c r="F1568" t="s">
        <v>25</v>
      </c>
      <c r="G1568" t="s">
        <v>62</v>
      </c>
      <c r="H1568">
        <v>4</v>
      </c>
      <c r="I1568">
        <v>1137.45</v>
      </c>
      <c r="J1568">
        <v>4549.8</v>
      </c>
      <c r="K1568" t="s">
        <v>2841</v>
      </c>
      <c r="L1568" t="s">
        <v>19</v>
      </c>
    </row>
    <row r="1569" spans="1:12" x14ac:dyDescent="0.35">
      <c r="A1569" t="s">
        <v>2842</v>
      </c>
      <c r="B1569" t="s">
        <v>1677</v>
      </c>
      <c r="C1569" t="s">
        <v>1678</v>
      </c>
      <c r="D1569" t="s">
        <v>32</v>
      </c>
      <c r="E1569" t="s">
        <v>61</v>
      </c>
      <c r="F1569" t="s">
        <v>16</v>
      </c>
      <c r="G1569" t="s">
        <v>230</v>
      </c>
      <c r="H1569">
        <v>1</v>
      </c>
      <c r="I1569">
        <v>913.68</v>
      </c>
      <c r="J1569">
        <v>913.68</v>
      </c>
      <c r="K1569" t="s">
        <v>1060</v>
      </c>
      <c r="L1569" t="s">
        <v>19</v>
      </c>
    </row>
    <row r="1570" spans="1:12" x14ac:dyDescent="0.35">
      <c r="A1570" t="s">
        <v>2843</v>
      </c>
      <c r="B1570" t="s">
        <v>1496</v>
      </c>
      <c r="C1570" t="s">
        <v>1497</v>
      </c>
      <c r="D1570" t="s">
        <v>14</v>
      </c>
      <c r="E1570" t="s">
        <v>266</v>
      </c>
      <c r="F1570" t="s">
        <v>50</v>
      </c>
      <c r="G1570" t="s">
        <v>216</v>
      </c>
      <c r="H1570">
        <v>3</v>
      </c>
      <c r="I1570">
        <v>93.44</v>
      </c>
      <c r="J1570">
        <v>280.32</v>
      </c>
      <c r="K1570" t="s">
        <v>1862</v>
      </c>
      <c r="L1570" t="s">
        <v>28</v>
      </c>
    </row>
    <row r="1571" spans="1:12" x14ac:dyDescent="0.35">
      <c r="A1571" t="s">
        <v>2844</v>
      </c>
      <c r="B1571" t="s">
        <v>856</v>
      </c>
      <c r="C1571" t="s">
        <v>857</v>
      </c>
      <c r="D1571" t="s">
        <v>32</v>
      </c>
      <c r="E1571" t="s">
        <v>33</v>
      </c>
      <c r="F1571" t="s">
        <v>25</v>
      </c>
      <c r="G1571" t="s">
        <v>139</v>
      </c>
      <c r="H1571">
        <v>4</v>
      </c>
      <c r="I1571">
        <v>1171.22</v>
      </c>
      <c r="J1571">
        <v>4684.88</v>
      </c>
      <c r="K1571" t="s">
        <v>1577</v>
      </c>
      <c r="L1571" t="s">
        <v>19</v>
      </c>
    </row>
    <row r="1572" spans="1:12" x14ac:dyDescent="0.35">
      <c r="A1572" t="s">
        <v>2845</v>
      </c>
      <c r="B1572" t="s">
        <v>1246</v>
      </c>
      <c r="C1572" t="s">
        <v>1247</v>
      </c>
      <c r="D1572" t="s">
        <v>14</v>
      </c>
      <c r="E1572" t="s">
        <v>100</v>
      </c>
      <c r="F1572" t="s">
        <v>50</v>
      </c>
      <c r="G1572" t="s">
        <v>51</v>
      </c>
      <c r="H1572">
        <v>2</v>
      </c>
      <c r="I1572">
        <v>1262.74</v>
      </c>
      <c r="J1572">
        <v>2525.48</v>
      </c>
      <c r="K1572" t="s">
        <v>1791</v>
      </c>
      <c r="L1572" t="s">
        <v>91</v>
      </c>
    </row>
    <row r="1573" spans="1:12" x14ac:dyDescent="0.35">
      <c r="A1573" t="s">
        <v>2846</v>
      </c>
      <c r="B1573" t="s">
        <v>711</v>
      </c>
      <c r="C1573" t="s">
        <v>712</v>
      </c>
      <c r="D1573" t="s">
        <v>67</v>
      </c>
      <c r="E1573" t="s">
        <v>115</v>
      </c>
      <c r="F1573" t="s">
        <v>101</v>
      </c>
      <c r="G1573" t="s">
        <v>373</v>
      </c>
      <c r="H1573">
        <v>2</v>
      </c>
      <c r="I1573">
        <v>765.86</v>
      </c>
      <c r="J1573">
        <v>1531.72</v>
      </c>
      <c r="K1573" t="s">
        <v>2270</v>
      </c>
      <c r="L1573" t="s">
        <v>19</v>
      </c>
    </row>
    <row r="1574" spans="1:12" x14ac:dyDescent="0.35">
      <c r="A1574" t="s">
        <v>2847</v>
      </c>
      <c r="B1574" t="s">
        <v>1312</v>
      </c>
      <c r="C1574" t="s">
        <v>1313</v>
      </c>
      <c r="D1574" t="s">
        <v>40</v>
      </c>
      <c r="E1574" t="s">
        <v>41</v>
      </c>
      <c r="F1574" t="s">
        <v>42</v>
      </c>
      <c r="G1574" t="s">
        <v>80</v>
      </c>
      <c r="H1574">
        <v>4</v>
      </c>
      <c r="I1574">
        <v>1487.91</v>
      </c>
      <c r="J1574">
        <v>5951.64</v>
      </c>
      <c r="K1574" t="s">
        <v>2146</v>
      </c>
      <c r="L1574" t="s">
        <v>19</v>
      </c>
    </row>
    <row r="1575" spans="1:12" x14ac:dyDescent="0.35">
      <c r="A1575" t="s">
        <v>2848</v>
      </c>
      <c r="B1575" t="s">
        <v>1340</v>
      </c>
      <c r="C1575" t="s">
        <v>1341</v>
      </c>
      <c r="D1575" t="s">
        <v>67</v>
      </c>
      <c r="E1575" t="s">
        <v>130</v>
      </c>
      <c r="F1575" t="s">
        <v>50</v>
      </c>
      <c r="G1575" t="s">
        <v>51</v>
      </c>
      <c r="H1575">
        <v>1</v>
      </c>
      <c r="I1575">
        <v>502.72</v>
      </c>
      <c r="J1575">
        <v>502.72</v>
      </c>
      <c r="K1575" t="s">
        <v>2285</v>
      </c>
      <c r="L1575" t="s">
        <v>19</v>
      </c>
    </row>
    <row r="1576" spans="1:12" x14ac:dyDescent="0.35">
      <c r="A1576" t="s">
        <v>2849</v>
      </c>
      <c r="B1576" t="s">
        <v>785</v>
      </c>
      <c r="C1576" t="s">
        <v>786</v>
      </c>
      <c r="D1576" t="s">
        <v>14</v>
      </c>
      <c r="E1576" t="s">
        <v>266</v>
      </c>
      <c r="F1576" t="s">
        <v>50</v>
      </c>
      <c r="G1576" t="s">
        <v>69</v>
      </c>
      <c r="H1576">
        <v>3</v>
      </c>
      <c r="I1576">
        <v>797.7</v>
      </c>
      <c r="J1576">
        <v>2393.1</v>
      </c>
      <c r="K1576" t="s">
        <v>2850</v>
      </c>
      <c r="L1576" t="s">
        <v>91</v>
      </c>
    </row>
    <row r="1577" spans="1:12" x14ac:dyDescent="0.35">
      <c r="A1577" t="s">
        <v>2851</v>
      </c>
      <c r="B1577" t="s">
        <v>602</v>
      </c>
      <c r="C1577" t="s">
        <v>603</v>
      </c>
      <c r="D1577" t="s">
        <v>40</v>
      </c>
      <c r="E1577" t="s">
        <v>120</v>
      </c>
      <c r="F1577" t="s">
        <v>42</v>
      </c>
      <c r="G1577" t="s">
        <v>170</v>
      </c>
      <c r="H1577">
        <v>5</v>
      </c>
      <c r="I1577">
        <v>543.25</v>
      </c>
      <c r="J1577">
        <v>2716.25</v>
      </c>
      <c r="K1577" t="s">
        <v>1714</v>
      </c>
      <c r="L1577" t="s">
        <v>45</v>
      </c>
    </row>
    <row r="1578" spans="1:12" x14ac:dyDescent="0.35">
      <c r="A1578" t="s">
        <v>2852</v>
      </c>
      <c r="B1578" t="s">
        <v>555</v>
      </c>
      <c r="C1578" t="s">
        <v>556</v>
      </c>
      <c r="D1578" t="s">
        <v>40</v>
      </c>
      <c r="E1578" t="s">
        <v>79</v>
      </c>
      <c r="F1578" t="s">
        <v>16</v>
      </c>
      <c r="G1578" t="s">
        <v>182</v>
      </c>
      <c r="H1578">
        <v>5</v>
      </c>
      <c r="I1578">
        <v>138.13</v>
      </c>
      <c r="J1578">
        <v>690.65</v>
      </c>
      <c r="K1578" t="s">
        <v>1683</v>
      </c>
      <c r="L1578" t="s">
        <v>36</v>
      </c>
    </row>
    <row r="1579" spans="1:12" x14ac:dyDescent="0.35">
      <c r="A1579" t="s">
        <v>2853</v>
      </c>
      <c r="B1579" t="s">
        <v>155</v>
      </c>
      <c r="C1579" t="s">
        <v>156</v>
      </c>
      <c r="D1579" t="s">
        <v>67</v>
      </c>
      <c r="E1579" t="s">
        <v>68</v>
      </c>
      <c r="F1579" t="s">
        <v>25</v>
      </c>
      <c r="G1579" t="s">
        <v>74</v>
      </c>
      <c r="H1579">
        <v>1</v>
      </c>
      <c r="I1579">
        <v>887.53</v>
      </c>
      <c r="J1579">
        <v>887.53</v>
      </c>
      <c r="K1579" t="s">
        <v>1112</v>
      </c>
      <c r="L1579" t="s">
        <v>45</v>
      </c>
    </row>
    <row r="1580" spans="1:12" x14ac:dyDescent="0.35">
      <c r="A1580" t="s">
        <v>2854</v>
      </c>
      <c r="B1580" t="s">
        <v>771</v>
      </c>
      <c r="C1580" t="s">
        <v>772</v>
      </c>
      <c r="D1580" t="s">
        <v>67</v>
      </c>
      <c r="E1580" t="s">
        <v>115</v>
      </c>
      <c r="F1580" t="s">
        <v>50</v>
      </c>
      <c r="G1580" t="s">
        <v>170</v>
      </c>
      <c r="H1580">
        <v>3</v>
      </c>
      <c r="I1580">
        <v>143.81</v>
      </c>
      <c r="J1580">
        <v>431.43</v>
      </c>
      <c r="K1580" t="s">
        <v>2000</v>
      </c>
      <c r="L1580" t="s">
        <v>19</v>
      </c>
    </row>
    <row r="1581" spans="1:12" x14ac:dyDescent="0.35">
      <c r="A1581" t="s">
        <v>2855</v>
      </c>
      <c r="B1581" t="s">
        <v>256</v>
      </c>
      <c r="C1581" t="s">
        <v>257</v>
      </c>
      <c r="D1581" t="s">
        <v>67</v>
      </c>
      <c r="E1581" t="s">
        <v>130</v>
      </c>
      <c r="F1581" t="s">
        <v>42</v>
      </c>
      <c r="G1581" t="s">
        <v>43</v>
      </c>
      <c r="H1581">
        <v>3</v>
      </c>
      <c r="I1581">
        <v>1089.82</v>
      </c>
      <c r="J1581">
        <v>3269.46</v>
      </c>
      <c r="K1581" t="s">
        <v>238</v>
      </c>
      <c r="L1581" t="s">
        <v>45</v>
      </c>
    </row>
    <row r="1582" spans="1:12" x14ac:dyDescent="0.35">
      <c r="A1582" t="s">
        <v>2856</v>
      </c>
      <c r="B1582" t="s">
        <v>210</v>
      </c>
      <c r="C1582" t="s">
        <v>211</v>
      </c>
      <c r="D1582" t="s">
        <v>23</v>
      </c>
      <c r="E1582" t="s">
        <v>24</v>
      </c>
      <c r="F1582" t="s">
        <v>42</v>
      </c>
      <c r="G1582" t="s">
        <v>170</v>
      </c>
      <c r="H1582">
        <v>3</v>
      </c>
      <c r="I1582">
        <v>392.01</v>
      </c>
      <c r="J1582">
        <v>1176.03</v>
      </c>
      <c r="K1582" t="s">
        <v>1184</v>
      </c>
      <c r="L1582" t="s">
        <v>36</v>
      </c>
    </row>
    <row r="1583" spans="1:12" x14ac:dyDescent="0.35">
      <c r="A1583" t="s">
        <v>2857</v>
      </c>
      <c r="B1583" t="s">
        <v>426</v>
      </c>
      <c r="C1583" t="s">
        <v>427</v>
      </c>
      <c r="D1583" t="s">
        <v>14</v>
      </c>
      <c r="E1583" t="s">
        <v>266</v>
      </c>
      <c r="F1583" t="s">
        <v>42</v>
      </c>
      <c r="G1583" t="s">
        <v>225</v>
      </c>
      <c r="H1583">
        <v>3</v>
      </c>
      <c r="I1583">
        <v>191.88</v>
      </c>
      <c r="J1583">
        <v>575.64</v>
      </c>
      <c r="K1583" t="s">
        <v>735</v>
      </c>
      <c r="L1583" t="s">
        <v>91</v>
      </c>
    </row>
    <row r="1584" spans="1:12" x14ac:dyDescent="0.35">
      <c r="A1584" t="s">
        <v>2858</v>
      </c>
      <c r="B1584" t="s">
        <v>1856</v>
      </c>
      <c r="C1584" t="s">
        <v>1857</v>
      </c>
      <c r="D1584" t="s">
        <v>32</v>
      </c>
      <c r="E1584" t="s">
        <v>33</v>
      </c>
      <c r="F1584" t="s">
        <v>101</v>
      </c>
      <c r="G1584" t="s">
        <v>165</v>
      </c>
      <c r="H1584">
        <v>5</v>
      </c>
      <c r="I1584">
        <v>1269.99</v>
      </c>
      <c r="J1584">
        <v>6349.95</v>
      </c>
      <c r="K1584" t="s">
        <v>424</v>
      </c>
      <c r="L1584" t="s">
        <v>19</v>
      </c>
    </row>
    <row r="1585" spans="1:12" x14ac:dyDescent="0.35">
      <c r="A1585" t="s">
        <v>2859</v>
      </c>
      <c r="B1585" t="s">
        <v>113</v>
      </c>
      <c r="C1585" t="s">
        <v>114</v>
      </c>
      <c r="D1585" t="s">
        <v>23</v>
      </c>
      <c r="E1585" t="s">
        <v>24</v>
      </c>
      <c r="F1585" t="s">
        <v>16</v>
      </c>
      <c r="G1585" t="s">
        <v>230</v>
      </c>
      <c r="H1585">
        <v>3</v>
      </c>
      <c r="I1585">
        <v>1469.03</v>
      </c>
      <c r="J1585">
        <v>4407.09</v>
      </c>
      <c r="K1585" t="s">
        <v>2415</v>
      </c>
      <c r="L1585" t="s">
        <v>28</v>
      </c>
    </row>
    <row r="1586" spans="1:12" x14ac:dyDescent="0.35">
      <c r="A1586" t="s">
        <v>2860</v>
      </c>
      <c r="B1586" t="s">
        <v>707</v>
      </c>
      <c r="C1586" t="s">
        <v>708</v>
      </c>
      <c r="D1586" t="s">
        <v>14</v>
      </c>
      <c r="E1586" t="s">
        <v>266</v>
      </c>
      <c r="F1586" t="s">
        <v>50</v>
      </c>
      <c r="G1586" t="s">
        <v>69</v>
      </c>
      <c r="H1586">
        <v>5</v>
      </c>
      <c r="I1586">
        <v>870.95</v>
      </c>
      <c r="J1586">
        <v>4354.75</v>
      </c>
      <c r="K1586" t="s">
        <v>510</v>
      </c>
      <c r="L1586" t="s">
        <v>36</v>
      </c>
    </row>
    <row r="1587" spans="1:12" x14ac:dyDescent="0.35">
      <c r="A1587" t="s">
        <v>2861</v>
      </c>
      <c r="B1587" t="s">
        <v>1875</v>
      </c>
      <c r="C1587" t="s">
        <v>1876</v>
      </c>
      <c r="D1587" t="s">
        <v>14</v>
      </c>
      <c r="E1587" t="s">
        <v>15</v>
      </c>
      <c r="F1587" t="s">
        <v>50</v>
      </c>
      <c r="G1587" t="s">
        <v>56</v>
      </c>
      <c r="H1587">
        <v>2</v>
      </c>
      <c r="I1587">
        <v>1168.83</v>
      </c>
      <c r="J1587">
        <v>2337.66</v>
      </c>
      <c r="K1587" t="s">
        <v>1363</v>
      </c>
      <c r="L1587" t="s">
        <v>28</v>
      </c>
    </row>
    <row r="1588" spans="1:12" x14ac:dyDescent="0.35">
      <c r="A1588" t="s">
        <v>2862</v>
      </c>
      <c r="B1588" t="s">
        <v>1260</v>
      </c>
      <c r="C1588" t="s">
        <v>1261</v>
      </c>
      <c r="D1588" t="s">
        <v>14</v>
      </c>
      <c r="E1588" t="s">
        <v>125</v>
      </c>
      <c r="F1588" t="s">
        <v>50</v>
      </c>
      <c r="G1588" t="s">
        <v>170</v>
      </c>
      <c r="H1588">
        <v>3</v>
      </c>
      <c r="I1588">
        <v>305.38</v>
      </c>
      <c r="J1588">
        <v>916.14</v>
      </c>
      <c r="K1588" t="s">
        <v>1069</v>
      </c>
      <c r="L1588" t="s">
        <v>91</v>
      </c>
    </row>
    <row r="1589" spans="1:12" x14ac:dyDescent="0.35">
      <c r="A1589" t="s">
        <v>2863</v>
      </c>
      <c r="B1589" t="s">
        <v>189</v>
      </c>
      <c r="C1589" t="s">
        <v>190</v>
      </c>
      <c r="D1589" t="s">
        <v>14</v>
      </c>
      <c r="E1589" t="s">
        <v>100</v>
      </c>
      <c r="F1589" t="s">
        <v>25</v>
      </c>
      <c r="G1589" t="s">
        <v>62</v>
      </c>
      <c r="H1589">
        <v>5</v>
      </c>
      <c r="I1589">
        <v>508.23</v>
      </c>
      <c r="J1589">
        <v>2541.15</v>
      </c>
      <c r="K1589" t="s">
        <v>2864</v>
      </c>
      <c r="L1589" t="s">
        <v>91</v>
      </c>
    </row>
    <row r="1590" spans="1:12" x14ac:dyDescent="0.35">
      <c r="A1590" t="s">
        <v>2865</v>
      </c>
      <c r="B1590" t="s">
        <v>629</v>
      </c>
      <c r="C1590" t="s">
        <v>630</v>
      </c>
      <c r="D1590" t="s">
        <v>23</v>
      </c>
      <c r="E1590" t="s">
        <v>49</v>
      </c>
      <c r="F1590" t="s">
        <v>50</v>
      </c>
      <c r="G1590" t="s">
        <v>51</v>
      </c>
      <c r="H1590">
        <v>4</v>
      </c>
      <c r="I1590">
        <v>1278.82</v>
      </c>
      <c r="J1590">
        <v>5115.28</v>
      </c>
      <c r="K1590" t="s">
        <v>1452</v>
      </c>
      <c r="L1590" t="s">
        <v>36</v>
      </c>
    </row>
    <row r="1591" spans="1:12" x14ac:dyDescent="0.35">
      <c r="A1591" t="s">
        <v>2866</v>
      </c>
      <c r="B1591" t="s">
        <v>1101</v>
      </c>
      <c r="C1591" t="s">
        <v>1102</v>
      </c>
      <c r="D1591" t="s">
        <v>14</v>
      </c>
      <c r="E1591" t="s">
        <v>266</v>
      </c>
      <c r="F1591" t="s">
        <v>42</v>
      </c>
      <c r="G1591" t="s">
        <v>89</v>
      </c>
      <c r="H1591">
        <v>4</v>
      </c>
      <c r="I1591">
        <v>314.86</v>
      </c>
      <c r="J1591">
        <v>1259.44</v>
      </c>
      <c r="K1591" t="s">
        <v>1982</v>
      </c>
      <c r="L1591" t="s">
        <v>28</v>
      </c>
    </row>
    <row r="1592" spans="1:12" x14ac:dyDescent="0.35">
      <c r="A1592" t="s">
        <v>2867</v>
      </c>
      <c r="B1592" t="s">
        <v>820</v>
      </c>
      <c r="C1592" t="s">
        <v>821</v>
      </c>
      <c r="D1592" t="s">
        <v>40</v>
      </c>
      <c r="E1592" t="s">
        <v>79</v>
      </c>
      <c r="F1592" t="s">
        <v>16</v>
      </c>
      <c r="G1592" t="s">
        <v>177</v>
      </c>
      <c r="H1592">
        <v>4</v>
      </c>
      <c r="I1592">
        <v>399.21</v>
      </c>
      <c r="J1592">
        <v>1596.84</v>
      </c>
      <c r="K1592" t="s">
        <v>2868</v>
      </c>
      <c r="L1592" t="s">
        <v>45</v>
      </c>
    </row>
    <row r="1593" spans="1:12" x14ac:dyDescent="0.35">
      <c r="A1593" t="s">
        <v>2869</v>
      </c>
      <c r="B1593" t="s">
        <v>1066</v>
      </c>
      <c r="C1593" t="s">
        <v>1067</v>
      </c>
      <c r="D1593" t="s">
        <v>14</v>
      </c>
      <c r="E1593" t="s">
        <v>125</v>
      </c>
      <c r="F1593" t="s">
        <v>25</v>
      </c>
      <c r="G1593" t="s">
        <v>26</v>
      </c>
      <c r="H1593">
        <v>4</v>
      </c>
      <c r="I1593">
        <v>891.64</v>
      </c>
      <c r="J1593">
        <v>3566.56</v>
      </c>
      <c r="K1593" t="s">
        <v>1987</v>
      </c>
      <c r="L1593" t="s">
        <v>36</v>
      </c>
    </row>
    <row r="1594" spans="1:12" x14ac:dyDescent="0.35">
      <c r="A1594" t="s">
        <v>2870</v>
      </c>
      <c r="B1594" t="s">
        <v>1523</v>
      </c>
      <c r="C1594" t="s">
        <v>1524</v>
      </c>
      <c r="D1594" t="s">
        <v>14</v>
      </c>
      <c r="E1594" t="s">
        <v>125</v>
      </c>
      <c r="F1594" t="s">
        <v>25</v>
      </c>
      <c r="G1594" t="s">
        <v>62</v>
      </c>
      <c r="H1594">
        <v>3</v>
      </c>
      <c r="I1594">
        <v>978.42</v>
      </c>
      <c r="J1594">
        <v>2935.26</v>
      </c>
      <c r="K1594" t="s">
        <v>1334</v>
      </c>
      <c r="L1594" t="s">
        <v>28</v>
      </c>
    </row>
    <row r="1595" spans="1:12" x14ac:dyDescent="0.35">
      <c r="A1595" t="s">
        <v>2871</v>
      </c>
      <c r="B1595" t="s">
        <v>759</v>
      </c>
      <c r="C1595" t="s">
        <v>760</v>
      </c>
      <c r="D1595" t="s">
        <v>14</v>
      </c>
      <c r="E1595" t="s">
        <v>15</v>
      </c>
      <c r="F1595" t="s">
        <v>16</v>
      </c>
      <c r="G1595" t="s">
        <v>148</v>
      </c>
      <c r="H1595">
        <v>1</v>
      </c>
      <c r="I1595">
        <v>1134.8499999999999</v>
      </c>
      <c r="J1595">
        <v>1134.8499999999999</v>
      </c>
      <c r="K1595" t="s">
        <v>2872</v>
      </c>
      <c r="L1595" t="s">
        <v>36</v>
      </c>
    </row>
    <row r="1596" spans="1:12" x14ac:dyDescent="0.35">
      <c r="A1596" t="s">
        <v>2873</v>
      </c>
      <c r="B1596" t="s">
        <v>2245</v>
      </c>
      <c r="C1596" t="s">
        <v>2246</v>
      </c>
      <c r="D1596" t="s">
        <v>40</v>
      </c>
      <c r="E1596" t="s">
        <v>41</v>
      </c>
      <c r="F1596" t="s">
        <v>101</v>
      </c>
      <c r="G1596" t="s">
        <v>649</v>
      </c>
      <c r="H1596">
        <v>4</v>
      </c>
      <c r="I1596">
        <v>942.36</v>
      </c>
      <c r="J1596">
        <v>3769.44</v>
      </c>
      <c r="K1596" t="s">
        <v>378</v>
      </c>
      <c r="L1596" t="s">
        <v>28</v>
      </c>
    </row>
    <row r="1597" spans="1:12" x14ac:dyDescent="0.35">
      <c r="A1597" t="s">
        <v>2874</v>
      </c>
      <c r="B1597" t="s">
        <v>864</v>
      </c>
      <c r="C1597" t="s">
        <v>865</v>
      </c>
      <c r="D1597" t="s">
        <v>32</v>
      </c>
      <c r="E1597" t="s">
        <v>61</v>
      </c>
      <c r="F1597" t="s">
        <v>101</v>
      </c>
      <c r="G1597" t="s">
        <v>649</v>
      </c>
      <c r="H1597">
        <v>5</v>
      </c>
      <c r="I1597">
        <v>551.52</v>
      </c>
      <c r="J1597">
        <v>2757.6</v>
      </c>
      <c r="K1597" t="s">
        <v>1319</v>
      </c>
      <c r="L1597" t="s">
        <v>91</v>
      </c>
    </row>
    <row r="1598" spans="1:12" x14ac:dyDescent="0.35">
      <c r="A1598" t="s">
        <v>2875</v>
      </c>
      <c r="B1598" t="s">
        <v>742</v>
      </c>
      <c r="C1598" t="s">
        <v>743</v>
      </c>
      <c r="D1598" t="s">
        <v>67</v>
      </c>
      <c r="E1598" t="s">
        <v>130</v>
      </c>
      <c r="F1598" t="s">
        <v>50</v>
      </c>
      <c r="G1598" t="s">
        <v>69</v>
      </c>
      <c r="H1598">
        <v>5</v>
      </c>
      <c r="I1598">
        <v>664</v>
      </c>
      <c r="J1598">
        <v>3320</v>
      </c>
      <c r="K1598" t="s">
        <v>2705</v>
      </c>
      <c r="L1598" t="s">
        <v>91</v>
      </c>
    </row>
    <row r="1599" spans="1:12" x14ac:dyDescent="0.35">
      <c r="A1599" t="s">
        <v>2876</v>
      </c>
      <c r="B1599" t="s">
        <v>435</v>
      </c>
      <c r="C1599" t="s">
        <v>436</v>
      </c>
      <c r="D1599" t="s">
        <v>32</v>
      </c>
      <c r="E1599" t="s">
        <v>61</v>
      </c>
      <c r="F1599" t="s">
        <v>101</v>
      </c>
      <c r="G1599" t="s">
        <v>649</v>
      </c>
      <c r="H1599">
        <v>2</v>
      </c>
      <c r="I1599">
        <v>1395.04</v>
      </c>
      <c r="J1599">
        <v>2790.08</v>
      </c>
      <c r="K1599" t="s">
        <v>2877</v>
      </c>
      <c r="L1599" t="s">
        <v>36</v>
      </c>
    </row>
    <row r="1600" spans="1:12" x14ac:dyDescent="0.35">
      <c r="A1600" t="s">
        <v>2878</v>
      </c>
      <c r="B1600" t="s">
        <v>1163</v>
      </c>
      <c r="C1600" t="s">
        <v>1164</v>
      </c>
      <c r="D1600" t="s">
        <v>23</v>
      </c>
      <c r="E1600" t="s">
        <v>24</v>
      </c>
      <c r="F1600" t="s">
        <v>50</v>
      </c>
      <c r="G1600" t="s">
        <v>170</v>
      </c>
      <c r="H1600">
        <v>1</v>
      </c>
      <c r="I1600">
        <v>1477.21</v>
      </c>
      <c r="J1600">
        <v>1477.21</v>
      </c>
      <c r="K1600" t="s">
        <v>1835</v>
      </c>
      <c r="L1600" t="s">
        <v>28</v>
      </c>
    </row>
    <row r="1601" spans="1:12" x14ac:dyDescent="0.35">
      <c r="A1601" t="s">
        <v>2879</v>
      </c>
      <c r="B1601" t="s">
        <v>454</v>
      </c>
      <c r="C1601" t="s">
        <v>455</v>
      </c>
      <c r="D1601" t="s">
        <v>40</v>
      </c>
      <c r="E1601" t="s">
        <v>120</v>
      </c>
      <c r="F1601" t="s">
        <v>25</v>
      </c>
      <c r="G1601" t="s">
        <v>74</v>
      </c>
      <c r="H1601">
        <v>3</v>
      </c>
      <c r="I1601">
        <v>632.26</v>
      </c>
      <c r="J1601">
        <v>1896.78</v>
      </c>
      <c r="K1601" t="s">
        <v>2581</v>
      </c>
      <c r="L1601" t="s">
        <v>19</v>
      </c>
    </row>
    <row r="1602" spans="1:12" x14ac:dyDescent="0.35">
      <c r="A1602" t="s">
        <v>2880</v>
      </c>
      <c r="B1602" t="s">
        <v>273</v>
      </c>
      <c r="C1602" t="s">
        <v>274</v>
      </c>
      <c r="D1602" t="s">
        <v>32</v>
      </c>
      <c r="E1602" t="s">
        <v>33</v>
      </c>
      <c r="F1602" t="s">
        <v>42</v>
      </c>
      <c r="G1602" t="s">
        <v>80</v>
      </c>
      <c r="H1602">
        <v>4</v>
      </c>
      <c r="I1602">
        <v>1299.96</v>
      </c>
      <c r="J1602">
        <v>5199.84</v>
      </c>
      <c r="K1602" t="s">
        <v>2104</v>
      </c>
      <c r="L1602" t="s">
        <v>91</v>
      </c>
    </row>
    <row r="1603" spans="1:12" x14ac:dyDescent="0.35">
      <c r="A1603" t="s">
        <v>2881</v>
      </c>
      <c r="B1603" t="s">
        <v>185</v>
      </c>
      <c r="C1603" t="s">
        <v>186</v>
      </c>
      <c r="D1603" t="s">
        <v>32</v>
      </c>
      <c r="E1603" t="s">
        <v>203</v>
      </c>
      <c r="F1603" t="s">
        <v>50</v>
      </c>
      <c r="G1603" t="s">
        <v>216</v>
      </c>
      <c r="H1603">
        <v>1</v>
      </c>
      <c r="I1603">
        <v>1121.77</v>
      </c>
      <c r="J1603">
        <v>1121.77</v>
      </c>
      <c r="K1603" t="s">
        <v>2495</v>
      </c>
      <c r="L1603" t="s">
        <v>28</v>
      </c>
    </row>
    <row r="1604" spans="1:12" x14ac:dyDescent="0.35">
      <c r="A1604" t="s">
        <v>2882</v>
      </c>
      <c r="B1604" t="s">
        <v>755</v>
      </c>
      <c r="C1604" t="s">
        <v>756</v>
      </c>
      <c r="D1604" t="s">
        <v>14</v>
      </c>
      <c r="E1604" t="s">
        <v>100</v>
      </c>
      <c r="F1604" t="s">
        <v>42</v>
      </c>
      <c r="G1604" t="s">
        <v>89</v>
      </c>
      <c r="H1604">
        <v>3</v>
      </c>
      <c r="I1604">
        <v>797.81</v>
      </c>
      <c r="J1604">
        <v>2393.4299999999998</v>
      </c>
      <c r="K1604" t="s">
        <v>2446</v>
      </c>
      <c r="L1604" t="s">
        <v>19</v>
      </c>
    </row>
    <row r="1605" spans="1:12" x14ac:dyDescent="0.35">
      <c r="A1605" t="s">
        <v>2883</v>
      </c>
      <c r="B1605" t="s">
        <v>87</v>
      </c>
      <c r="C1605" t="s">
        <v>88</v>
      </c>
      <c r="D1605" t="s">
        <v>32</v>
      </c>
      <c r="E1605" t="s">
        <v>203</v>
      </c>
      <c r="F1605" t="s">
        <v>16</v>
      </c>
      <c r="G1605" t="s">
        <v>182</v>
      </c>
      <c r="H1605">
        <v>4</v>
      </c>
      <c r="I1605">
        <v>1048.42</v>
      </c>
      <c r="J1605">
        <v>4193.68</v>
      </c>
      <c r="K1605" t="s">
        <v>2884</v>
      </c>
      <c r="L1605" t="s">
        <v>36</v>
      </c>
    </row>
    <row r="1606" spans="1:12" x14ac:dyDescent="0.35">
      <c r="A1606" t="s">
        <v>2885</v>
      </c>
      <c r="B1606" t="s">
        <v>1018</v>
      </c>
      <c r="C1606" t="s">
        <v>1019</v>
      </c>
      <c r="D1606" t="s">
        <v>23</v>
      </c>
      <c r="E1606" t="s">
        <v>338</v>
      </c>
      <c r="F1606" t="s">
        <v>101</v>
      </c>
      <c r="G1606" t="s">
        <v>165</v>
      </c>
      <c r="H1606">
        <v>5</v>
      </c>
      <c r="I1606">
        <v>1067.47</v>
      </c>
      <c r="J1606">
        <v>5337.35</v>
      </c>
      <c r="K1606" t="s">
        <v>1796</v>
      </c>
      <c r="L1606" t="s">
        <v>19</v>
      </c>
    </row>
    <row r="1607" spans="1:12" x14ac:dyDescent="0.35">
      <c r="A1607" t="s">
        <v>2886</v>
      </c>
      <c r="B1607" t="s">
        <v>1532</v>
      </c>
      <c r="C1607" t="s">
        <v>1533</v>
      </c>
      <c r="D1607" t="s">
        <v>32</v>
      </c>
      <c r="E1607" t="s">
        <v>33</v>
      </c>
      <c r="F1607" t="s">
        <v>42</v>
      </c>
      <c r="G1607" t="s">
        <v>225</v>
      </c>
      <c r="H1607">
        <v>1</v>
      </c>
      <c r="I1607">
        <v>162.29</v>
      </c>
      <c r="J1607">
        <v>162.29</v>
      </c>
      <c r="K1607" t="s">
        <v>2887</v>
      </c>
      <c r="L1607" t="s">
        <v>45</v>
      </c>
    </row>
    <row r="1608" spans="1:12" x14ac:dyDescent="0.35">
      <c r="A1608" t="s">
        <v>2888</v>
      </c>
      <c r="B1608" t="s">
        <v>832</v>
      </c>
      <c r="C1608" t="s">
        <v>833</v>
      </c>
      <c r="D1608" t="s">
        <v>14</v>
      </c>
      <c r="E1608" t="s">
        <v>95</v>
      </c>
      <c r="F1608" t="s">
        <v>101</v>
      </c>
      <c r="G1608" t="s">
        <v>649</v>
      </c>
      <c r="H1608">
        <v>5</v>
      </c>
      <c r="I1608">
        <v>799.32</v>
      </c>
      <c r="J1608">
        <v>3996.6</v>
      </c>
      <c r="K1608" t="s">
        <v>204</v>
      </c>
      <c r="L1608" t="s">
        <v>28</v>
      </c>
    </row>
    <row r="1609" spans="1:12" x14ac:dyDescent="0.35">
      <c r="A1609" t="s">
        <v>2889</v>
      </c>
      <c r="B1609" t="s">
        <v>751</v>
      </c>
      <c r="C1609" t="s">
        <v>752</v>
      </c>
      <c r="D1609" t="s">
        <v>32</v>
      </c>
      <c r="E1609" t="s">
        <v>61</v>
      </c>
      <c r="F1609" t="s">
        <v>101</v>
      </c>
      <c r="G1609" t="s">
        <v>237</v>
      </c>
      <c r="H1609">
        <v>4</v>
      </c>
      <c r="I1609">
        <v>748.41</v>
      </c>
      <c r="J1609">
        <v>2993.64</v>
      </c>
      <c r="K1609" t="s">
        <v>1411</v>
      </c>
      <c r="L1609" t="s">
        <v>36</v>
      </c>
    </row>
    <row r="1610" spans="1:12" x14ac:dyDescent="0.35">
      <c r="A1610" t="s">
        <v>2890</v>
      </c>
      <c r="B1610" t="s">
        <v>707</v>
      </c>
      <c r="C1610" t="s">
        <v>708</v>
      </c>
      <c r="D1610" t="s">
        <v>32</v>
      </c>
      <c r="E1610" t="s">
        <v>61</v>
      </c>
      <c r="F1610" t="s">
        <v>101</v>
      </c>
      <c r="G1610" t="s">
        <v>237</v>
      </c>
      <c r="H1610">
        <v>5</v>
      </c>
      <c r="I1610">
        <v>107.01</v>
      </c>
      <c r="J1610">
        <v>535.04999999999995</v>
      </c>
      <c r="K1610" t="s">
        <v>709</v>
      </c>
      <c r="L1610" t="s">
        <v>36</v>
      </c>
    </row>
    <row r="1611" spans="1:12" x14ac:dyDescent="0.35">
      <c r="A1611" t="s">
        <v>2891</v>
      </c>
      <c r="B1611" t="s">
        <v>38</v>
      </c>
      <c r="C1611" t="s">
        <v>39</v>
      </c>
      <c r="D1611" t="s">
        <v>32</v>
      </c>
      <c r="E1611" t="s">
        <v>33</v>
      </c>
      <c r="F1611" t="s">
        <v>42</v>
      </c>
      <c r="G1611" t="s">
        <v>225</v>
      </c>
      <c r="H1611">
        <v>5</v>
      </c>
      <c r="I1611">
        <v>524.27</v>
      </c>
      <c r="J1611">
        <v>2621.35</v>
      </c>
      <c r="K1611" t="s">
        <v>331</v>
      </c>
      <c r="L1611" t="s">
        <v>28</v>
      </c>
    </row>
    <row r="1612" spans="1:12" x14ac:dyDescent="0.35">
      <c r="A1612" t="s">
        <v>2892</v>
      </c>
      <c r="B1612" t="s">
        <v>856</v>
      </c>
      <c r="C1612" t="s">
        <v>857</v>
      </c>
      <c r="D1612" t="s">
        <v>67</v>
      </c>
      <c r="E1612" t="s">
        <v>130</v>
      </c>
      <c r="F1612" t="s">
        <v>25</v>
      </c>
      <c r="G1612" t="s">
        <v>26</v>
      </c>
      <c r="H1612">
        <v>4</v>
      </c>
      <c r="I1612">
        <v>114.36</v>
      </c>
      <c r="J1612">
        <v>457.44</v>
      </c>
      <c r="K1612" t="s">
        <v>2164</v>
      </c>
      <c r="L1612" t="s">
        <v>36</v>
      </c>
    </row>
    <row r="1613" spans="1:12" x14ac:dyDescent="0.35">
      <c r="A1613" t="s">
        <v>2893</v>
      </c>
      <c r="B1613" t="s">
        <v>315</v>
      </c>
      <c r="C1613" t="s">
        <v>316</v>
      </c>
      <c r="D1613" t="s">
        <v>67</v>
      </c>
      <c r="E1613" t="s">
        <v>130</v>
      </c>
      <c r="F1613" t="s">
        <v>50</v>
      </c>
      <c r="G1613" t="s">
        <v>56</v>
      </c>
      <c r="H1613">
        <v>1</v>
      </c>
      <c r="I1613">
        <v>236.39</v>
      </c>
      <c r="J1613">
        <v>236.39</v>
      </c>
      <c r="K1613" t="s">
        <v>2894</v>
      </c>
      <c r="L1613" t="s">
        <v>19</v>
      </c>
    </row>
    <row r="1614" spans="1:12" x14ac:dyDescent="0.35">
      <c r="A1614" t="s">
        <v>2895</v>
      </c>
      <c r="B1614" t="s">
        <v>579</v>
      </c>
      <c r="C1614" t="s">
        <v>580</v>
      </c>
      <c r="D1614" t="s">
        <v>67</v>
      </c>
      <c r="E1614" t="s">
        <v>130</v>
      </c>
      <c r="F1614" t="s">
        <v>16</v>
      </c>
      <c r="G1614" t="s">
        <v>182</v>
      </c>
      <c r="H1614">
        <v>5</v>
      </c>
      <c r="I1614">
        <v>31.69</v>
      </c>
      <c r="J1614">
        <v>158.44999999999999</v>
      </c>
      <c r="K1614" t="s">
        <v>2896</v>
      </c>
      <c r="L1614" t="s">
        <v>19</v>
      </c>
    </row>
    <row r="1615" spans="1:12" x14ac:dyDescent="0.35">
      <c r="A1615" t="s">
        <v>2897</v>
      </c>
      <c r="B1615" t="s">
        <v>1179</v>
      </c>
      <c r="C1615" t="s">
        <v>1180</v>
      </c>
      <c r="D1615" t="s">
        <v>40</v>
      </c>
      <c r="E1615" t="s">
        <v>79</v>
      </c>
      <c r="F1615" t="s">
        <v>50</v>
      </c>
      <c r="G1615" t="s">
        <v>51</v>
      </c>
      <c r="H1615">
        <v>2</v>
      </c>
      <c r="I1615">
        <v>221.96</v>
      </c>
      <c r="J1615">
        <v>443.92</v>
      </c>
      <c r="K1615" t="s">
        <v>2898</v>
      </c>
      <c r="L1615" t="s">
        <v>28</v>
      </c>
    </row>
    <row r="1616" spans="1:12" x14ac:dyDescent="0.35">
      <c r="A1616" t="s">
        <v>2899</v>
      </c>
      <c r="B1616" t="s">
        <v>435</v>
      </c>
      <c r="C1616" t="s">
        <v>436</v>
      </c>
      <c r="D1616" t="s">
        <v>32</v>
      </c>
      <c r="E1616" t="s">
        <v>203</v>
      </c>
      <c r="F1616" t="s">
        <v>101</v>
      </c>
      <c r="G1616" t="s">
        <v>102</v>
      </c>
      <c r="H1616">
        <v>3</v>
      </c>
      <c r="I1616">
        <v>1362.42</v>
      </c>
      <c r="J1616">
        <v>4087.26</v>
      </c>
      <c r="K1616" t="s">
        <v>2225</v>
      </c>
      <c r="L1616" t="s">
        <v>91</v>
      </c>
    </row>
    <row r="1617" spans="1:12" x14ac:dyDescent="0.35">
      <c r="A1617" t="s">
        <v>2900</v>
      </c>
      <c r="B1617" t="s">
        <v>652</v>
      </c>
      <c r="C1617" t="s">
        <v>653</v>
      </c>
      <c r="D1617" t="s">
        <v>40</v>
      </c>
      <c r="E1617" t="s">
        <v>79</v>
      </c>
      <c r="F1617" t="s">
        <v>25</v>
      </c>
      <c r="G1617" t="s">
        <v>62</v>
      </c>
      <c r="H1617">
        <v>5</v>
      </c>
      <c r="I1617">
        <v>907.61</v>
      </c>
      <c r="J1617">
        <v>4538.05</v>
      </c>
      <c r="K1617" t="s">
        <v>1122</v>
      </c>
      <c r="L1617" t="s">
        <v>45</v>
      </c>
    </row>
    <row r="1618" spans="1:12" x14ac:dyDescent="0.35">
      <c r="A1618" t="s">
        <v>2901</v>
      </c>
      <c r="B1618" t="s">
        <v>868</v>
      </c>
      <c r="C1618" t="s">
        <v>869</v>
      </c>
      <c r="D1618" t="s">
        <v>23</v>
      </c>
      <c r="E1618" t="s">
        <v>338</v>
      </c>
      <c r="F1618" t="s">
        <v>101</v>
      </c>
      <c r="G1618" t="s">
        <v>649</v>
      </c>
      <c r="H1618">
        <v>1</v>
      </c>
      <c r="I1618">
        <v>1405.67</v>
      </c>
      <c r="J1618">
        <v>1405.67</v>
      </c>
      <c r="K1618" t="s">
        <v>1761</v>
      </c>
      <c r="L1618" t="s">
        <v>36</v>
      </c>
    </row>
    <row r="1619" spans="1:12" x14ac:dyDescent="0.35">
      <c r="A1619" t="s">
        <v>2902</v>
      </c>
      <c r="B1619" t="s">
        <v>1464</v>
      </c>
      <c r="C1619" t="s">
        <v>1465</v>
      </c>
      <c r="D1619" t="s">
        <v>23</v>
      </c>
      <c r="E1619" t="s">
        <v>338</v>
      </c>
      <c r="F1619" t="s">
        <v>16</v>
      </c>
      <c r="G1619" t="s">
        <v>177</v>
      </c>
      <c r="H1619">
        <v>2</v>
      </c>
      <c r="I1619">
        <v>243.09</v>
      </c>
      <c r="J1619">
        <v>486.18</v>
      </c>
      <c r="K1619" t="s">
        <v>2116</v>
      </c>
      <c r="L1619" t="s">
        <v>91</v>
      </c>
    </row>
    <row r="1620" spans="1:12" x14ac:dyDescent="0.35">
      <c r="A1620" t="s">
        <v>2903</v>
      </c>
      <c r="B1620" t="s">
        <v>960</v>
      </c>
      <c r="C1620" t="s">
        <v>961</v>
      </c>
      <c r="D1620" t="s">
        <v>40</v>
      </c>
      <c r="E1620" t="s">
        <v>79</v>
      </c>
      <c r="F1620" t="s">
        <v>50</v>
      </c>
      <c r="G1620" t="s">
        <v>56</v>
      </c>
      <c r="H1620">
        <v>1</v>
      </c>
      <c r="I1620">
        <v>287.45</v>
      </c>
      <c r="J1620">
        <v>287.45</v>
      </c>
      <c r="K1620" t="s">
        <v>2104</v>
      </c>
      <c r="L1620" t="s">
        <v>91</v>
      </c>
    </row>
    <row r="1621" spans="1:12" x14ac:dyDescent="0.35">
      <c r="A1621" t="s">
        <v>2904</v>
      </c>
      <c r="B1621" t="s">
        <v>629</v>
      </c>
      <c r="C1621" t="s">
        <v>630</v>
      </c>
      <c r="D1621" t="s">
        <v>23</v>
      </c>
      <c r="E1621" t="s">
        <v>338</v>
      </c>
      <c r="F1621" t="s">
        <v>16</v>
      </c>
      <c r="G1621" t="s">
        <v>182</v>
      </c>
      <c r="H1621">
        <v>4</v>
      </c>
      <c r="I1621">
        <v>222.62</v>
      </c>
      <c r="J1621">
        <v>890.48</v>
      </c>
      <c r="K1621" t="s">
        <v>339</v>
      </c>
      <c r="L1621" t="s">
        <v>19</v>
      </c>
    </row>
    <row r="1622" spans="1:12" x14ac:dyDescent="0.35">
      <c r="A1622" t="s">
        <v>2905</v>
      </c>
      <c r="B1622" t="s">
        <v>426</v>
      </c>
      <c r="C1622" t="s">
        <v>427</v>
      </c>
      <c r="D1622" t="s">
        <v>32</v>
      </c>
      <c r="E1622" t="s">
        <v>61</v>
      </c>
      <c r="F1622" t="s">
        <v>42</v>
      </c>
      <c r="G1622" t="s">
        <v>170</v>
      </c>
      <c r="H1622">
        <v>3</v>
      </c>
      <c r="I1622">
        <v>1143.56</v>
      </c>
      <c r="J1622">
        <v>3430.68</v>
      </c>
      <c r="K1622" t="s">
        <v>815</v>
      </c>
      <c r="L1622" t="s">
        <v>45</v>
      </c>
    </row>
    <row r="1623" spans="1:12" x14ac:dyDescent="0.35">
      <c r="A1623" t="s">
        <v>2906</v>
      </c>
      <c r="B1623" t="s">
        <v>355</v>
      </c>
      <c r="C1623" t="s">
        <v>356</v>
      </c>
      <c r="D1623" t="s">
        <v>32</v>
      </c>
      <c r="E1623" t="s">
        <v>33</v>
      </c>
      <c r="F1623" t="s">
        <v>50</v>
      </c>
      <c r="G1623" t="s">
        <v>216</v>
      </c>
      <c r="H1623">
        <v>5</v>
      </c>
      <c r="I1623">
        <v>846.61</v>
      </c>
      <c r="J1623">
        <v>4233.05</v>
      </c>
      <c r="K1623" t="s">
        <v>542</v>
      </c>
      <c r="L1623" t="s">
        <v>45</v>
      </c>
    </row>
    <row r="1624" spans="1:12" x14ac:dyDescent="0.35">
      <c r="A1624" t="s">
        <v>2907</v>
      </c>
      <c r="B1624" t="s">
        <v>521</v>
      </c>
      <c r="C1624" t="s">
        <v>522</v>
      </c>
      <c r="D1624" t="s">
        <v>14</v>
      </c>
      <c r="E1624" t="s">
        <v>95</v>
      </c>
      <c r="F1624" t="s">
        <v>101</v>
      </c>
      <c r="G1624" t="s">
        <v>237</v>
      </c>
      <c r="H1624">
        <v>3</v>
      </c>
      <c r="I1624">
        <v>106.79</v>
      </c>
      <c r="J1624">
        <v>320.37</v>
      </c>
      <c r="K1624" t="s">
        <v>695</v>
      </c>
      <c r="L1624" t="s">
        <v>36</v>
      </c>
    </row>
    <row r="1625" spans="1:12" x14ac:dyDescent="0.35">
      <c r="A1625" t="s">
        <v>2908</v>
      </c>
      <c r="B1625" t="s">
        <v>960</v>
      </c>
      <c r="C1625" t="s">
        <v>961</v>
      </c>
      <c r="D1625" t="s">
        <v>14</v>
      </c>
      <c r="E1625" t="s">
        <v>266</v>
      </c>
      <c r="F1625" t="s">
        <v>42</v>
      </c>
      <c r="G1625" t="s">
        <v>89</v>
      </c>
      <c r="H1625">
        <v>3</v>
      </c>
      <c r="I1625">
        <v>228.77</v>
      </c>
      <c r="J1625">
        <v>686.31</v>
      </c>
      <c r="K1625" t="s">
        <v>107</v>
      </c>
      <c r="L1625" t="s">
        <v>91</v>
      </c>
    </row>
    <row r="1626" spans="1:12" x14ac:dyDescent="0.35">
      <c r="A1626" t="s">
        <v>2909</v>
      </c>
      <c r="B1626" t="s">
        <v>38</v>
      </c>
      <c r="C1626" t="s">
        <v>39</v>
      </c>
      <c r="D1626" t="s">
        <v>40</v>
      </c>
      <c r="E1626" t="s">
        <v>120</v>
      </c>
      <c r="F1626" t="s">
        <v>42</v>
      </c>
      <c r="G1626" t="s">
        <v>43</v>
      </c>
      <c r="H1626">
        <v>1</v>
      </c>
      <c r="I1626">
        <v>1277.9000000000001</v>
      </c>
      <c r="J1626">
        <v>1277.9000000000001</v>
      </c>
      <c r="K1626" t="s">
        <v>1796</v>
      </c>
      <c r="L1626" t="s">
        <v>28</v>
      </c>
    </row>
    <row r="1627" spans="1:12" x14ac:dyDescent="0.35">
      <c r="A1627" t="s">
        <v>2910</v>
      </c>
      <c r="B1627" t="s">
        <v>133</v>
      </c>
      <c r="C1627" t="s">
        <v>134</v>
      </c>
      <c r="D1627" t="s">
        <v>32</v>
      </c>
      <c r="E1627" t="s">
        <v>203</v>
      </c>
      <c r="F1627" t="s">
        <v>16</v>
      </c>
      <c r="G1627" t="s">
        <v>182</v>
      </c>
      <c r="H1627">
        <v>4</v>
      </c>
      <c r="I1627">
        <v>657.36</v>
      </c>
      <c r="J1627">
        <v>2629.44</v>
      </c>
      <c r="K1627" t="s">
        <v>2911</v>
      </c>
      <c r="L1627" t="s">
        <v>91</v>
      </c>
    </row>
    <row r="1628" spans="1:12" x14ac:dyDescent="0.35">
      <c r="A1628" t="s">
        <v>2912</v>
      </c>
      <c r="B1628" t="s">
        <v>718</v>
      </c>
      <c r="C1628" t="s">
        <v>719</v>
      </c>
      <c r="D1628" t="s">
        <v>23</v>
      </c>
      <c r="E1628" t="s">
        <v>49</v>
      </c>
      <c r="F1628" t="s">
        <v>50</v>
      </c>
      <c r="G1628" t="s">
        <v>216</v>
      </c>
      <c r="H1628">
        <v>2</v>
      </c>
      <c r="I1628">
        <v>127.89</v>
      </c>
      <c r="J1628">
        <v>255.78</v>
      </c>
      <c r="K1628" t="s">
        <v>1775</v>
      </c>
      <c r="L1628" t="s">
        <v>91</v>
      </c>
    </row>
    <row r="1629" spans="1:12" x14ac:dyDescent="0.35">
      <c r="A1629" t="s">
        <v>2913</v>
      </c>
      <c r="B1629" t="s">
        <v>443</v>
      </c>
      <c r="C1629" t="s">
        <v>444</v>
      </c>
      <c r="D1629" t="s">
        <v>40</v>
      </c>
      <c r="E1629" t="s">
        <v>79</v>
      </c>
      <c r="F1629" t="s">
        <v>50</v>
      </c>
      <c r="G1629" t="s">
        <v>56</v>
      </c>
      <c r="H1629">
        <v>4</v>
      </c>
      <c r="I1629">
        <v>858.94</v>
      </c>
      <c r="J1629">
        <v>3435.76</v>
      </c>
      <c r="K1629" t="s">
        <v>2129</v>
      </c>
      <c r="L1629" t="s">
        <v>28</v>
      </c>
    </row>
    <row r="1630" spans="1:12" x14ac:dyDescent="0.35">
      <c r="A1630" t="s">
        <v>2914</v>
      </c>
      <c r="B1630" t="s">
        <v>506</v>
      </c>
      <c r="C1630" t="s">
        <v>507</v>
      </c>
      <c r="D1630" t="s">
        <v>14</v>
      </c>
      <c r="E1630" t="s">
        <v>266</v>
      </c>
      <c r="F1630" t="s">
        <v>50</v>
      </c>
      <c r="G1630" t="s">
        <v>216</v>
      </c>
      <c r="H1630">
        <v>2</v>
      </c>
      <c r="I1630">
        <v>1333.99</v>
      </c>
      <c r="J1630">
        <v>2667.98</v>
      </c>
      <c r="K1630" t="s">
        <v>121</v>
      </c>
      <c r="L1630" t="s">
        <v>36</v>
      </c>
    </row>
    <row r="1631" spans="1:12" x14ac:dyDescent="0.35">
      <c r="A1631" t="s">
        <v>2915</v>
      </c>
      <c r="B1631" t="s">
        <v>544</v>
      </c>
      <c r="C1631" t="s">
        <v>545</v>
      </c>
      <c r="D1631" t="s">
        <v>32</v>
      </c>
      <c r="E1631" t="s">
        <v>33</v>
      </c>
      <c r="F1631" t="s">
        <v>25</v>
      </c>
      <c r="G1631" t="s">
        <v>26</v>
      </c>
      <c r="H1631">
        <v>4</v>
      </c>
      <c r="I1631">
        <v>278.67</v>
      </c>
      <c r="J1631">
        <v>1114.68</v>
      </c>
      <c r="K1631" t="s">
        <v>647</v>
      </c>
      <c r="L1631" t="s">
        <v>19</v>
      </c>
    </row>
    <row r="1632" spans="1:12" x14ac:dyDescent="0.35">
      <c r="A1632" t="s">
        <v>2916</v>
      </c>
      <c r="B1632" t="s">
        <v>738</v>
      </c>
      <c r="C1632" t="s">
        <v>739</v>
      </c>
      <c r="D1632" t="s">
        <v>32</v>
      </c>
      <c r="E1632" t="s">
        <v>61</v>
      </c>
      <c r="F1632" t="s">
        <v>101</v>
      </c>
      <c r="G1632" t="s">
        <v>237</v>
      </c>
      <c r="H1632">
        <v>1</v>
      </c>
      <c r="I1632">
        <v>1045.4000000000001</v>
      </c>
      <c r="J1632">
        <v>1045.4000000000001</v>
      </c>
      <c r="K1632" t="s">
        <v>850</v>
      </c>
      <c r="L1632" t="s">
        <v>45</v>
      </c>
    </row>
    <row r="1633" spans="1:12" x14ac:dyDescent="0.35">
      <c r="A1633" t="s">
        <v>2917</v>
      </c>
      <c r="B1633" t="s">
        <v>492</v>
      </c>
      <c r="C1633" t="s">
        <v>493</v>
      </c>
      <c r="D1633" t="s">
        <v>32</v>
      </c>
      <c r="E1633" t="s">
        <v>61</v>
      </c>
      <c r="F1633" t="s">
        <v>42</v>
      </c>
      <c r="G1633" t="s">
        <v>225</v>
      </c>
      <c r="H1633">
        <v>2</v>
      </c>
      <c r="I1633">
        <v>1332.36</v>
      </c>
      <c r="J1633">
        <v>2664.72</v>
      </c>
      <c r="K1633" t="s">
        <v>2108</v>
      </c>
      <c r="L1633" t="s">
        <v>45</v>
      </c>
    </row>
    <row r="1634" spans="1:12" x14ac:dyDescent="0.35">
      <c r="A1634" t="s">
        <v>2918</v>
      </c>
      <c r="B1634" t="s">
        <v>1131</v>
      </c>
      <c r="C1634" t="s">
        <v>1132</v>
      </c>
      <c r="D1634" t="s">
        <v>14</v>
      </c>
      <c r="E1634" t="s">
        <v>266</v>
      </c>
      <c r="F1634" t="s">
        <v>101</v>
      </c>
      <c r="G1634" t="s">
        <v>373</v>
      </c>
      <c r="H1634">
        <v>2</v>
      </c>
      <c r="I1634">
        <v>287.08</v>
      </c>
      <c r="J1634">
        <v>574.16</v>
      </c>
      <c r="K1634" t="s">
        <v>35</v>
      </c>
      <c r="L1634" t="s">
        <v>45</v>
      </c>
    </row>
    <row r="1635" spans="1:12" x14ac:dyDescent="0.35">
      <c r="A1635" t="s">
        <v>2919</v>
      </c>
      <c r="B1635" t="s">
        <v>133</v>
      </c>
      <c r="C1635" t="s">
        <v>134</v>
      </c>
      <c r="D1635" t="s">
        <v>32</v>
      </c>
      <c r="E1635" t="s">
        <v>61</v>
      </c>
      <c r="F1635" t="s">
        <v>42</v>
      </c>
      <c r="G1635" t="s">
        <v>170</v>
      </c>
      <c r="H1635">
        <v>4</v>
      </c>
      <c r="I1635">
        <v>450.14</v>
      </c>
      <c r="J1635">
        <v>1800.56</v>
      </c>
      <c r="K1635" t="s">
        <v>1934</v>
      </c>
      <c r="L1635" t="s">
        <v>19</v>
      </c>
    </row>
    <row r="1636" spans="1:12" x14ac:dyDescent="0.35">
      <c r="A1636" t="s">
        <v>2920</v>
      </c>
      <c r="B1636" t="s">
        <v>574</v>
      </c>
      <c r="C1636" t="s">
        <v>575</v>
      </c>
      <c r="D1636" t="s">
        <v>32</v>
      </c>
      <c r="E1636" t="s">
        <v>61</v>
      </c>
      <c r="F1636" t="s">
        <v>25</v>
      </c>
      <c r="G1636" t="s">
        <v>26</v>
      </c>
      <c r="H1636">
        <v>4</v>
      </c>
      <c r="I1636">
        <v>688.46</v>
      </c>
      <c r="J1636">
        <v>2753.84</v>
      </c>
      <c r="K1636" t="s">
        <v>410</v>
      </c>
      <c r="L1636" t="s">
        <v>19</v>
      </c>
    </row>
    <row r="1637" spans="1:12" x14ac:dyDescent="0.35">
      <c r="A1637" t="s">
        <v>2921</v>
      </c>
      <c r="B1637" t="s">
        <v>464</v>
      </c>
      <c r="C1637" t="s">
        <v>465</v>
      </c>
      <c r="D1637" t="s">
        <v>67</v>
      </c>
      <c r="E1637" t="s">
        <v>130</v>
      </c>
      <c r="F1637" t="s">
        <v>42</v>
      </c>
      <c r="G1637" t="s">
        <v>89</v>
      </c>
      <c r="H1637">
        <v>5</v>
      </c>
      <c r="I1637">
        <v>244.35</v>
      </c>
      <c r="J1637">
        <v>1221.75</v>
      </c>
      <c r="K1637" t="s">
        <v>486</v>
      </c>
      <c r="L1637" t="s">
        <v>28</v>
      </c>
    </row>
    <row r="1638" spans="1:12" x14ac:dyDescent="0.35">
      <c r="A1638" t="s">
        <v>2922</v>
      </c>
      <c r="B1638" t="s">
        <v>1532</v>
      </c>
      <c r="C1638" t="s">
        <v>1533</v>
      </c>
      <c r="D1638" t="s">
        <v>23</v>
      </c>
      <c r="E1638" t="s">
        <v>338</v>
      </c>
      <c r="F1638" t="s">
        <v>25</v>
      </c>
      <c r="G1638" t="s">
        <v>74</v>
      </c>
      <c r="H1638">
        <v>5</v>
      </c>
      <c r="I1638">
        <v>420.86</v>
      </c>
      <c r="J1638">
        <v>2104.3000000000002</v>
      </c>
      <c r="K1638" t="s">
        <v>1852</v>
      </c>
      <c r="L1638" t="s">
        <v>36</v>
      </c>
    </row>
    <row r="1639" spans="1:12" x14ac:dyDescent="0.35">
      <c r="A1639" t="s">
        <v>2923</v>
      </c>
      <c r="B1639" t="s">
        <v>281</v>
      </c>
      <c r="C1639" t="s">
        <v>282</v>
      </c>
      <c r="D1639" t="s">
        <v>32</v>
      </c>
      <c r="E1639" t="s">
        <v>203</v>
      </c>
      <c r="F1639" t="s">
        <v>16</v>
      </c>
      <c r="G1639" t="s">
        <v>17</v>
      </c>
      <c r="H1639">
        <v>5</v>
      </c>
      <c r="I1639">
        <v>159.15</v>
      </c>
      <c r="J1639">
        <v>795.75</v>
      </c>
      <c r="K1639" t="s">
        <v>560</v>
      </c>
      <c r="L1639" t="s">
        <v>28</v>
      </c>
    </row>
    <row r="1640" spans="1:12" x14ac:dyDescent="0.35">
      <c r="A1640" t="s">
        <v>2924</v>
      </c>
      <c r="B1640" t="s">
        <v>521</v>
      </c>
      <c r="C1640" t="s">
        <v>522</v>
      </c>
      <c r="D1640" t="s">
        <v>40</v>
      </c>
      <c r="E1640" t="s">
        <v>79</v>
      </c>
      <c r="F1640" t="s">
        <v>16</v>
      </c>
      <c r="G1640" t="s">
        <v>230</v>
      </c>
      <c r="H1640">
        <v>3</v>
      </c>
      <c r="I1640">
        <v>1050.18</v>
      </c>
      <c r="J1640">
        <v>3150.54</v>
      </c>
      <c r="K1640" t="s">
        <v>983</v>
      </c>
      <c r="L1640" t="s">
        <v>45</v>
      </c>
    </row>
    <row r="1641" spans="1:12" x14ac:dyDescent="0.35">
      <c r="A1641" t="s">
        <v>2925</v>
      </c>
      <c r="B1641" t="s">
        <v>87</v>
      </c>
      <c r="C1641" t="s">
        <v>88</v>
      </c>
      <c r="D1641" t="s">
        <v>40</v>
      </c>
      <c r="E1641" t="s">
        <v>120</v>
      </c>
      <c r="F1641" t="s">
        <v>16</v>
      </c>
      <c r="G1641" t="s">
        <v>177</v>
      </c>
      <c r="H1641">
        <v>3</v>
      </c>
      <c r="I1641">
        <v>930.16</v>
      </c>
      <c r="J1641">
        <v>2790.48</v>
      </c>
      <c r="K1641" t="s">
        <v>2926</v>
      </c>
      <c r="L1641" t="s">
        <v>28</v>
      </c>
    </row>
    <row r="1642" spans="1:12" x14ac:dyDescent="0.35">
      <c r="A1642" t="s">
        <v>2927</v>
      </c>
      <c r="B1642" t="s">
        <v>860</v>
      </c>
      <c r="C1642" t="s">
        <v>861</v>
      </c>
      <c r="D1642" t="s">
        <v>23</v>
      </c>
      <c r="E1642" t="s">
        <v>338</v>
      </c>
      <c r="F1642" t="s">
        <v>101</v>
      </c>
      <c r="G1642" t="s">
        <v>165</v>
      </c>
      <c r="H1642">
        <v>1</v>
      </c>
      <c r="I1642">
        <v>1261.48</v>
      </c>
      <c r="J1642">
        <v>1261.48</v>
      </c>
      <c r="K1642" t="s">
        <v>1603</v>
      </c>
      <c r="L1642" t="s">
        <v>36</v>
      </c>
    </row>
    <row r="1643" spans="1:12" x14ac:dyDescent="0.35">
      <c r="A1643" t="s">
        <v>2928</v>
      </c>
      <c r="B1643" t="s">
        <v>1496</v>
      </c>
      <c r="C1643" t="s">
        <v>1497</v>
      </c>
      <c r="D1643" t="s">
        <v>14</v>
      </c>
      <c r="E1643" t="s">
        <v>266</v>
      </c>
      <c r="F1643" t="s">
        <v>42</v>
      </c>
      <c r="G1643" t="s">
        <v>43</v>
      </c>
      <c r="H1643">
        <v>4</v>
      </c>
      <c r="I1643">
        <v>624.88</v>
      </c>
      <c r="J1643">
        <v>2499.52</v>
      </c>
      <c r="K1643" t="s">
        <v>684</v>
      </c>
      <c r="L1643" t="s">
        <v>91</v>
      </c>
    </row>
    <row r="1644" spans="1:12" x14ac:dyDescent="0.35">
      <c r="A1644" t="s">
        <v>2929</v>
      </c>
      <c r="B1644" t="s">
        <v>544</v>
      </c>
      <c r="C1644" t="s">
        <v>545</v>
      </c>
      <c r="D1644" t="s">
        <v>40</v>
      </c>
      <c r="E1644" t="s">
        <v>120</v>
      </c>
      <c r="F1644" t="s">
        <v>16</v>
      </c>
      <c r="G1644" t="s">
        <v>230</v>
      </c>
      <c r="H1644">
        <v>4</v>
      </c>
      <c r="I1644">
        <v>748.47</v>
      </c>
      <c r="J1644">
        <v>2993.88</v>
      </c>
      <c r="K1644" t="s">
        <v>2930</v>
      </c>
      <c r="L1644" t="s">
        <v>36</v>
      </c>
    </row>
    <row r="1645" spans="1:12" x14ac:dyDescent="0.35">
      <c r="A1645" t="s">
        <v>2931</v>
      </c>
      <c r="B1645" t="s">
        <v>1018</v>
      </c>
      <c r="C1645" t="s">
        <v>1019</v>
      </c>
      <c r="D1645" t="s">
        <v>32</v>
      </c>
      <c r="E1645" t="s">
        <v>203</v>
      </c>
      <c r="F1645" t="s">
        <v>50</v>
      </c>
      <c r="G1645" t="s">
        <v>51</v>
      </c>
      <c r="H1645">
        <v>1</v>
      </c>
      <c r="I1645">
        <v>65.94</v>
      </c>
      <c r="J1645">
        <v>65.94</v>
      </c>
      <c r="K1645" t="s">
        <v>1614</v>
      </c>
      <c r="L1645" t="s">
        <v>36</v>
      </c>
    </row>
    <row r="1646" spans="1:12" x14ac:dyDescent="0.35">
      <c r="A1646" t="s">
        <v>2932</v>
      </c>
      <c r="B1646" t="s">
        <v>536</v>
      </c>
      <c r="C1646" t="s">
        <v>537</v>
      </c>
      <c r="D1646" t="s">
        <v>40</v>
      </c>
      <c r="E1646" t="s">
        <v>120</v>
      </c>
      <c r="F1646" t="s">
        <v>101</v>
      </c>
      <c r="G1646" t="s">
        <v>649</v>
      </c>
      <c r="H1646">
        <v>2</v>
      </c>
      <c r="I1646">
        <v>341.9</v>
      </c>
      <c r="J1646">
        <v>683.8</v>
      </c>
      <c r="K1646" t="s">
        <v>2898</v>
      </c>
      <c r="L1646" t="s">
        <v>45</v>
      </c>
    </row>
    <row r="1647" spans="1:12" x14ac:dyDescent="0.35">
      <c r="A1647" t="s">
        <v>2933</v>
      </c>
      <c r="B1647" t="s">
        <v>936</v>
      </c>
      <c r="C1647" t="s">
        <v>937</v>
      </c>
      <c r="D1647" t="s">
        <v>32</v>
      </c>
      <c r="E1647" t="s">
        <v>33</v>
      </c>
      <c r="F1647" t="s">
        <v>50</v>
      </c>
      <c r="G1647" t="s">
        <v>216</v>
      </c>
      <c r="H1647">
        <v>1</v>
      </c>
      <c r="I1647">
        <v>84.95</v>
      </c>
      <c r="J1647">
        <v>84.95</v>
      </c>
      <c r="K1647" t="s">
        <v>1970</v>
      </c>
      <c r="L1647" t="s">
        <v>28</v>
      </c>
    </row>
    <row r="1648" spans="1:12" x14ac:dyDescent="0.35">
      <c r="A1648" t="s">
        <v>2934</v>
      </c>
      <c r="B1648" t="s">
        <v>151</v>
      </c>
      <c r="C1648" t="s">
        <v>152</v>
      </c>
      <c r="D1648" t="s">
        <v>67</v>
      </c>
      <c r="E1648" t="s">
        <v>115</v>
      </c>
      <c r="F1648" t="s">
        <v>16</v>
      </c>
      <c r="G1648" t="s">
        <v>148</v>
      </c>
      <c r="H1648">
        <v>1</v>
      </c>
      <c r="I1648">
        <v>860.22</v>
      </c>
      <c r="J1648">
        <v>860.22</v>
      </c>
      <c r="K1648" t="s">
        <v>2935</v>
      </c>
      <c r="L1648" t="s">
        <v>19</v>
      </c>
    </row>
    <row r="1649" spans="1:12" x14ac:dyDescent="0.35">
      <c r="A1649" t="s">
        <v>2936</v>
      </c>
      <c r="B1649" t="s">
        <v>1024</v>
      </c>
      <c r="C1649" t="s">
        <v>1025</v>
      </c>
      <c r="D1649" t="s">
        <v>67</v>
      </c>
      <c r="E1649" t="s">
        <v>130</v>
      </c>
      <c r="F1649" t="s">
        <v>16</v>
      </c>
      <c r="G1649" t="s">
        <v>177</v>
      </c>
      <c r="H1649">
        <v>2</v>
      </c>
      <c r="I1649">
        <v>917.88</v>
      </c>
      <c r="J1649">
        <v>1835.76</v>
      </c>
      <c r="K1649" t="s">
        <v>1199</v>
      </c>
      <c r="L1649" t="s">
        <v>36</v>
      </c>
    </row>
    <row r="1650" spans="1:12" x14ac:dyDescent="0.35">
      <c r="A1650" t="s">
        <v>2937</v>
      </c>
      <c r="B1650" t="s">
        <v>260</v>
      </c>
      <c r="C1650" t="s">
        <v>261</v>
      </c>
      <c r="D1650" t="s">
        <v>14</v>
      </c>
      <c r="E1650" t="s">
        <v>266</v>
      </c>
      <c r="F1650" t="s">
        <v>42</v>
      </c>
      <c r="G1650" t="s">
        <v>170</v>
      </c>
      <c r="H1650">
        <v>1</v>
      </c>
      <c r="I1650">
        <v>684.13</v>
      </c>
      <c r="J1650">
        <v>684.13</v>
      </c>
      <c r="K1650" t="s">
        <v>1600</v>
      </c>
      <c r="L1650" t="s">
        <v>45</v>
      </c>
    </row>
    <row r="1651" spans="1:12" x14ac:dyDescent="0.35">
      <c r="A1651" t="s">
        <v>2938</v>
      </c>
      <c r="B1651" t="s">
        <v>969</v>
      </c>
      <c r="C1651" t="s">
        <v>970</v>
      </c>
      <c r="D1651" t="s">
        <v>32</v>
      </c>
      <c r="E1651" t="s">
        <v>61</v>
      </c>
      <c r="F1651" t="s">
        <v>50</v>
      </c>
      <c r="G1651" t="s">
        <v>69</v>
      </c>
      <c r="H1651">
        <v>3</v>
      </c>
      <c r="I1651">
        <v>34.32</v>
      </c>
      <c r="J1651">
        <v>102.96</v>
      </c>
      <c r="K1651" t="s">
        <v>221</v>
      </c>
      <c r="L1651" t="s">
        <v>19</v>
      </c>
    </row>
    <row r="1652" spans="1:12" x14ac:dyDescent="0.35">
      <c r="A1652" t="s">
        <v>2939</v>
      </c>
      <c r="B1652" t="s">
        <v>568</v>
      </c>
      <c r="C1652" t="s">
        <v>569</v>
      </c>
      <c r="D1652" t="s">
        <v>23</v>
      </c>
      <c r="E1652" t="s">
        <v>338</v>
      </c>
      <c r="F1652" t="s">
        <v>16</v>
      </c>
      <c r="G1652" t="s">
        <v>230</v>
      </c>
      <c r="H1652">
        <v>3</v>
      </c>
      <c r="I1652">
        <v>1225.82</v>
      </c>
      <c r="J1652">
        <v>3677.46</v>
      </c>
      <c r="K1652" t="s">
        <v>1927</v>
      </c>
      <c r="L1652" t="s">
        <v>45</v>
      </c>
    </row>
    <row r="1653" spans="1:12" x14ac:dyDescent="0.35">
      <c r="A1653" t="s">
        <v>2940</v>
      </c>
      <c r="B1653" t="s">
        <v>703</v>
      </c>
      <c r="C1653" t="s">
        <v>704</v>
      </c>
      <c r="D1653" t="s">
        <v>23</v>
      </c>
      <c r="E1653" t="s">
        <v>24</v>
      </c>
      <c r="F1653" t="s">
        <v>25</v>
      </c>
      <c r="G1653" t="s">
        <v>62</v>
      </c>
      <c r="H1653">
        <v>5</v>
      </c>
      <c r="I1653">
        <v>606.63</v>
      </c>
      <c r="J1653">
        <v>3033.15</v>
      </c>
      <c r="K1653" t="s">
        <v>2588</v>
      </c>
      <c r="L1653" t="s">
        <v>28</v>
      </c>
    </row>
    <row r="1654" spans="1:12" x14ac:dyDescent="0.35">
      <c r="A1654" t="s">
        <v>2941</v>
      </c>
      <c r="B1654" t="s">
        <v>93</v>
      </c>
      <c r="C1654" t="s">
        <v>94</v>
      </c>
      <c r="D1654" t="s">
        <v>23</v>
      </c>
      <c r="E1654" t="s">
        <v>24</v>
      </c>
      <c r="F1654" t="s">
        <v>16</v>
      </c>
      <c r="G1654" t="s">
        <v>230</v>
      </c>
      <c r="H1654">
        <v>3</v>
      </c>
      <c r="I1654">
        <v>1148.47</v>
      </c>
      <c r="J1654">
        <v>3445.41</v>
      </c>
      <c r="K1654" t="s">
        <v>431</v>
      </c>
      <c r="L1654" t="s">
        <v>91</v>
      </c>
    </row>
    <row r="1655" spans="1:12" x14ac:dyDescent="0.35">
      <c r="A1655" t="s">
        <v>2942</v>
      </c>
      <c r="B1655" t="s">
        <v>842</v>
      </c>
      <c r="C1655" t="s">
        <v>843</v>
      </c>
      <c r="D1655" t="s">
        <v>14</v>
      </c>
      <c r="E1655" t="s">
        <v>15</v>
      </c>
      <c r="F1655" t="s">
        <v>16</v>
      </c>
      <c r="G1655" t="s">
        <v>148</v>
      </c>
      <c r="H1655">
        <v>3</v>
      </c>
      <c r="I1655">
        <v>1417.58</v>
      </c>
      <c r="J1655">
        <v>4252.74</v>
      </c>
      <c r="K1655" t="s">
        <v>938</v>
      </c>
      <c r="L1655" t="s">
        <v>36</v>
      </c>
    </row>
    <row r="1656" spans="1:12" x14ac:dyDescent="0.35">
      <c r="A1656" t="s">
        <v>2943</v>
      </c>
      <c r="B1656" t="s">
        <v>496</v>
      </c>
      <c r="C1656" t="s">
        <v>497</v>
      </c>
      <c r="D1656" t="s">
        <v>14</v>
      </c>
      <c r="E1656" t="s">
        <v>15</v>
      </c>
      <c r="F1656" t="s">
        <v>42</v>
      </c>
      <c r="G1656" t="s">
        <v>225</v>
      </c>
      <c r="H1656">
        <v>1</v>
      </c>
      <c r="I1656">
        <v>520.1</v>
      </c>
      <c r="J1656">
        <v>520.1</v>
      </c>
      <c r="K1656" t="s">
        <v>238</v>
      </c>
      <c r="L1656" t="s">
        <v>91</v>
      </c>
    </row>
    <row r="1657" spans="1:12" x14ac:dyDescent="0.35">
      <c r="A1657" t="s">
        <v>2944</v>
      </c>
      <c r="B1657" t="s">
        <v>586</v>
      </c>
      <c r="C1657" t="s">
        <v>587</v>
      </c>
      <c r="D1657" t="s">
        <v>14</v>
      </c>
      <c r="E1657" t="s">
        <v>100</v>
      </c>
      <c r="F1657" t="s">
        <v>101</v>
      </c>
      <c r="G1657" t="s">
        <v>165</v>
      </c>
      <c r="H1657">
        <v>2</v>
      </c>
      <c r="I1657">
        <v>597.21</v>
      </c>
      <c r="J1657">
        <v>1194.42</v>
      </c>
      <c r="K1657" t="s">
        <v>2695</v>
      </c>
      <c r="L1657" t="s">
        <v>91</v>
      </c>
    </row>
    <row r="1658" spans="1:12" x14ac:dyDescent="0.35">
      <c r="A1658" t="s">
        <v>2945</v>
      </c>
      <c r="B1658" t="s">
        <v>552</v>
      </c>
      <c r="C1658" t="s">
        <v>553</v>
      </c>
      <c r="D1658" t="s">
        <v>23</v>
      </c>
      <c r="E1658" t="s">
        <v>338</v>
      </c>
      <c r="F1658" t="s">
        <v>25</v>
      </c>
      <c r="G1658" t="s">
        <v>74</v>
      </c>
      <c r="H1658">
        <v>5</v>
      </c>
      <c r="I1658">
        <v>1419.12</v>
      </c>
      <c r="J1658">
        <v>7095.6</v>
      </c>
      <c r="K1658" t="s">
        <v>441</v>
      </c>
      <c r="L1658" t="s">
        <v>91</v>
      </c>
    </row>
    <row r="1659" spans="1:12" x14ac:dyDescent="0.35">
      <c r="A1659" t="s">
        <v>2946</v>
      </c>
      <c r="B1659" t="s">
        <v>969</v>
      </c>
      <c r="C1659" t="s">
        <v>970</v>
      </c>
      <c r="D1659" t="s">
        <v>67</v>
      </c>
      <c r="E1659" t="s">
        <v>130</v>
      </c>
      <c r="F1659" t="s">
        <v>101</v>
      </c>
      <c r="G1659" t="s">
        <v>165</v>
      </c>
      <c r="H1659">
        <v>2</v>
      </c>
      <c r="I1659">
        <v>1166.6600000000001</v>
      </c>
      <c r="J1659">
        <v>2333.3200000000002</v>
      </c>
      <c r="K1659" t="s">
        <v>1157</v>
      </c>
      <c r="L1659" t="s">
        <v>36</v>
      </c>
    </row>
    <row r="1660" spans="1:12" x14ac:dyDescent="0.35">
      <c r="A1660" t="s">
        <v>2947</v>
      </c>
      <c r="B1660" t="s">
        <v>376</v>
      </c>
      <c r="C1660" t="s">
        <v>377</v>
      </c>
      <c r="D1660" t="s">
        <v>67</v>
      </c>
      <c r="E1660" t="s">
        <v>115</v>
      </c>
      <c r="F1660" t="s">
        <v>16</v>
      </c>
      <c r="G1660" t="s">
        <v>177</v>
      </c>
      <c r="H1660">
        <v>2</v>
      </c>
      <c r="I1660">
        <v>493.96</v>
      </c>
      <c r="J1660">
        <v>987.92</v>
      </c>
      <c r="K1660" t="s">
        <v>1747</v>
      </c>
      <c r="L1660" t="s">
        <v>36</v>
      </c>
    </row>
    <row r="1661" spans="1:12" x14ac:dyDescent="0.35">
      <c r="A1661" t="s">
        <v>2948</v>
      </c>
      <c r="B1661" t="s">
        <v>936</v>
      </c>
      <c r="C1661" t="s">
        <v>937</v>
      </c>
      <c r="D1661" t="s">
        <v>14</v>
      </c>
      <c r="E1661" t="s">
        <v>15</v>
      </c>
      <c r="F1661" t="s">
        <v>16</v>
      </c>
      <c r="G1661" t="s">
        <v>177</v>
      </c>
      <c r="H1661">
        <v>1</v>
      </c>
      <c r="I1661">
        <v>578.34</v>
      </c>
      <c r="J1661">
        <v>578.34</v>
      </c>
      <c r="K1661" t="s">
        <v>1747</v>
      </c>
      <c r="L1661" t="s">
        <v>91</v>
      </c>
    </row>
    <row r="1662" spans="1:12" x14ac:dyDescent="0.35">
      <c r="A1662" t="s">
        <v>2949</v>
      </c>
      <c r="B1662" t="s">
        <v>355</v>
      </c>
      <c r="C1662" t="s">
        <v>356</v>
      </c>
      <c r="D1662" t="s">
        <v>14</v>
      </c>
      <c r="E1662" t="s">
        <v>95</v>
      </c>
      <c r="F1662" t="s">
        <v>101</v>
      </c>
      <c r="G1662" t="s">
        <v>373</v>
      </c>
      <c r="H1662">
        <v>1</v>
      </c>
      <c r="I1662">
        <v>777.43</v>
      </c>
      <c r="J1662">
        <v>777.43</v>
      </c>
      <c r="K1662" t="s">
        <v>671</v>
      </c>
      <c r="L1662" t="s">
        <v>36</v>
      </c>
    </row>
    <row r="1663" spans="1:12" x14ac:dyDescent="0.35">
      <c r="A1663" t="s">
        <v>2950</v>
      </c>
      <c r="B1663" t="s">
        <v>380</v>
      </c>
      <c r="C1663" t="s">
        <v>381</v>
      </c>
      <c r="D1663" t="s">
        <v>67</v>
      </c>
      <c r="E1663" t="s">
        <v>130</v>
      </c>
      <c r="F1663" t="s">
        <v>42</v>
      </c>
      <c r="G1663" t="s">
        <v>170</v>
      </c>
      <c r="H1663">
        <v>1</v>
      </c>
      <c r="I1663">
        <v>1280.7</v>
      </c>
      <c r="J1663">
        <v>1280.7</v>
      </c>
      <c r="K1663" t="s">
        <v>1112</v>
      </c>
      <c r="L1663" t="s">
        <v>19</v>
      </c>
    </row>
    <row r="1664" spans="1:12" x14ac:dyDescent="0.35">
      <c r="A1664" t="s">
        <v>2951</v>
      </c>
      <c r="B1664" t="s">
        <v>755</v>
      </c>
      <c r="C1664" t="s">
        <v>756</v>
      </c>
      <c r="D1664" t="s">
        <v>23</v>
      </c>
      <c r="E1664" t="s">
        <v>49</v>
      </c>
      <c r="F1664" t="s">
        <v>16</v>
      </c>
      <c r="G1664" t="s">
        <v>230</v>
      </c>
      <c r="H1664">
        <v>2</v>
      </c>
      <c r="I1664">
        <v>548.91999999999996</v>
      </c>
      <c r="J1664">
        <v>1097.8399999999999</v>
      </c>
      <c r="K1664" t="s">
        <v>309</v>
      </c>
      <c r="L1664" t="s">
        <v>19</v>
      </c>
    </row>
    <row r="1665" spans="1:12" x14ac:dyDescent="0.35">
      <c r="A1665" t="s">
        <v>2952</v>
      </c>
      <c r="B1665" t="s">
        <v>723</v>
      </c>
      <c r="C1665" t="s">
        <v>724</v>
      </c>
      <c r="D1665" t="s">
        <v>23</v>
      </c>
      <c r="E1665" t="s">
        <v>24</v>
      </c>
      <c r="F1665" t="s">
        <v>25</v>
      </c>
      <c r="G1665" t="s">
        <v>62</v>
      </c>
      <c r="H1665">
        <v>2</v>
      </c>
      <c r="I1665">
        <v>1160.23</v>
      </c>
      <c r="J1665">
        <v>2320.46</v>
      </c>
      <c r="K1665" t="s">
        <v>2172</v>
      </c>
      <c r="L1665" t="s">
        <v>45</v>
      </c>
    </row>
    <row r="1666" spans="1:12" x14ac:dyDescent="0.35">
      <c r="A1666" t="s">
        <v>2953</v>
      </c>
      <c r="B1666" t="s">
        <v>412</v>
      </c>
      <c r="C1666" t="s">
        <v>413</v>
      </c>
      <c r="D1666" t="s">
        <v>67</v>
      </c>
      <c r="E1666" t="s">
        <v>68</v>
      </c>
      <c r="F1666" t="s">
        <v>101</v>
      </c>
      <c r="G1666" t="s">
        <v>373</v>
      </c>
      <c r="H1666">
        <v>5</v>
      </c>
      <c r="I1666">
        <v>126.3</v>
      </c>
      <c r="J1666">
        <v>631.5</v>
      </c>
      <c r="K1666" t="s">
        <v>233</v>
      </c>
      <c r="L1666" t="s">
        <v>36</v>
      </c>
    </row>
    <row r="1667" spans="1:12" x14ac:dyDescent="0.35">
      <c r="A1667" t="s">
        <v>2954</v>
      </c>
      <c r="B1667" t="s">
        <v>936</v>
      </c>
      <c r="C1667" t="s">
        <v>937</v>
      </c>
      <c r="D1667" t="s">
        <v>67</v>
      </c>
      <c r="E1667" t="s">
        <v>115</v>
      </c>
      <c r="F1667" t="s">
        <v>25</v>
      </c>
      <c r="G1667" t="s">
        <v>26</v>
      </c>
      <c r="H1667">
        <v>2</v>
      </c>
      <c r="I1667">
        <v>1135.6199999999999</v>
      </c>
      <c r="J1667">
        <v>2271.2399999999998</v>
      </c>
      <c r="K1667" t="s">
        <v>2196</v>
      </c>
      <c r="L1667" t="s">
        <v>28</v>
      </c>
    </row>
    <row r="1668" spans="1:12" x14ac:dyDescent="0.35">
      <c r="A1668" t="s">
        <v>2955</v>
      </c>
      <c r="B1668" t="s">
        <v>838</v>
      </c>
      <c r="C1668" t="s">
        <v>839</v>
      </c>
      <c r="D1668" t="s">
        <v>40</v>
      </c>
      <c r="E1668" t="s">
        <v>120</v>
      </c>
      <c r="F1668" t="s">
        <v>101</v>
      </c>
      <c r="G1668" t="s">
        <v>165</v>
      </c>
      <c r="H1668">
        <v>5</v>
      </c>
      <c r="I1668">
        <v>520.66</v>
      </c>
      <c r="J1668">
        <v>2603.3000000000002</v>
      </c>
      <c r="K1668" t="s">
        <v>2116</v>
      </c>
      <c r="L1668" t="s">
        <v>28</v>
      </c>
    </row>
    <row r="1669" spans="1:12" x14ac:dyDescent="0.35">
      <c r="A1669" t="s">
        <v>2956</v>
      </c>
      <c r="B1669" t="s">
        <v>412</v>
      </c>
      <c r="C1669" t="s">
        <v>413</v>
      </c>
      <c r="D1669" t="s">
        <v>23</v>
      </c>
      <c r="E1669" t="s">
        <v>338</v>
      </c>
      <c r="F1669" t="s">
        <v>50</v>
      </c>
      <c r="G1669" t="s">
        <v>51</v>
      </c>
      <c r="H1669">
        <v>3</v>
      </c>
      <c r="I1669">
        <v>902.55</v>
      </c>
      <c r="J1669">
        <v>2707.65</v>
      </c>
      <c r="K1669" t="s">
        <v>2252</v>
      </c>
      <c r="L1669" t="s">
        <v>36</v>
      </c>
    </row>
    <row r="1670" spans="1:12" x14ac:dyDescent="0.35">
      <c r="A1670" t="s">
        <v>2957</v>
      </c>
      <c r="B1670" t="s">
        <v>1163</v>
      </c>
      <c r="C1670" t="s">
        <v>1164</v>
      </c>
      <c r="D1670" t="s">
        <v>40</v>
      </c>
      <c r="E1670" t="s">
        <v>41</v>
      </c>
      <c r="F1670" t="s">
        <v>42</v>
      </c>
      <c r="G1670" t="s">
        <v>43</v>
      </c>
      <c r="H1670">
        <v>3</v>
      </c>
      <c r="I1670">
        <v>1110.99</v>
      </c>
      <c r="J1670">
        <v>3332.97</v>
      </c>
      <c r="K1670" t="s">
        <v>2673</v>
      </c>
      <c r="L1670" t="s">
        <v>19</v>
      </c>
    </row>
    <row r="1671" spans="1:12" x14ac:dyDescent="0.35">
      <c r="A1671" t="s">
        <v>2958</v>
      </c>
      <c r="B1671" t="s">
        <v>1001</v>
      </c>
      <c r="C1671" t="s">
        <v>1002</v>
      </c>
      <c r="D1671" t="s">
        <v>23</v>
      </c>
      <c r="E1671" t="s">
        <v>338</v>
      </c>
      <c r="F1671" t="s">
        <v>101</v>
      </c>
      <c r="G1671" t="s">
        <v>649</v>
      </c>
      <c r="H1671">
        <v>1</v>
      </c>
      <c r="I1671">
        <v>797.77</v>
      </c>
      <c r="J1671">
        <v>797.77</v>
      </c>
      <c r="K1671" t="s">
        <v>2153</v>
      </c>
      <c r="L1671" t="s">
        <v>91</v>
      </c>
    </row>
    <row r="1672" spans="1:12" x14ac:dyDescent="0.35">
      <c r="A1672" t="s">
        <v>2959</v>
      </c>
      <c r="B1672" t="s">
        <v>244</v>
      </c>
      <c r="C1672" t="s">
        <v>245</v>
      </c>
      <c r="D1672" t="s">
        <v>23</v>
      </c>
      <c r="E1672" t="s">
        <v>49</v>
      </c>
      <c r="F1672" t="s">
        <v>16</v>
      </c>
      <c r="G1672" t="s">
        <v>182</v>
      </c>
      <c r="H1672">
        <v>5</v>
      </c>
      <c r="I1672">
        <v>302.55</v>
      </c>
      <c r="J1672">
        <v>1512.75</v>
      </c>
      <c r="K1672" t="s">
        <v>1929</v>
      </c>
      <c r="L1672" t="s">
        <v>91</v>
      </c>
    </row>
    <row r="1673" spans="1:12" x14ac:dyDescent="0.35">
      <c r="A1673" t="s">
        <v>2960</v>
      </c>
      <c r="B1673" t="s">
        <v>355</v>
      </c>
      <c r="C1673" t="s">
        <v>356</v>
      </c>
      <c r="D1673" t="s">
        <v>67</v>
      </c>
      <c r="E1673" t="s">
        <v>68</v>
      </c>
      <c r="F1673" t="s">
        <v>25</v>
      </c>
      <c r="G1673" t="s">
        <v>62</v>
      </c>
      <c r="H1673">
        <v>1</v>
      </c>
      <c r="I1673">
        <v>490.22</v>
      </c>
      <c r="J1673">
        <v>490.22</v>
      </c>
      <c r="K1673" t="s">
        <v>2961</v>
      </c>
      <c r="L1673" t="s">
        <v>28</v>
      </c>
    </row>
    <row r="1674" spans="1:12" x14ac:dyDescent="0.35">
      <c r="A1674" t="s">
        <v>2962</v>
      </c>
      <c r="B1674" t="s">
        <v>500</v>
      </c>
      <c r="C1674" t="s">
        <v>501</v>
      </c>
      <c r="D1674" t="s">
        <v>23</v>
      </c>
      <c r="E1674" t="s">
        <v>338</v>
      </c>
      <c r="F1674" t="s">
        <v>25</v>
      </c>
      <c r="G1674" t="s">
        <v>74</v>
      </c>
      <c r="H1674">
        <v>1</v>
      </c>
      <c r="I1674">
        <v>450.38</v>
      </c>
      <c r="J1674">
        <v>450.38</v>
      </c>
      <c r="K1674" t="s">
        <v>1314</v>
      </c>
      <c r="L1674" t="s">
        <v>19</v>
      </c>
    </row>
    <row r="1675" spans="1:12" x14ac:dyDescent="0.35">
      <c r="A1675" t="s">
        <v>2963</v>
      </c>
      <c r="B1675" t="s">
        <v>864</v>
      </c>
      <c r="C1675" t="s">
        <v>865</v>
      </c>
      <c r="D1675" t="s">
        <v>40</v>
      </c>
      <c r="E1675" t="s">
        <v>120</v>
      </c>
      <c r="F1675" t="s">
        <v>50</v>
      </c>
      <c r="G1675" t="s">
        <v>56</v>
      </c>
      <c r="H1675">
        <v>1</v>
      </c>
      <c r="I1675">
        <v>141.79</v>
      </c>
      <c r="J1675">
        <v>141.79</v>
      </c>
      <c r="K1675" t="s">
        <v>1562</v>
      </c>
      <c r="L1675" t="s">
        <v>91</v>
      </c>
    </row>
    <row r="1676" spans="1:12" x14ac:dyDescent="0.35">
      <c r="A1676" t="s">
        <v>2964</v>
      </c>
      <c r="B1676" t="s">
        <v>990</v>
      </c>
      <c r="C1676" t="s">
        <v>991</v>
      </c>
      <c r="D1676" t="s">
        <v>40</v>
      </c>
      <c r="E1676" t="s">
        <v>41</v>
      </c>
      <c r="F1676" t="s">
        <v>50</v>
      </c>
      <c r="G1676" t="s">
        <v>69</v>
      </c>
      <c r="H1676">
        <v>4</v>
      </c>
      <c r="I1676">
        <v>489.41</v>
      </c>
      <c r="J1676">
        <v>1957.64</v>
      </c>
      <c r="K1676" t="s">
        <v>2965</v>
      </c>
      <c r="L1676" t="s">
        <v>36</v>
      </c>
    </row>
    <row r="1677" spans="1:12" x14ac:dyDescent="0.35">
      <c r="A1677" t="s">
        <v>2966</v>
      </c>
      <c r="B1677" t="s">
        <v>2188</v>
      </c>
      <c r="C1677" t="s">
        <v>2189</v>
      </c>
      <c r="D1677" t="s">
        <v>32</v>
      </c>
      <c r="E1677" t="s">
        <v>203</v>
      </c>
      <c r="F1677" t="s">
        <v>101</v>
      </c>
      <c r="G1677" t="s">
        <v>237</v>
      </c>
      <c r="H1677">
        <v>3</v>
      </c>
      <c r="I1677">
        <v>229.18</v>
      </c>
      <c r="J1677">
        <v>687.54</v>
      </c>
      <c r="K1677" t="s">
        <v>2035</v>
      </c>
      <c r="L1677" t="s">
        <v>36</v>
      </c>
    </row>
    <row r="1678" spans="1:12" x14ac:dyDescent="0.35">
      <c r="A1678" t="s">
        <v>2967</v>
      </c>
      <c r="B1678" t="s">
        <v>321</v>
      </c>
      <c r="C1678" t="s">
        <v>322</v>
      </c>
      <c r="D1678" t="s">
        <v>14</v>
      </c>
      <c r="E1678" t="s">
        <v>95</v>
      </c>
      <c r="F1678" t="s">
        <v>16</v>
      </c>
      <c r="G1678" t="s">
        <v>182</v>
      </c>
      <c r="H1678">
        <v>1</v>
      </c>
      <c r="I1678">
        <v>720.98</v>
      </c>
      <c r="J1678">
        <v>720.98</v>
      </c>
      <c r="K1678" t="s">
        <v>1553</v>
      </c>
      <c r="L1678" t="s">
        <v>45</v>
      </c>
    </row>
    <row r="1679" spans="1:12" x14ac:dyDescent="0.35">
      <c r="A1679" t="s">
        <v>2968</v>
      </c>
      <c r="B1679" t="s">
        <v>376</v>
      </c>
      <c r="C1679" t="s">
        <v>377</v>
      </c>
      <c r="D1679" t="s">
        <v>67</v>
      </c>
      <c r="E1679" t="s">
        <v>115</v>
      </c>
      <c r="F1679" t="s">
        <v>101</v>
      </c>
      <c r="G1679" t="s">
        <v>102</v>
      </c>
      <c r="H1679">
        <v>3</v>
      </c>
      <c r="I1679">
        <v>117.74</v>
      </c>
      <c r="J1679">
        <v>353.22</v>
      </c>
      <c r="K1679" t="s">
        <v>1365</v>
      </c>
      <c r="L1679" t="s">
        <v>45</v>
      </c>
    </row>
    <row r="1680" spans="1:12" x14ac:dyDescent="0.35">
      <c r="A1680" t="s">
        <v>2969</v>
      </c>
      <c r="B1680" t="s">
        <v>1260</v>
      </c>
      <c r="C1680" t="s">
        <v>1261</v>
      </c>
      <c r="D1680" t="s">
        <v>32</v>
      </c>
      <c r="E1680" t="s">
        <v>33</v>
      </c>
      <c r="F1680" t="s">
        <v>25</v>
      </c>
      <c r="G1680" t="s">
        <v>139</v>
      </c>
      <c r="H1680">
        <v>2</v>
      </c>
      <c r="I1680">
        <v>57.12</v>
      </c>
      <c r="J1680">
        <v>114.24</v>
      </c>
      <c r="K1680" t="s">
        <v>929</v>
      </c>
      <c r="L1680" t="s">
        <v>19</v>
      </c>
    </row>
    <row r="1681" spans="1:12" x14ac:dyDescent="0.35">
      <c r="A1681" t="s">
        <v>2970</v>
      </c>
      <c r="B1681" t="s">
        <v>146</v>
      </c>
      <c r="C1681" t="s">
        <v>147</v>
      </c>
      <c r="D1681" t="s">
        <v>14</v>
      </c>
      <c r="E1681" t="s">
        <v>15</v>
      </c>
      <c r="F1681" t="s">
        <v>50</v>
      </c>
      <c r="G1681" t="s">
        <v>216</v>
      </c>
      <c r="H1681">
        <v>5</v>
      </c>
      <c r="I1681">
        <v>792.12</v>
      </c>
      <c r="J1681">
        <v>3960.6</v>
      </c>
      <c r="K1681" t="s">
        <v>1161</v>
      </c>
      <c r="L1681" t="s">
        <v>36</v>
      </c>
    </row>
    <row r="1682" spans="1:12" x14ac:dyDescent="0.35">
      <c r="A1682" t="s">
        <v>2971</v>
      </c>
      <c r="B1682" t="s">
        <v>252</v>
      </c>
      <c r="C1682" t="s">
        <v>253</v>
      </c>
      <c r="D1682" t="s">
        <v>32</v>
      </c>
      <c r="E1682" t="s">
        <v>33</v>
      </c>
      <c r="F1682" t="s">
        <v>16</v>
      </c>
      <c r="G1682" t="s">
        <v>17</v>
      </c>
      <c r="H1682">
        <v>5</v>
      </c>
      <c r="I1682">
        <v>222.91</v>
      </c>
      <c r="J1682">
        <v>1114.55</v>
      </c>
      <c r="K1682" t="s">
        <v>483</v>
      </c>
      <c r="L1682" t="s">
        <v>19</v>
      </c>
    </row>
    <row r="1683" spans="1:12" x14ac:dyDescent="0.35">
      <c r="A1683" t="s">
        <v>2972</v>
      </c>
      <c r="B1683" t="s">
        <v>1196</v>
      </c>
      <c r="C1683" t="s">
        <v>1197</v>
      </c>
      <c r="D1683" t="s">
        <v>14</v>
      </c>
      <c r="E1683" t="s">
        <v>266</v>
      </c>
      <c r="F1683" t="s">
        <v>50</v>
      </c>
      <c r="G1683" t="s">
        <v>56</v>
      </c>
      <c r="H1683">
        <v>3</v>
      </c>
      <c r="I1683">
        <v>367.16</v>
      </c>
      <c r="J1683">
        <v>1101.48</v>
      </c>
      <c r="K1683" t="s">
        <v>952</v>
      </c>
      <c r="L1683" t="s">
        <v>28</v>
      </c>
    </row>
    <row r="1684" spans="1:12" x14ac:dyDescent="0.35">
      <c r="A1684" t="s">
        <v>2973</v>
      </c>
      <c r="B1684" t="s">
        <v>1018</v>
      </c>
      <c r="C1684" t="s">
        <v>1019</v>
      </c>
      <c r="D1684" t="s">
        <v>32</v>
      </c>
      <c r="E1684" t="s">
        <v>61</v>
      </c>
      <c r="F1684" t="s">
        <v>16</v>
      </c>
      <c r="G1684" t="s">
        <v>230</v>
      </c>
      <c r="H1684">
        <v>5</v>
      </c>
      <c r="I1684">
        <v>222.23</v>
      </c>
      <c r="J1684">
        <v>1111.1500000000001</v>
      </c>
      <c r="K1684" t="s">
        <v>1237</v>
      </c>
      <c r="L1684" t="s">
        <v>91</v>
      </c>
    </row>
    <row r="1685" spans="1:12" x14ac:dyDescent="0.35">
      <c r="A1685" t="s">
        <v>2974</v>
      </c>
      <c r="B1685" t="s">
        <v>964</v>
      </c>
      <c r="C1685" t="s">
        <v>965</v>
      </c>
      <c r="D1685" t="s">
        <v>32</v>
      </c>
      <c r="E1685" t="s">
        <v>203</v>
      </c>
      <c r="F1685" t="s">
        <v>50</v>
      </c>
      <c r="G1685" t="s">
        <v>51</v>
      </c>
      <c r="H1685">
        <v>5</v>
      </c>
      <c r="I1685">
        <v>1105.21</v>
      </c>
      <c r="J1685">
        <v>5526.05</v>
      </c>
      <c r="K1685" t="s">
        <v>1106</v>
      </c>
      <c r="L1685" t="s">
        <v>91</v>
      </c>
    </row>
    <row r="1686" spans="1:12" x14ac:dyDescent="0.35">
      <c r="A1686" t="s">
        <v>2975</v>
      </c>
      <c r="B1686" t="s">
        <v>256</v>
      </c>
      <c r="C1686" t="s">
        <v>257</v>
      </c>
      <c r="D1686" t="s">
        <v>40</v>
      </c>
      <c r="E1686" t="s">
        <v>41</v>
      </c>
      <c r="F1686" t="s">
        <v>16</v>
      </c>
      <c r="G1686" t="s">
        <v>177</v>
      </c>
      <c r="H1686">
        <v>5</v>
      </c>
      <c r="I1686">
        <v>1310.83</v>
      </c>
      <c r="J1686">
        <v>6554.15</v>
      </c>
      <c r="K1686" t="s">
        <v>1408</v>
      </c>
      <c r="L1686" t="s">
        <v>36</v>
      </c>
    </row>
    <row r="1687" spans="1:12" x14ac:dyDescent="0.35">
      <c r="A1687" t="s">
        <v>2976</v>
      </c>
      <c r="B1687" t="s">
        <v>536</v>
      </c>
      <c r="C1687" t="s">
        <v>537</v>
      </c>
      <c r="D1687" t="s">
        <v>40</v>
      </c>
      <c r="E1687" t="s">
        <v>79</v>
      </c>
      <c r="F1687" t="s">
        <v>25</v>
      </c>
      <c r="G1687" t="s">
        <v>34</v>
      </c>
      <c r="H1687">
        <v>2</v>
      </c>
      <c r="I1687">
        <v>1356.5</v>
      </c>
      <c r="J1687">
        <v>2713</v>
      </c>
      <c r="K1687" t="s">
        <v>1716</v>
      </c>
      <c r="L1687" t="s">
        <v>36</v>
      </c>
    </row>
    <row r="1688" spans="1:12" x14ac:dyDescent="0.35">
      <c r="A1688" t="s">
        <v>2977</v>
      </c>
      <c r="B1688" t="s">
        <v>384</v>
      </c>
      <c r="C1688" t="s">
        <v>385</v>
      </c>
      <c r="D1688" t="s">
        <v>23</v>
      </c>
      <c r="E1688" t="s">
        <v>49</v>
      </c>
      <c r="F1688" t="s">
        <v>16</v>
      </c>
      <c r="G1688" t="s">
        <v>177</v>
      </c>
      <c r="H1688">
        <v>1</v>
      </c>
      <c r="I1688">
        <v>679.87</v>
      </c>
      <c r="J1688">
        <v>679.87</v>
      </c>
      <c r="K1688" t="s">
        <v>956</v>
      </c>
      <c r="L1688" t="s">
        <v>19</v>
      </c>
    </row>
    <row r="1689" spans="1:12" x14ac:dyDescent="0.35">
      <c r="A1689" t="s">
        <v>2978</v>
      </c>
      <c r="B1689" t="s">
        <v>1793</v>
      </c>
      <c r="C1689" t="s">
        <v>1794</v>
      </c>
      <c r="D1689" t="s">
        <v>67</v>
      </c>
      <c r="E1689" t="s">
        <v>115</v>
      </c>
      <c r="F1689" t="s">
        <v>50</v>
      </c>
      <c r="G1689" t="s">
        <v>69</v>
      </c>
      <c r="H1689">
        <v>1</v>
      </c>
      <c r="I1689">
        <v>929.89</v>
      </c>
      <c r="J1689">
        <v>929.89</v>
      </c>
      <c r="K1689" t="s">
        <v>916</v>
      </c>
      <c r="L1689" t="s">
        <v>36</v>
      </c>
    </row>
    <row r="1690" spans="1:12" x14ac:dyDescent="0.35">
      <c r="A1690" t="s">
        <v>2979</v>
      </c>
      <c r="B1690" t="s">
        <v>1523</v>
      </c>
      <c r="C1690" t="s">
        <v>1524</v>
      </c>
      <c r="D1690" t="s">
        <v>14</v>
      </c>
      <c r="E1690" t="s">
        <v>95</v>
      </c>
      <c r="F1690" t="s">
        <v>42</v>
      </c>
      <c r="G1690" t="s">
        <v>80</v>
      </c>
      <c r="H1690">
        <v>3</v>
      </c>
      <c r="I1690">
        <v>909.35</v>
      </c>
      <c r="J1690">
        <v>2728.05</v>
      </c>
      <c r="K1690" t="s">
        <v>1466</v>
      </c>
      <c r="L1690" t="s">
        <v>19</v>
      </c>
    </row>
    <row r="1691" spans="1:12" x14ac:dyDescent="0.35">
      <c r="A1691" t="s">
        <v>2980</v>
      </c>
      <c r="B1691" t="s">
        <v>820</v>
      </c>
      <c r="C1691" t="s">
        <v>821</v>
      </c>
      <c r="D1691" t="s">
        <v>23</v>
      </c>
      <c r="E1691" t="s">
        <v>338</v>
      </c>
      <c r="F1691" t="s">
        <v>25</v>
      </c>
      <c r="G1691" t="s">
        <v>34</v>
      </c>
      <c r="H1691">
        <v>4</v>
      </c>
      <c r="I1691">
        <v>425.98</v>
      </c>
      <c r="J1691">
        <v>1703.92</v>
      </c>
      <c r="K1691" t="s">
        <v>1321</v>
      </c>
      <c r="L1691" t="s">
        <v>45</v>
      </c>
    </row>
    <row r="1692" spans="1:12" x14ac:dyDescent="0.35">
      <c r="A1692" t="s">
        <v>2981</v>
      </c>
      <c r="B1692" t="s">
        <v>1523</v>
      </c>
      <c r="C1692" t="s">
        <v>1524</v>
      </c>
      <c r="D1692" t="s">
        <v>67</v>
      </c>
      <c r="E1692" t="s">
        <v>115</v>
      </c>
      <c r="F1692" t="s">
        <v>42</v>
      </c>
      <c r="G1692" t="s">
        <v>43</v>
      </c>
      <c r="H1692">
        <v>5</v>
      </c>
      <c r="I1692">
        <v>1122.83</v>
      </c>
      <c r="J1692">
        <v>5614.15</v>
      </c>
      <c r="K1692" t="s">
        <v>2982</v>
      </c>
      <c r="L1692" t="s">
        <v>28</v>
      </c>
    </row>
    <row r="1693" spans="1:12" x14ac:dyDescent="0.35">
      <c r="A1693" t="s">
        <v>2983</v>
      </c>
      <c r="B1693" t="s">
        <v>87</v>
      </c>
      <c r="C1693" t="s">
        <v>88</v>
      </c>
      <c r="D1693" t="s">
        <v>32</v>
      </c>
      <c r="E1693" t="s">
        <v>61</v>
      </c>
      <c r="F1693" t="s">
        <v>16</v>
      </c>
      <c r="G1693" t="s">
        <v>17</v>
      </c>
      <c r="H1693">
        <v>2</v>
      </c>
      <c r="I1693">
        <v>627.59</v>
      </c>
      <c r="J1693">
        <v>1255.18</v>
      </c>
      <c r="K1693" t="s">
        <v>2532</v>
      </c>
      <c r="L1693" t="s">
        <v>45</v>
      </c>
    </row>
    <row r="1694" spans="1:12" x14ac:dyDescent="0.35">
      <c r="A1694" t="s">
        <v>2984</v>
      </c>
      <c r="B1694" t="s">
        <v>1281</v>
      </c>
      <c r="C1694" t="s">
        <v>1282</v>
      </c>
      <c r="D1694" t="s">
        <v>23</v>
      </c>
      <c r="E1694" t="s">
        <v>49</v>
      </c>
      <c r="F1694" t="s">
        <v>50</v>
      </c>
      <c r="G1694" t="s">
        <v>56</v>
      </c>
      <c r="H1694">
        <v>5</v>
      </c>
      <c r="I1694">
        <v>331.46</v>
      </c>
      <c r="J1694">
        <v>1657.3</v>
      </c>
      <c r="K1694" t="s">
        <v>2121</v>
      </c>
      <c r="L1694" t="s">
        <v>91</v>
      </c>
    </row>
    <row r="1695" spans="1:12" x14ac:dyDescent="0.35">
      <c r="A1695" t="s">
        <v>2985</v>
      </c>
      <c r="B1695" t="s">
        <v>755</v>
      </c>
      <c r="C1695" t="s">
        <v>756</v>
      </c>
      <c r="D1695" t="s">
        <v>23</v>
      </c>
      <c r="E1695" t="s">
        <v>24</v>
      </c>
      <c r="F1695" t="s">
        <v>42</v>
      </c>
      <c r="G1695" t="s">
        <v>89</v>
      </c>
      <c r="H1695">
        <v>2</v>
      </c>
      <c r="I1695">
        <v>724.23</v>
      </c>
      <c r="J1695">
        <v>1448.46</v>
      </c>
      <c r="K1695" t="s">
        <v>2198</v>
      </c>
      <c r="L1695" t="s">
        <v>28</v>
      </c>
    </row>
    <row r="1696" spans="1:12" x14ac:dyDescent="0.35">
      <c r="A1696" t="s">
        <v>2986</v>
      </c>
      <c r="B1696" t="s">
        <v>38</v>
      </c>
      <c r="C1696" t="s">
        <v>39</v>
      </c>
      <c r="D1696" t="s">
        <v>67</v>
      </c>
      <c r="E1696" t="s">
        <v>115</v>
      </c>
      <c r="F1696" t="s">
        <v>16</v>
      </c>
      <c r="G1696" t="s">
        <v>17</v>
      </c>
      <c r="H1696">
        <v>1</v>
      </c>
      <c r="I1696">
        <v>78.58</v>
      </c>
      <c r="J1696">
        <v>78.58</v>
      </c>
      <c r="K1696" t="s">
        <v>2987</v>
      </c>
      <c r="L1696" t="s">
        <v>36</v>
      </c>
    </row>
    <row r="1697" spans="1:12" x14ac:dyDescent="0.35">
      <c r="A1697" t="s">
        <v>2988</v>
      </c>
      <c r="B1697" t="s">
        <v>72</v>
      </c>
      <c r="C1697" t="s">
        <v>73</v>
      </c>
      <c r="D1697" t="s">
        <v>40</v>
      </c>
      <c r="E1697" t="s">
        <v>120</v>
      </c>
      <c r="F1697" t="s">
        <v>16</v>
      </c>
      <c r="G1697" t="s">
        <v>182</v>
      </c>
      <c r="H1697">
        <v>1</v>
      </c>
      <c r="I1697">
        <v>126.04</v>
      </c>
      <c r="J1697">
        <v>126.04</v>
      </c>
      <c r="K1697" t="s">
        <v>1575</v>
      </c>
      <c r="L1697" t="s">
        <v>45</v>
      </c>
    </row>
    <row r="1698" spans="1:12" x14ac:dyDescent="0.35">
      <c r="A1698" t="s">
        <v>2989</v>
      </c>
      <c r="B1698" t="s">
        <v>1464</v>
      </c>
      <c r="C1698" t="s">
        <v>1465</v>
      </c>
      <c r="D1698" t="s">
        <v>40</v>
      </c>
      <c r="E1698" t="s">
        <v>41</v>
      </c>
      <c r="F1698" t="s">
        <v>42</v>
      </c>
      <c r="G1698" t="s">
        <v>225</v>
      </c>
      <c r="H1698">
        <v>4</v>
      </c>
      <c r="I1698">
        <v>859.13</v>
      </c>
      <c r="J1698">
        <v>3436.52</v>
      </c>
      <c r="K1698" t="s">
        <v>2990</v>
      </c>
      <c r="L1698" t="s">
        <v>28</v>
      </c>
    </row>
    <row r="1699" spans="1:12" x14ac:dyDescent="0.35">
      <c r="A1699" t="s">
        <v>2991</v>
      </c>
      <c r="B1699" t="s">
        <v>506</v>
      </c>
      <c r="C1699" t="s">
        <v>507</v>
      </c>
      <c r="D1699" t="s">
        <v>14</v>
      </c>
      <c r="E1699" t="s">
        <v>95</v>
      </c>
      <c r="F1699" t="s">
        <v>50</v>
      </c>
      <c r="G1699" t="s">
        <v>69</v>
      </c>
      <c r="H1699">
        <v>3</v>
      </c>
      <c r="I1699">
        <v>1471.35</v>
      </c>
      <c r="J1699">
        <v>4414.05</v>
      </c>
      <c r="K1699" t="s">
        <v>2992</v>
      </c>
      <c r="L1699" t="s">
        <v>91</v>
      </c>
    </row>
    <row r="1700" spans="1:12" x14ac:dyDescent="0.35">
      <c r="A1700" t="s">
        <v>2993</v>
      </c>
      <c r="B1700" t="s">
        <v>1523</v>
      </c>
      <c r="C1700" t="s">
        <v>1524</v>
      </c>
      <c r="D1700" t="s">
        <v>14</v>
      </c>
      <c r="E1700" t="s">
        <v>100</v>
      </c>
      <c r="F1700" t="s">
        <v>42</v>
      </c>
      <c r="G1700" t="s">
        <v>80</v>
      </c>
      <c r="H1700">
        <v>3</v>
      </c>
      <c r="I1700">
        <v>1285.5999999999999</v>
      </c>
      <c r="J1700">
        <v>3856.8</v>
      </c>
      <c r="K1700" t="s">
        <v>2994</v>
      </c>
      <c r="L1700" t="s">
        <v>36</v>
      </c>
    </row>
    <row r="1701" spans="1:12" x14ac:dyDescent="0.35">
      <c r="A1701" t="s">
        <v>2995</v>
      </c>
      <c r="B1701" t="s">
        <v>1278</v>
      </c>
      <c r="C1701" t="s">
        <v>1279</v>
      </c>
      <c r="D1701" t="s">
        <v>40</v>
      </c>
      <c r="E1701" t="s">
        <v>120</v>
      </c>
      <c r="F1701" t="s">
        <v>101</v>
      </c>
      <c r="G1701" t="s">
        <v>165</v>
      </c>
      <c r="H1701">
        <v>1</v>
      </c>
      <c r="I1701">
        <v>207.88</v>
      </c>
      <c r="J1701">
        <v>207.88</v>
      </c>
      <c r="K1701" t="s">
        <v>1367</v>
      </c>
      <c r="L1701" t="s">
        <v>19</v>
      </c>
    </row>
    <row r="1702" spans="1:12" x14ac:dyDescent="0.35">
      <c r="A1702" t="s">
        <v>2996</v>
      </c>
      <c r="B1702" t="s">
        <v>214</v>
      </c>
      <c r="C1702" t="s">
        <v>215</v>
      </c>
      <c r="D1702" t="s">
        <v>67</v>
      </c>
      <c r="E1702" t="s">
        <v>115</v>
      </c>
      <c r="F1702" t="s">
        <v>25</v>
      </c>
      <c r="G1702" t="s">
        <v>74</v>
      </c>
      <c r="H1702">
        <v>1</v>
      </c>
      <c r="I1702">
        <v>148.94999999999999</v>
      </c>
      <c r="J1702">
        <v>148.94999999999999</v>
      </c>
      <c r="K1702" t="s">
        <v>2149</v>
      </c>
      <c r="L1702" t="s">
        <v>19</v>
      </c>
    </row>
    <row r="1703" spans="1:12" x14ac:dyDescent="0.35">
      <c r="A1703" t="s">
        <v>2997</v>
      </c>
      <c r="B1703" t="s">
        <v>273</v>
      </c>
      <c r="C1703" t="s">
        <v>274</v>
      </c>
      <c r="D1703" t="s">
        <v>67</v>
      </c>
      <c r="E1703" t="s">
        <v>115</v>
      </c>
      <c r="F1703" t="s">
        <v>25</v>
      </c>
      <c r="G1703" t="s">
        <v>74</v>
      </c>
      <c r="H1703">
        <v>1</v>
      </c>
      <c r="I1703">
        <v>962.78</v>
      </c>
      <c r="J1703">
        <v>962.78</v>
      </c>
      <c r="K1703" t="s">
        <v>757</v>
      </c>
      <c r="L1703" t="s">
        <v>28</v>
      </c>
    </row>
    <row r="1704" spans="1:12" x14ac:dyDescent="0.35">
      <c r="A1704" t="s">
        <v>2998</v>
      </c>
      <c r="B1704" t="s">
        <v>552</v>
      </c>
      <c r="C1704" t="s">
        <v>553</v>
      </c>
      <c r="D1704" t="s">
        <v>23</v>
      </c>
      <c r="E1704" t="s">
        <v>338</v>
      </c>
      <c r="F1704" t="s">
        <v>16</v>
      </c>
      <c r="G1704" t="s">
        <v>182</v>
      </c>
      <c r="H1704">
        <v>4</v>
      </c>
      <c r="I1704">
        <v>16.309999999999999</v>
      </c>
      <c r="J1704">
        <v>65.239999999999995</v>
      </c>
      <c r="K1704" t="s">
        <v>2999</v>
      </c>
      <c r="L1704" t="s">
        <v>28</v>
      </c>
    </row>
    <row r="1705" spans="1:12" x14ac:dyDescent="0.35">
      <c r="A1705" t="s">
        <v>3000</v>
      </c>
      <c r="B1705" t="s">
        <v>2245</v>
      </c>
      <c r="C1705" t="s">
        <v>2246</v>
      </c>
      <c r="D1705" t="s">
        <v>67</v>
      </c>
      <c r="E1705" t="s">
        <v>130</v>
      </c>
      <c r="F1705" t="s">
        <v>50</v>
      </c>
      <c r="G1705" t="s">
        <v>69</v>
      </c>
      <c r="H1705">
        <v>2</v>
      </c>
      <c r="I1705">
        <v>44.64</v>
      </c>
      <c r="J1705">
        <v>89.28</v>
      </c>
      <c r="K1705" t="s">
        <v>2503</v>
      </c>
      <c r="L1705" t="s">
        <v>19</v>
      </c>
    </row>
    <row r="1706" spans="1:12" x14ac:dyDescent="0.35">
      <c r="A1706" t="s">
        <v>3001</v>
      </c>
      <c r="B1706" t="s">
        <v>384</v>
      </c>
      <c r="C1706" t="s">
        <v>385</v>
      </c>
      <c r="D1706" t="s">
        <v>14</v>
      </c>
      <c r="E1706" t="s">
        <v>95</v>
      </c>
      <c r="F1706" t="s">
        <v>101</v>
      </c>
      <c r="G1706" t="s">
        <v>165</v>
      </c>
      <c r="H1706">
        <v>4</v>
      </c>
      <c r="I1706">
        <v>598.75</v>
      </c>
      <c r="J1706">
        <v>2395</v>
      </c>
      <c r="K1706" t="s">
        <v>1603</v>
      </c>
      <c r="L1706" t="s">
        <v>91</v>
      </c>
    </row>
    <row r="1707" spans="1:12" x14ac:dyDescent="0.35">
      <c r="A1707" t="s">
        <v>3002</v>
      </c>
      <c r="B1707" t="s">
        <v>1496</v>
      </c>
      <c r="C1707" t="s">
        <v>1497</v>
      </c>
      <c r="D1707" t="s">
        <v>40</v>
      </c>
      <c r="E1707" t="s">
        <v>120</v>
      </c>
      <c r="F1707" t="s">
        <v>101</v>
      </c>
      <c r="G1707" t="s">
        <v>373</v>
      </c>
      <c r="H1707">
        <v>3</v>
      </c>
      <c r="I1707">
        <v>942.2</v>
      </c>
      <c r="J1707">
        <v>2826.6</v>
      </c>
      <c r="K1707" t="s">
        <v>431</v>
      </c>
      <c r="L1707" t="s">
        <v>28</v>
      </c>
    </row>
    <row r="1708" spans="1:12" x14ac:dyDescent="0.35">
      <c r="A1708" t="s">
        <v>3003</v>
      </c>
      <c r="B1708" t="s">
        <v>321</v>
      </c>
      <c r="C1708" t="s">
        <v>322</v>
      </c>
      <c r="D1708" t="s">
        <v>23</v>
      </c>
      <c r="E1708" t="s">
        <v>24</v>
      </c>
      <c r="F1708" t="s">
        <v>25</v>
      </c>
      <c r="G1708" t="s">
        <v>34</v>
      </c>
      <c r="H1708">
        <v>1</v>
      </c>
      <c r="I1708">
        <v>796.9</v>
      </c>
      <c r="J1708">
        <v>796.9</v>
      </c>
      <c r="K1708" t="s">
        <v>1929</v>
      </c>
      <c r="L1708" t="s">
        <v>91</v>
      </c>
    </row>
    <row r="1709" spans="1:12" x14ac:dyDescent="0.35">
      <c r="A1709" t="s">
        <v>3004</v>
      </c>
      <c r="B1709" t="s">
        <v>142</v>
      </c>
      <c r="C1709" t="s">
        <v>143</v>
      </c>
      <c r="D1709" t="s">
        <v>23</v>
      </c>
      <c r="E1709" t="s">
        <v>49</v>
      </c>
      <c r="F1709" t="s">
        <v>50</v>
      </c>
      <c r="G1709" t="s">
        <v>216</v>
      </c>
      <c r="H1709">
        <v>3</v>
      </c>
      <c r="I1709">
        <v>1366.37</v>
      </c>
      <c r="J1709">
        <v>4099.1099999999997</v>
      </c>
      <c r="K1709" t="s">
        <v>1731</v>
      </c>
      <c r="L1709" t="s">
        <v>28</v>
      </c>
    </row>
    <row r="1710" spans="1:12" x14ac:dyDescent="0.35">
      <c r="A1710" t="s">
        <v>3005</v>
      </c>
      <c r="B1710" t="s">
        <v>785</v>
      </c>
      <c r="C1710" t="s">
        <v>786</v>
      </c>
      <c r="D1710" t="s">
        <v>40</v>
      </c>
      <c r="E1710" t="s">
        <v>41</v>
      </c>
      <c r="F1710" t="s">
        <v>50</v>
      </c>
      <c r="G1710" t="s">
        <v>69</v>
      </c>
      <c r="H1710">
        <v>5</v>
      </c>
      <c r="I1710">
        <v>1151.06</v>
      </c>
      <c r="J1710">
        <v>5755.3</v>
      </c>
      <c r="K1710" t="s">
        <v>534</v>
      </c>
      <c r="L1710" t="s">
        <v>45</v>
      </c>
    </row>
    <row r="1711" spans="1:12" x14ac:dyDescent="0.35">
      <c r="A1711" t="s">
        <v>3006</v>
      </c>
      <c r="B1711" t="s">
        <v>1281</v>
      </c>
      <c r="C1711" t="s">
        <v>1282</v>
      </c>
      <c r="D1711" t="s">
        <v>23</v>
      </c>
      <c r="E1711" t="s">
        <v>49</v>
      </c>
      <c r="F1711" t="s">
        <v>16</v>
      </c>
      <c r="G1711" t="s">
        <v>17</v>
      </c>
      <c r="H1711">
        <v>2</v>
      </c>
      <c r="I1711">
        <v>1402.43</v>
      </c>
      <c r="J1711">
        <v>2804.86</v>
      </c>
      <c r="K1711" t="s">
        <v>1898</v>
      </c>
      <c r="L1711" t="s">
        <v>19</v>
      </c>
    </row>
    <row r="1712" spans="1:12" x14ac:dyDescent="0.35">
      <c r="A1712" t="s">
        <v>3007</v>
      </c>
      <c r="B1712" t="s">
        <v>83</v>
      </c>
      <c r="C1712" t="s">
        <v>84</v>
      </c>
      <c r="D1712" t="s">
        <v>14</v>
      </c>
      <c r="E1712" t="s">
        <v>15</v>
      </c>
      <c r="F1712" t="s">
        <v>25</v>
      </c>
      <c r="G1712" t="s">
        <v>74</v>
      </c>
      <c r="H1712">
        <v>3</v>
      </c>
      <c r="I1712">
        <v>744.26</v>
      </c>
      <c r="J1712">
        <v>2232.7800000000002</v>
      </c>
      <c r="K1712" t="s">
        <v>1847</v>
      </c>
      <c r="L1712" t="s">
        <v>28</v>
      </c>
    </row>
    <row r="1713" spans="1:12" x14ac:dyDescent="0.35">
      <c r="A1713" t="s">
        <v>3008</v>
      </c>
      <c r="B1713" t="s">
        <v>1940</v>
      </c>
      <c r="C1713" t="s">
        <v>1941</v>
      </c>
      <c r="D1713" t="s">
        <v>14</v>
      </c>
      <c r="E1713" t="s">
        <v>125</v>
      </c>
      <c r="F1713" t="s">
        <v>16</v>
      </c>
      <c r="G1713" t="s">
        <v>230</v>
      </c>
      <c r="H1713">
        <v>2</v>
      </c>
      <c r="I1713">
        <v>983.21</v>
      </c>
      <c r="J1713">
        <v>1966.42</v>
      </c>
      <c r="K1713" t="s">
        <v>692</v>
      </c>
      <c r="L1713" t="s">
        <v>28</v>
      </c>
    </row>
    <row r="1714" spans="1:12" x14ac:dyDescent="0.35">
      <c r="A1714" t="s">
        <v>3009</v>
      </c>
      <c r="B1714" t="s">
        <v>260</v>
      </c>
      <c r="C1714" t="s">
        <v>261</v>
      </c>
      <c r="D1714" t="s">
        <v>14</v>
      </c>
      <c r="E1714" t="s">
        <v>266</v>
      </c>
      <c r="F1714" t="s">
        <v>16</v>
      </c>
      <c r="G1714" t="s">
        <v>182</v>
      </c>
      <c r="H1714">
        <v>4</v>
      </c>
      <c r="I1714">
        <v>313.64999999999998</v>
      </c>
      <c r="J1714">
        <v>1254.5999999999999</v>
      </c>
      <c r="K1714" t="s">
        <v>3010</v>
      </c>
      <c r="L1714" t="s">
        <v>28</v>
      </c>
    </row>
    <row r="1715" spans="1:12" x14ac:dyDescent="0.35">
      <c r="A1715" t="s">
        <v>3011</v>
      </c>
      <c r="B1715" t="s">
        <v>367</v>
      </c>
      <c r="C1715" t="s">
        <v>368</v>
      </c>
      <c r="D1715" t="s">
        <v>23</v>
      </c>
      <c r="E1715" t="s">
        <v>49</v>
      </c>
      <c r="F1715" t="s">
        <v>25</v>
      </c>
      <c r="G1715" t="s">
        <v>34</v>
      </c>
      <c r="H1715">
        <v>4</v>
      </c>
      <c r="I1715">
        <v>729.83</v>
      </c>
      <c r="J1715">
        <v>2919.32</v>
      </c>
      <c r="K1715" t="s">
        <v>1866</v>
      </c>
      <c r="L1715" t="s">
        <v>36</v>
      </c>
    </row>
    <row r="1716" spans="1:12" x14ac:dyDescent="0.35">
      <c r="A1716" t="s">
        <v>3012</v>
      </c>
      <c r="B1716" t="s">
        <v>146</v>
      </c>
      <c r="C1716" t="s">
        <v>147</v>
      </c>
      <c r="D1716" t="s">
        <v>23</v>
      </c>
      <c r="E1716" t="s">
        <v>24</v>
      </c>
      <c r="F1716" t="s">
        <v>50</v>
      </c>
      <c r="G1716" t="s">
        <v>216</v>
      </c>
      <c r="H1716">
        <v>2</v>
      </c>
      <c r="I1716">
        <v>196.21</v>
      </c>
      <c r="J1716">
        <v>392.42</v>
      </c>
      <c r="K1716" t="s">
        <v>1316</v>
      </c>
      <c r="L1716" t="s">
        <v>91</v>
      </c>
    </row>
    <row r="1717" spans="1:12" x14ac:dyDescent="0.35">
      <c r="A1717" t="s">
        <v>3013</v>
      </c>
      <c r="B1717" t="s">
        <v>193</v>
      </c>
      <c r="C1717" t="s">
        <v>194</v>
      </c>
      <c r="D1717" t="s">
        <v>32</v>
      </c>
      <c r="E1717" t="s">
        <v>33</v>
      </c>
      <c r="F1717" t="s">
        <v>101</v>
      </c>
      <c r="G1717" t="s">
        <v>373</v>
      </c>
      <c r="H1717">
        <v>5</v>
      </c>
      <c r="I1717">
        <v>1300</v>
      </c>
      <c r="J1717">
        <v>6500</v>
      </c>
      <c r="K1717" t="s">
        <v>2930</v>
      </c>
      <c r="L1717" t="s">
        <v>28</v>
      </c>
    </row>
    <row r="1718" spans="1:12" x14ac:dyDescent="0.35">
      <c r="A1718" t="s">
        <v>3014</v>
      </c>
      <c r="B1718" t="s">
        <v>809</v>
      </c>
      <c r="C1718" t="s">
        <v>810</v>
      </c>
      <c r="D1718" t="s">
        <v>23</v>
      </c>
      <c r="E1718" t="s">
        <v>338</v>
      </c>
      <c r="F1718" t="s">
        <v>16</v>
      </c>
      <c r="G1718" t="s">
        <v>17</v>
      </c>
      <c r="H1718">
        <v>5</v>
      </c>
      <c r="I1718">
        <v>327.35000000000002</v>
      </c>
      <c r="J1718">
        <v>1636.75</v>
      </c>
      <c r="K1718" t="s">
        <v>350</v>
      </c>
      <c r="L1718" t="s">
        <v>45</v>
      </c>
    </row>
    <row r="1719" spans="1:12" x14ac:dyDescent="0.35">
      <c r="A1719" t="s">
        <v>3015</v>
      </c>
      <c r="B1719" t="s">
        <v>113</v>
      </c>
      <c r="C1719" t="s">
        <v>114</v>
      </c>
      <c r="D1719" t="s">
        <v>14</v>
      </c>
      <c r="E1719" t="s">
        <v>15</v>
      </c>
      <c r="F1719" t="s">
        <v>16</v>
      </c>
      <c r="G1719" t="s">
        <v>230</v>
      </c>
      <c r="H1719">
        <v>4</v>
      </c>
      <c r="I1719">
        <v>131.12</v>
      </c>
      <c r="J1719">
        <v>524.48</v>
      </c>
      <c r="K1719" t="s">
        <v>2111</v>
      </c>
      <c r="L1719" t="s">
        <v>28</v>
      </c>
    </row>
    <row r="1720" spans="1:12" x14ac:dyDescent="0.35">
      <c r="A1720" t="s">
        <v>3016</v>
      </c>
      <c r="B1720" t="s">
        <v>406</v>
      </c>
      <c r="C1720" t="s">
        <v>407</v>
      </c>
      <c r="D1720" t="s">
        <v>32</v>
      </c>
      <c r="E1720" t="s">
        <v>203</v>
      </c>
      <c r="F1720" t="s">
        <v>50</v>
      </c>
      <c r="G1720" t="s">
        <v>170</v>
      </c>
      <c r="H1720">
        <v>1</v>
      </c>
      <c r="I1720">
        <v>122.87</v>
      </c>
      <c r="J1720">
        <v>122.87</v>
      </c>
      <c r="K1720" t="s">
        <v>3017</v>
      </c>
      <c r="L1720" t="s">
        <v>45</v>
      </c>
    </row>
    <row r="1721" spans="1:12" x14ac:dyDescent="0.35">
      <c r="A1721" t="s">
        <v>3018</v>
      </c>
      <c r="B1721" t="s">
        <v>113</v>
      </c>
      <c r="C1721" t="s">
        <v>114</v>
      </c>
      <c r="D1721" t="s">
        <v>14</v>
      </c>
      <c r="E1721" t="s">
        <v>15</v>
      </c>
      <c r="F1721" t="s">
        <v>16</v>
      </c>
      <c r="G1721" t="s">
        <v>177</v>
      </c>
      <c r="H1721">
        <v>5</v>
      </c>
      <c r="I1721">
        <v>1034.5</v>
      </c>
      <c r="J1721">
        <v>5172.5</v>
      </c>
      <c r="K1721" t="s">
        <v>2104</v>
      </c>
      <c r="L1721" t="s">
        <v>45</v>
      </c>
    </row>
    <row r="1722" spans="1:12" x14ac:dyDescent="0.35">
      <c r="A1722" t="s">
        <v>3019</v>
      </c>
      <c r="B1722" t="s">
        <v>38</v>
      </c>
      <c r="C1722" t="s">
        <v>39</v>
      </c>
      <c r="D1722" t="s">
        <v>40</v>
      </c>
      <c r="E1722" t="s">
        <v>79</v>
      </c>
      <c r="F1722" t="s">
        <v>50</v>
      </c>
      <c r="G1722" t="s">
        <v>56</v>
      </c>
      <c r="H1722">
        <v>5</v>
      </c>
      <c r="I1722">
        <v>397.29</v>
      </c>
      <c r="J1722">
        <v>1986.45</v>
      </c>
      <c r="K1722" t="s">
        <v>1929</v>
      </c>
      <c r="L1722" t="s">
        <v>91</v>
      </c>
    </row>
    <row r="1723" spans="1:12" x14ac:dyDescent="0.35">
      <c r="A1723" t="s">
        <v>3020</v>
      </c>
      <c r="B1723" t="s">
        <v>287</v>
      </c>
      <c r="C1723" t="s">
        <v>288</v>
      </c>
      <c r="D1723" t="s">
        <v>40</v>
      </c>
      <c r="E1723" t="s">
        <v>79</v>
      </c>
      <c r="F1723" t="s">
        <v>42</v>
      </c>
      <c r="G1723" t="s">
        <v>170</v>
      </c>
      <c r="H1723">
        <v>2</v>
      </c>
      <c r="I1723">
        <v>303.12</v>
      </c>
      <c r="J1723">
        <v>606.24</v>
      </c>
      <c r="K1723" t="s">
        <v>217</v>
      </c>
      <c r="L1723" t="s">
        <v>19</v>
      </c>
    </row>
    <row r="1724" spans="1:12" x14ac:dyDescent="0.35">
      <c r="A1724" t="s">
        <v>3021</v>
      </c>
      <c r="B1724" t="s">
        <v>727</v>
      </c>
      <c r="C1724" t="s">
        <v>728</v>
      </c>
      <c r="D1724" t="s">
        <v>32</v>
      </c>
      <c r="E1724" t="s">
        <v>203</v>
      </c>
      <c r="F1724" t="s">
        <v>50</v>
      </c>
      <c r="G1724" t="s">
        <v>69</v>
      </c>
      <c r="H1724">
        <v>3</v>
      </c>
      <c r="I1724">
        <v>245.24</v>
      </c>
      <c r="J1724">
        <v>735.72</v>
      </c>
      <c r="K1724" t="s">
        <v>3022</v>
      </c>
      <c r="L1724" t="s">
        <v>45</v>
      </c>
    </row>
    <row r="1725" spans="1:12" x14ac:dyDescent="0.35">
      <c r="A1725" t="s">
        <v>3023</v>
      </c>
      <c r="B1725" t="s">
        <v>922</v>
      </c>
      <c r="C1725" t="s">
        <v>923</v>
      </c>
      <c r="D1725" t="s">
        <v>67</v>
      </c>
      <c r="E1725" t="s">
        <v>115</v>
      </c>
      <c r="F1725" t="s">
        <v>25</v>
      </c>
      <c r="G1725" t="s">
        <v>74</v>
      </c>
      <c r="H1725">
        <v>5</v>
      </c>
      <c r="I1725">
        <v>1442.13</v>
      </c>
      <c r="J1725">
        <v>7210.65</v>
      </c>
      <c r="K1725" t="s">
        <v>1579</v>
      </c>
      <c r="L1725" t="s">
        <v>19</v>
      </c>
    </row>
    <row r="1726" spans="1:12" x14ac:dyDescent="0.35">
      <c r="A1726" t="s">
        <v>3024</v>
      </c>
      <c r="B1726" t="s">
        <v>1278</v>
      </c>
      <c r="C1726" t="s">
        <v>1279</v>
      </c>
      <c r="D1726" t="s">
        <v>40</v>
      </c>
      <c r="E1726" t="s">
        <v>79</v>
      </c>
      <c r="F1726" t="s">
        <v>50</v>
      </c>
      <c r="G1726" t="s">
        <v>216</v>
      </c>
      <c r="H1726">
        <v>4</v>
      </c>
      <c r="I1726">
        <v>806.1</v>
      </c>
      <c r="J1726">
        <v>3224.4</v>
      </c>
      <c r="K1726" t="s">
        <v>993</v>
      </c>
      <c r="L1726" t="s">
        <v>36</v>
      </c>
    </row>
    <row r="1727" spans="1:12" x14ac:dyDescent="0.35">
      <c r="A1727" t="s">
        <v>3025</v>
      </c>
      <c r="B1727" t="s">
        <v>1516</v>
      </c>
      <c r="C1727" t="s">
        <v>1517</v>
      </c>
      <c r="D1727" t="s">
        <v>67</v>
      </c>
      <c r="E1727" t="s">
        <v>68</v>
      </c>
      <c r="F1727" t="s">
        <v>16</v>
      </c>
      <c r="G1727" t="s">
        <v>182</v>
      </c>
      <c r="H1727">
        <v>1</v>
      </c>
      <c r="I1727">
        <v>370.23</v>
      </c>
      <c r="J1727">
        <v>370.23</v>
      </c>
      <c r="K1727" t="s">
        <v>749</v>
      </c>
      <c r="L1727" t="s">
        <v>19</v>
      </c>
    </row>
    <row r="1728" spans="1:12" x14ac:dyDescent="0.35">
      <c r="A1728" t="s">
        <v>3026</v>
      </c>
      <c r="B1728" t="s">
        <v>838</v>
      </c>
      <c r="C1728" t="s">
        <v>839</v>
      </c>
      <c r="D1728" t="s">
        <v>23</v>
      </c>
      <c r="E1728" t="s">
        <v>338</v>
      </c>
      <c r="F1728" t="s">
        <v>25</v>
      </c>
      <c r="G1728" t="s">
        <v>74</v>
      </c>
      <c r="H1728">
        <v>5</v>
      </c>
      <c r="I1728">
        <v>409.29</v>
      </c>
      <c r="J1728">
        <v>2046.45</v>
      </c>
      <c r="K1728" t="s">
        <v>85</v>
      </c>
      <c r="L1728" t="s">
        <v>28</v>
      </c>
    </row>
    <row r="1729" spans="1:12" x14ac:dyDescent="0.35">
      <c r="A1729" t="s">
        <v>3027</v>
      </c>
      <c r="B1729" t="s">
        <v>532</v>
      </c>
      <c r="C1729" t="s">
        <v>533</v>
      </c>
      <c r="D1729" t="s">
        <v>67</v>
      </c>
      <c r="E1729" t="s">
        <v>115</v>
      </c>
      <c r="F1729" t="s">
        <v>101</v>
      </c>
      <c r="G1729" t="s">
        <v>237</v>
      </c>
      <c r="H1729">
        <v>1</v>
      </c>
      <c r="I1729">
        <v>1044.32</v>
      </c>
      <c r="J1729">
        <v>1044.32</v>
      </c>
      <c r="K1729" t="s">
        <v>1408</v>
      </c>
      <c r="L1729" t="s">
        <v>45</v>
      </c>
    </row>
    <row r="1730" spans="1:12" x14ac:dyDescent="0.35">
      <c r="A1730" t="s">
        <v>3028</v>
      </c>
      <c r="B1730" t="s">
        <v>652</v>
      </c>
      <c r="C1730" t="s">
        <v>653</v>
      </c>
      <c r="D1730" t="s">
        <v>14</v>
      </c>
      <c r="E1730" t="s">
        <v>266</v>
      </c>
      <c r="F1730" t="s">
        <v>101</v>
      </c>
      <c r="G1730" t="s">
        <v>165</v>
      </c>
      <c r="H1730">
        <v>4</v>
      </c>
      <c r="I1730">
        <v>1425.37</v>
      </c>
      <c r="J1730">
        <v>5701.48</v>
      </c>
      <c r="K1730" t="s">
        <v>144</v>
      </c>
      <c r="L1730" t="s">
        <v>19</v>
      </c>
    </row>
    <row r="1731" spans="1:12" x14ac:dyDescent="0.35">
      <c r="A1731" t="s">
        <v>3029</v>
      </c>
      <c r="B1731" t="s">
        <v>333</v>
      </c>
      <c r="C1731" t="s">
        <v>334</v>
      </c>
      <c r="D1731" t="s">
        <v>32</v>
      </c>
      <c r="E1731" t="s">
        <v>203</v>
      </c>
      <c r="F1731" t="s">
        <v>42</v>
      </c>
      <c r="G1731" t="s">
        <v>80</v>
      </c>
      <c r="H1731">
        <v>5</v>
      </c>
      <c r="I1731">
        <v>96.13</v>
      </c>
      <c r="J1731">
        <v>480.65</v>
      </c>
      <c r="K1731" t="s">
        <v>1287</v>
      </c>
      <c r="L1731" t="s">
        <v>91</v>
      </c>
    </row>
    <row r="1732" spans="1:12" x14ac:dyDescent="0.35">
      <c r="A1732" t="s">
        <v>3030</v>
      </c>
      <c r="B1732" t="s">
        <v>1159</v>
      </c>
      <c r="C1732" t="s">
        <v>1160</v>
      </c>
      <c r="D1732" t="s">
        <v>67</v>
      </c>
      <c r="E1732" t="s">
        <v>115</v>
      </c>
      <c r="F1732" t="s">
        <v>42</v>
      </c>
      <c r="G1732" t="s">
        <v>225</v>
      </c>
      <c r="H1732">
        <v>2</v>
      </c>
      <c r="I1732">
        <v>43.54</v>
      </c>
      <c r="J1732">
        <v>87.08</v>
      </c>
      <c r="K1732" t="s">
        <v>2992</v>
      </c>
      <c r="L1732" t="s">
        <v>91</v>
      </c>
    </row>
    <row r="1733" spans="1:12" x14ac:dyDescent="0.35">
      <c r="A1733" t="s">
        <v>3031</v>
      </c>
      <c r="B1733" t="s">
        <v>1369</v>
      </c>
      <c r="C1733" t="s">
        <v>1370</v>
      </c>
      <c r="D1733" t="s">
        <v>23</v>
      </c>
      <c r="E1733" t="s">
        <v>49</v>
      </c>
      <c r="F1733" t="s">
        <v>42</v>
      </c>
      <c r="G1733" t="s">
        <v>225</v>
      </c>
      <c r="H1733">
        <v>5</v>
      </c>
      <c r="I1733">
        <v>385.21</v>
      </c>
      <c r="J1733">
        <v>1926.05</v>
      </c>
      <c r="K1733" t="s">
        <v>1512</v>
      </c>
      <c r="L1733" t="s">
        <v>45</v>
      </c>
    </row>
    <row r="1734" spans="1:12" x14ac:dyDescent="0.35">
      <c r="A1734" t="s">
        <v>3032</v>
      </c>
      <c r="B1734" t="s">
        <v>759</v>
      </c>
      <c r="C1734" t="s">
        <v>760</v>
      </c>
      <c r="D1734" t="s">
        <v>32</v>
      </c>
      <c r="E1734" t="s">
        <v>61</v>
      </c>
      <c r="F1734" t="s">
        <v>101</v>
      </c>
      <c r="G1734" t="s">
        <v>373</v>
      </c>
      <c r="H1734">
        <v>3</v>
      </c>
      <c r="I1734">
        <v>185.46</v>
      </c>
      <c r="J1734">
        <v>556.38</v>
      </c>
      <c r="K1734" t="s">
        <v>1703</v>
      </c>
      <c r="L1734" t="s">
        <v>36</v>
      </c>
    </row>
    <row r="1735" spans="1:12" x14ac:dyDescent="0.35">
      <c r="A1735" t="s">
        <v>3033</v>
      </c>
      <c r="B1735" t="s">
        <v>2348</v>
      </c>
      <c r="C1735" t="s">
        <v>2349</v>
      </c>
      <c r="D1735" t="s">
        <v>23</v>
      </c>
      <c r="E1735" t="s">
        <v>24</v>
      </c>
      <c r="F1735" t="s">
        <v>101</v>
      </c>
      <c r="G1735" t="s">
        <v>102</v>
      </c>
      <c r="H1735">
        <v>4</v>
      </c>
      <c r="I1735">
        <v>1402.53</v>
      </c>
      <c r="J1735">
        <v>5610.12</v>
      </c>
      <c r="K1735" t="s">
        <v>916</v>
      </c>
      <c r="L1735" t="s">
        <v>28</v>
      </c>
    </row>
    <row r="1736" spans="1:12" x14ac:dyDescent="0.35">
      <c r="A1736" t="s">
        <v>3034</v>
      </c>
      <c r="B1736" t="s">
        <v>307</v>
      </c>
      <c r="C1736" t="s">
        <v>308</v>
      </c>
      <c r="D1736" t="s">
        <v>32</v>
      </c>
      <c r="E1736" t="s">
        <v>33</v>
      </c>
      <c r="F1736" t="s">
        <v>50</v>
      </c>
      <c r="G1736" t="s">
        <v>216</v>
      </c>
      <c r="H1736">
        <v>3</v>
      </c>
      <c r="I1736">
        <v>351.74</v>
      </c>
      <c r="J1736">
        <v>1055.22</v>
      </c>
      <c r="K1736" t="s">
        <v>350</v>
      </c>
      <c r="L1736" t="s">
        <v>91</v>
      </c>
    </row>
    <row r="1737" spans="1:12" x14ac:dyDescent="0.35">
      <c r="A1737" t="s">
        <v>3035</v>
      </c>
      <c r="B1737" t="s">
        <v>402</v>
      </c>
      <c r="C1737" t="s">
        <v>403</v>
      </c>
      <c r="D1737" t="s">
        <v>23</v>
      </c>
      <c r="E1737" t="s">
        <v>49</v>
      </c>
      <c r="F1737" t="s">
        <v>42</v>
      </c>
      <c r="G1737" t="s">
        <v>225</v>
      </c>
      <c r="H1737">
        <v>2</v>
      </c>
      <c r="I1737">
        <v>1493.05</v>
      </c>
      <c r="J1737">
        <v>2986.1</v>
      </c>
      <c r="K1737" t="s">
        <v>566</v>
      </c>
      <c r="L1737" t="s">
        <v>45</v>
      </c>
    </row>
    <row r="1738" spans="1:12" x14ac:dyDescent="0.35">
      <c r="A1738" t="s">
        <v>3036</v>
      </c>
      <c r="B1738" t="s">
        <v>163</v>
      </c>
      <c r="C1738" t="s">
        <v>164</v>
      </c>
      <c r="D1738" t="s">
        <v>40</v>
      </c>
      <c r="E1738" t="s">
        <v>120</v>
      </c>
      <c r="F1738" t="s">
        <v>50</v>
      </c>
      <c r="G1738" t="s">
        <v>69</v>
      </c>
      <c r="H1738">
        <v>4</v>
      </c>
      <c r="I1738">
        <v>564.16</v>
      </c>
      <c r="J1738">
        <v>2256.64</v>
      </c>
      <c r="K1738" t="s">
        <v>1669</v>
      </c>
      <c r="L1738" t="s">
        <v>19</v>
      </c>
    </row>
    <row r="1739" spans="1:12" x14ac:dyDescent="0.35">
      <c r="A1739" t="s">
        <v>3037</v>
      </c>
      <c r="B1739" t="s">
        <v>2002</v>
      </c>
      <c r="C1739" t="s">
        <v>2003</v>
      </c>
      <c r="D1739" t="s">
        <v>40</v>
      </c>
      <c r="E1739" t="s">
        <v>41</v>
      </c>
      <c r="F1739" t="s">
        <v>16</v>
      </c>
      <c r="G1739" t="s">
        <v>230</v>
      </c>
      <c r="H1739">
        <v>2</v>
      </c>
      <c r="I1739">
        <v>532.87</v>
      </c>
      <c r="J1739">
        <v>1065.74</v>
      </c>
      <c r="K1739" t="s">
        <v>660</v>
      </c>
      <c r="L1739" t="s">
        <v>45</v>
      </c>
    </row>
    <row r="1740" spans="1:12" x14ac:dyDescent="0.35">
      <c r="A1740" t="s">
        <v>3038</v>
      </c>
      <c r="B1740" t="s">
        <v>1496</v>
      </c>
      <c r="C1740" t="s">
        <v>1497</v>
      </c>
      <c r="D1740" t="s">
        <v>23</v>
      </c>
      <c r="E1740" t="s">
        <v>24</v>
      </c>
      <c r="F1740" t="s">
        <v>16</v>
      </c>
      <c r="G1740" t="s">
        <v>177</v>
      </c>
      <c r="H1740">
        <v>3</v>
      </c>
      <c r="I1740">
        <v>127.32</v>
      </c>
      <c r="J1740">
        <v>381.96</v>
      </c>
      <c r="K1740" t="s">
        <v>1608</v>
      </c>
      <c r="L1740" t="s">
        <v>91</v>
      </c>
    </row>
    <row r="1741" spans="1:12" x14ac:dyDescent="0.35">
      <c r="A1741" t="s">
        <v>3039</v>
      </c>
      <c r="B1741" t="s">
        <v>168</v>
      </c>
      <c r="C1741" t="s">
        <v>169</v>
      </c>
      <c r="D1741" t="s">
        <v>40</v>
      </c>
      <c r="E1741" t="s">
        <v>79</v>
      </c>
      <c r="F1741" t="s">
        <v>25</v>
      </c>
      <c r="G1741" t="s">
        <v>26</v>
      </c>
      <c r="H1741">
        <v>3</v>
      </c>
      <c r="I1741">
        <v>198.2</v>
      </c>
      <c r="J1741">
        <v>594.6</v>
      </c>
      <c r="K1741" t="s">
        <v>378</v>
      </c>
      <c r="L1741" t="s">
        <v>36</v>
      </c>
    </row>
    <row r="1742" spans="1:12" x14ac:dyDescent="0.35">
      <c r="A1742" t="s">
        <v>3040</v>
      </c>
      <c r="B1742" t="s">
        <v>629</v>
      </c>
      <c r="C1742" t="s">
        <v>630</v>
      </c>
      <c r="D1742" t="s">
        <v>14</v>
      </c>
      <c r="E1742" t="s">
        <v>100</v>
      </c>
      <c r="F1742" t="s">
        <v>42</v>
      </c>
      <c r="G1742" t="s">
        <v>43</v>
      </c>
      <c r="H1742">
        <v>5</v>
      </c>
      <c r="I1742">
        <v>1192.0999999999999</v>
      </c>
      <c r="J1742">
        <v>5960.5</v>
      </c>
      <c r="K1742" t="s">
        <v>983</v>
      </c>
      <c r="L1742" t="s">
        <v>19</v>
      </c>
    </row>
    <row r="1743" spans="1:12" x14ac:dyDescent="0.35">
      <c r="A1743" t="s">
        <v>3041</v>
      </c>
      <c r="B1743" t="s">
        <v>690</v>
      </c>
      <c r="C1743" t="s">
        <v>691</v>
      </c>
      <c r="D1743" t="s">
        <v>67</v>
      </c>
      <c r="E1743" t="s">
        <v>130</v>
      </c>
      <c r="F1743" t="s">
        <v>42</v>
      </c>
      <c r="G1743" t="s">
        <v>170</v>
      </c>
      <c r="H1743">
        <v>5</v>
      </c>
      <c r="I1743">
        <v>1129.5999999999999</v>
      </c>
      <c r="J1743">
        <v>5648</v>
      </c>
      <c r="K1743" t="s">
        <v>144</v>
      </c>
      <c r="L1743" t="s">
        <v>36</v>
      </c>
    </row>
    <row r="1744" spans="1:12" x14ac:dyDescent="0.35">
      <c r="A1744" t="s">
        <v>3042</v>
      </c>
      <c r="B1744" t="s">
        <v>925</v>
      </c>
      <c r="C1744" t="s">
        <v>926</v>
      </c>
      <c r="D1744" t="s">
        <v>32</v>
      </c>
      <c r="E1744" t="s">
        <v>33</v>
      </c>
      <c r="F1744" t="s">
        <v>16</v>
      </c>
      <c r="G1744" t="s">
        <v>182</v>
      </c>
      <c r="H1744">
        <v>1</v>
      </c>
      <c r="I1744">
        <v>837.06</v>
      </c>
      <c r="J1744">
        <v>837.06</v>
      </c>
      <c r="K1744" t="s">
        <v>3043</v>
      </c>
      <c r="L1744" t="s">
        <v>19</v>
      </c>
    </row>
    <row r="1745" spans="1:12" x14ac:dyDescent="0.35">
      <c r="A1745" t="s">
        <v>3044</v>
      </c>
      <c r="B1745" t="s">
        <v>248</v>
      </c>
      <c r="C1745" t="s">
        <v>249</v>
      </c>
      <c r="D1745" t="s">
        <v>40</v>
      </c>
      <c r="E1745" t="s">
        <v>41</v>
      </c>
      <c r="F1745" t="s">
        <v>42</v>
      </c>
      <c r="G1745" t="s">
        <v>170</v>
      </c>
      <c r="H1745">
        <v>2</v>
      </c>
      <c r="I1745">
        <v>1488.3</v>
      </c>
      <c r="J1745">
        <v>2976.6</v>
      </c>
      <c r="K1745" t="s">
        <v>452</v>
      </c>
      <c r="L1745" t="s">
        <v>45</v>
      </c>
    </row>
    <row r="1746" spans="1:12" x14ac:dyDescent="0.35">
      <c r="A1746" t="s">
        <v>3045</v>
      </c>
      <c r="B1746" t="s">
        <v>311</v>
      </c>
      <c r="C1746" t="s">
        <v>312</v>
      </c>
      <c r="D1746" t="s">
        <v>14</v>
      </c>
      <c r="E1746" t="s">
        <v>95</v>
      </c>
      <c r="F1746" t="s">
        <v>25</v>
      </c>
      <c r="G1746" t="s">
        <v>34</v>
      </c>
      <c r="H1746">
        <v>1</v>
      </c>
      <c r="I1746">
        <v>1094.47</v>
      </c>
      <c r="J1746">
        <v>1094.47</v>
      </c>
      <c r="K1746" t="s">
        <v>1754</v>
      </c>
      <c r="L1746" t="s">
        <v>36</v>
      </c>
    </row>
    <row r="1747" spans="1:12" x14ac:dyDescent="0.35">
      <c r="A1747" t="s">
        <v>3046</v>
      </c>
      <c r="B1747" t="s">
        <v>1438</v>
      </c>
      <c r="C1747" t="s">
        <v>1439</v>
      </c>
      <c r="D1747" t="s">
        <v>67</v>
      </c>
      <c r="E1747" t="s">
        <v>130</v>
      </c>
      <c r="F1747" t="s">
        <v>25</v>
      </c>
      <c r="G1747" t="s">
        <v>26</v>
      </c>
      <c r="H1747">
        <v>1</v>
      </c>
      <c r="I1747">
        <v>670.9</v>
      </c>
      <c r="J1747">
        <v>670.9</v>
      </c>
      <c r="K1747" t="s">
        <v>2474</v>
      </c>
      <c r="L1747" t="s">
        <v>36</v>
      </c>
    </row>
    <row r="1748" spans="1:12" x14ac:dyDescent="0.35">
      <c r="A1748" t="s">
        <v>3047</v>
      </c>
      <c r="B1748" t="s">
        <v>1028</v>
      </c>
      <c r="C1748" t="s">
        <v>1029</v>
      </c>
      <c r="D1748" t="s">
        <v>32</v>
      </c>
      <c r="E1748" t="s">
        <v>203</v>
      </c>
      <c r="F1748" t="s">
        <v>50</v>
      </c>
      <c r="G1748" t="s">
        <v>170</v>
      </c>
      <c r="H1748">
        <v>3</v>
      </c>
      <c r="I1748">
        <v>653.37</v>
      </c>
      <c r="J1748">
        <v>1960.11</v>
      </c>
      <c r="K1748" t="s">
        <v>1852</v>
      </c>
      <c r="L1748" t="s">
        <v>28</v>
      </c>
    </row>
    <row r="1749" spans="1:12" x14ac:dyDescent="0.35">
      <c r="A1749" t="s">
        <v>3048</v>
      </c>
      <c r="B1749" t="s">
        <v>779</v>
      </c>
      <c r="C1749" t="s">
        <v>780</v>
      </c>
      <c r="D1749" t="s">
        <v>14</v>
      </c>
      <c r="E1749" t="s">
        <v>266</v>
      </c>
      <c r="F1749" t="s">
        <v>101</v>
      </c>
      <c r="G1749" t="s">
        <v>237</v>
      </c>
      <c r="H1749">
        <v>3</v>
      </c>
      <c r="I1749">
        <v>29.17</v>
      </c>
      <c r="J1749">
        <v>87.51</v>
      </c>
      <c r="K1749" t="s">
        <v>929</v>
      </c>
      <c r="L1749" t="s">
        <v>91</v>
      </c>
    </row>
    <row r="1750" spans="1:12" x14ac:dyDescent="0.35">
      <c r="A1750" t="s">
        <v>3049</v>
      </c>
      <c r="B1750" t="s">
        <v>30</v>
      </c>
      <c r="C1750" t="s">
        <v>31</v>
      </c>
      <c r="D1750" t="s">
        <v>67</v>
      </c>
      <c r="E1750" t="s">
        <v>130</v>
      </c>
      <c r="F1750" t="s">
        <v>25</v>
      </c>
      <c r="G1750" t="s">
        <v>74</v>
      </c>
      <c r="H1750">
        <v>4</v>
      </c>
      <c r="I1750">
        <v>550.94000000000005</v>
      </c>
      <c r="J1750">
        <v>2203.7600000000002</v>
      </c>
      <c r="K1750" t="s">
        <v>2000</v>
      </c>
      <c r="L1750" t="s">
        <v>36</v>
      </c>
    </row>
    <row r="1751" spans="1:12" x14ac:dyDescent="0.35">
      <c r="A1751" t="s">
        <v>3050</v>
      </c>
      <c r="B1751" t="s">
        <v>269</v>
      </c>
      <c r="C1751" t="s">
        <v>270</v>
      </c>
      <c r="D1751" t="s">
        <v>67</v>
      </c>
      <c r="E1751" t="s">
        <v>115</v>
      </c>
      <c r="F1751" t="s">
        <v>25</v>
      </c>
      <c r="G1751" t="s">
        <v>74</v>
      </c>
      <c r="H1751">
        <v>2</v>
      </c>
      <c r="I1751">
        <v>666.76</v>
      </c>
      <c r="J1751">
        <v>1333.52</v>
      </c>
      <c r="K1751" t="s">
        <v>3051</v>
      </c>
      <c r="L1751" t="s">
        <v>91</v>
      </c>
    </row>
    <row r="1752" spans="1:12" x14ac:dyDescent="0.35">
      <c r="A1752" t="s">
        <v>3052</v>
      </c>
      <c r="B1752" t="s">
        <v>598</v>
      </c>
      <c r="C1752" t="s">
        <v>599</v>
      </c>
      <c r="D1752" t="s">
        <v>32</v>
      </c>
      <c r="E1752" t="s">
        <v>61</v>
      </c>
      <c r="F1752" t="s">
        <v>16</v>
      </c>
      <c r="G1752" t="s">
        <v>177</v>
      </c>
      <c r="H1752">
        <v>3</v>
      </c>
      <c r="I1752">
        <v>602.30999999999995</v>
      </c>
      <c r="J1752">
        <v>1806.93</v>
      </c>
      <c r="K1752" t="s">
        <v>1756</v>
      </c>
      <c r="L1752" t="s">
        <v>91</v>
      </c>
    </row>
    <row r="1753" spans="1:12" x14ac:dyDescent="0.35">
      <c r="A1753" t="s">
        <v>3053</v>
      </c>
      <c r="B1753" t="s">
        <v>113</v>
      </c>
      <c r="C1753" t="s">
        <v>114</v>
      </c>
      <c r="D1753" t="s">
        <v>67</v>
      </c>
      <c r="E1753" t="s">
        <v>68</v>
      </c>
      <c r="F1753" t="s">
        <v>25</v>
      </c>
      <c r="G1753" t="s">
        <v>62</v>
      </c>
      <c r="H1753">
        <v>4</v>
      </c>
      <c r="I1753">
        <v>22.23</v>
      </c>
      <c r="J1753">
        <v>88.92</v>
      </c>
      <c r="K1753" t="s">
        <v>3054</v>
      </c>
      <c r="L1753" t="s">
        <v>36</v>
      </c>
    </row>
    <row r="1754" spans="1:12" x14ac:dyDescent="0.35">
      <c r="A1754" t="s">
        <v>3055</v>
      </c>
      <c r="B1754" t="s">
        <v>820</v>
      </c>
      <c r="C1754" t="s">
        <v>821</v>
      </c>
      <c r="D1754" t="s">
        <v>32</v>
      </c>
      <c r="E1754" t="s">
        <v>203</v>
      </c>
      <c r="F1754" t="s">
        <v>42</v>
      </c>
      <c r="G1754" t="s">
        <v>80</v>
      </c>
      <c r="H1754">
        <v>4</v>
      </c>
      <c r="I1754">
        <v>1423.7</v>
      </c>
      <c r="J1754">
        <v>5694.8</v>
      </c>
      <c r="K1754" t="s">
        <v>894</v>
      </c>
      <c r="L1754" t="s">
        <v>91</v>
      </c>
    </row>
    <row r="1755" spans="1:12" x14ac:dyDescent="0.35">
      <c r="A1755" t="s">
        <v>3056</v>
      </c>
      <c r="B1755" t="s">
        <v>426</v>
      </c>
      <c r="C1755" t="s">
        <v>427</v>
      </c>
      <c r="D1755" t="s">
        <v>32</v>
      </c>
      <c r="E1755" t="s">
        <v>61</v>
      </c>
      <c r="F1755" t="s">
        <v>42</v>
      </c>
      <c r="G1755" t="s">
        <v>225</v>
      </c>
      <c r="H1755">
        <v>3</v>
      </c>
      <c r="I1755">
        <v>808.83</v>
      </c>
      <c r="J1755">
        <v>2426.4899999999998</v>
      </c>
      <c r="K1755" t="s">
        <v>271</v>
      </c>
      <c r="L1755" t="s">
        <v>91</v>
      </c>
    </row>
    <row r="1756" spans="1:12" x14ac:dyDescent="0.35">
      <c r="A1756" t="s">
        <v>3057</v>
      </c>
      <c r="B1756" t="s">
        <v>548</v>
      </c>
      <c r="C1756" t="s">
        <v>549</v>
      </c>
      <c r="D1756" t="s">
        <v>40</v>
      </c>
      <c r="E1756" t="s">
        <v>120</v>
      </c>
      <c r="F1756" t="s">
        <v>25</v>
      </c>
      <c r="G1756" t="s">
        <v>26</v>
      </c>
      <c r="H1756">
        <v>2</v>
      </c>
      <c r="I1756">
        <v>1020.16</v>
      </c>
      <c r="J1756">
        <v>2040.32</v>
      </c>
      <c r="K1756" t="s">
        <v>1660</v>
      </c>
      <c r="L1756" t="s">
        <v>28</v>
      </c>
    </row>
    <row r="1757" spans="1:12" x14ac:dyDescent="0.35">
      <c r="A1757" t="s">
        <v>3058</v>
      </c>
      <c r="B1757" t="s">
        <v>367</v>
      </c>
      <c r="C1757" t="s">
        <v>368</v>
      </c>
      <c r="D1757" t="s">
        <v>14</v>
      </c>
      <c r="E1757" t="s">
        <v>100</v>
      </c>
      <c r="F1757" t="s">
        <v>42</v>
      </c>
      <c r="G1757" t="s">
        <v>89</v>
      </c>
      <c r="H1757">
        <v>1</v>
      </c>
      <c r="I1757">
        <v>1057.49</v>
      </c>
      <c r="J1757">
        <v>1057.49</v>
      </c>
      <c r="K1757" t="s">
        <v>1060</v>
      </c>
      <c r="L1757" t="s">
        <v>45</v>
      </c>
    </row>
    <row r="1758" spans="1:12" x14ac:dyDescent="0.35">
      <c r="A1758" t="s">
        <v>3059</v>
      </c>
      <c r="B1758" t="s">
        <v>1018</v>
      </c>
      <c r="C1758" t="s">
        <v>1019</v>
      </c>
      <c r="D1758" t="s">
        <v>23</v>
      </c>
      <c r="E1758" t="s">
        <v>24</v>
      </c>
      <c r="F1758" t="s">
        <v>25</v>
      </c>
      <c r="G1758" t="s">
        <v>26</v>
      </c>
      <c r="H1758">
        <v>4</v>
      </c>
      <c r="I1758">
        <v>692.22</v>
      </c>
      <c r="J1758">
        <v>2768.88</v>
      </c>
      <c r="K1758" t="s">
        <v>2304</v>
      </c>
      <c r="L1758" t="s">
        <v>36</v>
      </c>
    </row>
    <row r="1759" spans="1:12" x14ac:dyDescent="0.35">
      <c r="A1759" t="s">
        <v>3060</v>
      </c>
      <c r="B1759" t="s">
        <v>1196</v>
      </c>
      <c r="C1759" t="s">
        <v>1197</v>
      </c>
      <c r="D1759" t="s">
        <v>67</v>
      </c>
      <c r="E1759" t="s">
        <v>115</v>
      </c>
      <c r="F1759" t="s">
        <v>50</v>
      </c>
      <c r="G1759" t="s">
        <v>56</v>
      </c>
      <c r="H1759">
        <v>4</v>
      </c>
      <c r="I1759">
        <v>1348.16</v>
      </c>
      <c r="J1759">
        <v>5392.64</v>
      </c>
      <c r="K1759" t="s">
        <v>327</v>
      </c>
      <c r="L1759" t="s">
        <v>36</v>
      </c>
    </row>
    <row r="1760" spans="1:12" x14ac:dyDescent="0.35">
      <c r="A1760" t="s">
        <v>3061</v>
      </c>
      <c r="B1760" t="s">
        <v>1793</v>
      </c>
      <c r="C1760" t="s">
        <v>1794</v>
      </c>
      <c r="D1760" t="s">
        <v>67</v>
      </c>
      <c r="E1760" t="s">
        <v>130</v>
      </c>
      <c r="F1760" t="s">
        <v>16</v>
      </c>
      <c r="G1760" t="s">
        <v>182</v>
      </c>
      <c r="H1760">
        <v>3</v>
      </c>
      <c r="I1760">
        <v>454.18</v>
      </c>
      <c r="J1760">
        <v>1362.54</v>
      </c>
      <c r="K1760" t="s">
        <v>647</v>
      </c>
      <c r="L1760" t="s">
        <v>19</v>
      </c>
    </row>
    <row r="1761" spans="1:12" x14ac:dyDescent="0.35">
      <c r="A1761" t="s">
        <v>3062</v>
      </c>
      <c r="B1761" t="s">
        <v>590</v>
      </c>
      <c r="C1761" t="s">
        <v>591</v>
      </c>
      <c r="D1761" t="s">
        <v>14</v>
      </c>
      <c r="E1761" t="s">
        <v>95</v>
      </c>
      <c r="F1761" t="s">
        <v>16</v>
      </c>
      <c r="G1761" t="s">
        <v>177</v>
      </c>
      <c r="H1761">
        <v>4</v>
      </c>
      <c r="I1761">
        <v>115.63</v>
      </c>
      <c r="J1761">
        <v>462.52</v>
      </c>
      <c r="K1761" t="s">
        <v>1293</v>
      </c>
      <c r="L1761" t="s">
        <v>36</v>
      </c>
    </row>
    <row r="1762" spans="1:12" x14ac:dyDescent="0.35">
      <c r="A1762" t="s">
        <v>3063</v>
      </c>
      <c r="B1762" t="s">
        <v>72</v>
      </c>
      <c r="C1762" t="s">
        <v>73</v>
      </c>
      <c r="D1762" t="s">
        <v>40</v>
      </c>
      <c r="E1762" t="s">
        <v>120</v>
      </c>
      <c r="F1762" t="s">
        <v>50</v>
      </c>
      <c r="G1762" t="s">
        <v>170</v>
      </c>
      <c r="H1762">
        <v>3</v>
      </c>
      <c r="I1762">
        <v>471.47</v>
      </c>
      <c r="J1762">
        <v>1414.41</v>
      </c>
      <c r="K1762" t="s">
        <v>3064</v>
      </c>
      <c r="L1762" t="s">
        <v>91</v>
      </c>
    </row>
    <row r="1763" spans="1:12" x14ac:dyDescent="0.35">
      <c r="A1763" t="s">
        <v>3065</v>
      </c>
      <c r="B1763" t="s">
        <v>1046</v>
      </c>
      <c r="C1763" t="s">
        <v>1047</v>
      </c>
      <c r="D1763" t="s">
        <v>23</v>
      </c>
      <c r="E1763" t="s">
        <v>338</v>
      </c>
      <c r="F1763" t="s">
        <v>101</v>
      </c>
      <c r="G1763" t="s">
        <v>165</v>
      </c>
      <c r="H1763">
        <v>4</v>
      </c>
      <c r="I1763">
        <v>1059.29</v>
      </c>
      <c r="J1763">
        <v>4237.16</v>
      </c>
      <c r="K1763" t="s">
        <v>1507</v>
      </c>
      <c r="L1763" t="s">
        <v>36</v>
      </c>
    </row>
    <row r="1764" spans="1:12" x14ac:dyDescent="0.35">
      <c r="A1764" t="s">
        <v>3066</v>
      </c>
      <c r="B1764" t="s">
        <v>618</v>
      </c>
      <c r="C1764" t="s">
        <v>619</v>
      </c>
      <c r="D1764" t="s">
        <v>67</v>
      </c>
      <c r="E1764" t="s">
        <v>115</v>
      </c>
      <c r="F1764" t="s">
        <v>50</v>
      </c>
      <c r="G1764" t="s">
        <v>69</v>
      </c>
      <c r="H1764">
        <v>5</v>
      </c>
      <c r="I1764">
        <v>801.89</v>
      </c>
      <c r="J1764">
        <v>4009.45</v>
      </c>
      <c r="K1764" t="s">
        <v>3067</v>
      </c>
      <c r="L1764" t="s">
        <v>36</v>
      </c>
    </row>
    <row r="1765" spans="1:12" x14ac:dyDescent="0.35">
      <c r="A1765" t="s">
        <v>3068</v>
      </c>
      <c r="B1765" t="s">
        <v>618</v>
      </c>
      <c r="C1765" t="s">
        <v>619</v>
      </c>
      <c r="D1765" t="s">
        <v>40</v>
      </c>
      <c r="E1765" t="s">
        <v>120</v>
      </c>
      <c r="F1765" t="s">
        <v>101</v>
      </c>
      <c r="G1765" t="s">
        <v>649</v>
      </c>
      <c r="H1765">
        <v>5</v>
      </c>
      <c r="I1765">
        <v>1122.23</v>
      </c>
      <c r="J1765">
        <v>5611.15</v>
      </c>
      <c r="K1765" t="s">
        <v>1408</v>
      </c>
      <c r="L1765" t="s">
        <v>45</v>
      </c>
    </row>
    <row r="1766" spans="1:12" x14ac:dyDescent="0.35">
      <c r="A1766" t="s">
        <v>3069</v>
      </c>
      <c r="B1766" t="s">
        <v>755</v>
      </c>
      <c r="C1766" t="s">
        <v>756</v>
      </c>
      <c r="D1766" t="s">
        <v>40</v>
      </c>
      <c r="E1766" t="s">
        <v>79</v>
      </c>
      <c r="F1766" t="s">
        <v>16</v>
      </c>
      <c r="G1766" t="s">
        <v>182</v>
      </c>
      <c r="H1766">
        <v>2</v>
      </c>
      <c r="I1766">
        <v>1059.43</v>
      </c>
      <c r="J1766">
        <v>2118.86</v>
      </c>
      <c r="K1766" t="s">
        <v>289</v>
      </c>
      <c r="L1766" t="s">
        <v>91</v>
      </c>
    </row>
    <row r="1767" spans="1:12" x14ac:dyDescent="0.35">
      <c r="A1767" t="s">
        <v>3070</v>
      </c>
      <c r="B1767" t="s">
        <v>1079</v>
      </c>
      <c r="C1767" t="s">
        <v>1080</v>
      </c>
      <c r="D1767" t="s">
        <v>40</v>
      </c>
      <c r="E1767" t="s">
        <v>41</v>
      </c>
      <c r="F1767" t="s">
        <v>50</v>
      </c>
      <c r="G1767" t="s">
        <v>216</v>
      </c>
      <c r="H1767">
        <v>4</v>
      </c>
      <c r="I1767">
        <v>509.97</v>
      </c>
      <c r="J1767">
        <v>2039.88</v>
      </c>
      <c r="K1767" t="s">
        <v>2065</v>
      </c>
      <c r="L1767" t="s">
        <v>19</v>
      </c>
    </row>
    <row r="1768" spans="1:12" x14ac:dyDescent="0.35">
      <c r="A1768" t="s">
        <v>3071</v>
      </c>
      <c r="B1768" t="s">
        <v>2399</v>
      </c>
      <c r="C1768" t="s">
        <v>2400</v>
      </c>
      <c r="D1768" t="s">
        <v>23</v>
      </c>
      <c r="E1768" t="s">
        <v>338</v>
      </c>
      <c r="F1768" t="s">
        <v>42</v>
      </c>
      <c r="G1768" t="s">
        <v>225</v>
      </c>
      <c r="H1768">
        <v>2</v>
      </c>
      <c r="I1768">
        <v>1342.57</v>
      </c>
      <c r="J1768">
        <v>2685.14</v>
      </c>
      <c r="K1768" t="s">
        <v>1214</v>
      </c>
      <c r="L1768" t="s">
        <v>28</v>
      </c>
    </row>
    <row r="1769" spans="1:12" x14ac:dyDescent="0.35">
      <c r="A1769" t="s">
        <v>3072</v>
      </c>
      <c r="B1769" t="s">
        <v>1496</v>
      </c>
      <c r="C1769" t="s">
        <v>1497</v>
      </c>
      <c r="D1769" t="s">
        <v>14</v>
      </c>
      <c r="E1769" t="s">
        <v>15</v>
      </c>
      <c r="F1769" t="s">
        <v>101</v>
      </c>
      <c r="G1769" t="s">
        <v>373</v>
      </c>
      <c r="H1769">
        <v>5</v>
      </c>
      <c r="I1769">
        <v>297.04000000000002</v>
      </c>
      <c r="J1769">
        <v>1485.2</v>
      </c>
      <c r="K1769" t="s">
        <v>1090</v>
      </c>
      <c r="L1769" t="s">
        <v>28</v>
      </c>
    </row>
    <row r="1770" spans="1:12" x14ac:dyDescent="0.35">
      <c r="A1770" t="s">
        <v>3073</v>
      </c>
      <c r="B1770" t="s">
        <v>481</v>
      </c>
      <c r="C1770" t="s">
        <v>482</v>
      </c>
      <c r="D1770" t="s">
        <v>67</v>
      </c>
      <c r="E1770" t="s">
        <v>130</v>
      </c>
      <c r="F1770" t="s">
        <v>42</v>
      </c>
      <c r="G1770" t="s">
        <v>89</v>
      </c>
      <c r="H1770">
        <v>4</v>
      </c>
      <c r="I1770">
        <v>1251.28</v>
      </c>
      <c r="J1770">
        <v>5005.12</v>
      </c>
      <c r="K1770" t="s">
        <v>2285</v>
      </c>
      <c r="L1770" t="s">
        <v>45</v>
      </c>
    </row>
    <row r="1771" spans="1:12" x14ac:dyDescent="0.35">
      <c r="A1771" t="s">
        <v>3074</v>
      </c>
      <c r="B1771" t="s">
        <v>1073</v>
      </c>
      <c r="C1771" t="s">
        <v>1074</v>
      </c>
      <c r="D1771" t="s">
        <v>40</v>
      </c>
      <c r="E1771" t="s">
        <v>120</v>
      </c>
      <c r="F1771" t="s">
        <v>50</v>
      </c>
      <c r="G1771" t="s">
        <v>69</v>
      </c>
      <c r="H1771">
        <v>1</v>
      </c>
      <c r="I1771">
        <v>812.31</v>
      </c>
      <c r="J1771">
        <v>812.31</v>
      </c>
      <c r="K1771" t="s">
        <v>1763</v>
      </c>
      <c r="L1771" t="s">
        <v>45</v>
      </c>
    </row>
    <row r="1772" spans="1:12" x14ac:dyDescent="0.35">
      <c r="A1772" t="s">
        <v>3075</v>
      </c>
      <c r="B1772" t="s">
        <v>1281</v>
      </c>
      <c r="C1772" t="s">
        <v>1282</v>
      </c>
      <c r="D1772" t="s">
        <v>40</v>
      </c>
      <c r="E1772" t="s">
        <v>79</v>
      </c>
      <c r="F1772" t="s">
        <v>101</v>
      </c>
      <c r="G1772" t="s">
        <v>165</v>
      </c>
      <c r="H1772">
        <v>1</v>
      </c>
      <c r="I1772">
        <v>1114.81</v>
      </c>
      <c r="J1772">
        <v>1114.81</v>
      </c>
      <c r="K1772" t="s">
        <v>1052</v>
      </c>
      <c r="L1772" t="s">
        <v>45</v>
      </c>
    </row>
    <row r="1773" spans="1:12" x14ac:dyDescent="0.35">
      <c r="A1773" t="s">
        <v>3076</v>
      </c>
      <c r="B1773" t="s">
        <v>65</v>
      </c>
      <c r="C1773" t="s">
        <v>66</v>
      </c>
      <c r="D1773" t="s">
        <v>14</v>
      </c>
      <c r="E1773" t="s">
        <v>95</v>
      </c>
      <c r="F1773" t="s">
        <v>25</v>
      </c>
      <c r="G1773" t="s">
        <v>62</v>
      </c>
      <c r="H1773">
        <v>4</v>
      </c>
      <c r="I1773">
        <v>532.19000000000005</v>
      </c>
      <c r="J1773">
        <v>2128.7600000000002</v>
      </c>
      <c r="K1773" t="s">
        <v>1287</v>
      </c>
      <c r="L1773" t="s">
        <v>91</v>
      </c>
    </row>
    <row r="1774" spans="1:12" x14ac:dyDescent="0.35">
      <c r="A1774" t="s">
        <v>3077</v>
      </c>
      <c r="B1774" t="s">
        <v>1856</v>
      </c>
      <c r="C1774" t="s">
        <v>1857</v>
      </c>
      <c r="D1774" t="s">
        <v>23</v>
      </c>
      <c r="E1774" t="s">
        <v>49</v>
      </c>
      <c r="F1774" t="s">
        <v>16</v>
      </c>
      <c r="G1774" t="s">
        <v>17</v>
      </c>
      <c r="H1774">
        <v>2</v>
      </c>
      <c r="I1774">
        <v>1408.52</v>
      </c>
      <c r="J1774">
        <v>2817.04</v>
      </c>
      <c r="K1774" t="s">
        <v>3078</v>
      </c>
      <c r="L1774" t="s">
        <v>45</v>
      </c>
    </row>
    <row r="1775" spans="1:12" x14ac:dyDescent="0.35">
      <c r="A1775" t="s">
        <v>3079</v>
      </c>
      <c r="B1775" t="s">
        <v>1246</v>
      </c>
      <c r="C1775" t="s">
        <v>1247</v>
      </c>
      <c r="D1775" t="s">
        <v>14</v>
      </c>
      <c r="E1775" t="s">
        <v>266</v>
      </c>
      <c r="F1775" t="s">
        <v>42</v>
      </c>
      <c r="G1775" t="s">
        <v>43</v>
      </c>
      <c r="H1775">
        <v>4</v>
      </c>
      <c r="I1775">
        <v>156.63999999999999</v>
      </c>
      <c r="J1775">
        <v>626.55999999999995</v>
      </c>
      <c r="K1775" t="s">
        <v>1822</v>
      </c>
      <c r="L1775" t="s">
        <v>36</v>
      </c>
    </row>
    <row r="1776" spans="1:12" x14ac:dyDescent="0.35">
      <c r="A1776" t="s">
        <v>3080</v>
      </c>
      <c r="B1776" t="s">
        <v>1042</v>
      </c>
      <c r="C1776" t="s">
        <v>1043</v>
      </c>
      <c r="D1776" t="s">
        <v>67</v>
      </c>
      <c r="E1776" t="s">
        <v>130</v>
      </c>
      <c r="F1776" t="s">
        <v>101</v>
      </c>
      <c r="G1776" t="s">
        <v>237</v>
      </c>
      <c r="H1776">
        <v>1</v>
      </c>
      <c r="I1776">
        <v>922.96</v>
      </c>
      <c r="J1776">
        <v>922.96</v>
      </c>
      <c r="K1776" t="s">
        <v>679</v>
      </c>
      <c r="L1776" t="s">
        <v>36</v>
      </c>
    </row>
    <row r="1777" spans="1:12" x14ac:dyDescent="0.35">
      <c r="A1777" t="s">
        <v>3081</v>
      </c>
      <c r="B1777" t="s">
        <v>1170</v>
      </c>
      <c r="C1777" t="s">
        <v>1171</v>
      </c>
      <c r="D1777" t="s">
        <v>32</v>
      </c>
      <c r="E1777" t="s">
        <v>33</v>
      </c>
      <c r="F1777" t="s">
        <v>101</v>
      </c>
      <c r="G1777" t="s">
        <v>102</v>
      </c>
      <c r="H1777">
        <v>3</v>
      </c>
      <c r="I1777">
        <v>163.62</v>
      </c>
      <c r="J1777">
        <v>490.86</v>
      </c>
      <c r="K1777" t="s">
        <v>2172</v>
      </c>
      <c r="L1777" t="s">
        <v>45</v>
      </c>
    </row>
    <row r="1778" spans="1:12" x14ac:dyDescent="0.35">
      <c r="A1778" t="s">
        <v>3082</v>
      </c>
      <c r="B1778" t="s">
        <v>426</v>
      </c>
      <c r="C1778" t="s">
        <v>427</v>
      </c>
      <c r="D1778" t="s">
        <v>14</v>
      </c>
      <c r="E1778" t="s">
        <v>15</v>
      </c>
      <c r="F1778" t="s">
        <v>50</v>
      </c>
      <c r="G1778" t="s">
        <v>216</v>
      </c>
      <c r="H1778">
        <v>4</v>
      </c>
      <c r="I1778">
        <v>1239.1300000000001</v>
      </c>
      <c r="J1778">
        <v>4956.5200000000004</v>
      </c>
      <c r="K1778" t="s">
        <v>2532</v>
      </c>
      <c r="L1778" t="s">
        <v>45</v>
      </c>
    </row>
    <row r="1779" spans="1:12" x14ac:dyDescent="0.35">
      <c r="A1779" t="s">
        <v>3083</v>
      </c>
      <c r="B1779" t="s">
        <v>686</v>
      </c>
      <c r="C1779" t="s">
        <v>687</v>
      </c>
      <c r="D1779" t="s">
        <v>32</v>
      </c>
      <c r="E1779" t="s">
        <v>61</v>
      </c>
      <c r="F1779" t="s">
        <v>25</v>
      </c>
      <c r="G1779" t="s">
        <v>74</v>
      </c>
      <c r="H1779">
        <v>3</v>
      </c>
      <c r="I1779">
        <v>1184.71</v>
      </c>
      <c r="J1779">
        <v>3554.13</v>
      </c>
      <c r="K1779" t="s">
        <v>1382</v>
      </c>
      <c r="L1779" t="s">
        <v>19</v>
      </c>
    </row>
    <row r="1780" spans="1:12" x14ac:dyDescent="0.35">
      <c r="A1780" t="s">
        <v>3084</v>
      </c>
      <c r="B1780" t="s">
        <v>252</v>
      </c>
      <c r="C1780" t="s">
        <v>253</v>
      </c>
      <c r="D1780" t="s">
        <v>67</v>
      </c>
      <c r="E1780" t="s">
        <v>68</v>
      </c>
      <c r="F1780" t="s">
        <v>42</v>
      </c>
      <c r="G1780" t="s">
        <v>225</v>
      </c>
      <c r="H1780">
        <v>2</v>
      </c>
      <c r="I1780">
        <v>69.92</v>
      </c>
      <c r="J1780">
        <v>139.84</v>
      </c>
      <c r="K1780" t="s">
        <v>2116</v>
      </c>
      <c r="L1780" t="s">
        <v>36</v>
      </c>
    </row>
    <row r="1781" spans="1:12" x14ac:dyDescent="0.35">
      <c r="A1781" t="s">
        <v>3085</v>
      </c>
      <c r="B1781" t="s">
        <v>77</v>
      </c>
      <c r="C1781" t="s">
        <v>78</v>
      </c>
      <c r="D1781" t="s">
        <v>23</v>
      </c>
      <c r="E1781" t="s">
        <v>24</v>
      </c>
      <c r="F1781" t="s">
        <v>42</v>
      </c>
      <c r="G1781" t="s">
        <v>225</v>
      </c>
      <c r="H1781">
        <v>3</v>
      </c>
      <c r="I1781">
        <v>819.99</v>
      </c>
      <c r="J1781">
        <v>2459.9699999999998</v>
      </c>
      <c r="K1781" t="s">
        <v>1914</v>
      </c>
      <c r="L1781" t="s">
        <v>45</v>
      </c>
    </row>
    <row r="1782" spans="1:12" x14ac:dyDescent="0.35">
      <c r="A1782" t="s">
        <v>3086</v>
      </c>
      <c r="B1782" t="s">
        <v>605</v>
      </c>
      <c r="C1782" t="s">
        <v>606</v>
      </c>
      <c r="D1782" t="s">
        <v>32</v>
      </c>
      <c r="E1782" t="s">
        <v>61</v>
      </c>
      <c r="F1782" t="s">
        <v>16</v>
      </c>
      <c r="G1782" t="s">
        <v>17</v>
      </c>
      <c r="H1782">
        <v>2</v>
      </c>
      <c r="I1782">
        <v>1162.4100000000001</v>
      </c>
      <c r="J1782">
        <v>2324.8200000000002</v>
      </c>
      <c r="K1782" t="s">
        <v>1489</v>
      </c>
      <c r="L1782" t="s">
        <v>36</v>
      </c>
    </row>
    <row r="1783" spans="1:12" x14ac:dyDescent="0.35">
      <c r="A1783" t="s">
        <v>3087</v>
      </c>
      <c r="B1783" t="s">
        <v>244</v>
      </c>
      <c r="C1783" t="s">
        <v>245</v>
      </c>
      <c r="D1783" t="s">
        <v>40</v>
      </c>
      <c r="E1783" t="s">
        <v>79</v>
      </c>
      <c r="F1783" t="s">
        <v>42</v>
      </c>
      <c r="G1783" t="s">
        <v>225</v>
      </c>
      <c r="H1783">
        <v>1</v>
      </c>
      <c r="I1783">
        <v>409.04</v>
      </c>
      <c r="J1783">
        <v>409.04</v>
      </c>
      <c r="K1783" t="s">
        <v>323</v>
      </c>
      <c r="L1783" t="s">
        <v>36</v>
      </c>
    </row>
    <row r="1784" spans="1:12" x14ac:dyDescent="0.35">
      <c r="A1784" t="s">
        <v>3088</v>
      </c>
      <c r="B1784" t="s">
        <v>345</v>
      </c>
      <c r="C1784" t="s">
        <v>346</v>
      </c>
      <c r="D1784" t="s">
        <v>23</v>
      </c>
      <c r="E1784" t="s">
        <v>338</v>
      </c>
      <c r="F1784" t="s">
        <v>101</v>
      </c>
      <c r="G1784" t="s">
        <v>165</v>
      </c>
      <c r="H1784">
        <v>5</v>
      </c>
      <c r="I1784">
        <v>960.8</v>
      </c>
      <c r="J1784">
        <v>4804</v>
      </c>
      <c r="K1784" t="s">
        <v>675</v>
      </c>
      <c r="L1784" t="s">
        <v>36</v>
      </c>
    </row>
    <row r="1785" spans="1:12" x14ac:dyDescent="0.35">
      <c r="A1785" t="s">
        <v>3089</v>
      </c>
      <c r="B1785" t="s">
        <v>2002</v>
      </c>
      <c r="C1785" t="s">
        <v>2003</v>
      </c>
      <c r="D1785" t="s">
        <v>14</v>
      </c>
      <c r="E1785" t="s">
        <v>95</v>
      </c>
      <c r="F1785" t="s">
        <v>42</v>
      </c>
      <c r="G1785" t="s">
        <v>89</v>
      </c>
      <c r="H1785">
        <v>1</v>
      </c>
      <c r="I1785">
        <v>384.4</v>
      </c>
      <c r="J1785">
        <v>384.4</v>
      </c>
      <c r="K1785" t="s">
        <v>35</v>
      </c>
      <c r="L1785" t="s">
        <v>19</v>
      </c>
    </row>
    <row r="1786" spans="1:12" x14ac:dyDescent="0.35">
      <c r="A1786" t="s">
        <v>3090</v>
      </c>
      <c r="B1786" t="s">
        <v>707</v>
      </c>
      <c r="C1786" t="s">
        <v>708</v>
      </c>
      <c r="D1786" t="s">
        <v>23</v>
      </c>
      <c r="E1786" t="s">
        <v>24</v>
      </c>
      <c r="F1786" t="s">
        <v>101</v>
      </c>
      <c r="G1786" t="s">
        <v>373</v>
      </c>
      <c r="H1786">
        <v>4</v>
      </c>
      <c r="I1786">
        <v>1001.09</v>
      </c>
      <c r="J1786">
        <v>4004.36</v>
      </c>
      <c r="K1786" t="s">
        <v>400</v>
      </c>
      <c r="L1786" t="s">
        <v>36</v>
      </c>
    </row>
    <row r="1787" spans="1:12" x14ac:dyDescent="0.35">
      <c r="A1787" t="s">
        <v>3091</v>
      </c>
      <c r="B1787" t="s">
        <v>914</v>
      </c>
      <c r="C1787" t="s">
        <v>915</v>
      </c>
      <c r="D1787" t="s">
        <v>32</v>
      </c>
      <c r="E1787" t="s">
        <v>33</v>
      </c>
      <c r="F1787" t="s">
        <v>42</v>
      </c>
      <c r="G1787" t="s">
        <v>43</v>
      </c>
      <c r="H1787">
        <v>4</v>
      </c>
      <c r="I1787">
        <v>388.57</v>
      </c>
      <c r="J1787">
        <v>1554.28</v>
      </c>
      <c r="K1787" t="s">
        <v>1207</v>
      </c>
      <c r="L1787" t="s">
        <v>28</v>
      </c>
    </row>
    <row r="1788" spans="1:12" x14ac:dyDescent="0.35">
      <c r="A1788" t="s">
        <v>3092</v>
      </c>
      <c r="B1788" t="s">
        <v>586</v>
      </c>
      <c r="C1788" t="s">
        <v>587</v>
      </c>
      <c r="D1788" t="s">
        <v>32</v>
      </c>
      <c r="E1788" t="s">
        <v>203</v>
      </c>
      <c r="F1788" t="s">
        <v>25</v>
      </c>
      <c r="G1788" t="s">
        <v>34</v>
      </c>
      <c r="H1788">
        <v>1</v>
      </c>
      <c r="I1788">
        <v>478.46</v>
      </c>
      <c r="J1788">
        <v>478.46</v>
      </c>
      <c r="K1788" t="s">
        <v>3067</v>
      </c>
      <c r="L1788" t="s">
        <v>45</v>
      </c>
    </row>
    <row r="1789" spans="1:12" x14ac:dyDescent="0.35">
      <c r="A1789" t="s">
        <v>3093</v>
      </c>
      <c r="B1789" t="s">
        <v>1749</v>
      </c>
      <c r="C1789" t="s">
        <v>1750</v>
      </c>
      <c r="D1789" t="s">
        <v>14</v>
      </c>
      <c r="E1789" t="s">
        <v>266</v>
      </c>
      <c r="F1789" t="s">
        <v>25</v>
      </c>
      <c r="G1789" t="s">
        <v>74</v>
      </c>
      <c r="H1789">
        <v>2</v>
      </c>
      <c r="I1789">
        <v>1008.96</v>
      </c>
      <c r="J1789">
        <v>2017.92</v>
      </c>
      <c r="K1789" t="s">
        <v>3094</v>
      </c>
      <c r="L1789" t="s">
        <v>91</v>
      </c>
    </row>
    <row r="1790" spans="1:12" x14ac:dyDescent="0.35">
      <c r="A1790" t="s">
        <v>3095</v>
      </c>
      <c r="B1790" t="s">
        <v>1423</v>
      </c>
      <c r="C1790" t="s">
        <v>1424</v>
      </c>
      <c r="D1790" t="s">
        <v>32</v>
      </c>
      <c r="E1790" t="s">
        <v>61</v>
      </c>
      <c r="F1790" t="s">
        <v>16</v>
      </c>
      <c r="G1790" t="s">
        <v>17</v>
      </c>
      <c r="H1790">
        <v>2</v>
      </c>
      <c r="I1790">
        <v>419.39</v>
      </c>
      <c r="J1790">
        <v>838.78</v>
      </c>
      <c r="K1790" t="s">
        <v>1898</v>
      </c>
      <c r="L1790" t="s">
        <v>45</v>
      </c>
    </row>
    <row r="1791" spans="1:12" x14ac:dyDescent="0.35">
      <c r="A1791" t="s">
        <v>3096</v>
      </c>
      <c r="B1791" t="s">
        <v>633</v>
      </c>
      <c r="C1791" t="s">
        <v>634</v>
      </c>
      <c r="D1791" t="s">
        <v>14</v>
      </c>
      <c r="E1791" t="s">
        <v>95</v>
      </c>
      <c r="F1791" t="s">
        <v>101</v>
      </c>
      <c r="G1791" t="s">
        <v>649</v>
      </c>
      <c r="H1791">
        <v>1</v>
      </c>
      <c r="I1791">
        <v>430.28</v>
      </c>
      <c r="J1791">
        <v>430.28</v>
      </c>
      <c r="K1791" t="s">
        <v>3097</v>
      </c>
      <c r="L1791" t="s">
        <v>91</v>
      </c>
    </row>
    <row r="1792" spans="1:12" x14ac:dyDescent="0.35">
      <c r="A1792" t="s">
        <v>3098</v>
      </c>
      <c r="B1792" t="s">
        <v>118</v>
      </c>
      <c r="C1792" t="s">
        <v>119</v>
      </c>
      <c r="D1792" t="s">
        <v>14</v>
      </c>
      <c r="E1792" t="s">
        <v>125</v>
      </c>
      <c r="F1792" t="s">
        <v>42</v>
      </c>
      <c r="G1792" t="s">
        <v>80</v>
      </c>
      <c r="H1792">
        <v>2</v>
      </c>
      <c r="I1792">
        <v>484.09</v>
      </c>
      <c r="J1792">
        <v>968.18</v>
      </c>
      <c r="K1792" t="s">
        <v>971</v>
      </c>
      <c r="L1792" t="s">
        <v>91</v>
      </c>
    </row>
    <row r="1793" spans="1:12" x14ac:dyDescent="0.35">
      <c r="A1793" t="s">
        <v>3099</v>
      </c>
      <c r="B1793" t="s">
        <v>1149</v>
      </c>
      <c r="C1793" t="s">
        <v>1150</v>
      </c>
      <c r="D1793" t="s">
        <v>40</v>
      </c>
      <c r="E1793" t="s">
        <v>41</v>
      </c>
      <c r="F1793" t="s">
        <v>25</v>
      </c>
      <c r="G1793" t="s">
        <v>26</v>
      </c>
      <c r="H1793">
        <v>4</v>
      </c>
      <c r="I1793">
        <v>1255.23</v>
      </c>
      <c r="J1793">
        <v>5020.92</v>
      </c>
      <c r="K1793" t="s">
        <v>2547</v>
      </c>
      <c r="L1793" t="s">
        <v>45</v>
      </c>
    </row>
    <row r="1794" spans="1:12" x14ac:dyDescent="0.35">
      <c r="A1794" t="s">
        <v>3100</v>
      </c>
      <c r="B1794" t="s">
        <v>303</v>
      </c>
      <c r="C1794" t="s">
        <v>304</v>
      </c>
      <c r="D1794" t="s">
        <v>67</v>
      </c>
      <c r="E1794" t="s">
        <v>68</v>
      </c>
      <c r="F1794" t="s">
        <v>25</v>
      </c>
      <c r="G1794" t="s">
        <v>74</v>
      </c>
      <c r="H1794">
        <v>2</v>
      </c>
      <c r="I1794">
        <v>941.74</v>
      </c>
      <c r="J1794">
        <v>1883.48</v>
      </c>
      <c r="K1794" t="s">
        <v>2495</v>
      </c>
      <c r="L1794" t="s">
        <v>45</v>
      </c>
    </row>
    <row r="1795" spans="1:12" x14ac:dyDescent="0.35">
      <c r="A1795" t="s">
        <v>3101</v>
      </c>
      <c r="B1795" t="s">
        <v>113</v>
      </c>
      <c r="C1795" t="s">
        <v>114</v>
      </c>
      <c r="D1795" t="s">
        <v>14</v>
      </c>
      <c r="E1795" t="s">
        <v>125</v>
      </c>
      <c r="F1795" t="s">
        <v>101</v>
      </c>
      <c r="G1795" t="s">
        <v>373</v>
      </c>
      <c r="H1795">
        <v>5</v>
      </c>
      <c r="I1795">
        <v>99.01</v>
      </c>
      <c r="J1795">
        <v>495.05</v>
      </c>
      <c r="K1795" t="s">
        <v>2000</v>
      </c>
      <c r="L1795" t="s">
        <v>91</v>
      </c>
    </row>
    <row r="1796" spans="1:12" x14ac:dyDescent="0.35">
      <c r="A1796" t="s">
        <v>3102</v>
      </c>
      <c r="B1796" t="s">
        <v>1346</v>
      </c>
      <c r="C1796" t="s">
        <v>1347</v>
      </c>
      <c r="D1796" t="s">
        <v>40</v>
      </c>
      <c r="E1796" t="s">
        <v>79</v>
      </c>
      <c r="F1796" t="s">
        <v>42</v>
      </c>
      <c r="G1796" t="s">
        <v>170</v>
      </c>
      <c r="H1796">
        <v>5</v>
      </c>
      <c r="I1796">
        <v>947.28</v>
      </c>
      <c r="J1796">
        <v>4736.3999999999996</v>
      </c>
      <c r="K1796" t="s">
        <v>1567</v>
      </c>
      <c r="L1796" t="s">
        <v>36</v>
      </c>
    </row>
    <row r="1797" spans="1:12" x14ac:dyDescent="0.35">
      <c r="A1797" t="s">
        <v>3103</v>
      </c>
      <c r="B1797" t="s">
        <v>336</v>
      </c>
      <c r="C1797" t="s">
        <v>337</v>
      </c>
      <c r="D1797" t="s">
        <v>23</v>
      </c>
      <c r="E1797" t="s">
        <v>338</v>
      </c>
      <c r="F1797" t="s">
        <v>42</v>
      </c>
      <c r="G1797" t="s">
        <v>225</v>
      </c>
      <c r="H1797">
        <v>5</v>
      </c>
      <c r="I1797">
        <v>264.16000000000003</v>
      </c>
      <c r="J1797">
        <v>1320.8</v>
      </c>
      <c r="K1797" t="s">
        <v>2023</v>
      </c>
      <c r="L1797" t="s">
        <v>36</v>
      </c>
    </row>
    <row r="1798" spans="1:12" x14ac:dyDescent="0.35">
      <c r="A1798" t="s">
        <v>3104</v>
      </c>
      <c r="B1798" t="s">
        <v>1532</v>
      </c>
      <c r="C1798" t="s">
        <v>1533</v>
      </c>
      <c r="D1798" t="s">
        <v>32</v>
      </c>
      <c r="E1798" t="s">
        <v>61</v>
      </c>
      <c r="F1798" t="s">
        <v>42</v>
      </c>
      <c r="G1798" t="s">
        <v>170</v>
      </c>
      <c r="H1798">
        <v>3</v>
      </c>
      <c r="I1798">
        <v>333.01</v>
      </c>
      <c r="J1798">
        <v>999.03</v>
      </c>
      <c r="K1798" t="s">
        <v>1787</v>
      </c>
      <c r="L1798" t="s">
        <v>91</v>
      </c>
    </row>
    <row r="1799" spans="1:12" x14ac:dyDescent="0.35">
      <c r="A1799" t="s">
        <v>3105</v>
      </c>
      <c r="B1799" t="s">
        <v>1179</v>
      </c>
      <c r="C1799" t="s">
        <v>1180</v>
      </c>
      <c r="D1799" t="s">
        <v>14</v>
      </c>
      <c r="E1799" t="s">
        <v>95</v>
      </c>
      <c r="F1799" t="s">
        <v>101</v>
      </c>
      <c r="G1799" t="s">
        <v>102</v>
      </c>
      <c r="H1799">
        <v>3</v>
      </c>
      <c r="I1799">
        <v>1127.44</v>
      </c>
      <c r="J1799">
        <v>3382.32</v>
      </c>
      <c r="K1799" t="s">
        <v>749</v>
      </c>
      <c r="L1799" t="s">
        <v>36</v>
      </c>
    </row>
    <row r="1800" spans="1:12" x14ac:dyDescent="0.35">
      <c r="A1800" t="s">
        <v>3106</v>
      </c>
      <c r="B1800" t="s">
        <v>1743</v>
      </c>
      <c r="C1800" t="s">
        <v>1744</v>
      </c>
      <c r="D1800" t="s">
        <v>14</v>
      </c>
      <c r="E1800" t="s">
        <v>100</v>
      </c>
      <c r="F1800" t="s">
        <v>50</v>
      </c>
      <c r="G1800" t="s">
        <v>56</v>
      </c>
      <c r="H1800">
        <v>4</v>
      </c>
      <c r="I1800">
        <v>745.96</v>
      </c>
      <c r="J1800">
        <v>2983.84</v>
      </c>
      <c r="K1800" t="s">
        <v>777</v>
      </c>
      <c r="L1800" t="s">
        <v>45</v>
      </c>
    </row>
    <row r="1801" spans="1:12" x14ac:dyDescent="0.35">
      <c r="A1801" t="s">
        <v>3107</v>
      </c>
      <c r="B1801" t="s">
        <v>1285</v>
      </c>
      <c r="C1801" t="s">
        <v>1286</v>
      </c>
      <c r="D1801" t="s">
        <v>40</v>
      </c>
      <c r="E1801" t="s">
        <v>41</v>
      </c>
      <c r="F1801" t="s">
        <v>50</v>
      </c>
      <c r="G1801" t="s">
        <v>69</v>
      </c>
      <c r="H1801">
        <v>5</v>
      </c>
      <c r="I1801">
        <v>1041.31</v>
      </c>
      <c r="J1801">
        <v>5206.55</v>
      </c>
      <c r="K1801" t="s">
        <v>1098</v>
      </c>
      <c r="L1801" t="s">
        <v>36</v>
      </c>
    </row>
    <row r="1802" spans="1:12" x14ac:dyDescent="0.35">
      <c r="A1802" t="s">
        <v>3108</v>
      </c>
      <c r="B1802" t="s">
        <v>723</v>
      </c>
      <c r="C1802" t="s">
        <v>724</v>
      </c>
      <c r="D1802" t="s">
        <v>67</v>
      </c>
      <c r="E1802" t="s">
        <v>115</v>
      </c>
      <c r="F1802" t="s">
        <v>25</v>
      </c>
      <c r="G1802" t="s">
        <v>74</v>
      </c>
      <c r="H1802">
        <v>5</v>
      </c>
      <c r="I1802">
        <v>1024.24</v>
      </c>
      <c r="J1802">
        <v>5121.2</v>
      </c>
      <c r="K1802" t="s">
        <v>3109</v>
      </c>
      <c r="L1802" t="s">
        <v>45</v>
      </c>
    </row>
    <row r="1803" spans="1:12" x14ac:dyDescent="0.35">
      <c r="A1803" t="s">
        <v>3110</v>
      </c>
      <c r="B1803" t="s">
        <v>299</v>
      </c>
      <c r="C1803" t="s">
        <v>300</v>
      </c>
      <c r="D1803" t="s">
        <v>14</v>
      </c>
      <c r="E1803" t="s">
        <v>125</v>
      </c>
      <c r="F1803" t="s">
        <v>42</v>
      </c>
      <c r="G1803" t="s">
        <v>170</v>
      </c>
      <c r="H1803">
        <v>3</v>
      </c>
      <c r="I1803">
        <v>556.75</v>
      </c>
      <c r="J1803">
        <v>1670.25</v>
      </c>
      <c r="K1803" t="s">
        <v>116</v>
      </c>
      <c r="L1803" t="s">
        <v>19</v>
      </c>
    </row>
    <row r="1804" spans="1:12" x14ac:dyDescent="0.35">
      <c r="A1804" t="s">
        <v>3111</v>
      </c>
      <c r="B1804" t="s">
        <v>210</v>
      </c>
      <c r="C1804" t="s">
        <v>211</v>
      </c>
      <c r="D1804" t="s">
        <v>23</v>
      </c>
      <c r="E1804" t="s">
        <v>49</v>
      </c>
      <c r="F1804" t="s">
        <v>42</v>
      </c>
      <c r="G1804" t="s">
        <v>89</v>
      </c>
      <c r="H1804">
        <v>4</v>
      </c>
      <c r="I1804">
        <v>424.95</v>
      </c>
      <c r="J1804">
        <v>1699.8</v>
      </c>
      <c r="K1804" t="s">
        <v>1886</v>
      </c>
      <c r="L1804" t="s">
        <v>36</v>
      </c>
    </row>
    <row r="1805" spans="1:12" x14ac:dyDescent="0.35">
      <c r="A1805" t="s">
        <v>3112</v>
      </c>
      <c r="B1805" t="s">
        <v>325</v>
      </c>
      <c r="C1805" t="s">
        <v>326</v>
      </c>
      <c r="D1805" t="s">
        <v>23</v>
      </c>
      <c r="E1805" t="s">
        <v>24</v>
      </c>
      <c r="F1805" t="s">
        <v>42</v>
      </c>
      <c r="G1805" t="s">
        <v>170</v>
      </c>
      <c r="H1805">
        <v>2</v>
      </c>
      <c r="I1805">
        <v>1446.51</v>
      </c>
      <c r="J1805">
        <v>2893.02</v>
      </c>
      <c r="K1805" t="s">
        <v>637</v>
      </c>
      <c r="L1805" t="s">
        <v>36</v>
      </c>
    </row>
    <row r="1806" spans="1:12" x14ac:dyDescent="0.35">
      <c r="A1806" t="s">
        <v>3113</v>
      </c>
      <c r="B1806" t="s">
        <v>860</v>
      </c>
      <c r="C1806" t="s">
        <v>861</v>
      </c>
      <c r="D1806" t="s">
        <v>67</v>
      </c>
      <c r="E1806" t="s">
        <v>68</v>
      </c>
      <c r="F1806" t="s">
        <v>50</v>
      </c>
      <c r="G1806" t="s">
        <v>69</v>
      </c>
      <c r="H1806">
        <v>3</v>
      </c>
      <c r="I1806">
        <v>880.99</v>
      </c>
      <c r="J1806">
        <v>2642.97</v>
      </c>
      <c r="K1806" t="s">
        <v>96</v>
      </c>
      <c r="L1806" t="s">
        <v>19</v>
      </c>
    </row>
    <row r="1807" spans="1:12" x14ac:dyDescent="0.35">
      <c r="A1807" t="s">
        <v>3114</v>
      </c>
      <c r="B1807" t="s">
        <v>197</v>
      </c>
      <c r="C1807" t="s">
        <v>198</v>
      </c>
      <c r="D1807" t="s">
        <v>23</v>
      </c>
      <c r="E1807" t="s">
        <v>49</v>
      </c>
      <c r="F1807" t="s">
        <v>25</v>
      </c>
      <c r="G1807" t="s">
        <v>62</v>
      </c>
      <c r="H1807">
        <v>2</v>
      </c>
      <c r="I1807">
        <v>287.45999999999998</v>
      </c>
      <c r="J1807">
        <v>574.91999999999996</v>
      </c>
      <c r="K1807" t="s">
        <v>844</v>
      </c>
      <c r="L1807" t="s">
        <v>19</v>
      </c>
    </row>
    <row r="1808" spans="1:12" x14ac:dyDescent="0.35">
      <c r="A1808" t="s">
        <v>3115</v>
      </c>
      <c r="B1808" t="s">
        <v>2719</v>
      </c>
      <c r="C1808" t="s">
        <v>2720</v>
      </c>
      <c r="D1808" t="s">
        <v>67</v>
      </c>
      <c r="E1808" t="s">
        <v>130</v>
      </c>
      <c r="F1808" t="s">
        <v>101</v>
      </c>
      <c r="G1808" t="s">
        <v>373</v>
      </c>
      <c r="H1808">
        <v>5</v>
      </c>
      <c r="I1808">
        <v>1212.6500000000001</v>
      </c>
      <c r="J1808">
        <v>6063.25</v>
      </c>
      <c r="K1808" t="s">
        <v>1949</v>
      </c>
      <c r="L1808" t="s">
        <v>91</v>
      </c>
    </row>
    <row r="1809" spans="1:12" x14ac:dyDescent="0.35">
      <c r="A1809" t="s">
        <v>3116</v>
      </c>
      <c r="B1809" t="s">
        <v>1159</v>
      </c>
      <c r="C1809" t="s">
        <v>1160</v>
      </c>
      <c r="D1809" t="s">
        <v>67</v>
      </c>
      <c r="E1809" t="s">
        <v>68</v>
      </c>
      <c r="F1809" t="s">
        <v>16</v>
      </c>
      <c r="G1809" t="s">
        <v>182</v>
      </c>
      <c r="H1809">
        <v>4</v>
      </c>
      <c r="I1809">
        <v>1409.73</v>
      </c>
      <c r="J1809">
        <v>5638.92</v>
      </c>
      <c r="K1809" t="s">
        <v>2965</v>
      </c>
      <c r="L1809" t="s">
        <v>36</v>
      </c>
    </row>
    <row r="1810" spans="1:12" x14ac:dyDescent="0.35">
      <c r="A1810" t="s">
        <v>3117</v>
      </c>
      <c r="B1810" t="s">
        <v>1092</v>
      </c>
      <c r="C1810" t="s">
        <v>1093</v>
      </c>
      <c r="D1810" t="s">
        <v>32</v>
      </c>
      <c r="E1810" t="s">
        <v>203</v>
      </c>
      <c r="F1810" t="s">
        <v>16</v>
      </c>
      <c r="G1810" t="s">
        <v>182</v>
      </c>
      <c r="H1810">
        <v>1</v>
      </c>
      <c r="I1810">
        <v>1258.17</v>
      </c>
      <c r="J1810">
        <v>1258.17</v>
      </c>
      <c r="K1810" t="s">
        <v>534</v>
      </c>
      <c r="L1810" t="s">
        <v>91</v>
      </c>
    </row>
    <row r="1811" spans="1:12" x14ac:dyDescent="0.35">
      <c r="A1811" t="s">
        <v>3118</v>
      </c>
      <c r="B1811" t="s">
        <v>219</v>
      </c>
      <c r="C1811" t="s">
        <v>220</v>
      </c>
      <c r="D1811" t="s">
        <v>67</v>
      </c>
      <c r="E1811" t="s">
        <v>130</v>
      </c>
      <c r="F1811" t="s">
        <v>42</v>
      </c>
      <c r="G1811" t="s">
        <v>89</v>
      </c>
      <c r="H1811">
        <v>3</v>
      </c>
      <c r="I1811">
        <v>654.02</v>
      </c>
      <c r="J1811">
        <v>1962.06</v>
      </c>
      <c r="K1811" t="s">
        <v>131</v>
      </c>
      <c r="L1811" t="s">
        <v>28</v>
      </c>
    </row>
    <row r="1812" spans="1:12" x14ac:dyDescent="0.35">
      <c r="A1812" t="s">
        <v>3119</v>
      </c>
      <c r="B1812" t="s">
        <v>118</v>
      </c>
      <c r="C1812" t="s">
        <v>119</v>
      </c>
      <c r="D1812" t="s">
        <v>23</v>
      </c>
      <c r="E1812" t="s">
        <v>338</v>
      </c>
      <c r="F1812" t="s">
        <v>42</v>
      </c>
      <c r="G1812" t="s">
        <v>225</v>
      </c>
      <c r="H1812">
        <v>5</v>
      </c>
      <c r="I1812">
        <v>954.89</v>
      </c>
      <c r="J1812">
        <v>4774.45</v>
      </c>
      <c r="K1812" t="s">
        <v>1165</v>
      </c>
      <c r="L1812" t="s">
        <v>19</v>
      </c>
    </row>
    <row r="1813" spans="1:12" x14ac:dyDescent="0.35">
      <c r="A1813" t="s">
        <v>3120</v>
      </c>
      <c r="B1813" t="s">
        <v>853</v>
      </c>
      <c r="C1813" t="s">
        <v>854</v>
      </c>
      <c r="D1813" t="s">
        <v>67</v>
      </c>
      <c r="E1813" t="s">
        <v>68</v>
      </c>
      <c r="F1813" t="s">
        <v>42</v>
      </c>
      <c r="G1813" t="s">
        <v>43</v>
      </c>
      <c r="H1813">
        <v>1</v>
      </c>
      <c r="I1813">
        <v>546.22</v>
      </c>
      <c r="J1813">
        <v>546.22</v>
      </c>
      <c r="K1813" t="s">
        <v>2198</v>
      </c>
      <c r="L1813" t="s">
        <v>28</v>
      </c>
    </row>
    <row r="1814" spans="1:12" x14ac:dyDescent="0.35">
      <c r="A1814" t="s">
        <v>3121</v>
      </c>
      <c r="B1814" t="s">
        <v>260</v>
      </c>
      <c r="C1814" t="s">
        <v>261</v>
      </c>
      <c r="D1814" t="s">
        <v>32</v>
      </c>
      <c r="E1814" t="s">
        <v>61</v>
      </c>
      <c r="F1814" t="s">
        <v>42</v>
      </c>
      <c r="G1814" t="s">
        <v>43</v>
      </c>
      <c r="H1814">
        <v>5</v>
      </c>
      <c r="I1814">
        <v>521.46</v>
      </c>
      <c r="J1814">
        <v>2607.3000000000002</v>
      </c>
      <c r="K1814" t="s">
        <v>2060</v>
      </c>
      <c r="L1814" t="s">
        <v>28</v>
      </c>
    </row>
    <row r="1815" spans="1:12" x14ac:dyDescent="0.35">
      <c r="A1815" t="s">
        <v>3122</v>
      </c>
      <c r="B1815" t="s">
        <v>173</v>
      </c>
      <c r="C1815" t="s">
        <v>174</v>
      </c>
      <c r="D1815" t="s">
        <v>14</v>
      </c>
      <c r="E1815" t="s">
        <v>95</v>
      </c>
      <c r="F1815" t="s">
        <v>50</v>
      </c>
      <c r="G1815" t="s">
        <v>216</v>
      </c>
      <c r="H1815">
        <v>5</v>
      </c>
      <c r="I1815">
        <v>35.71</v>
      </c>
      <c r="J1815">
        <v>178.55</v>
      </c>
      <c r="K1815" t="s">
        <v>1350</v>
      </c>
      <c r="L1815" t="s">
        <v>36</v>
      </c>
    </row>
    <row r="1816" spans="1:12" x14ac:dyDescent="0.35">
      <c r="A1816" t="s">
        <v>3123</v>
      </c>
      <c r="B1816" t="s">
        <v>605</v>
      </c>
      <c r="C1816" t="s">
        <v>606</v>
      </c>
      <c r="D1816" t="s">
        <v>32</v>
      </c>
      <c r="E1816" t="s">
        <v>203</v>
      </c>
      <c r="F1816" t="s">
        <v>101</v>
      </c>
      <c r="G1816" t="s">
        <v>373</v>
      </c>
      <c r="H1816">
        <v>1</v>
      </c>
      <c r="I1816">
        <v>1227.04</v>
      </c>
      <c r="J1816">
        <v>1227.04</v>
      </c>
      <c r="K1816" t="s">
        <v>394</v>
      </c>
      <c r="L1816" t="s">
        <v>91</v>
      </c>
    </row>
    <row r="1817" spans="1:12" x14ac:dyDescent="0.35">
      <c r="A1817" t="s">
        <v>3124</v>
      </c>
      <c r="B1817" t="s">
        <v>460</v>
      </c>
      <c r="C1817" t="s">
        <v>461</v>
      </c>
      <c r="D1817" t="s">
        <v>23</v>
      </c>
      <c r="E1817" t="s">
        <v>24</v>
      </c>
      <c r="F1817" t="s">
        <v>101</v>
      </c>
      <c r="G1817" t="s">
        <v>165</v>
      </c>
      <c r="H1817">
        <v>4</v>
      </c>
      <c r="I1817">
        <v>1362.96</v>
      </c>
      <c r="J1817">
        <v>5451.84</v>
      </c>
      <c r="K1817" t="s">
        <v>1421</v>
      </c>
      <c r="L1817" t="s">
        <v>28</v>
      </c>
    </row>
    <row r="1818" spans="1:12" x14ac:dyDescent="0.35">
      <c r="A1818" t="s">
        <v>3125</v>
      </c>
      <c r="B1818" t="s">
        <v>579</v>
      </c>
      <c r="C1818" t="s">
        <v>580</v>
      </c>
      <c r="D1818" t="s">
        <v>67</v>
      </c>
      <c r="E1818" t="s">
        <v>130</v>
      </c>
      <c r="F1818" t="s">
        <v>25</v>
      </c>
      <c r="G1818" t="s">
        <v>139</v>
      </c>
      <c r="H1818">
        <v>1</v>
      </c>
      <c r="I1818">
        <v>1038.44</v>
      </c>
      <c r="J1818">
        <v>1038.44</v>
      </c>
      <c r="K1818" t="s">
        <v>226</v>
      </c>
      <c r="L1818" t="s">
        <v>28</v>
      </c>
    </row>
    <row r="1819" spans="1:12" x14ac:dyDescent="0.35">
      <c r="A1819" t="s">
        <v>3126</v>
      </c>
      <c r="B1819" t="s">
        <v>947</v>
      </c>
      <c r="C1819" t="s">
        <v>948</v>
      </c>
      <c r="D1819" t="s">
        <v>67</v>
      </c>
      <c r="E1819" t="s">
        <v>68</v>
      </c>
      <c r="F1819" t="s">
        <v>42</v>
      </c>
      <c r="G1819" t="s">
        <v>43</v>
      </c>
      <c r="H1819">
        <v>4</v>
      </c>
      <c r="I1819">
        <v>1362.42</v>
      </c>
      <c r="J1819">
        <v>5449.68</v>
      </c>
      <c r="K1819" t="s">
        <v>2108</v>
      </c>
      <c r="L1819" t="s">
        <v>28</v>
      </c>
    </row>
    <row r="1820" spans="1:12" x14ac:dyDescent="0.35">
      <c r="A1820" t="s">
        <v>3127</v>
      </c>
      <c r="B1820" t="s">
        <v>711</v>
      </c>
      <c r="C1820" t="s">
        <v>712</v>
      </c>
      <c r="D1820" t="s">
        <v>23</v>
      </c>
      <c r="E1820" t="s">
        <v>24</v>
      </c>
      <c r="F1820" t="s">
        <v>101</v>
      </c>
      <c r="G1820" t="s">
        <v>165</v>
      </c>
      <c r="H1820">
        <v>5</v>
      </c>
      <c r="I1820">
        <v>1204.3399999999999</v>
      </c>
      <c r="J1820">
        <v>6021.7</v>
      </c>
      <c r="K1820" t="s">
        <v>2680</v>
      </c>
      <c r="L1820" t="s">
        <v>45</v>
      </c>
    </row>
    <row r="1821" spans="1:12" x14ac:dyDescent="0.35">
      <c r="A1821" t="s">
        <v>3128</v>
      </c>
      <c r="B1821" t="s">
        <v>1203</v>
      </c>
      <c r="C1821" t="s">
        <v>1204</v>
      </c>
      <c r="D1821" t="s">
        <v>32</v>
      </c>
      <c r="E1821" t="s">
        <v>203</v>
      </c>
      <c r="F1821" t="s">
        <v>50</v>
      </c>
      <c r="G1821" t="s">
        <v>69</v>
      </c>
      <c r="H1821">
        <v>1</v>
      </c>
      <c r="I1821">
        <v>297.07</v>
      </c>
      <c r="J1821">
        <v>297.07</v>
      </c>
      <c r="K1821" t="s">
        <v>3129</v>
      </c>
      <c r="L1821" t="s">
        <v>36</v>
      </c>
    </row>
    <row r="1822" spans="1:12" x14ac:dyDescent="0.35">
      <c r="A1822" t="s">
        <v>3130</v>
      </c>
      <c r="B1822" t="s">
        <v>123</v>
      </c>
      <c r="C1822" t="s">
        <v>124</v>
      </c>
      <c r="D1822" t="s">
        <v>40</v>
      </c>
      <c r="E1822" t="s">
        <v>41</v>
      </c>
      <c r="F1822" t="s">
        <v>101</v>
      </c>
      <c r="G1822" t="s">
        <v>649</v>
      </c>
      <c r="H1822">
        <v>1</v>
      </c>
      <c r="I1822">
        <v>667.6</v>
      </c>
      <c r="J1822">
        <v>667.6</v>
      </c>
      <c r="K1822" t="s">
        <v>635</v>
      </c>
      <c r="L1822" t="s">
        <v>91</v>
      </c>
    </row>
    <row r="1823" spans="1:12" x14ac:dyDescent="0.35">
      <c r="A1823" t="s">
        <v>3131</v>
      </c>
      <c r="B1823" t="s">
        <v>2157</v>
      </c>
      <c r="C1823" t="s">
        <v>2158</v>
      </c>
      <c r="D1823" t="s">
        <v>23</v>
      </c>
      <c r="E1823" t="s">
        <v>49</v>
      </c>
      <c r="F1823" t="s">
        <v>50</v>
      </c>
      <c r="G1823" t="s">
        <v>51</v>
      </c>
      <c r="H1823">
        <v>2</v>
      </c>
      <c r="I1823">
        <v>764.34</v>
      </c>
      <c r="J1823">
        <v>1528.68</v>
      </c>
      <c r="K1823" t="s">
        <v>592</v>
      </c>
      <c r="L1823" t="s">
        <v>36</v>
      </c>
    </row>
    <row r="1824" spans="1:12" x14ac:dyDescent="0.35">
      <c r="A1824" t="s">
        <v>3132</v>
      </c>
      <c r="B1824" t="s">
        <v>1346</v>
      </c>
      <c r="C1824" t="s">
        <v>1347</v>
      </c>
      <c r="D1824" t="s">
        <v>67</v>
      </c>
      <c r="E1824" t="s">
        <v>68</v>
      </c>
      <c r="F1824" t="s">
        <v>42</v>
      </c>
      <c r="G1824" t="s">
        <v>80</v>
      </c>
      <c r="H1824">
        <v>3</v>
      </c>
      <c r="I1824">
        <v>1265.83</v>
      </c>
      <c r="J1824">
        <v>3797.49</v>
      </c>
      <c r="K1824" t="s">
        <v>620</v>
      </c>
      <c r="L1824" t="s">
        <v>28</v>
      </c>
    </row>
    <row r="1825" spans="1:12" x14ac:dyDescent="0.35">
      <c r="A1825" t="s">
        <v>3133</v>
      </c>
      <c r="B1825" t="s">
        <v>345</v>
      </c>
      <c r="C1825" t="s">
        <v>346</v>
      </c>
      <c r="D1825" t="s">
        <v>23</v>
      </c>
      <c r="E1825" t="s">
        <v>24</v>
      </c>
      <c r="F1825" t="s">
        <v>42</v>
      </c>
      <c r="G1825" t="s">
        <v>89</v>
      </c>
      <c r="H1825">
        <v>2</v>
      </c>
      <c r="I1825">
        <v>1336.78</v>
      </c>
      <c r="J1825">
        <v>2673.56</v>
      </c>
      <c r="K1825" t="s">
        <v>844</v>
      </c>
      <c r="L1825" t="s">
        <v>19</v>
      </c>
    </row>
    <row r="1826" spans="1:12" x14ac:dyDescent="0.35">
      <c r="A1826" t="s">
        <v>3134</v>
      </c>
      <c r="B1826" t="s">
        <v>558</v>
      </c>
      <c r="C1826" t="s">
        <v>559</v>
      </c>
      <c r="D1826" t="s">
        <v>23</v>
      </c>
      <c r="E1826" t="s">
        <v>338</v>
      </c>
      <c r="F1826" t="s">
        <v>25</v>
      </c>
      <c r="G1826" t="s">
        <v>26</v>
      </c>
      <c r="H1826">
        <v>2</v>
      </c>
      <c r="I1826">
        <v>595.41</v>
      </c>
      <c r="J1826">
        <v>1190.82</v>
      </c>
      <c r="K1826" t="s">
        <v>1470</v>
      </c>
      <c r="L1826" t="s">
        <v>91</v>
      </c>
    </row>
    <row r="1827" spans="1:12" x14ac:dyDescent="0.35">
      <c r="A1827" t="s">
        <v>3135</v>
      </c>
      <c r="B1827" t="s">
        <v>715</v>
      </c>
      <c r="C1827" t="s">
        <v>716</v>
      </c>
      <c r="D1827" t="s">
        <v>67</v>
      </c>
      <c r="E1827" t="s">
        <v>130</v>
      </c>
      <c r="F1827" t="s">
        <v>50</v>
      </c>
      <c r="G1827" t="s">
        <v>69</v>
      </c>
      <c r="H1827">
        <v>3</v>
      </c>
      <c r="I1827">
        <v>965.36</v>
      </c>
      <c r="J1827">
        <v>2896.08</v>
      </c>
      <c r="K1827" t="s">
        <v>2252</v>
      </c>
      <c r="L1827" t="s">
        <v>45</v>
      </c>
    </row>
    <row r="1828" spans="1:12" x14ac:dyDescent="0.35">
      <c r="A1828" t="s">
        <v>3136</v>
      </c>
      <c r="B1828" t="s">
        <v>521</v>
      </c>
      <c r="C1828" t="s">
        <v>522</v>
      </c>
      <c r="D1828" t="s">
        <v>32</v>
      </c>
      <c r="E1828" t="s">
        <v>61</v>
      </c>
      <c r="F1828" t="s">
        <v>16</v>
      </c>
      <c r="G1828" t="s">
        <v>230</v>
      </c>
      <c r="H1828">
        <v>3</v>
      </c>
      <c r="I1828">
        <v>1314.35</v>
      </c>
      <c r="J1828">
        <v>3943.05</v>
      </c>
      <c r="K1828" t="s">
        <v>2014</v>
      </c>
      <c r="L1828" t="s">
        <v>36</v>
      </c>
    </row>
    <row r="1829" spans="1:12" x14ac:dyDescent="0.35">
      <c r="A1829" t="s">
        <v>3137</v>
      </c>
      <c r="B1829" t="s">
        <v>1496</v>
      </c>
      <c r="C1829" t="s">
        <v>1497</v>
      </c>
      <c r="D1829" t="s">
        <v>67</v>
      </c>
      <c r="E1829" t="s">
        <v>130</v>
      </c>
      <c r="F1829" t="s">
        <v>16</v>
      </c>
      <c r="G1829" t="s">
        <v>177</v>
      </c>
      <c r="H1829">
        <v>4</v>
      </c>
      <c r="I1829">
        <v>426.94</v>
      </c>
      <c r="J1829">
        <v>1707.76</v>
      </c>
      <c r="K1829" t="s">
        <v>2588</v>
      </c>
      <c r="L1829" t="s">
        <v>36</v>
      </c>
    </row>
    <row r="1830" spans="1:12" x14ac:dyDescent="0.35">
      <c r="A1830" t="s">
        <v>3138</v>
      </c>
      <c r="B1830" t="s">
        <v>2719</v>
      </c>
      <c r="C1830" t="s">
        <v>2720</v>
      </c>
      <c r="D1830" t="s">
        <v>40</v>
      </c>
      <c r="E1830" t="s">
        <v>120</v>
      </c>
      <c r="F1830" t="s">
        <v>25</v>
      </c>
      <c r="G1830" t="s">
        <v>62</v>
      </c>
      <c r="H1830">
        <v>5</v>
      </c>
      <c r="I1830">
        <v>1448.69</v>
      </c>
      <c r="J1830">
        <v>7243.45</v>
      </c>
      <c r="K1830" t="s">
        <v>369</v>
      </c>
      <c r="L1830" t="s">
        <v>19</v>
      </c>
    </row>
    <row r="1831" spans="1:12" x14ac:dyDescent="0.35">
      <c r="A1831" t="s">
        <v>3139</v>
      </c>
      <c r="B1831" t="s">
        <v>1340</v>
      </c>
      <c r="C1831" t="s">
        <v>1341</v>
      </c>
      <c r="D1831" t="s">
        <v>23</v>
      </c>
      <c r="E1831" t="s">
        <v>24</v>
      </c>
      <c r="F1831" t="s">
        <v>50</v>
      </c>
      <c r="G1831" t="s">
        <v>216</v>
      </c>
      <c r="H1831">
        <v>5</v>
      </c>
      <c r="I1831">
        <v>1491.82</v>
      </c>
      <c r="J1831">
        <v>7459.1</v>
      </c>
      <c r="K1831" t="s">
        <v>1963</v>
      </c>
      <c r="L1831" t="s">
        <v>28</v>
      </c>
    </row>
    <row r="1832" spans="1:12" x14ac:dyDescent="0.35">
      <c r="A1832" t="s">
        <v>3140</v>
      </c>
      <c r="B1832" t="s">
        <v>260</v>
      </c>
      <c r="C1832" t="s">
        <v>261</v>
      </c>
      <c r="D1832" t="s">
        <v>32</v>
      </c>
      <c r="E1832" t="s">
        <v>61</v>
      </c>
      <c r="F1832" t="s">
        <v>101</v>
      </c>
      <c r="G1832" t="s">
        <v>373</v>
      </c>
      <c r="H1832">
        <v>4</v>
      </c>
      <c r="I1832">
        <v>1124.93</v>
      </c>
      <c r="J1832">
        <v>4499.72</v>
      </c>
      <c r="K1832" t="s">
        <v>697</v>
      </c>
      <c r="L1832" t="s">
        <v>19</v>
      </c>
    </row>
    <row r="1833" spans="1:12" x14ac:dyDescent="0.35">
      <c r="A1833" t="s">
        <v>3141</v>
      </c>
      <c r="B1833" t="s">
        <v>1875</v>
      </c>
      <c r="C1833" t="s">
        <v>1876</v>
      </c>
      <c r="D1833" t="s">
        <v>40</v>
      </c>
      <c r="E1833" t="s">
        <v>120</v>
      </c>
      <c r="F1833" t="s">
        <v>42</v>
      </c>
      <c r="G1833" t="s">
        <v>225</v>
      </c>
      <c r="H1833">
        <v>2</v>
      </c>
      <c r="I1833">
        <v>165.6</v>
      </c>
      <c r="J1833">
        <v>331.2</v>
      </c>
      <c r="K1833" t="s">
        <v>1371</v>
      </c>
      <c r="L1833" t="s">
        <v>28</v>
      </c>
    </row>
    <row r="1834" spans="1:12" x14ac:dyDescent="0.35">
      <c r="A1834" t="s">
        <v>3142</v>
      </c>
      <c r="B1834" t="s">
        <v>240</v>
      </c>
      <c r="C1834" t="s">
        <v>241</v>
      </c>
      <c r="D1834" t="s">
        <v>23</v>
      </c>
      <c r="E1834" t="s">
        <v>338</v>
      </c>
      <c r="F1834" t="s">
        <v>50</v>
      </c>
      <c r="G1834" t="s">
        <v>56</v>
      </c>
      <c r="H1834">
        <v>5</v>
      </c>
      <c r="I1834">
        <v>917.26</v>
      </c>
      <c r="J1834">
        <v>4586.3</v>
      </c>
      <c r="K1834" t="s">
        <v>1314</v>
      </c>
      <c r="L1834" t="s">
        <v>19</v>
      </c>
    </row>
    <row r="1835" spans="1:12" x14ac:dyDescent="0.35">
      <c r="A1835" t="s">
        <v>3143</v>
      </c>
      <c r="B1835" t="s">
        <v>151</v>
      </c>
      <c r="C1835" t="s">
        <v>152</v>
      </c>
      <c r="D1835" t="s">
        <v>40</v>
      </c>
      <c r="E1835" t="s">
        <v>120</v>
      </c>
      <c r="F1835" t="s">
        <v>42</v>
      </c>
      <c r="G1835" t="s">
        <v>225</v>
      </c>
      <c r="H1835">
        <v>3</v>
      </c>
      <c r="I1835">
        <v>1218.6199999999999</v>
      </c>
      <c r="J1835">
        <v>3655.86</v>
      </c>
      <c r="K1835" t="s">
        <v>3144</v>
      </c>
      <c r="L1835" t="s">
        <v>36</v>
      </c>
    </row>
    <row r="1836" spans="1:12" x14ac:dyDescent="0.35">
      <c r="A1836" t="s">
        <v>3145</v>
      </c>
      <c r="B1836" t="s">
        <v>718</v>
      </c>
      <c r="C1836" t="s">
        <v>719</v>
      </c>
      <c r="D1836" t="s">
        <v>32</v>
      </c>
      <c r="E1836" t="s">
        <v>33</v>
      </c>
      <c r="F1836" t="s">
        <v>101</v>
      </c>
      <c r="G1836" t="s">
        <v>373</v>
      </c>
      <c r="H1836">
        <v>2</v>
      </c>
      <c r="I1836">
        <v>431.17</v>
      </c>
      <c r="J1836">
        <v>862.34</v>
      </c>
      <c r="K1836" t="s">
        <v>3146</v>
      </c>
      <c r="L1836" t="s">
        <v>45</v>
      </c>
    </row>
    <row r="1837" spans="1:12" x14ac:dyDescent="0.35">
      <c r="A1837" t="s">
        <v>3147</v>
      </c>
      <c r="B1837" t="s">
        <v>521</v>
      </c>
      <c r="C1837" t="s">
        <v>522</v>
      </c>
      <c r="D1837" t="s">
        <v>67</v>
      </c>
      <c r="E1837" t="s">
        <v>130</v>
      </c>
      <c r="F1837" t="s">
        <v>42</v>
      </c>
      <c r="G1837" t="s">
        <v>43</v>
      </c>
      <c r="H1837">
        <v>2</v>
      </c>
      <c r="I1837">
        <v>1041.29</v>
      </c>
      <c r="J1837">
        <v>2082.58</v>
      </c>
      <c r="K1837" t="s">
        <v>212</v>
      </c>
      <c r="L1837" t="s">
        <v>28</v>
      </c>
    </row>
    <row r="1838" spans="1:12" x14ac:dyDescent="0.35">
      <c r="A1838" t="s">
        <v>3148</v>
      </c>
      <c r="B1838" t="s">
        <v>273</v>
      </c>
      <c r="C1838" t="s">
        <v>274</v>
      </c>
      <c r="D1838" t="s">
        <v>67</v>
      </c>
      <c r="E1838" t="s">
        <v>130</v>
      </c>
      <c r="F1838" t="s">
        <v>50</v>
      </c>
      <c r="G1838" t="s">
        <v>216</v>
      </c>
      <c r="H1838">
        <v>5</v>
      </c>
      <c r="I1838">
        <v>753.01</v>
      </c>
      <c r="J1838">
        <v>3765.05</v>
      </c>
      <c r="K1838" t="s">
        <v>1184</v>
      </c>
      <c r="L1838" t="s">
        <v>36</v>
      </c>
    </row>
    <row r="1839" spans="1:12" x14ac:dyDescent="0.35">
      <c r="A1839" t="s">
        <v>3149</v>
      </c>
      <c r="B1839" t="s">
        <v>611</v>
      </c>
      <c r="C1839" t="s">
        <v>612</v>
      </c>
      <c r="D1839" t="s">
        <v>40</v>
      </c>
      <c r="E1839" t="s">
        <v>79</v>
      </c>
      <c r="F1839" t="s">
        <v>101</v>
      </c>
      <c r="G1839" t="s">
        <v>165</v>
      </c>
      <c r="H1839">
        <v>3</v>
      </c>
      <c r="I1839">
        <v>1041.17</v>
      </c>
      <c r="J1839">
        <v>3123.51</v>
      </c>
      <c r="K1839" t="s">
        <v>1188</v>
      </c>
      <c r="L1839" t="s">
        <v>19</v>
      </c>
    </row>
    <row r="1840" spans="1:12" x14ac:dyDescent="0.35">
      <c r="A1840" t="s">
        <v>3150</v>
      </c>
      <c r="B1840" t="s">
        <v>1523</v>
      </c>
      <c r="C1840" t="s">
        <v>1524</v>
      </c>
      <c r="D1840" t="s">
        <v>32</v>
      </c>
      <c r="E1840" t="s">
        <v>203</v>
      </c>
      <c r="F1840" t="s">
        <v>42</v>
      </c>
      <c r="G1840" t="s">
        <v>43</v>
      </c>
      <c r="H1840">
        <v>2</v>
      </c>
      <c r="I1840">
        <v>1116.1300000000001</v>
      </c>
      <c r="J1840">
        <v>2232.2600000000002</v>
      </c>
      <c r="K1840" t="s">
        <v>1503</v>
      </c>
      <c r="L1840" t="s">
        <v>19</v>
      </c>
    </row>
    <row r="1841" spans="1:12" x14ac:dyDescent="0.35">
      <c r="A1841" t="s">
        <v>3151</v>
      </c>
      <c r="B1841" t="s">
        <v>291</v>
      </c>
      <c r="C1841" t="s">
        <v>292</v>
      </c>
      <c r="D1841" t="s">
        <v>23</v>
      </c>
      <c r="E1841" t="s">
        <v>338</v>
      </c>
      <c r="F1841" t="s">
        <v>42</v>
      </c>
      <c r="G1841" t="s">
        <v>80</v>
      </c>
      <c r="H1841">
        <v>5</v>
      </c>
      <c r="I1841">
        <v>193.63</v>
      </c>
      <c r="J1841">
        <v>968.15</v>
      </c>
      <c r="K1841" t="s">
        <v>1714</v>
      </c>
      <c r="L1841" t="s">
        <v>45</v>
      </c>
    </row>
    <row r="1842" spans="1:12" x14ac:dyDescent="0.35">
      <c r="A1842" t="s">
        <v>3152</v>
      </c>
      <c r="B1842" t="s">
        <v>450</v>
      </c>
      <c r="C1842" t="s">
        <v>451</v>
      </c>
      <c r="D1842" t="s">
        <v>14</v>
      </c>
      <c r="E1842" t="s">
        <v>100</v>
      </c>
      <c r="F1842" t="s">
        <v>101</v>
      </c>
      <c r="G1842" t="s">
        <v>165</v>
      </c>
      <c r="H1842">
        <v>2</v>
      </c>
      <c r="I1842">
        <v>36.520000000000003</v>
      </c>
      <c r="J1842">
        <v>73.040000000000006</v>
      </c>
      <c r="K1842" t="s">
        <v>803</v>
      </c>
      <c r="L1842" t="s">
        <v>45</v>
      </c>
    </row>
    <row r="1843" spans="1:12" x14ac:dyDescent="0.35">
      <c r="A1843" t="s">
        <v>3153</v>
      </c>
      <c r="B1843" t="s">
        <v>878</v>
      </c>
      <c r="C1843" t="s">
        <v>879</v>
      </c>
      <c r="D1843" t="s">
        <v>23</v>
      </c>
      <c r="E1843" t="s">
        <v>338</v>
      </c>
      <c r="F1843" t="s">
        <v>16</v>
      </c>
      <c r="G1843" t="s">
        <v>148</v>
      </c>
      <c r="H1843">
        <v>1</v>
      </c>
      <c r="I1843">
        <v>1262.6300000000001</v>
      </c>
      <c r="J1843">
        <v>1262.6300000000001</v>
      </c>
      <c r="K1843" t="s">
        <v>1873</v>
      </c>
      <c r="L1843" t="s">
        <v>91</v>
      </c>
    </row>
    <row r="1844" spans="1:12" x14ac:dyDescent="0.35">
      <c r="A1844" t="s">
        <v>3154</v>
      </c>
      <c r="B1844" t="s">
        <v>113</v>
      </c>
      <c r="C1844" t="s">
        <v>114</v>
      </c>
      <c r="D1844" t="s">
        <v>67</v>
      </c>
      <c r="E1844" t="s">
        <v>115</v>
      </c>
      <c r="F1844" t="s">
        <v>50</v>
      </c>
      <c r="G1844" t="s">
        <v>216</v>
      </c>
      <c r="H1844">
        <v>5</v>
      </c>
      <c r="I1844">
        <v>1101.0999999999999</v>
      </c>
      <c r="J1844">
        <v>5505.5</v>
      </c>
      <c r="K1844" t="s">
        <v>3155</v>
      </c>
      <c r="L1844" t="s">
        <v>45</v>
      </c>
    </row>
    <row r="1845" spans="1:12" x14ac:dyDescent="0.35">
      <c r="A1845" t="s">
        <v>3156</v>
      </c>
      <c r="B1845" t="s">
        <v>518</v>
      </c>
      <c r="C1845" t="s">
        <v>519</v>
      </c>
      <c r="D1845" t="s">
        <v>23</v>
      </c>
      <c r="E1845" t="s">
        <v>24</v>
      </c>
      <c r="F1845" t="s">
        <v>50</v>
      </c>
      <c r="G1845" t="s">
        <v>216</v>
      </c>
      <c r="H1845">
        <v>1</v>
      </c>
      <c r="I1845">
        <v>747.88</v>
      </c>
      <c r="J1845">
        <v>747.88</v>
      </c>
      <c r="K1845" t="s">
        <v>2100</v>
      </c>
      <c r="L1845" t="s">
        <v>91</v>
      </c>
    </row>
    <row r="1846" spans="1:12" x14ac:dyDescent="0.35">
      <c r="A1846" t="s">
        <v>3157</v>
      </c>
      <c r="B1846" t="s">
        <v>2245</v>
      </c>
      <c r="C1846" t="s">
        <v>2246</v>
      </c>
      <c r="D1846" t="s">
        <v>14</v>
      </c>
      <c r="E1846" t="s">
        <v>266</v>
      </c>
      <c r="F1846" t="s">
        <v>16</v>
      </c>
      <c r="G1846" t="s">
        <v>182</v>
      </c>
      <c r="H1846">
        <v>5</v>
      </c>
      <c r="I1846">
        <v>1431</v>
      </c>
      <c r="J1846">
        <v>7155</v>
      </c>
      <c r="K1846" t="s">
        <v>896</v>
      </c>
      <c r="L1846" t="s">
        <v>45</v>
      </c>
    </row>
    <row r="1847" spans="1:12" x14ac:dyDescent="0.35">
      <c r="A1847" t="s">
        <v>3158</v>
      </c>
      <c r="B1847" t="s">
        <v>303</v>
      </c>
      <c r="C1847" t="s">
        <v>304</v>
      </c>
      <c r="D1847" t="s">
        <v>32</v>
      </c>
      <c r="E1847" t="s">
        <v>203</v>
      </c>
      <c r="F1847" t="s">
        <v>25</v>
      </c>
      <c r="G1847" t="s">
        <v>26</v>
      </c>
      <c r="H1847">
        <v>5</v>
      </c>
      <c r="I1847">
        <v>1349.21</v>
      </c>
      <c r="J1847">
        <v>6746.05</v>
      </c>
      <c r="K1847" t="s">
        <v>1458</v>
      </c>
      <c r="L1847" t="s">
        <v>45</v>
      </c>
    </row>
    <row r="1848" spans="1:12" x14ac:dyDescent="0.35">
      <c r="A1848" t="s">
        <v>3159</v>
      </c>
      <c r="B1848" t="s">
        <v>605</v>
      </c>
      <c r="C1848" t="s">
        <v>606</v>
      </c>
      <c r="D1848" t="s">
        <v>32</v>
      </c>
      <c r="E1848" t="s">
        <v>33</v>
      </c>
      <c r="F1848" t="s">
        <v>101</v>
      </c>
      <c r="G1848" t="s">
        <v>237</v>
      </c>
      <c r="H1848">
        <v>5</v>
      </c>
      <c r="I1848">
        <v>308.8</v>
      </c>
      <c r="J1848">
        <v>1544</v>
      </c>
      <c r="K1848" t="s">
        <v>1963</v>
      </c>
      <c r="L1848" t="s">
        <v>36</v>
      </c>
    </row>
    <row r="1849" spans="1:12" x14ac:dyDescent="0.35">
      <c r="A1849" t="s">
        <v>3160</v>
      </c>
      <c r="B1849" t="s">
        <v>264</v>
      </c>
      <c r="C1849" t="s">
        <v>265</v>
      </c>
      <c r="D1849" t="s">
        <v>14</v>
      </c>
      <c r="E1849" t="s">
        <v>100</v>
      </c>
      <c r="F1849" t="s">
        <v>42</v>
      </c>
      <c r="G1849" t="s">
        <v>80</v>
      </c>
      <c r="H1849">
        <v>2</v>
      </c>
      <c r="I1849">
        <v>1330.65</v>
      </c>
      <c r="J1849">
        <v>2661.3</v>
      </c>
      <c r="K1849" t="s">
        <v>2248</v>
      </c>
      <c r="L1849" t="s">
        <v>45</v>
      </c>
    </row>
    <row r="1850" spans="1:12" x14ac:dyDescent="0.35">
      <c r="A1850" t="s">
        <v>3161</v>
      </c>
      <c r="B1850" t="s">
        <v>1681</v>
      </c>
      <c r="C1850" t="s">
        <v>1682</v>
      </c>
      <c r="D1850" t="s">
        <v>23</v>
      </c>
      <c r="E1850" t="s">
        <v>24</v>
      </c>
      <c r="F1850" t="s">
        <v>16</v>
      </c>
      <c r="G1850" t="s">
        <v>17</v>
      </c>
      <c r="H1850">
        <v>1</v>
      </c>
      <c r="I1850">
        <v>861.21</v>
      </c>
      <c r="J1850">
        <v>861.21</v>
      </c>
      <c r="K1850" t="s">
        <v>2140</v>
      </c>
      <c r="L1850" t="s">
        <v>36</v>
      </c>
    </row>
    <row r="1851" spans="1:12" x14ac:dyDescent="0.35">
      <c r="A1851" t="s">
        <v>3162</v>
      </c>
      <c r="B1851" t="s">
        <v>1101</v>
      </c>
      <c r="C1851" t="s">
        <v>1102</v>
      </c>
      <c r="D1851" t="s">
        <v>32</v>
      </c>
      <c r="E1851" t="s">
        <v>61</v>
      </c>
      <c r="F1851" t="s">
        <v>50</v>
      </c>
      <c r="G1851" t="s">
        <v>69</v>
      </c>
      <c r="H1851">
        <v>1</v>
      </c>
      <c r="I1851">
        <v>256.89999999999998</v>
      </c>
      <c r="J1851">
        <v>256.89999999999998</v>
      </c>
      <c r="K1851" t="s">
        <v>1054</v>
      </c>
      <c r="L1851" t="s">
        <v>28</v>
      </c>
    </row>
    <row r="1852" spans="1:12" x14ac:dyDescent="0.35">
      <c r="A1852" t="s">
        <v>3163</v>
      </c>
      <c r="B1852" t="s">
        <v>602</v>
      </c>
      <c r="C1852" t="s">
        <v>603</v>
      </c>
      <c r="D1852" t="s">
        <v>14</v>
      </c>
      <c r="E1852" t="s">
        <v>266</v>
      </c>
      <c r="F1852" t="s">
        <v>101</v>
      </c>
      <c r="G1852" t="s">
        <v>102</v>
      </c>
      <c r="H1852">
        <v>1</v>
      </c>
      <c r="I1852">
        <v>527.92999999999995</v>
      </c>
      <c r="J1852">
        <v>527.92999999999995</v>
      </c>
      <c r="K1852" t="s">
        <v>1754</v>
      </c>
      <c r="L1852" t="s">
        <v>45</v>
      </c>
    </row>
    <row r="1853" spans="1:12" x14ac:dyDescent="0.35">
      <c r="A1853" t="s">
        <v>3164</v>
      </c>
      <c r="B1853" t="s">
        <v>618</v>
      </c>
      <c r="C1853" t="s">
        <v>619</v>
      </c>
      <c r="D1853" t="s">
        <v>14</v>
      </c>
      <c r="E1853" t="s">
        <v>125</v>
      </c>
      <c r="F1853" t="s">
        <v>16</v>
      </c>
      <c r="G1853" t="s">
        <v>177</v>
      </c>
      <c r="H1853">
        <v>5</v>
      </c>
      <c r="I1853">
        <v>1039.94</v>
      </c>
      <c r="J1853">
        <v>5199.7</v>
      </c>
      <c r="K1853" t="s">
        <v>3022</v>
      </c>
      <c r="L1853" t="s">
        <v>36</v>
      </c>
    </row>
    <row r="1854" spans="1:12" x14ac:dyDescent="0.35">
      <c r="A1854" t="s">
        <v>3165</v>
      </c>
      <c r="B1854" t="s">
        <v>163</v>
      </c>
      <c r="C1854" t="s">
        <v>164</v>
      </c>
      <c r="D1854" t="s">
        <v>23</v>
      </c>
      <c r="E1854" t="s">
        <v>24</v>
      </c>
      <c r="F1854" t="s">
        <v>101</v>
      </c>
      <c r="G1854" t="s">
        <v>165</v>
      </c>
      <c r="H1854">
        <v>5</v>
      </c>
      <c r="I1854">
        <v>1217.9000000000001</v>
      </c>
      <c r="J1854">
        <v>6089.5</v>
      </c>
      <c r="K1854" t="s">
        <v>161</v>
      </c>
      <c r="L1854" t="s">
        <v>19</v>
      </c>
    </row>
    <row r="1855" spans="1:12" x14ac:dyDescent="0.35">
      <c r="A1855" t="s">
        <v>3166</v>
      </c>
      <c r="B1855" t="s">
        <v>380</v>
      </c>
      <c r="C1855" t="s">
        <v>381</v>
      </c>
      <c r="D1855" t="s">
        <v>23</v>
      </c>
      <c r="E1855" t="s">
        <v>49</v>
      </c>
      <c r="F1855" t="s">
        <v>101</v>
      </c>
      <c r="G1855" t="s">
        <v>373</v>
      </c>
      <c r="H1855">
        <v>2</v>
      </c>
      <c r="I1855">
        <v>464.79</v>
      </c>
      <c r="J1855">
        <v>929.58</v>
      </c>
      <c r="K1855" t="s">
        <v>1598</v>
      </c>
      <c r="L1855" t="s">
        <v>91</v>
      </c>
    </row>
    <row r="1856" spans="1:12" x14ac:dyDescent="0.35">
      <c r="A1856" t="s">
        <v>3167</v>
      </c>
      <c r="B1856" t="s">
        <v>30</v>
      </c>
      <c r="C1856" t="s">
        <v>31</v>
      </c>
      <c r="D1856" t="s">
        <v>67</v>
      </c>
      <c r="E1856" t="s">
        <v>68</v>
      </c>
      <c r="F1856" t="s">
        <v>42</v>
      </c>
      <c r="G1856" t="s">
        <v>225</v>
      </c>
      <c r="H1856">
        <v>5</v>
      </c>
      <c r="I1856">
        <v>845.09</v>
      </c>
      <c r="J1856">
        <v>4225.45</v>
      </c>
      <c r="K1856" t="s">
        <v>1367</v>
      </c>
      <c r="L1856" t="s">
        <v>19</v>
      </c>
    </row>
    <row r="1857" spans="1:12" x14ac:dyDescent="0.35">
      <c r="A1857" t="s">
        <v>3168</v>
      </c>
      <c r="B1857" t="s">
        <v>273</v>
      </c>
      <c r="C1857" t="s">
        <v>274</v>
      </c>
      <c r="D1857" t="s">
        <v>67</v>
      </c>
      <c r="E1857" t="s">
        <v>115</v>
      </c>
      <c r="F1857" t="s">
        <v>42</v>
      </c>
      <c r="G1857" t="s">
        <v>80</v>
      </c>
      <c r="H1857">
        <v>1</v>
      </c>
      <c r="I1857">
        <v>771.02</v>
      </c>
      <c r="J1857">
        <v>771.02</v>
      </c>
      <c r="K1857" t="s">
        <v>490</v>
      </c>
      <c r="L1857" t="s">
        <v>28</v>
      </c>
    </row>
    <row r="1858" spans="1:12" x14ac:dyDescent="0.35">
      <c r="A1858" t="s">
        <v>3169</v>
      </c>
      <c r="B1858" t="s">
        <v>1707</v>
      </c>
      <c r="C1858" t="s">
        <v>1708</v>
      </c>
      <c r="D1858" t="s">
        <v>67</v>
      </c>
      <c r="E1858" t="s">
        <v>115</v>
      </c>
      <c r="F1858" t="s">
        <v>42</v>
      </c>
      <c r="G1858" t="s">
        <v>80</v>
      </c>
      <c r="H1858">
        <v>3</v>
      </c>
      <c r="I1858">
        <v>723.58</v>
      </c>
      <c r="J1858">
        <v>2170.7399999999998</v>
      </c>
      <c r="K1858" t="s">
        <v>744</v>
      </c>
      <c r="L1858" t="s">
        <v>45</v>
      </c>
    </row>
    <row r="1859" spans="1:12" x14ac:dyDescent="0.35">
      <c r="A1859" t="s">
        <v>3170</v>
      </c>
      <c r="B1859" t="s">
        <v>1018</v>
      </c>
      <c r="C1859" t="s">
        <v>1019</v>
      </c>
      <c r="D1859" t="s">
        <v>23</v>
      </c>
      <c r="E1859" t="s">
        <v>24</v>
      </c>
      <c r="F1859" t="s">
        <v>25</v>
      </c>
      <c r="G1859" t="s">
        <v>62</v>
      </c>
      <c r="H1859">
        <v>4</v>
      </c>
      <c r="I1859">
        <v>1345.82</v>
      </c>
      <c r="J1859">
        <v>5383.28</v>
      </c>
      <c r="K1859" t="s">
        <v>1048</v>
      </c>
      <c r="L1859" t="s">
        <v>19</v>
      </c>
    </row>
    <row r="1860" spans="1:12" x14ac:dyDescent="0.35">
      <c r="A1860" t="s">
        <v>3171</v>
      </c>
      <c r="B1860" t="s">
        <v>1212</v>
      </c>
      <c r="C1860" t="s">
        <v>1213</v>
      </c>
      <c r="D1860" t="s">
        <v>32</v>
      </c>
      <c r="E1860" t="s">
        <v>33</v>
      </c>
      <c r="F1860" t="s">
        <v>25</v>
      </c>
      <c r="G1860" t="s">
        <v>34</v>
      </c>
      <c r="H1860">
        <v>1</v>
      </c>
      <c r="I1860">
        <v>596.95000000000005</v>
      </c>
      <c r="J1860">
        <v>596.95000000000005</v>
      </c>
      <c r="K1860" t="s">
        <v>952</v>
      </c>
      <c r="L1860" t="s">
        <v>28</v>
      </c>
    </row>
    <row r="1861" spans="1:12" x14ac:dyDescent="0.35">
      <c r="A1861" t="s">
        <v>3172</v>
      </c>
      <c r="B1861" t="s">
        <v>860</v>
      </c>
      <c r="C1861" t="s">
        <v>861</v>
      </c>
      <c r="D1861" t="s">
        <v>67</v>
      </c>
      <c r="E1861" t="s">
        <v>68</v>
      </c>
      <c r="F1861" t="s">
        <v>42</v>
      </c>
      <c r="G1861" t="s">
        <v>43</v>
      </c>
      <c r="H1861">
        <v>2</v>
      </c>
      <c r="I1861">
        <v>968.25</v>
      </c>
      <c r="J1861">
        <v>1936.5</v>
      </c>
      <c r="K1861" t="s">
        <v>1949</v>
      </c>
      <c r="L1861" t="s">
        <v>28</v>
      </c>
    </row>
    <row r="1862" spans="1:12" x14ac:dyDescent="0.35">
      <c r="A1862" t="s">
        <v>3173</v>
      </c>
      <c r="B1862" t="s">
        <v>2188</v>
      </c>
      <c r="C1862" t="s">
        <v>2189</v>
      </c>
      <c r="D1862" t="s">
        <v>67</v>
      </c>
      <c r="E1862" t="s">
        <v>130</v>
      </c>
      <c r="F1862" t="s">
        <v>50</v>
      </c>
      <c r="G1862" t="s">
        <v>51</v>
      </c>
      <c r="H1862">
        <v>4</v>
      </c>
      <c r="I1862">
        <v>1232.24</v>
      </c>
      <c r="J1862">
        <v>4928.96</v>
      </c>
      <c r="K1862" t="s">
        <v>2338</v>
      </c>
      <c r="L1862" t="s">
        <v>45</v>
      </c>
    </row>
    <row r="1863" spans="1:12" x14ac:dyDescent="0.35">
      <c r="A1863" t="s">
        <v>3174</v>
      </c>
      <c r="B1863" t="s">
        <v>878</v>
      </c>
      <c r="C1863" t="s">
        <v>879</v>
      </c>
      <c r="D1863" t="s">
        <v>40</v>
      </c>
      <c r="E1863" t="s">
        <v>120</v>
      </c>
      <c r="F1863" t="s">
        <v>16</v>
      </c>
      <c r="G1863" t="s">
        <v>148</v>
      </c>
      <c r="H1863">
        <v>4</v>
      </c>
      <c r="I1863">
        <v>806.31</v>
      </c>
      <c r="J1863">
        <v>3225.24</v>
      </c>
      <c r="K1863" t="s">
        <v>654</v>
      </c>
      <c r="L1863" t="s">
        <v>36</v>
      </c>
    </row>
    <row r="1864" spans="1:12" x14ac:dyDescent="0.35">
      <c r="A1864" t="s">
        <v>3175</v>
      </c>
      <c r="B1864" t="s">
        <v>244</v>
      </c>
      <c r="C1864" t="s">
        <v>245</v>
      </c>
      <c r="D1864" t="s">
        <v>14</v>
      </c>
      <c r="E1864" t="s">
        <v>15</v>
      </c>
      <c r="F1864" t="s">
        <v>25</v>
      </c>
      <c r="G1864" t="s">
        <v>26</v>
      </c>
      <c r="H1864">
        <v>5</v>
      </c>
      <c r="I1864">
        <v>682.05</v>
      </c>
      <c r="J1864">
        <v>3410.25</v>
      </c>
      <c r="K1864" t="s">
        <v>1112</v>
      </c>
      <c r="L1864" t="s">
        <v>36</v>
      </c>
    </row>
    <row r="1865" spans="1:12" x14ac:dyDescent="0.35">
      <c r="A1865" t="s">
        <v>3176</v>
      </c>
      <c r="B1865" t="s">
        <v>969</v>
      </c>
      <c r="C1865" t="s">
        <v>970</v>
      </c>
      <c r="D1865" t="s">
        <v>14</v>
      </c>
      <c r="E1865" t="s">
        <v>266</v>
      </c>
      <c r="F1865" t="s">
        <v>42</v>
      </c>
      <c r="G1865" t="s">
        <v>225</v>
      </c>
      <c r="H1865">
        <v>2</v>
      </c>
      <c r="I1865">
        <v>370.67</v>
      </c>
      <c r="J1865">
        <v>741.34</v>
      </c>
      <c r="K1865" t="s">
        <v>3177</v>
      </c>
      <c r="L1865" t="s">
        <v>19</v>
      </c>
    </row>
    <row r="1866" spans="1:12" x14ac:dyDescent="0.35">
      <c r="A1866" t="s">
        <v>3178</v>
      </c>
      <c r="B1866" t="s">
        <v>801</v>
      </c>
      <c r="C1866" t="s">
        <v>802</v>
      </c>
      <c r="D1866" t="s">
        <v>14</v>
      </c>
      <c r="E1866" t="s">
        <v>100</v>
      </c>
      <c r="F1866" t="s">
        <v>25</v>
      </c>
      <c r="G1866" t="s">
        <v>26</v>
      </c>
      <c r="H1866">
        <v>1</v>
      </c>
      <c r="I1866">
        <v>1123.92</v>
      </c>
      <c r="J1866">
        <v>1123.92</v>
      </c>
      <c r="K1866" t="s">
        <v>208</v>
      </c>
      <c r="L1866" t="s">
        <v>91</v>
      </c>
    </row>
    <row r="1867" spans="1:12" x14ac:dyDescent="0.35">
      <c r="A1867" t="s">
        <v>3179</v>
      </c>
      <c r="B1867" t="s">
        <v>1101</v>
      </c>
      <c r="C1867" t="s">
        <v>1102</v>
      </c>
      <c r="D1867" t="s">
        <v>67</v>
      </c>
      <c r="E1867" t="s">
        <v>68</v>
      </c>
      <c r="F1867" t="s">
        <v>16</v>
      </c>
      <c r="G1867" t="s">
        <v>182</v>
      </c>
      <c r="H1867">
        <v>2</v>
      </c>
      <c r="I1867">
        <v>1060.4100000000001</v>
      </c>
      <c r="J1867">
        <v>2120.8200000000002</v>
      </c>
      <c r="K1867" t="s">
        <v>795</v>
      </c>
      <c r="L1867" t="s">
        <v>36</v>
      </c>
    </row>
    <row r="1868" spans="1:12" x14ac:dyDescent="0.35">
      <c r="A1868" t="s">
        <v>3180</v>
      </c>
      <c r="B1868" t="s">
        <v>842</v>
      </c>
      <c r="C1868" t="s">
        <v>843</v>
      </c>
      <c r="D1868" t="s">
        <v>32</v>
      </c>
      <c r="E1868" t="s">
        <v>33</v>
      </c>
      <c r="F1868" t="s">
        <v>42</v>
      </c>
      <c r="G1868" t="s">
        <v>225</v>
      </c>
      <c r="H1868">
        <v>1</v>
      </c>
      <c r="I1868">
        <v>1295.22</v>
      </c>
      <c r="J1868">
        <v>1295.22</v>
      </c>
      <c r="K1868" t="s">
        <v>2230</v>
      </c>
      <c r="L1868" t="s">
        <v>36</v>
      </c>
    </row>
    <row r="1869" spans="1:12" x14ac:dyDescent="0.35">
      <c r="A1869" t="s">
        <v>3181</v>
      </c>
      <c r="B1869" t="s">
        <v>396</v>
      </c>
      <c r="C1869" t="s">
        <v>397</v>
      </c>
      <c r="D1869" t="s">
        <v>14</v>
      </c>
      <c r="E1869" t="s">
        <v>266</v>
      </c>
      <c r="F1869" t="s">
        <v>16</v>
      </c>
      <c r="G1869" t="s">
        <v>230</v>
      </c>
      <c r="H1869">
        <v>2</v>
      </c>
      <c r="I1869">
        <v>226.25</v>
      </c>
      <c r="J1869">
        <v>452.5</v>
      </c>
      <c r="K1869" t="s">
        <v>2994</v>
      </c>
      <c r="L1869" t="s">
        <v>28</v>
      </c>
    </row>
    <row r="1870" spans="1:12" x14ac:dyDescent="0.35">
      <c r="A1870" t="s">
        <v>3182</v>
      </c>
      <c r="B1870" t="s">
        <v>105</v>
      </c>
      <c r="C1870" t="s">
        <v>106</v>
      </c>
      <c r="D1870" t="s">
        <v>67</v>
      </c>
      <c r="E1870" t="s">
        <v>68</v>
      </c>
      <c r="F1870" t="s">
        <v>50</v>
      </c>
      <c r="G1870" t="s">
        <v>51</v>
      </c>
      <c r="H1870">
        <v>5</v>
      </c>
      <c r="I1870">
        <v>1407.97</v>
      </c>
      <c r="J1870">
        <v>7039.85</v>
      </c>
      <c r="K1870" t="s">
        <v>1413</v>
      </c>
      <c r="L1870" t="s">
        <v>91</v>
      </c>
    </row>
    <row r="1871" spans="1:12" x14ac:dyDescent="0.35">
      <c r="A1871" t="s">
        <v>3183</v>
      </c>
      <c r="B1871" t="s">
        <v>388</v>
      </c>
      <c r="C1871" t="s">
        <v>389</v>
      </c>
      <c r="D1871" t="s">
        <v>40</v>
      </c>
      <c r="E1871" t="s">
        <v>79</v>
      </c>
      <c r="F1871" t="s">
        <v>16</v>
      </c>
      <c r="G1871" t="s">
        <v>182</v>
      </c>
      <c r="H1871">
        <v>4</v>
      </c>
      <c r="I1871">
        <v>1449.53</v>
      </c>
      <c r="J1871">
        <v>5798.12</v>
      </c>
      <c r="K1871" t="s">
        <v>301</v>
      </c>
      <c r="L1871" t="s">
        <v>36</v>
      </c>
    </row>
    <row r="1872" spans="1:12" x14ac:dyDescent="0.35">
      <c r="A1872" t="s">
        <v>3184</v>
      </c>
      <c r="B1872" t="s">
        <v>904</v>
      </c>
      <c r="C1872" t="s">
        <v>905</v>
      </c>
      <c r="D1872" t="s">
        <v>40</v>
      </c>
      <c r="E1872" t="s">
        <v>120</v>
      </c>
      <c r="F1872" t="s">
        <v>42</v>
      </c>
      <c r="G1872" t="s">
        <v>80</v>
      </c>
      <c r="H1872">
        <v>3</v>
      </c>
      <c r="I1872">
        <v>1486.46</v>
      </c>
      <c r="J1872">
        <v>4459.38</v>
      </c>
      <c r="K1872" t="s">
        <v>765</v>
      </c>
      <c r="L1872" t="s">
        <v>45</v>
      </c>
    </row>
    <row r="1873" spans="1:12" x14ac:dyDescent="0.35">
      <c r="A1873" t="s">
        <v>3185</v>
      </c>
      <c r="B1873" t="s">
        <v>1423</v>
      </c>
      <c r="C1873" t="s">
        <v>1424</v>
      </c>
      <c r="D1873" t="s">
        <v>32</v>
      </c>
      <c r="E1873" t="s">
        <v>203</v>
      </c>
      <c r="F1873" t="s">
        <v>16</v>
      </c>
      <c r="G1873" t="s">
        <v>182</v>
      </c>
      <c r="H1873">
        <v>3</v>
      </c>
      <c r="I1873">
        <v>1316.87</v>
      </c>
      <c r="J1873">
        <v>3950.61</v>
      </c>
      <c r="K1873" t="s">
        <v>620</v>
      </c>
      <c r="L1873" t="s">
        <v>36</v>
      </c>
    </row>
    <row r="1874" spans="1:12" x14ac:dyDescent="0.35">
      <c r="A1874" t="s">
        <v>3186</v>
      </c>
      <c r="B1874" t="s">
        <v>1144</v>
      </c>
      <c r="C1874" t="s">
        <v>1145</v>
      </c>
      <c r="D1874" t="s">
        <v>32</v>
      </c>
      <c r="E1874" t="s">
        <v>33</v>
      </c>
      <c r="F1874" t="s">
        <v>42</v>
      </c>
      <c r="G1874" t="s">
        <v>225</v>
      </c>
      <c r="H1874">
        <v>1</v>
      </c>
      <c r="I1874">
        <v>291</v>
      </c>
      <c r="J1874">
        <v>291</v>
      </c>
      <c r="K1874" t="s">
        <v>2990</v>
      </c>
      <c r="L1874" t="s">
        <v>28</v>
      </c>
    </row>
    <row r="1875" spans="1:12" x14ac:dyDescent="0.35">
      <c r="A1875" t="s">
        <v>3187</v>
      </c>
      <c r="B1875" t="s">
        <v>1707</v>
      </c>
      <c r="C1875" t="s">
        <v>1708</v>
      </c>
      <c r="D1875" t="s">
        <v>14</v>
      </c>
      <c r="E1875" t="s">
        <v>266</v>
      </c>
      <c r="F1875" t="s">
        <v>50</v>
      </c>
      <c r="G1875" t="s">
        <v>69</v>
      </c>
      <c r="H1875">
        <v>2</v>
      </c>
      <c r="I1875">
        <v>357.78</v>
      </c>
      <c r="J1875">
        <v>715.56</v>
      </c>
      <c r="K1875" t="s">
        <v>870</v>
      </c>
      <c r="L1875" t="s">
        <v>19</v>
      </c>
    </row>
    <row r="1876" spans="1:12" x14ac:dyDescent="0.35">
      <c r="A1876" t="s">
        <v>3188</v>
      </c>
      <c r="B1876" t="s">
        <v>435</v>
      </c>
      <c r="C1876" t="s">
        <v>436</v>
      </c>
      <c r="D1876" t="s">
        <v>14</v>
      </c>
      <c r="E1876" t="s">
        <v>100</v>
      </c>
      <c r="F1876" t="s">
        <v>50</v>
      </c>
      <c r="G1876" t="s">
        <v>51</v>
      </c>
      <c r="H1876">
        <v>1</v>
      </c>
      <c r="I1876">
        <v>575.39</v>
      </c>
      <c r="J1876">
        <v>575.39</v>
      </c>
      <c r="K1876" t="s">
        <v>3022</v>
      </c>
      <c r="L1876" t="s">
        <v>28</v>
      </c>
    </row>
    <row r="1877" spans="1:12" x14ac:dyDescent="0.35">
      <c r="A1877" t="s">
        <v>3189</v>
      </c>
      <c r="B1877" t="s">
        <v>755</v>
      </c>
      <c r="C1877" t="s">
        <v>756</v>
      </c>
      <c r="D1877" t="s">
        <v>32</v>
      </c>
      <c r="E1877" t="s">
        <v>61</v>
      </c>
      <c r="F1877" t="s">
        <v>101</v>
      </c>
      <c r="G1877" t="s">
        <v>237</v>
      </c>
      <c r="H1877">
        <v>1</v>
      </c>
      <c r="I1877">
        <v>1466.27</v>
      </c>
      <c r="J1877">
        <v>1466.27</v>
      </c>
      <c r="K1877" t="s">
        <v>2894</v>
      </c>
      <c r="L1877" t="s">
        <v>19</v>
      </c>
    </row>
    <row r="1878" spans="1:12" x14ac:dyDescent="0.35">
      <c r="A1878" t="s">
        <v>3190</v>
      </c>
      <c r="B1878" t="s">
        <v>690</v>
      </c>
      <c r="C1878" t="s">
        <v>691</v>
      </c>
      <c r="D1878" t="s">
        <v>67</v>
      </c>
      <c r="E1878" t="s">
        <v>115</v>
      </c>
      <c r="F1878" t="s">
        <v>16</v>
      </c>
      <c r="G1878" t="s">
        <v>230</v>
      </c>
      <c r="H1878">
        <v>1</v>
      </c>
      <c r="I1878">
        <v>1161.8599999999999</v>
      </c>
      <c r="J1878">
        <v>1161.8599999999999</v>
      </c>
      <c r="K1878" t="s">
        <v>600</v>
      </c>
      <c r="L1878" t="s">
        <v>91</v>
      </c>
    </row>
    <row r="1879" spans="1:12" x14ac:dyDescent="0.35">
      <c r="A1879" t="s">
        <v>3191</v>
      </c>
      <c r="B1879" t="s">
        <v>832</v>
      </c>
      <c r="C1879" t="s">
        <v>833</v>
      </c>
      <c r="D1879" t="s">
        <v>40</v>
      </c>
      <c r="E1879" t="s">
        <v>41</v>
      </c>
      <c r="F1879" t="s">
        <v>101</v>
      </c>
      <c r="G1879" t="s">
        <v>373</v>
      </c>
      <c r="H1879">
        <v>5</v>
      </c>
      <c r="I1879">
        <v>967.33</v>
      </c>
      <c r="J1879">
        <v>4836.6499999999996</v>
      </c>
      <c r="K1879" t="s">
        <v>2396</v>
      </c>
      <c r="L1879" t="s">
        <v>36</v>
      </c>
    </row>
    <row r="1880" spans="1:12" x14ac:dyDescent="0.35">
      <c r="A1880" t="s">
        <v>3192</v>
      </c>
      <c r="B1880" t="s">
        <v>392</v>
      </c>
      <c r="C1880" t="s">
        <v>393</v>
      </c>
      <c r="D1880" t="s">
        <v>67</v>
      </c>
      <c r="E1880" t="s">
        <v>130</v>
      </c>
      <c r="F1880" t="s">
        <v>42</v>
      </c>
      <c r="G1880" t="s">
        <v>89</v>
      </c>
      <c r="H1880">
        <v>1</v>
      </c>
      <c r="I1880">
        <v>573.71</v>
      </c>
      <c r="J1880">
        <v>573.71</v>
      </c>
      <c r="K1880" t="s">
        <v>2151</v>
      </c>
      <c r="L1880" t="s">
        <v>19</v>
      </c>
    </row>
    <row r="1881" spans="1:12" x14ac:dyDescent="0.35">
      <c r="A1881" t="s">
        <v>3193</v>
      </c>
      <c r="B1881" t="s">
        <v>548</v>
      </c>
      <c r="C1881" t="s">
        <v>549</v>
      </c>
      <c r="D1881" t="s">
        <v>23</v>
      </c>
      <c r="E1881" t="s">
        <v>49</v>
      </c>
      <c r="F1881" t="s">
        <v>101</v>
      </c>
      <c r="G1881" t="s">
        <v>165</v>
      </c>
      <c r="H1881">
        <v>4</v>
      </c>
      <c r="I1881">
        <v>995.11</v>
      </c>
      <c r="J1881">
        <v>3980.44</v>
      </c>
      <c r="K1881" t="s">
        <v>319</v>
      </c>
      <c r="L1881" t="s">
        <v>19</v>
      </c>
    </row>
    <row r="1882" spans="1:12" x14ac:dyDescent="0.35">
      <c r="A1882" t="s">
        <v>3194</v>
      </c>
      <c r="B1882" t="s">
        <v>633</v>
      </c>
      <c r="C1882" t="s">
        <v>634</v>
      </c>
      <c r="D1882" t="s">
        <v>23</v>
      </c>
      <c r="E1882" t="s">
        <v>49</v>
      </c>
      <c r="F1882" t="s">
        <v>101</v>
      </c>
      <c r="G1882" t="s">
        <v>102</v>
      </c>
      <c r="H1882">
        <v>5</v>
      </c>
      <c r="I1882">
        <v>969.26</v>
      </c>
      <c r="J1882">
        <v>4846.3</v>
      </c>
      <c r="K1882" t="s">
        <v>121</v>
      </c>
      <c r="L1882" t="s">
        <v>19</v>
      </c>
    </row>
    <row r="1883" spans="1:12" x14ac:dyDescent="0.35">
      <c r="A1883" t="s">
        <v>3195</v>
      </c>
      <c r="B1883" t="s">
        <v>969</v>
      </c>
      <c r="C1883" t="s">
        <v>970</v>
      </c>
      <c r="D1883" t="s">
        <v>32</v>
      </c>
      <c r="E1883" t="s">
        <v>203</v>
      </c>
      <c r="F1883" t="s">
        <v>101</v>
      </c>
      <c r="G1883" t="s">
        <v>102</v>
      </c>
      <c r="H1883">
        <v>5</v>
      </c>
      <c r="I1883">
        <v>386.1</v>
      </c>
      <c r="J1883">
        <v>1930.5</v>
      </c>
      <c r="K1883" t="s">
        <v>850</v>
      </c>
      <c r="L1883" t="s">
        <v>19</v>
      </c>
    </row>
    <row r="1884" spans="1:12" x14ac:dyDescent="0.35">
      <c r="A1884" t="s">
        <v>3196</v>
      </c>
      <c r="B1884" t="s">
        <v>532</v>
      </c>
      <c r="C1884" t="s">
        <v>533</v>
      </c>
      <c r="D1884" t="s">
        <v>40</v>
      </c>
      <c r="E1884" t="s">
        <v>79</v>
      </c>
      <c r="F1884" t="s">
        <v>50</v>
      </c>
      <c r="G1884" t="s">
        <v>51</v>
      </c>
      <c r="H1884">
        <v>1</v>
      </c>
      <c r="I1884">
        <v>258.11</v>
      </c>
      <c r="J1884">
        <v>258.11</v>
      </c>
      <c r="K1884" t="s">
        <v>3197</v>
      </c>
      <c r="L1884" t="s">
        <v>19</v>
      </c>
    </row>
    <row r="1885" spans="1:12" x14ac:dyDescent="0.35">
      <c r="A1885" t="s">
        <v>3198</v>
      </c>
      <c r="B1885" t="s">
        <v>1149</v>
      </c>
      <c r="C1885" t="s">
        <v>1150</v>
      </c>
      <c r="D1885" t="s">
        <v>23</v>
      </c>
      <c r="E1885" t="s">
        <v>24</v>
      </c>
      <c r="F1885" t="s">
        <v>50</v>
      </c>
      <c r="G1885" t="s">
        <v>51</v>
      </c>
      <c r="H1885">
        <v>4</v>
      </c>
      <c r="I1885">
        <v>267.93</v>
      </c>
      <c r="J1885">
        <v>1071.72</v>
      </c>
      <c r="K1885" t="s">
        <v>382</v>
      </c>
      <c r="L1885" t="s">
        <v>91</v>
      </c>
    </row>
    <row r="1886" spans="1:12" x14ac:dyDescent="0.35">
      <c r="A1886" t="s">
        <v>3199</v>
      </c>
      <c r="B1886" t="s">
        <v>558</v>
      </c>
      <c r="C1886" t="s">
        <v>559</v>
      </c>
      <c r="D1886" t="s">
        <v>67</v>
      </c>
      <c r="E1886" t="s">
        <v>68</v>
      </c>
      <c r="F1886" t="s">
        <v>50</v>
      </c>
      <c r="G1886" t="s">
        <v>51</v>
      </c>
      <c r="H1886">
        <v>2</v>
      </c>
      <c r="I1886">
        <v>946.83</v>
      </c>
      <c r="J1886">
        <v>1893.66</v>
      </c>
      <c r="K1886" t="s">
        <v>3200</v>
      </c>
      <c r="L1886" t="s">
        <v>28</v>
      </c>
    </row>
    <row r="1887" spans="1:12" x14ac:dyDescent="0.35">
      <c r="A1887" t="s">
        <v>3201</v>
      </c>
      <c r="B1887" t="s">
        <v>380</v>
      </c>
      <c r="C1887" t="s">
        <v>381</v>
      </c>
      <c r="D1887" t="s">
        <v>67</v>
      </c>
      <c r="E1887" t="s">
        <v>115</v>
      </c>
      <c r="F1887" t="s">
        <v>42</v>
      </c>
      <c r="G1887" t="s">
        <v>43</v>
      </c>
      <c r="H1887">
        <v>1</v>
      </c>
      <c r="I1887">
        <v>329.42</v>
      </c>
      <c r="J1887">
        <v>329.42</v>
      </c>
      <c r="K1887" t="s">
        <v>1385</v>
      </c>
      <c r="L1887" t="s">
        <v>19</v>
      </c>
    </row>
    <row r="1888" spans="1:12" x14ac:dyDescent="0.35">
      <c r="A1888" t="s">
        <v>3202</v>
      </c>
      <c r="B1888" t="s">
        <v>235</v>
      </c>
      <c r="C1888" t="s">
        <v>236</v>
      </c>
      <c r="D1888" t="s">
        <v>32</v>
      </c>
      <c r="E1888" t="s">
        <v>61</v>
      </c>
      <c r="F1888" t="s">
        <v>16</v>
      </c>
      <c r="G1888" t="s">
        <v>230</v>
      </c>
      <c r="H1888">
        <v>2</v>
      </c>
      <c r="I1888">
        <v>151.36000000000001</v>
      </c>
      <c r="J1888">
        <v>302.72000000000003</v>
      </c>
      <c r="K1888" t="s">
        <v>2463</v>
      </c>
      <c r="L1888" t="s">
        <v>45</v>
      </c>
    </row>
    <row r="1889" spans="1:12" x14ac:dyDescent="0.35">
      <c r="A1889" t="s">
        <v>3203</v>
      </c>
      <c r="B1889" t="s">
        <v>446</v>
      </c>
      <c r="C1889" t="s">
        <v>447</v>
      </c>
      <c r="D1889" t="s">
        <v>23</v>
      </c>
      <c r="E1889" t="s">
        <v>49</v>
      </c>
      <c r="F1889" t="s">
        <v>16</v>
      </c>
      <c r="G1889" t="s">
        <v>148</v>
      </c>
      <c r="H1889">
        <v>5</v>
      </c>
      <c r="I1889">
        <v>713.36</v>
      </c>
      <c r="J1889">
        <v>3566.8</v>
      </c>
      <c r="K1889" t="s">
        <v>217</v>
      </c>
      <c r="L1889" t="s">
        <v>45</v>
      </c>
    </row>
    <row r="1890" spans="1:12" x14ac:dyDescent="0.35">
      <c r="A1890" t="s">
        <v>3204</v>
      </c>
      <c r="B1890" t="s">
        <v>801</v>
      </c>
      <c r="C1890" t="s">
        <v>802</v>
      </c>
      <c r="D1890" t="s">
        <v>14</v>
      </c>
      <c r="E1890" t="s">
        <v>95</v>
      </c>
      <c r="F1890" t="s">
        <v>101</v>
      </c>
      <c r="G1890" t="s">
        <v>237</v>
      </c>
      <c r="H1890">
        <v>3</v>
      </c>
      <c r="I1890">
        <v>1146.25</v>
      </c>
      <c r="J1890">
        <v>3438.75</v>
      </c>
      <c r="K1890" t="s">
        <v>121</v>
      </c>
      <c r="L1890" t="s">
        <v>28</v>
      </c>
    </row>
    <row r="1891" spans="1:12" x14ac:dyDescent="0.35">
      <c r="A1891" t="s">
        <v>3205</v>
      </c>
      <c r="B1891" t="s">
        <v>785</v>
      </c>
      <c r="C1891" t="s">
        <v>786</v>
      </c>
      <c r="D1891" t="s">
        <v>40</v>
      </c>
      <c r="E1891" t="s">
        <v>120</v>
      </c>
      <c r="F1891" t="s">
        <v>25</v>
      </c>
      <c r="G1891" t="s">
        <v>34</v>
      </c>
      <c r="H1891">
        <v>5</v>
      </c>
      <c r="I1891">
        <v>128.06</v>
      </c>
      <c r="J1891">
        <v>640.29999999999995</v>
      </c>
      <c r="K1891" t="s">
        <v>1779</v>
      </c>
      <c r="L1891" t="s">
        <v>19</v>
      </c>
    </row>
    <row r="1892" spans="1:12" x14ac:dyDescent="0.35">
      <c r="A1892" t="s">
        <v>3206</v>
      </c>
      <c r="B1892" t="s">
        <v>755</v>
      </c>
      <c r="C1892" t="s">
        <v>756</v>
      </c>
      <c r="D1892" t="s">
        <v>14</v>
      </c>
      <c r="E1892" t="s">
        <v>125</v>
      </c>
      <c r="F1892" t="s">
        <v>101</v>
      </c>
      <c r="G1892" t="s">
        <v>649</v>
      </c>
      <c r="H1892">
        <v>3</v>
      </c>
      <c r="I1892">
        <v>407.2</v>
      </c>
      <c r="J1892">
        <v>1221.5999999999999</v>
      </c>
      <c r="K1892" t="s">
        <v>121</v>
      </c>
      <c r="L1892" t="s">
        <v>28</v>
      </c>
    </row>
    <row r="1893" spans="1:12" x14ac:dyDescent="0.35">
      <c r="A1893" t="s">
        <v>3207</v>
      </c>
      <c r="B1893" t="s">
        <v>1018</v>
      </c>
      <c r="C1893" t="s">
        <v>1019</v>
      </c>
      <c r="D1893" t="s">
        <v>40</v>
      </c>
      <c r="E1893" t="s">
        <v>120</v>
      </c>
      <c r="F1893" t="s">
        <v>16</v>
      </c>
      <c r="G1893" t="s">
        <v>17</v>
      </c>
      <c r="H1893">
        <v>5</v>
      </c>
      <c r="I1893">
        <v>775.62</v>
      </c>
      <c r="J1893">
        <v>3878.1</v>
      </c>
      <c r="K1893" t="s">
        <v>3208</v>
      </c>
      <c r="L1893" t="s">
        <v>28</v>
      </c>
    </row>
    <row r="1894" spans="1:12" x14ac:dyDescent="0.35">
      <c r="A1894" t="s">
        <v>3209</v>
      </c>
      <c r="B1894" t="s">
        <v>128</v>
      </c>
      <c r="C1894" t="s">
        <v>129</v>
      </c>
      <c r="D1894" t="s">
        <v>14</v>
      </c>
      <c r="E1894" t="s">
        <v>95</v>
      </c>
      <c r="F1894" t="s">
        <v>16</v>
      </c>
      <c r="G1894" t="s">
        <v>182</v>
      </c>
      <c r="H1894">
        <v>3</v>
      </c>
      <c r="I1894">
        <v>135.05000000000001</v>
      </c>
      <c r="J1894">
        <v>405.15</v>
      </c>
      <c r="K1894" t="s">
        <v>508</v>
      </c>
      <c r="L1894" t="s">
        <v>36</v>
      </c>
    </row>
    <row r="1895" spans="1:12" x14ac:dyDescent="0.35">
      <c r="A1895" t="s">
        <v>3210</v>
      </c>
      <c r="B1895" t="s">
        <v>860</v>
      </c>
      <c r="C1895" t="s">
        <v>861</v>
      </c>
      <c r="D1895" t="s">
        <v>14</v>
      </c>
      <c r="E1895" t="s">
        <v>266</v>
      </c>
      <c r="F1895" t="s">
        <v>16</v>
      </c>
      <c r="G1895" t="s">
        <v>17</v>
      </c>
      <c r="H1895">
        <v>5</v>
      </c>
      <c r="I1895">
        <v>306.06</v>
      </c>
      <c r="J1895">
        <v>1530.3</v>
      </c>
      <c r="K1895" t="s">
        <v>3211</v>
      </c>
      <c r="L1895" t="s">
        <v>28</v>
      </c>
    </row>
    <row r="1896" spans="1:12" x14ac:dyDescent="0.35">
      <c r="A1896" t="s">
        <v>3212</v>
      </c>
      <c r="B1896" t="s">
        <v>2245</v>
      </c>
      <c r="C1896" t="s">
        <v>2246</v>
      </c>
      <c r="D1896" t="s">
        <v>67</v>
      </c>
      <c r="E1896" t="s">
        <v>130</v>
      </c>
      <c r="F1896" t="s">
        <v>16</v>
      </c>
      <c r="G1896" t="s">
        <v>182</v>
      </c>
      <c r="H1896">
        <v>2</v>
      </c>
      <c r="I1896">
        <v>1318.59</v>
      </c>
      <c r="J1896">
        <v>2637.18</v>
      </c>
      <c r="K1896" t="s">
        <v>1217</v>
      </c>
      <c r="L1896" t="s">
        <v>28</v>
      </c>
    </row>
    <row r="1897" spans="1:12" x14ac:dyDescent="0.35">
      <c r="A1897" t="s">
        <v>3213</v>
      </c>
      <c r="B1897" t="s">
        <v>1170</v>
      </c>
      <c r="C1897" t="s">
        <v>1171</v>
      </c>
      <c r="D1897" t="s">
        <v>32</v>
      </c>
      <c r="E1897" t="s">
        <v>33</v>
      </c>
      <c r="F1897" t="s">
        <v>101</v>
      </c>
      <c r="G1897" t="s">
        <v>165</v>
      </c>
      <c r="H1897">
        <v>2</v>
      </c>
      <c r="I1897">
        <v>382.73</v>
      </c>
      <c r="J1897">
        <v>765.46</v>
      </c>
      <c r="K1897" t="s">
        <v>1781</v>
      </c>
      <c r="L1897" t="s">
        <v>45</v>
      </c>
    </row>
    <row r="1898" spans="1:12" x14ac:dyDescent="0.35">
      <c r="A1898" t="s">
        <v>3214</v>
      </c>
      <c r="B1898" t="s">
        <v>723</v>
      </c>
      <c r="C1898" t="s">
        <v>724</v>
      </c>
      <c r="D1898" t="s">
        <v>23</v>
      </c>
      <c r="E1898" t="s">
        <v>338</v>
      </c>
      <c r="F1898" t="s">
        <v>42</v>
      </c>
      <c r="G1898" t="s">
        <v>80</v>
      </c>
      <c r="H1898">
        <v>3</v>
      </c>
      <c r="I1898">
        <v>927.95</v>
      </c>
      <c r="J1898">
        <v>2783.85</v>
      </c>
      <c r="K1898" t="s">
        <v>1235</v>
      </c>
      <c r="L1898" t="s">
        <v>91</v>
      </c>
    </row>
    <row r="1899" spans="1:12" x14ac:dyDescent="0.35">
      <c r="A1899" t="s">
        <v>3215</v>
      </c>
      <c r="B1899" t="s">
        <v>1496</v>
      </c>
      <c r="C1899" t="s">
        <v>1497</v>
      </c>
      <c r="D1899" t="s">
        <v>14</v>
      </c>
      <c r="E1899" t="s">
        <v>266</v>
      </c>
      <c r="F1899" t="s">
        <v>50</v>
      </c>
      <c r="G1899" t="s">
        <v>170</v>
      </c>
      <c r="H1899">
        <v>2</v>
      </c>
      <c r="I1899">
        <v>770.5</v>
      </c>
      <c r="J1899">
        <v>1541</v>
      </c>
      <c r="K1899" t="s">
        <v>850</v>
      </c>
      <c r="L1899" t="s">
        <v>45</v>
      </c>
    </row>
    <row r="1900" spans="1:12" x14ac:dyDescent="0.35">
      <c r="A1900" t="s">
        <v>3216</v>
      </c>
      <c r="B1900" t="s">
        <v>1196</v>
      </c>
      <c r="C1900" t="s">
        <v>1197</v>
      </c>
      <c r="D1900" t="s">
        <v>67</v>
      </c>
      <c r="E1900" t="s">
        <v>130</v>
      </c>
      <c r="F1900" t="s">
        <v>50</v>
      </c>
      <c r="G1900" t="s">
        <v>51</v>
      </c>
      <c r="H1900">
        <v>5</v>
      </c>
      <c r="I1900">
        <v>838.83</v>
      </c>
      <c r="J1900">
        <v>4194.1499999999996</v>
      </c>
      <c r="K1900" t="s">
        <v>3217</v>
      </c>
      <c r="L1900" t="s">
        <v>36</v>
      </c>
    </row>
    <row r="1901" spans="1:12" x14ac:dyDescent="0.35">
      <c r="A1901" t="s">
        <v>3218</v>
      </c>
      <c r="B1901" t="s">
        <v>142</v>
      </c>
      <c r="C1901" t="s">
        <v>143</v>
      </c>
      <c r="D1901" t="s">
        <v>32</v>
      </c>
      <c r="E1901" t="s">
        <v>61</v>
      </c>
      <c r="F1901" t="s">
        <v>16</v>
      </c>
      <c r="G1901" t="s">
        <v>177</v>
      </c>
      <c r="H1901">
        <v>1</v>
      </c>
      <c r="I1901">
        <v>839.82</v>
      </c>
      <c r="J1901">
        <v>839.82</v>
      </c>
      <c r="K1901" t="s">
        <v>1126</v>
      </c>
      <c r="L1901" t="s">
        <v>45</v>
      </c>
    </row>
    <row r="1902" spans="1:12" x14ac:dyDescent="0.35">
      <c r="A1902" t="s">
        <v>3219</v>
      </c>
      <c r="B1902" t="s">
        <v>295</v>
      </c>
      <c r="C1902" t="s">
        <v>296</v>
      </c>
      <c r="D1902" t="s">
        <v>32</v>
      </c>
      <c r="E1902" t="s">
        <v>203</v>
      </c>
      <c r="F1902" t="s">
        <v>25</v>
      </c>
      <c r="G1902" t="s">
        <v>26</v>
      </c>
      <c r="H1902">
        <v>2</v>
      </c>
      <c r="I1902">
        <v>1283.1099999999999</v>
      </c>
      <c r="J1902">
        <v>2566.2199999999998</v>
      </c>
      <c r="K1902" t="s">
        <v>357</v>
      </c>
      <c r="L1902" t="s">
        <v>28</v>
      </c>
    </row>
    <row r="1903" spans="1:12" x14ac:dyDescent="0.35">
      <c r="A1903" t="s">
        <v>3220</v>
      </c>
      <c r="B1903" t="s">
        <v>1828</v>
      </c>
      <c r="C1903" t="s">
        <v>1829</v>
      </c>
      <c r="D1903" t="s">
        <v>40</v>
      </c>
      <c r="E1903" t="s">
        <v>120</v>
      </c>
      <c r="F1903" t="s">
        <v>16</v>
      </c>
      <c r="G1903" t="s">
        <v>148</v>
      </c>
      <c r="H1903">
        <v>2</v>
      </c>
      <c r="I1903">
        <v>1418.19</v>
      </c>
      <c r="J1903">
        <v>2836.38</v>
      </c>
      <c r="K1903" t="s">
        <v>908</v>
      </c>
      <c r="L1903" t="s">
        <v>36</v>
      </c>
    </row>
    <row r="1904" spans="1:12" x14ac:dyDescent="0.35">
      <c r="A1904" t="s">
        <v>3221</v>
      </c>
      <c r="B1904" t="s">
        <v>817</v>
      </c>
      <c r="C1904" t="s">
        <v>818</v>
      </c>
      <c r="D1904" t="s">
        <v>67</v>
      </c>
      <c r="E1904" t="s">
        <v>68</v>
      </c>
      <c r="F1904" t="s">
        <v>50</v>
      </c>
      <c r="G1904" t="s">
        <v>56</v>
      </c>
      <c r="H1904">
        <v>3</v>
      </c>
      <c r="I1904">
        <v>160.27000000000001</v>
      </c>
      <c r="J1904">
        <v>480.81</v>
      </c>
      <c r="K1904" t="s">
        <v>1569</v>
      </c>
      <c r="L1904" t="s">
        <v>19</v>
      </c>
    </row>
    <row r="1905" spans="1:12" x14ac:dyDescent="0.35">
      <c r="A1905" t="s">
        <v>3222</v>
      </c>
      <c r="B1905" t="s">
        <v>771</v>
      </c>
      <c r="C1905" t="s">
        <v>772</v>
      </c>
      <c r="D1905" t="s">
        <v>67</v>
      </c>
      <c r="E1905" t="s">
        <v>115</v>
      </c>
      <c r="F1905" t="s">
        <v>25</v>
      </c>
      <c r="G1905" t="s">
        <v>34</v>
      </c>
      <c r="H1905">
        <v>4</v>
      </c>
      <c r="I1905">
        <v>903.8</v>
      </c>
      <c r="J1905">
        <v>3615.2</v>
      </c>
      <c r="K1905" t="s">
        <v>2035</v>
      </c>
      <c r="L1905" t="s">
        <v>36</v>
      </c>
    </row>
    <row r="1906" spans="1:12" x14ac:dyDescent="0.35">
      <c r="A1906" t="s">
        <v>3223</v>
      </c>
      <c r="B1906" t="s">
        <v>345</v>
      </c>
      <c r="C1906" t="s">
        <v>346</v>
      </c>
      <c r="D1906" t="s">
        <v>14</v>
      </c>
      <c r="E1906" t="s">
        <v>266</v>
      </c>
      <c r="F1906" t="s">
        <v>25</v>
      </c>
      <c r="G1906" t="s">
        <v>139</v>
      </c>
      <c r="H1906">
        <v>4</v>
      </c>
      <c r="I1906">
        <v>637.08000000000004</v>
      </c>
      <c r="J1906">
        <v>2548.3200000000002</v>
      </c>
      <c r="K1906" t="s">
        <v>221</v>
      </c>
      <c r="L1906" t="s">
        <v>36</v>
      </c>
    </row>
    <row r="1907" spans="1:12" x14ac:dyDescent="0.35">
      <c r="A1907" t="s">
        <v>3224</v>
      </c>
      <c r="B1907" t="s">
        <v>123</v>
      </c>
      <c r="C1907" t="s">
        <v>124</v>
      </c>
      <c r="D1907" t="s">
        <v>32</v>
      </c>
      <c r="E1907" t="s">
        <v>203</v>
      </c>
      <c r="F1907" t="s">
        <v>101</v>
      </c>
      <c r="G1907" t="s">
        <v>373</v>
      </c>
      <c r="H1907">
        <v>1</v>
      </c>
      <c r="I1907">
        <v>126.11</v>
      </c>
      <c r="J1907">
        <v>126.11</v>
      </c>
      <c r="K1907" t="s">
        <v>1452</v>
      </c>
      <c r="L1907" t="s">
        <v>28</v>
      </c>
    </row>
    <row r="1908" spans="1:12" x14ac:dyDescent="0.35">
      <c r="A1908" t="s">
        <v>3225</v>
      </c>
      <c r="B1908" t="s">
        <v>594</v>
      </c>
      <c r="C1908" t="s">
        <v>595</v>
      </c>
      <c r="D1908" t="s">
        <v>14</v>
      </c>
      <c r="E1908" t="s">
        <v>266</v>
      </c>
      <c r="F1908" t="s">
        <v>50</v>
      </c>
      <c r="G1908" t="s">
        <v>56</v>
      </c>
      <c r="H1908">
        <v>4</v>
      </c>
      <c r="I1908">
        <v>1232.0899999999999</v>
      </c>
      <c r="J1908">
        <v>4928.3599999999997</v>
      </c>
      <c r="K1908" t="s">
        <v>2098</v>
      </c>
      <c r="L1908" t="s">
        <v>19</v>
      </c>
    </row>
    <row r="1909" spans="1:12" x14ac:dyDescent="0.35">
      <c r="A1909" t="s">
        <v>3226</v>
      </c>
      <c r="B1909" t="s">
        <v>960</v>
      </c>
      <c r="C1909" t="s">
        <v>961</v>
      </c>
      <c r="D1909" t="s">
        <v>14</v>
      </c>
      <c r="E1909" t="s">
        <v>100</v>
      </c>
      <c r="F1909" t="s">
        <v>50</v>
      </c>
      <c r="G1909" t="s">
        <v>56</v>
      </c>
      <c r="H1909">
        <v>2</v>
      </c>
      <c r="I1909">
        <v>215.75</v>
      </c>
      <c r="J1909">
        <v>431.5</v>
      </c>
      <c r="K1909" t="s">
        <v>1365</v>
      </c>
      <c r="L1909" t="s">
        <v>36</v>
      </c>
    </row>
    <row r="1910" spans="1:12" x14ac:dyDescent="0.35">
      <c r="A1910" t="s">
        <v>3227</v>
      </c>
      <c r="B1910" t="s">
        <v>801</v>
      </c>
      <c r="C1910" t="s">
        <v>802</v>
      </c>
      <c r="D1910" t="s">
        <v>14</v>
      </c>
      <c r="E1910" t="s">
        <v>15</v>
      </c>
      <c r="F1910" t="s">
        <v>42</v>
      </c>
      <c r="G1910" t="s">
        <v>89</v>
      </c>
      <c r="H1910">
        <v>2</v>
      </c>
      <c r="I1910">
        <v>1314.2</v>
      </c>
      <c r="J1910">
        <v>2628.4</v>
      </c>
      <c r="K1910" t="s">
        <v>1631</v>
      </c>
      <c r="L1910" t="s">
        <v>45</v>
      </c>
    </row>
    <row r="1911" spans="1:12" x14ac:dyDescent="0.35">
      <c r="A1911" t="s">
        <v>3228</v>
      </c>
      <c r="B1911" t="s">
        <v>1523</v>
      </c>
      <c r="C1911" t="s">
        <v>1524</v>
      </c>
      <c r="D1911" t="s">
        <v>67</v>
      </c>
      <c r="E1911" t="s">
        <v>115</v>
      </c>
      <c r="F1911" t="s">
        <v>16</v>
      </c>
      <c r="G1911" t="s">
        <v>230</v>
      </c>
      <c r="H1911">
        <v>5</v>
      </c>
      <c r="I1911">
        <v>176.84</v>
      </c>
      <c r="J1911">
        <v>884.2</v>
      </c>
      <c r="K1911" t="s">
        <v>795</v>
      </c>
      <c r="L1911" t="s">
        <v>45</v>
      </c>
    </row>
    <row r="1912" spans="1:12" x14ac:dyDescent="0.35">
      <c r="A1912" t="s">
        <v>3229</v>
      </c>
      <c r="B1912" t="s">
        <v>481</v>
      </c>
      <c r="C1912" t="s">
        <v>482</v>
      </c>
      <c r="D1912" t="s">
        <v>67</v>
      </c>
      <c r="E1912" t="s">
        <v>68</v>
      </c>
      <c r="F1912" t="s">
        <v>42</v>
      </c>
      <c r="G1912" t="s">
        <v>80</v>
      </c>
      <c r="H1912">
        <v>2</v>
      </c>
      <c r="I1912">
        <v>663.13</v>
      </c>
      <c r="J1912">
        <v>1326.26</v>
      </c>
      <c r="K1912" t="s">
        <v>1854</v>
      </c>
      <c r="L1912" t="s">
        <v>19</v>
      </c>
    </row>
    <row r="1913" spans="1:12" x14ac:dyDescent="0.35">
      <c r="A1913" t="s">
        <v>3230</v>
      </c>
      <c r="B1913" t="s">
        <v>59</v>
      </c>
      <c r="C1913" t="s">
        <v>60</v>
      </c>
      <c r="D1913" t="s">
        <v>14</v>
      </c>
      <c r="E1913" t="s">
        <v>125</v>
      </c>
      <c r="F1913" t="s">
        <v>50</v>
      </c>
      <c r="G1913" t="s">
        <v>216</v>
      </c>
      <c r="H1913">
        <v>3</v>
      </c>
      <c r="I1913">
        <v>1377.71</v>
      </c>
      <c r="J1913">
        <v>4133.13</v>
      </c>
      <c r="K1913" t="s">
        <v>2237</v>
      </c>
      <c r="L1913" t="s">
        <v>28</v>
      </c>
    </row>
    <row r="1914" spans="1:12" x14ac:dyDescent="0.35">
      <c r="A1914" t="s">
        <v>3231</v>
      </c>
      <c r="B1914" t="s">
        <v>264</v>
      </c>
      <c r="C1914" t="s">
        <v>265</v>
      </c>
      <c r="D1914" t="s">
        <v>14</v>
      </c>
      <c r="E1914" t="s">
        <v>95</v>
      </c>
      <c r="F1914" t="s">
        <v>25</v>
      </c>
      <c r="G1914" t="s">
        <v>62</v>
      </c>
      <c r="H1914">
        <v>1</v>
      </c>
      <c r="I1914">
        <v>1122.6600000000001</v>
      </c>
      <c r="J1914">
        <v>1122.6600000000001</v>
      </c>
      <c r="K1914" t="s">
        <v>1460</v>
      </c>
      <c r="L1914" t="s">
        <v>45</v>
      </c>
    </row>
    <row r="1915" spans="1:12" x14ac:dyDescent="0.35">
      <c r="A1915" t="s">
        <v>3232</v>
      </c>
      <c r="B1915" t="s">
        <v>77</v>
      </c>
      <c r="C1915" t="s">
        <v>78</v>
      </c>
      <c r="D1915" t="s">
        <v>32</v>
      </c>
      <c r="E1915" t="s">
        <v>33</v>
      </c>
      <c r="F1915" t="s">
        <v>25</v>
      </c>
      <c r="G1915" t="s">
        <v>62</v>
      </c>
      <c r="H1915">
        <v>3</v>
      </c>
      <c r="I1915">
        <v>287.83999999999997</v>
      </c>
      <c r="J1915">
        <v>863.52</v>
      </c>
      <c r="K1915" t="s">
        <v>2230</v>
      </c>
      <c r="L1915" t="s">
        <v>19</v>
      </c>
    </row>
    <row r="1916" spans="1:12" x14ac:dyDescent="0.35">
      <c r="A1916" t="s">
        <v>3233</v>
      </c>
      <c r="B1916" t="s">
        <v>355</v>
      </c>
      <c r="C1916" t="s">
        <v>356</v>
      </c>
      <c r="D1916" t="s">
        <v>32</v>
      </c>
      <c r="E1916" t="s">
        <v>61</v>
      </c>
      <c r="F1916" t="s">
        <v>42</v>
      </c>
      <c r="G1916" t="s">
        <v>80</v>
      </c>
      <c r="H1916">
        <v>2</v>
      </c>
      <c r="I1916">
        <v>494.15</v>
      </c>
      <c r="J1916">
        <v>988.3</v>
      </c>
      <c r="K1916" t="s">
        <v>1348</v>
      </c>
      <c r="L1916" t="s">
        <v>19</v>
      </c>
    </row>
    <row r="1917" spans="1:12" x14ac:dyDescent="0.35">
      <c r="A1917" t="s">
        <v>3234</v>
      </c>
      <c r="B1917" t="s">
        <v>133</v>
      </c>
      <c r="C1917" t="s">
        <v>134</v>
      </c>
      <c r="D1917" t="s">
        <v>23</v>
      </c>
      <c r="E1917" t="s">
        <v>338</v>
      </c>
      <c r="F1917" t="s">
        <v>25</v>
      </c>
      <c r="G1917" t="s">
        <v>74</v>
      </c>
      <c r="H1917">
        <v>3</v>
      </c>
      <c r="I1917">
        <v>1496.12</v>
      </c>
      <c r="J1917">
        <v>4488.3599999999997</v>
      </c>
      <c r="K1917" t="s">
        <v>369</v>
      </c>
      <c r="L1917" t="s">
        <v>45</v>
      </c>
    </row>
    <row r="1918" spans="1:12" x14ac:dyDescent="0.35">
      <c r="A1918" t="s">
        <v>3235</v>
      </c>
      <c r="B1918" t="s">
        <v>552</v>
      </c>
      <c r="C1918" t="s">
        <v>553</v>
      </c>
      <c r="D1918" t="s">
        <v>67</v>
      </c>
      <c r="E1918" t="s">
        <v>115</v>
      </c>
      <c r="F1918" t="s">
        <v>101</v>
      </c>
      <c r="G1918" t="s">
        <v>373</v>
      </c>
      <c r="H1918">
        <v>1</v>
      </c>
      <c r="I1918">
        <v>421.59</v>
      </c>
      <c r="J1918">
        <v>421.59</v>
      </c>
      <c r="K1918" t="s">
        <v>1809</v>
      </c>
      <c r="L1918" t="s">
        <v>91</v>
      </c>
    </row>
    <row r="1919" spans="1:12" x14ac:dyDescent="0.35">
      <c r="A1919" t="s">
        <v>3236</v>
      </c>
      <c r="B1919" t="s">
        <v>248</v>
      </c>
      <c r="C1919" t="s">
        <v>249</v>
      </c>
      <c r="D1919" t="s">
        <v>67</v>
      </c>
      <c r="E1919" t="s">
        <v>130</v>
      </c>
      <c r="F1919" t="s">
        <v>42</v>
      </c>
      <c r="G1919" t="s">
        <v>80</v>
      </c>
      <c r="H1919">
        <v>3</v>
      </c>
      <c r="I1919">
        <v>917.15</v>
      </c>
      <c r="J1919">
        <v>2751.45</v>
      </c>
      <c r="K1919" t="s">
        <v>1747</v>
      </c>
      <c r="L1919" t="s">
        <v>45</v>
      </c>
    </row>
    <row r="1920" spans="1:12" x14ac:dyDescent="0.35">
      <c r="A1920" t="s">
        <v>3237</v>
      </c>
      <c r="B1920" t="s">
        <v>1058</v>
      </c>
      <c r="C1920" t="s">
        <v>1059</v>
      </c>
      <c r="D1920" t="s">
        <v>32</v>
      </c>
      <c r="E1920" t="s">
        <v>203</v>
      </c>
      <c r="F1920" t="s">
        <v>50</v>
      </c>
      <c r="G1920" t="s">
        <v>170</v>
      </c>
      <c r="H1920">
        <v>1</v>
      </c>
      <c r="I1920">
        <v>1292.19</v>
      </c>
      <c r="J1920">
        <v>1292.19</v>
      </c>
      <c r="K1920" t="s">
        <v>2551</v>
      </c>
      <c r="L1920" t="s">
        <v>28</v>
      </c>
    </row>
    <row r="1921" spans="1:12" x14ac:dyDescent="0.35">
      <c r="A1921" t="s">
        <v>3238</v>
      </c>
      <c r="B1921" t="s">
        <v>281</v>
      </c>
      <c r="C1921" t="s">
        <v>282</v>
      </c>
      <c r="D1921" t="s">
        <v>14</v>
      </c>
      <c r="E1921" t="s">
        <v>95</v>
      </c>
      <c r="F1921" t="s">
        <v>42</v>
      </c>
      <c r="G1921" t="s">
        <v>225</v>
      </c>
      <c r="H1921">
        <v>5</v>
      </c>
      <c r="I1921">
        <v>1248.82</v>
      </c>
      <c r="J1921">
        <v>6244.1</v>
      </c>
      <c r="K1921" t="s">
        <v>3239</v>
      </c>
      <c r="L1921" t="s">
        <v>45</v>
      </c>
    </row>
    <row r="1922" spans="1:12" x14ac:dyDescent="0.35">
      <c r="A1922" t="s">
        <v>3240</v>
      </c>
      <c r="B1922" t="s">
        <v>2348</v>
      </c>
      <c r="C1922" t="s">
        <v>2349</v>
      </c>
      <c r="D1922" t="s">
        <v>14</v>
      </c>
      <c r="E1922" t="s">
        <v>125</v>
      </c>
      <c r="F1922" t="s">
        <v>42</v>
      </c>
      <c r="G1922" t="s">
        <v>170</v>
      </c>
      <c r="H1922">
        <v>1</v>
      </c>
      <c r="I1922">
        <v>763</v>
      </c>
      <c r="J1922">
        <v>763</v>
      </c>
      <c r="K1922" t="s">
        <v>1824</v>
      </c>
      <c r="L1922" t="s">
        <v>19</v>
      </c>
    </row>
    <row r="1923" spans="1:12" x14ac:dyDescent="0.35">
      <c r="A1923" t="s">
        <v>3241</v>
      </c>
      <c r="B1923" t="s">
        <v>904</v>
      </c>
      <c r="C1923" t="s">
        <v>905</v>
      </c>
      <c r="D1923" t="s">
        <v>14</v>
      </c>
      <c r="E1923" t="s">
        <v>15</v>
      </c>
      <c r="F1923" t="s">
        <v>25</v>
      </c>
      <c r="G1923" t="s">
        <v>62</v>
      </c>
      <c r="H1923">
        <v>2</v>
      </c>
      <c r="I1923">
        <v>1476.63</v>
      </c>
      <c r="J1923">
        <v>2953.26</v>
      </c>
      <c r="K1923" t="s">
        <v>1363</v>
      </c>
      <c r="L1923" t="s">
        <v>45</v>
      </c>
    </row>
    <row r="1924" spans="1:12" x14ac:dyDescent="0.35">
      <c r="A1924" t="s">
        <v>3242</v>
      </c>
      <c r="B1924" t="s">
        <v>235</v>
      </c>
      <c r="C1924" t="s">
        <v>236</v>
      </c>
      <c r="D1924" t="s">
        <v>32</v>
      </c>
      <c r="E1924" t="s">
        <v>203</v>
      </c>
      <c r="F1924" t="s">
        <v>101</v>
      </c>
      <c r="G1924" t="s">
        <v>373</v>
      </c>
      <c r="H1924">
        <v>1</v>
      </c>
      <c r="I1924">
        <v>1435.38</v>
      </c>
      <c r="J1924">
        <v>1435.38</v>
      </c>
      <c r="K1924" t="s">
        <v>1393</v>
      </c>
      <c r="L1924" t="s">
        <v>28</v>
      </c>
    </row>
    <row r="1925" spans="1:12" x14ac:dyDescent="0.35">
      <c r="A1925" t="s">
        <v>3243</v>
      </c>
      <c r="B1925" t="s">
        <v>1149</v>
      </c>
      <c r="C1925" t="s">
        <v>1150</v>
      </c>
      <c r="D1925" t="s">
        <v>32</v>
      </c>
      <c r="E1925" t="s">
        <v>33</v>
      </c>
      <c r="F1925" t="s">
        <v>42</v>
      </c>
      <c r="G1925" t="s">
        <v>89</v>
      </c>
      <c r="H1925">
        <v>3</v>
      </c>
      <c r="I1925">
        <v>542.16</v>
      </c>
      <c r="J1925">
        <v>1626.48</v>
      </c>
      <c r="K1925" t="s">
        <v>967</v>
      </c>
      <c r="L1925" t="s">
        <v>91</v>
      </c>
    </row>
    <row r="1926" spans="1:12" x14ac:dyDescent="0.35">
      <c r="A1926" t="s">
        <v>3244</v>
      </c>
      <c r="B1926" t="s">
        <v>856</v>
      </c>
      <c r="C1926" t="s">
        <v>857</v>
      </c>
      <c r="D1926" t="s">
        <v>67</v>
      </c>
      <c r="E1926" t="s">
        <v>68</v>
      </c>
      <c r="F1926" t="s">
        <v>101</v>
      </c>
      <c r="G1926" t="s">
        <v>165</v>
      </c>
      <c r="H1926">
        <v>1</v>
      </c>
      <c r="I1926">
        <v>1258.18</v>
      </c>
      <c r="J1926">
        <v>1258.18</v>
      </c>
      <c r="K1926" t="s">
        <v>3245</v>
      </c>
      <c r="L1926" t="s">
        <v>36</v>
      </c>
    </row>
    <row r="1927" spans="1:12" x14ac:dyDescent="0.35">
      <c r="A1927" t="s">
        <v>3246</v>
      </c>
      <c r="B1927" t="s">
        <v>1159</v>
      </c>
      <c r="C1927" t="s">
        <v>1160</v>
      </c>
      <c r="D1927" t="s">
        <v>40</v>
      </c>
      <c r="E1927" t="s">
        <v>41</v>
      </c>
      <c r="F1927" t="s">
        <v>16</v>
      </c>
      <c r="G1927" t="s">
        <v>182</v>
      </c>
      <c r="H1927">
        <v>5</v>
      </c>
      <c r="I1927">
        <v>481.6</v>
      </c>
      <c r="J1927">
        <v>2408</v>
      </c>
      <c r="K1927" t="s">
        <v>175</v>
      </c>
      <c r="L1927" t="s">
        <v>36</v>
      </c>
    </row>
    <row r="1928" spans="1:12" x14ac:dyDescent="0.35">
      <c r="A1928" t="s">
        <v>3247</v>
      </c>
      <c r="B1928" t="s">
        <v>388</v>
      </c>
      <c r="C1928" t="s">
        <v>389</v>
      </c>
      <c r="D1928" t="s">
        <v>40</v>
      </c>
      <c r="E1928" t="s">
        <v>41</v>
      </c>
      <c r="F1928" t="s">
        <v>25</v>
      </c>
      <c r="G1928" t="s">
        <v>62</v>
      </c>
      <c r="H1928">
        <v>5</v>
      </c>
      <c r="I1928">
        <v>624.79</v>
      </c>
      <c r="J1928">
        <v>3123.95</v>
      </c>
      <c r="K1928" t="s">
        <v>3248</v>
      </c>
      <c r="L1928" t="s">
        <v>19</v>
      </c>
    </row>
    <row r="1929" spans="1:12" x14ac:dyDescent="0.35">
      <c r="A1929" t="s">
        <v>3249</v>
      </c>
      <c r="B1929" t="s">
        <v>771</v>
      </c>
      <c r="C1929" t="s">
        <v>772</v>
      </c>
      <c r="D1929" t="s">
        <v>32</v>
      </c>
      <c r="E1929" t="s">
        <v>203</v>
      </c>
      <c r="F1929" t="s">
        <v>16</v>
      </c>
      <c r="G1929" t="s">
        <v>17</v>
      </c>
      <c r="H1929">
        <v>1</v>
      </c>
      <c r="I1929">
        <v>293.89999999999998</v>
      </c>
      <c r="J1929">
        <v>293.89999999999998</v>
      </c>
      <c r="K1929" t="s">
        <v>2648</v>
      </c>
      <c r="L1929" t="s">
        <v>19</v>
      </c>
    </row>
    <row r="1930" spans="1:12" x14ac:dyDescent="0.35">
      <c r="A1930" t="s">
        <v>3250</v>
      </c>
      <c r="B1930" t="s">
        <v>384</v>
      </c>
      <c r="C1930" t="s">
        <v>385</v>
      </c>
      <c r="D1930" t="s">
        <v>32</v>
      </c>
      <c r="E1930" t="s">
        <v>61</v>
      </c>
      <c r="F1930" t="s">
        <v>101</v>
      </c>
      <c r="G1930" t="s">
        <v>373</v>
      </c>
      <c r="H1930">
        <v>2</v>
      </c>
      <c r="I1930">
        <v>952.8</v>
      </c>
      <c r="J1930">
        <v>1905.6</v>
      </c>
      <c r="K1930" t="s">
        <v>1577</v>
      </c>
      <c r="L1930" t="s">
        <v>45</v>
      </c>
    </row>
    <row r="1931" spans="1:12" x14ac:dyDescent="0.35">
      <c r="A1931" t="s">
        <v>3251</v>
      </c>
      <c r="B1931" t="s">
        <v>336</v>
      </c>
      <c r="C1931" t="s">
        <v>337</v>
      </c>
      <c r="D1931" t="s">
        <v>32</v>
      </c>
      <c r="E1931" t="s">
        <v>61</v>
      </c>
      <c r="F1931" t="s">
        <v>25</v>
      </c>
      <c r="G1931" t="s">
        <v>62</v>
      </c>
      <c r="H1931">
        <v>2</v>
      </c>
      <c r="I1931">
        <v>1154.46</v>
      </c>
      <c r="J1931">
        <v>2308.92</v>
      </c>
      <c r="K1931" t="s">
        <v>191</v>
      </c>
      <c r="L1931" t="s">
        <v>91</v>
      </c>
    </row>
    <row r="1932" spans="1:12" x14ac:dyDescent="0.35">
      <c r="A1932" t="s">
        <v>3252</v>
      </c>
      <c r="B1932" t="s">
        <v>311</v>
      </c>
      <c r="C1932" t="s">
        <v>312</v>
      </c>
      <c r="D1932" t="s">
        <v>40</v>
      </c>
      <c r="E1932" t="s">
        <v>41</v>
      </c>
      <c r="F1932" t="s">
        <v>16</v>
      </c>
      <c r="G1932" t="s">
        <v>148</v>
      </c>
      <c r="H1932">
        <v>3</v>
      </c>
      <c r="I1932">
        <v>344.09</v>
      </c>
      <c r="J1932">
        <v>1032.27</v>
      </c>
      <c r="K1932" t="s">
        <v>107</v>
      </c>
      <c r="L1932" t="s">
        <v>28</v>
      </c>
    </row>
    <row r="1933" spans="1:12" x14ac:dyDescent="0.35">
      <c r="A1933" t="s">
        <v>3253</v>
      </c>
      <c r="B1933" t="s">
        <v>159</v>
      </c>
      <c r="C1933" t="s">
        <v>160</v>
      </c>
      <c r="D1933" t="s">
        <v>40</v>
      </c>
      <c r="E1933" t="s">
        <v>79</v>
      </c>
      <c r="F1933" t="s">
        <v>25</v>
      </c>
      <c r="G1933" t="s">
        <v>74</v>
      </c>
      <c r="H1933">
        <v>4</v>
      </c>
      <c r="I1933">
        <v>222.91</v>
      </c>
      <c r="J1933">
        <v>891.64</v>
      </c>
      <c r="K1933" t="s">
        <v>650</v>
      </c>
      <c r="L1933" t="s">
        <v>91</v>
      </c>
    </row>
    <row r="1934" spans="1:12" x14ac:dyDescent="0.35">
      <c r="A1934" t="s">
        <v>3254</v>
      </c>
      <c r="B1934" t="s">
        <v>1079</v>
      </c>
      <c r="C1934" t="s">
        <v>1080</v>
      </c>
      <c r="D1934" t="s">
        <v>40</v>
      </c>
      <c r="E1934" t="s">
        <v>41</v>
      </c>
      <c r="F1934" t="s">
        <v>42</v>
      </c>
      <c r="G1934" t="s">
        <v>80</v>
      </c>
      <c r="H1934">
        <v>1</v>
      </c>
      <c r="I1934">
        <v>1389.67</v>
      </c>
      <c r="J1934">
        <v>1389.67</v>
      </c>
      <c r="K1934" t="s">
        <v>2243</v>
      </c>
      <c r="L1934" t="s">
        <v>19</v>
      </c>
    </row>
    <row r="1935" spans="1:12" x14ac:dyDescent="0.35">
      <c r="A1935" t="s">
        <v>3255</v>
      </c>
      <c r="B1935" t="s">
        <v>1024</v>
      </c>
      <c r="C1935" t="s">
        <v>1025</v>
      </c>
      <c r="D1935" t="s">
        <v>40</v>
      </c>
      <c r="E1935" t="s">
        <v>79</v>
      </c>
      <c r="F1935" t="s">
        <v>101</v>
      </c>
      <c r="G1935" t="s">
        <v>373</v>
      </c>
      <c r="H1935">
        <v>1</v>
      </c>
      <c r="I1935">
        <v>855.59</v>
      </c>
      <c r="J1935">
        <v>855.59</v>
      </c>
      <c r="K1935" t="s">
        <v>2641</v>
      </c>
      <c r="L1935" t="s">
        <v>91</v>
      </c>
    </row>
    <row r="1936" spans="1:12" x14ac:dyDescent="0.35">
      <c r="A1936" t="s">
        <v>3256</v>
      </c>
      <c r="B1936" t="s">
        <v>299</v>
      </c>
      <c r="C1936" t="s">
        <v>300</v>
      </c>
      <c r="D1936" t="s">
        <v>40</v>
      </c>
      <c r="E1936" t="s">
        <v>120</v>
      </c>
      <c r="F1936" t="s">
        <v>25</v>
      </c>
      <c r="G1936" t="s">
        <v>139</v>
      </c>
      <c r="H1936">
        <v>1</v>
      </c>
      <c r="I1936">
        <v>752.84</v>
      </c>
      <c r="J1936">
        <v>752.84</v>
      </c>
      <c r="K1936" t="s">
        <v>3257</v>
      </c>
      <c r="L1936" t="s">
        <v>19</v>
      </c>
    </row>
    <row r="1937" spans="1:12" x14ac:dyDescent="0.35">
      <c r="A1937" t="s">
        <v>3258</v>
      </c>
      <c r="B1937" t="s">
        <v>83</v>
      </c>
      <c r="C1937" t="s">
        <v>84</v>
      </c>
      <c r="D1937" t="s">
        <v>32</v>
      </c>
      <c r="E1937" t="s">
        <v>33</v>
      </c>
      <c r="F1937" t="s">
        <v>25</v>
      </c>
      <c r="G1937" t="s">
        <v>34</v>
      </c>
      <c r="H1937">
        <v>3</v>
      </c>
      <c r="I1937">
        <v>747.55</v>
      </c>
      <c r="J1937">
        <v>2242.65</v>
      </c>
      <c r="K1937" t="s">
        <v>1481</v>
      </c>
      <c r="L1937" t="s">
        <v>28</v>
      </c>
    </row>
    <row r="1938" spans="1:12" x14ac:dyDescent="0.35">
      <c r="A1938" t="s">
        <v>3259</v>
      </c>
      <c r="B1938" t="s">
        <v>210</v>
      </c>
      <c r="C1938" t="s">
        <v>211</v>
      </c>
      <c r="D1938" t="s">
        <v>14</v>
      </c>
      <c r="E1938" t="s">
        <v>100</v>
      </c>
      <c r="F1938" t="s">
        <v>25</v>
      </c>
      <c r="G1938" t="s">
        <v>34</v>
      </c>
      <c r="H1938">
        <v>4</v>
      </c>
      <c r="I1938">
        <v>349.46</v>
      </c>
      <c r="J1938">
        <v>1397.84</v>
      </c>
      <c r="K1938" t="s">
        <v>2547</v>
      </c>
      <c r="L1938" t="s">
        <v>45</v>
      </c>
    </row>
    <row r="1939" spans="1:12" x14ac:dyDescent="0.35">
      <c r="A1939" t="s">
        <v>3260</v>
      </c>
      <c r="B1939" t="s">
        <v>109</v>
      </c>
      <c r="C1939" t="s">
        <v>110</v>
      </c>
      <c r="D1939" t="s">
        <v>40</v>
      </c>
      <c r="E1939" t="s">
        <v>79</v>
      </c>
      <c r="F1939" t="s">
        <v>42</v>
      </c>
      <c r="G1939" t="s">
        <v>170</v>
      </c>
      <c r="H1939">
        <v>1</v>
      </c>
      <c r="I1939">
        <v>282.35000000000002</v>
      </c>
      <c r="J1939">
        <v>282.35000000000002</v>
      </c>
      <c r="K1939" t="s">
        <v>305</v>
      </c>
      <c r="L1939" t="s">
        <v>91</v>
      </c>
    </row>
    <row r="1940" spans="1:12" x14ac:dyDescent="0.35">
      <c r="A1940" t="s">
        <v>3261</v>
      </c>
      <c r="B1940" t="s">
        <v>77</v>
      </c>
      <c r="C1940" t="s">
        <v>78</v>
      </c>
      <c r="D1940" t="s">
        <v>40</v>
      </c>
      <c r="E1940" t="s">
        <v>79</v>
      </c>
      <c r="F1940" t="s">
        <v>25</v>
      </c>
      <c r="G1940" t="s">
        <v>74</v>
      </c>
      <c r="H1940">
        <v>3</v>
      </c>
      <c r="I1940">
        <v>994.97</v>
      </c>
      <c r="J1940">
        <v>2984.91</v>
      </c>
      <c r="K1940" t="s">
        <v>2027</v>
      </c>
      <c r="L1940" t="s">
        <v>45</v>
      </c>
    </row>
    <row r="1941" spans="1:12" x14ac:dyDescent="0.35">
      <c r="A1941" t="s">
        <v>3262</v>
      </c>
      <c r="B1941" t="s">
        <v>639</v>
      </c>
      <c r="C1941" t="s">
        <v>640</v>
      </c>
      <c r="D1941" t="s">
        <v>67</v>
      </c>
      <c r="E1941" t="s">
        <v>130</v>
      </c>
      <c r="F1941" t="s">
        <v>50</v>
      </c>
      <c r="G1941" t="s">
        <v>216</v>
      </c>
      <c r="H1941">
        <v>2</v>
      </c>
      <c r="I1941">
        <v>1200.71</v>
      </c>
      <c r="J1941">
        <v>2401.42</v>
      </c>
      <c r="K1941" t="s">
        <v>2153</v>
      </c>
      <c r="L1941" t="s">
        <v>28</v>
      </c>
    </row>
    <row r="1942" spans="1:12" x14ac:dyDescent="0.35">
      <c r="A1942" t="s">
        <v>3263</v>
      </c>
      <c r="B1942" t="s">
        <v>1260</v>
      </c>
      <c r="C1942" t="s">
        <v>1261</v>
      </c>
      <c r="D1942" t="s">
        <v>14</v>
      </c>
      <c r="E1942" t="s">
        <v>95</v>
      </c>
      <c r="F1942" t="s">
        <v>101</v>
      </c>
      <c r="G1942" t="s">
        <v>373</v>
      </c>
      <c r="H1942">
        <v>4</v>
      </c>
      <c r="I1942">
        <v>684.23</v>
      </c>
      <c r="J1942">
        <v>2736.92</v>
      </c>
      <c r="K1942" t="s">
        <v>2729</v>
      </c>
      <c r="L1942" t="s">
        <v>45</v>
      </c>
    </row>
    <row r="1943" spans="1:12" x14ac:dyDescent="0.35">
      <c r="A1943" t="s">
        <v>3264</v>
      </c>
      <c r="B1943" t="s">
        <v>113</v>
      </c>
      <c r="C1943" t="s">
        <v>114</v>
      </c>
      <c r="D1943" t="s">
        <v>14</v>
      </c>
      <c r="E1943" t="s">
        <v>95</v>
      </c>
      <c r="F1943" t="s">
        <v>42</v>
      </c>
      <c r="G1943" t="s">
        <v>225</v>
      </c>
      <c r="H1943">
        <v>5</v>
      </c>
      <c r="I1943">
        <v>572.96</v>
      </c>
      <c r="J1943">
        <v>2864.8</v>
      </c>
      <c r="K1943" t="s">
        <v>1219</v>
      </c>
      <c r="L1943" t="s">
        <v>45</v>
      </c>
    </row>
    <row r="1944" spans="1:12" x14ac:dyDescent="0.35">
      <c r="A1944" t="s">
        <v>3265</v>
      </c>
      <c r="B1944" t="s">
        <v>2399</v>
      </c>
      <c r="C1944" t="s">
        <v>2400</v>
      </c>
      <c r="D1944" t="s">
        <v>67</v>
      </c>
      <c r="E1944" t="s">
        <v>130</v>
      </c>
      <c r="F1944" t="s">
        <v>101</v>
      </c>
      <c r="G1944" t="s">
        <v>649</v>
      </c>
      <c r="H1944">
        <v>3</v>
      </c>
      <c r="I1944">
        <v>1026.6500000000001</v>
      </c>
      <c r="J1944">
        <v>3079.95</v>
      </c>
      <c r="K1944" t="s">
        <v>1635</v>
      </c>
      <c r="L1944" t="s">
        <v>45</v>
      </c>
    </row>
    <row r="1945" spans="1:12" x14ac:dyDescent="0.35">
      <c r="A1945" t="s">
        <v>3266</v>
      </c>
      <c r="B1945" t="s">
        <v>228</v>
      </c>
      <c r="C1945" t="s">
        <v>229</v>
      </c>
      <c r="D1945" t="s">
        <v>67</v>
      </c>
      <c r="E1945" t="s">
        <v>130</v>
      </c>
      <c r="F1945" t="s">
        <v>42</v>
      </c>
      <c r="G1945" t="s">
        <v>80</v>
      </c>
      <c r="H1945">
        <v>4</v>
      </c>
      <c r="I1945">
        <v>363.43</v>
      </c>
      <c r="J1945">
        <v>1453.72</v>
      </c>
      <c r="K1945" t="s">
        <v>730</v>
      </c>
      <c r="L1945" t="s">
        <v>36</v>
      </c>
    </row>
    <row r="1946" spans="1:12" x14ac:dyDescent="0.35">
      <c r="A1946" t="s">
        <v>3267</v>
      </c>
      <c r="B1946" t="s">
        <v>47</v>
      </c>
      <c r="C1946" t="s">
        <v>48</v>
      </c>
      <c r="D1946" t="s">
        <v>32</v>
      </c>
      <c r="E1946" t="s">
        <v>61</v>
      </c>
      <c r="F1946" t="s">
        <v>42</v>
      </c>
      <c r="G1946" t="s">
        <v>89</v>
      </c>
      <c r="H1946">
        <v>1</v>
      </c>
      <c r="I1946">
        <v>1313.39</v>
      </c>
      <c r="J1946">
        <v>1313.39</v>
      </c>
      <c r="K1946" t="s">
        <v>1520</v>
      </c>
      <c r="L1946" t="s">
        <v>45</v>
      </c>
    </row>
    <row r="1947" spans="1:12" x14ac:dyDescent="0.35">
      <c r="A1947" t="s">
        <v>3268</v>
      </c>
      <c r="B1947" t="s">
        <v>464</v>
      </c>
      <c r="C1947" t="s">
        <v>465</v>
      </c>
      <c r="D1947" t="s">
        <v>67</v>
      </c>
      <c r="E1947" t="s">
        <v>115</v>
      </c>
      <c r="F1947" t="s">
        <v>101</v>
      </c>
      <c r="G1947" t="s">
        <v>373</v>
      </c>
      <c r="H1947">
        <v>5</v>
      </c>
      <c r="I1947">
        <v>315.48</v>
      </c>
      <c r="J1947">
        <v>1577.4</v>
      </c>
      <c r="K1947" t="s">
        <v>267</v>
      </c>
      <c r="L1947" t="s">
        <v>19</v>
      </c>
    </row>
    <row r="1948" spans="1:12" x14ac:dyDescent="0.35">
      <c r="A1948" t="s">
        <v>3269</v>
      </c>
      <c r="B1948" t="s">
        <v>763</v>
      </c>
      <c r="C1948" t="s">
        <v>764</v>
      </c>
      <c r="D1948" t="s">
        <v>32</v>
      </c>
      <c r="E1948" t="s">
        <v>203</v>
      </c>
      <c r="F1948" t="s">
        <v>25</v>
      </c>
      <c r="G1948" t="s">
        <v>62</v>
      </c>
      <c r="H1948">
        <v>3</v>
      </c>
      <c r="I1948">
        <v>851.52</v>
      </c>
      <c r="J1948">
        <v>2554.56</v>
      </c>
      <c r="K1948" t="s">
        <v>2428</v>
      </c>
      <c r="L1948" t="s">
        <v>28</v>
      </c>
    </row>
    <row r="1949" spans="1:12" x14ac:dyDescent="0.35">
      <c r="A1949" t="s">
        <v>3270</v>
      </c>
      <c r="B1949" t="s">
        <v>1128</v>
      </c>
      <c r="C1949" t="s">
        <v>1129</v>
      </c>
      <c r="D1949" t="s">
        <v>67</v>
      </c>
      <c r="E1949" t="s">
        <v>68</v>
      </c>
      <c r="F1949" t="s">
        <v>16</v>
      </c>
      <c r="G1949" t="s">
        <v>148</v>
      </c>
      <c r="H1949">
        <v>1</v>
      </c>
      <c r="I1949">
        <v>265.86</v>
      </c>
      <c r="J1949">
        <v>265.86</v>
      </c>
      <c r="K1949" t="s">
        <v>2911</v>
      </c>
      <c r="L1949" t="s">
        <v>45</v>
      </c>
    </row>
    <row r="1950" spans="1:12" x14ac:dyDescent="0.35">
      <c r="A1950" t="s">
        <v>3271</v>
      </c>
      <c r="B1950" t="s">
        <v>311</v>
      </c>
      <c r="C1950" t="s">
        <v>312</v>
      </c>
      <c r="D1950" t="s">
        <v>40</v>
      </c>
      <c r="E1950" t="s">
        <v>41</v>
      </c>
      <c r="F1950" t="s">
        <v>101</v>
      </c>
      <c r="G1950" t="s">
        <v>102</v>
      </c>
      <c r="H1950">
        <v>1</v>
      </c>
      <c r="I1950">
        <v>1028.27</v>
      </c>
      <c r="J1950">
        <v>1028.27</v>
      </c>
      <c r="K1950" t="s">
        <v>2270</v>
      </c>
      <c r="L1950" t="s">
        <v>19</v>
      </c>
    </row>
    <row r="1951" spans="1:12" x14ac:dyDescent="0.35">
      <c r="A1951" t="s">
        <v>3272</v>
      </c>
      <c r="B1951" t="s">
        <v>406</v>
      </c>
      <c r="C1951" t="s">
        <v>407</v>
      </c>
      <c r="D1951" t="s">
        <v>32</v>
      </c>
      <c r="E1951" t="s">
        <v>203</v>
      </c>
      <c r="F1951" t="s">
        <v>50</v>
      </c>
      <c r="G1951" t="s">
        <v>69</v>
      </c>
      <c r="H1951">
        <v>2</v>
      </c>
      <c r="I1951">
        <v>691.46</v>
      </c>
      <c r="J1951">
        <v>1382.92</v>
      </c>
      <c r="K1951" t="s">
        <v>3273</v>
      </c>
      <c r="L1951" t="s">
        <v>19</v>
      </c>
    </row>
    <row r="1952" spans="1:12" x14ac:dyDescent="0.35">
      <c r="A1952" t="s">
        <v>3274</v>
      </c>
      <c r="B1952" t="s">
        <v>969</v>
      </c>
      <c r="C1952" t="s">
        <v>970</v>
      </c>
      <c r="D1952" t="s">
        <v>23</v>
      </c>
      <c r="E1952" t="s">
        <v>49</v>
      </c>
      <c r="F1952" t="s">
        <v>16</v>
      </c>
      <c r="G1952" t="s">
        <v>177</v>
      </c>
      <c r="H1952">
        <v>3</v>
      </c>
      <c r="I1952">
        <v>907.24</v>
      </c>
      <c r="J1952">
        <v>2721.72</v>
      </c>
      <c r="K1952" t="s">
        <v>1610</v>
      </c>
      <c r="L1952" t="s">
        <v>28</v>
      </c>
    </row>
    <row r="1953" spans="1:12" x14ac:dyDescent="0.35">
      <c r="A1953" t="s">
        <v>3275</v>
      </c>
      <c r="B1953" t="s">
        <v>1001</v>
      </c>
      <c r="C1953" t="s">
        <v>1002</v>
      </c>
      <c r="D1953" t="s">
        <v>67</v>
      </c>
      <c r="E1953" t="s">
        <v>115</v>
      </c>
      <c r="F1953" t="s">
        <v>16</v>
      </c>
      <c r="G1953" t="s">
        <v>17</v>
      </c>
      <c r="H1953">
        <v>4</v>
      </c>
      <c r="I1953">
        <v>181.82</v>
      </c>
      <c r="J1953">
        <v>727.28</v>
      </c>
      <c r="K1953" t="s">
        <v>956</v>
      </c>
      <c r="L1953" t="s">
        <v>28</v>
      </c>
    </row>
    <row r="1954" spans="1:12" x14ac:dyDescent="0.35">
      <c r="A1954" t="s">
        <v>3276</v>
      </c>
      <c r="B1954" t="s">
        <v>922</v>
      </c>
      <c r="C1954" t="s">
        <v>923</v>
      </c>
      <c r="D1954" t="s">
        <v>14</v>
      </c>
      <c r="E1954" t="s">
        <v>15</v>
      </c>
      <c r="F1954" t="s">
        <v>50</v>
      </c>
      <c r="G1954" t="s">
        <v>69</v>
      </c>
      <c r="H1954">
        <v>2</v>
      </c>
      <c r="I1954">
        <v>1408.8</v>
      </c>
      <c r="J1954">
        <v>2817.6</v>
      </c>
      <c r="K1954" t="s">
        <v>1421</v>
      </c>
      <c r="L1954" t="s">
        <v>45</v>
      </c>
    </row>
    <row r="1955" spans="1:12" x14ac:dyDescent="0.35">
      <c r="A1955" t="s">
        <v>3277</v>
      </c>
      <c r="B1955" t="s">
        <v>755</v>
      </c>
      <c r="C1955" t="s">
        <v>756</v>
      </c>
      <c r="D1955" t="s">
        <v>32</v>
      </c>
      <c r="E1955" t="s">
        <v>33</v>
      </c>
      <c r="F1955" t="s">
        <v>50</v>
      </c>
      <c r="G1955" t="s">
        <v>51</v>
      </c>
      <c r="H1955">
        <v>1</v>
      </c>
      <c r="I1955">
        <v>880.7</v>
      </c>
      <c r="J1955">
        <v>880.7</v>
      </c>
      <c r="K1955" t="s">
        <v>757</v>
      </c>
      <c r="L1955" t="s">
        <v>19</v>
      </c>
    </row>
    <row r="1956" spans="1:12" x14ac:dyDescent="0.35">
      <c r="A1956" t="s">
        <v>3278</v>
      </c>
      <c r="B1956" t="s">
        <v>87</v>
      </c>
      <c r="C1956" t="s">
        <v>88</v>
      </c>
      <c r="D1956" t="s">
        <v>67</v>
      </c>
      <c r="E1956" t="s">
        <v>68</v>
      </c>
      <c r="F1956" t="s">
        <v>25</v>
      </c>
      <c r="G1956" t="s">
        <v>139</v>
      </c>
      <c r="H1956">
        <v>1</v>
      </c>
      <c r="I1956">
        <v>323.14</v>
      </c>
      <c r="J1956">
        <v>323.14</v>
      </c>
      <c r="K1956" t="s">
        <v>876</v>
      </c>
      <c r="L1956" t="s">
        <v>36</v>
      </c>
    </row>
    <row r="1957" spans="1:12" x14ac:dyDescent="0.35">
      <c r="A1957" t="s">
        <v>3279</v>
      </c>
      <c r="B1957" t="s">
        <v>759</v>
      </c>
      <c r="C1957" t="s">
        <v>760</v>
      </c>
      <c r="D1957" t="s">
        <v>40</v>
      </c>
      <c r="E1957" t="s">
        <v>120</v>
      </c>
      <c r="F1957" t="s">
        <v>25</v>
      </c>
      <c r="G1957" t="s">
        <v>62</v>
      </c>
      <c r="H1957">
        <v>5</v>
      </c>
      <c r="I1957">
        <v>986.52</v>
      </c>
      <c r="J1957">
        <v>4932.6000000000004</v>
      </c>
      <c r="K1957" t="s">
        <v>2428</v>
      </c>
      <c r="L1957" t="s">
        <v>28</v>
      </c>
    </row>
    <row r="1958" spans="1:12" x14ac:dyDescent="0.35">
      <c r="A1958" t="s">
        <v>3280</v>
      </c>
      <c r="B1958" t="s">
        <v>59</v>
      </c>
      <c r="C1958" t="s">
        <v>60</v>
      </c>
      <c r="D1958" t="s">
        <v>40</v>
      </c>
      <c r="E1958" t="s">
        <v>79</v>
      </c>
      <c r="F1958" t="s">
        <v>50</v>
      </c>
      <c r="G1958" t="s">
        <v>69</v>
      </c>
      <c r="H1958">
        <v>4</v>
      </c>
      <c r="I1958">
        <v>1299.76</v>
      </c>
      <c r="J1958">
        <v>5199.04</v>
      </c>
      <c r="K1958" t="s">
        <v>3281</v>
      </c>
      <c r="L1958" t="s">
        <v>45</v>
      </c>
    </row>
    <row r="1959" spans="1:12" x14ac:dyDescent="0.35">
      <c r="A1959" t="s">
        <v>3282</v>
      </c>
      <c r="B1959" t="s">
        <v>299</v>
      </c>
      <c r="C1959" t="s">
        <v>300</v>
      </c>
      <c r="D1959" t="s">
        <v>40</v>
      </c>
      <c r="E1959" t="s">
        <v>79</v>
      </c>
      <c r="F1959" t="s">
        <v>101</v>
      </c>
      <c r="G1959" t="s">
        <v>237</v>
      </c>
      <c r="H1959">
        <v>3</v>
      </c>
      <c r="I1959">
        <v>250.75</v>
      </c>
      <c r="J1959">
        <v>752.25</v>
      </c>
      <c r="K1959" t="s">
        <v>650</v>
      </c>
      <c r="L1959" t="s">
        <v>28</v>
      </c>
    </row>
    <row r="1960" spans="1:12" x14ac:dyDescent="0.35">
      <c r="A1960" t="s">
        <v>3283</v>
      </c>
      <c r="B1960" t="s">
        <v>1444</v>
      </c>
      <c r="C1960" t="s">
        <v>1445</v>
      </c>
      <c r="D1960" t="s">
        <v>23</v>
      </c>
      <c r="E1960" t="s">
        <v>49</v>
      </c>
      <c r="F1960" t="s">
        <v>101</v>
      </c>
      <c r="G1960" t="s">
        <v>237</v>
      </c>
      <c r="H1960">
        <v>4</v>
      </c>
      <c r="I1960">
        <v>889.62</v>
      </c>
      <c r="J1960">
        <v>3558.48</v>
      </c>
      <c r="K1960" t="s">
        <v>2108</v>
      </c>
      <c r="L1960" t="s">
        <v>28</v>
      </c>
    </row>
    <row r="1961" spans="1:12" x14ac:dyDescent="0.35">
      <c r="A1961" t="s">
        <v>3284</v>
      </c>
      <c r="B1961" t="s">
        <v>925</v>
      </c>
      <c r="C1961" t="s">
        <v>926</v>
      </c>
      <c r="D1961" t="s">
        <v>67</v>
      </c>
      <c r="E1961" t="s">
        <v>115</v>
      </c>
      <c r="F1961" t="s">
        <v>42</v>
      </c>
      <c r="G1961" t="s">
        <v>80</v>
      </c>
      <c r="H1961">
        <v>3</v>
      </c>
      <c r="I1961">
        <v>517.67999999999995</v>
      </c>
      <c r="J1961">
        <v>1553.04</v>
      </c>
      <c r="K1961" t="s">
        <v>1112</v>
      </c>
      <c r="L1961" t="s">
        <v>19</v>
      </c>
    </row>
    <row r="1962" spans="1:12" x14ac:dyDescent="0.35">
      <c r="A1962" t="s">
        <v>3285</v>
      </c>
      <c r="B1962" t="s">
        <v>109</v>
      </c>
      <c r="C1962" t="s">
        <v>110</v>
      </c>
      <c r="D1962" t="s">
        <v>32</v>
      </c>
      <c r="E1962" t="s">
        <v>33</v>
      </c>
      <c r="F1962" t="s">
        <v>101</v>
      </c>
      <c r="G1962" t="s">
        <v>649</v>
      </c>
      <c r="H1962">
        <v>2</v>
      </c>
      <c r="I1962">
        <v>883.86</v>
      </c>
      <c r="J1962">
        <v>1767.72</v>
      </c>
      <c r="K1962" t="s">
        <v>3286</v>
      </c>
      <c r="L1962" t="s">
        <v>91</v>
      </c>
    </row>
    <row r="1963" spans="1:12" x14ac:dyDescent="0.35">
      <c r="A1963" t="s">
        <v>3287</v>
      </c>
      <c r="B1963" t="s">
        <v>54</v>
      </c>
      <c r="C1963" t="s">
        <v>55</v>
      </c>
      <c r="D1963" t="s">
        <v>23</v>
      </c>
      <c r="E1963" t="s">
        <v>49</v>
      </c>
      <c r="F1963" t="s">
        <v>25</v>
      </c>
      <c r="G1963" t="s">
        <v>34</v>
      </c>
      <c r="H1963">
        <v>1</v>
      </c>
      <c r="I1963">
        <v>643.1</v>
      </c>
      <c r="J1963">
        <v>643.1</v>
      </c>
      <c r="K1963" t="s">
        <v>2961</v>
      </c>
      <c r="L1963" t="s">
        <v>36</v>
      </c>
    </row>
    <row r="1964" spans="1:12" x14ac:dyDescent="0.35">
      <c r="A1964" t="s">
        <v>3288</v>
      </c>
      <c r="B1964" t="s">
        <v>1677</v>
      </c>
      <c r="C1964" t="s">
        <v>1678</v>
      </c>
      <c r="D1964" t="s">
        <v>32</v>
      </c>
      <c r="E1964" t="s">
        <v>61</v>
      </c>
      <c r="F1964" t="s">
        <v>25</v>
      </c>
      <c r="G1964" t="s">
        <v>34</v>
      </c>
      <c r="H1964">
        <v>1</v>
      </c>
      <c r="I1964">
        <v>565.17999999999995</v>
      </c>
      <c r="J1964">
        <v>565.17999999999995</v>
      </c>
      <c r="K1964" t="s">
        <v>3289</v>
      </c>
      <c r="L1964" t="s">
        <v>91</v>
      </c>
    </row>
    <row r="1965" spans="1:12" x14ac:dyDescent="0.35">
      <c r="A1965" t="s">
        <v>3290</v>
      </c>
      <c r="B1965" t="s">
        <v>146</v>
      </c>
      <c r="C1965" t="s">
        <v>147</v>
      </c>
      <c r="D1965" t="s">
        <v>14</v>
      </c>
      <c r="E1965" t="s">
        <v>95</v>
      </c>
      <c r="F1965" t="s">
        <v>101</v>
      </c>
      <c r="G1965" t="s">
        <v>373</v>
      </c>
      <c r="H1965">
        <v>4</v>
      </c>
      <c r="I1965">
        <v>1131.9100000000001</v>
      </c>
      <c r="J1965">
        <v>4527.6400000000003</v>
      </c>
      <c r="K1965" t="s">
        <v>3291</v>
      </c>
      <c r="L1965" t="s">
        <v>28</v>
      </c>
    </row>
    <row r="1966" spans="1:12" x14ac:dyDescent="0.35">
      <c r="A1966" t="s">
        <v>3292</v>
      </c>
      <c r="B1966" t="s">
        <v>210</v>
      </c>
      <c r="C1966" t="s">
        <v>211</v>
      </c>
      <c r="D1966" t="s">
        <v>67</v>
      </c>
      <c r="E1966" t="s">
        <v>130</v>
      </c>
      <c r="F1966" t="s">
        <v>50</v>
      </c>
      <c r="G1966" t="s">
        <v>51</v>
      </c>
      <c r="H1966">
        <v>3</v>
      </c>
      <c r="I1966">
        <v>585.79</v>
      </c>
      <c r="J1966">
        <v>1757.37</v>
      </c>
      <c r="K1966" t="s">
        <v>85</v>
      </c>
      <c r="L1966" t="s">
        <v>45</v>
      </c>
    </row>
    <row r="1967" spans="1:12" x14ac:dyDescent="0.35">
      <c r="A1967" t="s">
        <v>3293</v>
      </c>
      <c r="B1967" t="s">
        <v>248</v>
      </c>
      <c r="C1967" t="s">
        <v>249</v>
      </c>
      <c r="D1967" t="s">
        <v>32</v>
      </c>
      <c r="E1967" t="s">
        <v>203</v>
      </c>
      <c r="F1967" t="s">
        <v>16</v>
      </c>
      <c r="G1967" t="s">
        <v>148</v>
      </c>
      <c r="H1967">
        <v>2</v>
      </c>
      <c r="I1967">
        <v>415.26</v>
      </c>
      <c r="J1967">
        <v>830.52</v>
      </c>
      <c r="K1967" t="s">
        <v>365</v>
      </c>
      <c r="L1967" t="s">
        <v>36</v>
      </c>
    </row>
    <row r="1968" spans="1:12" x14ac:dyDescent="0.35">
      <c r="A1968" t="s">
        <v>3294</v>
      </c>
      <c r="B1968" t="s">
        <v>287</v>
      </c>
      <c r="C1968" t="s">
        <v>288</v>
      </c>
      <c r="D1968" t="s">
        <v>67</v>
      </c>
      <c r="E1968" t="s">
        <v>115</v>
      </c>
      <c r="F1968" t="s">
        <v>50</v>
      </c>
      <c r="G1968" t="s">
        <v>216</v>
      </c>
      <c r="H1968">
        <v>1</v>
      </c>
      <c r="I1968">
        <v>443.72</v>
      </c>
      <c r="J1968">
        <v>443.72</v>
      </c>
      <c r="K1968" t="s">
        <v>3295</v>
      </c>
      <c r="L1968" t="s">
        <v>19</v>
      </c>
    </row>
    <row r="1969" spans="1:12" x14ac:dyDescent="0.35">
      <c r="A1969" t="s">
        <v>3296</v>
      </c>
      <c r="B1969" t="s">
        <v>252</v>
      </c>
      <c r="C1969" t="s">
        <v>253</v>
      </c>
      <c r="D1969" t="s">
        <v>23</v>
      </c>
      <c r="E1969" t="s">
        <v>49</v>
      </c>
      <c r="F1969" t="s">
        <v>101</v>
      </c>
      <c r="G1969" t="s">
        <v>237</v>
      </c>
      <c r="H1969">
        <v>2</v>
      </c>
      <c r="I1969">
        <v>1192.05</v>
      </c>
      <c r="J1969">
        <v>2384.1</v>
      </c>
      <c r="K1969" t="s">
        <v>2772</v>
      </c>
      <c r="L1969" t="s">
        <v>36</v>
      </c>
    </row>
    <row r="1970" spans="1:12" x14ac:dyDescent="0.35">
      <c r="A1970" t="s">
        <v>3297</v>
      </c>
      <c r="B1970" t="s">
        <v>496</v>
      </c>
      <c r="C1970" t="s">
        <v>497</v>
      </c>
      <c r="D1970" t="s">
        <v>67</v>
      </c>
      <c r="E1970" t="s">
        <v>130</v>
      </c>
      <c r="F1970" t="s">
        <v>101</v>
      </c>
      <c r="G1970" t="s">
        <v>102</v>
      </c>
      <c r="H1970">
        <v>3</v>
      </c>
      <c r="I1970">
        <v>1275.45</v>
      </c>
      <c r="J1970">
        <v>3826.35</v>
      </c>
      <c r="K1970" t="s">
        <v>675</v>
      </c>
      <c r="L1970" t="s">
        <v>91</v>
      </c>
    </row>
    <row r="1971" spans="1:12" x14ac:dyDescent="0.35">
      <c r="A1971" t="s">
        <v>3298</v>
      </c>
      <c r="B1971" t="s">
        <v>707</v>
      </c>
      <c r="C1971" t="s">
        <v>708</v>
      </c>
      <c r="D1971" t="s">
        <v>67</v>
      </c>
      <c r="E1971" t="s">
        <v>68</v>
      </c>
      <c r="F1971" t="s">
        <v>42</v>
      </c>
      <c r="G1971" t="s">
        <v>43</v>
      </c>
      <c r="H1971">
        <v>1</v>
      </c>
      <c r="I1971">
        <v>1281.28</v>
      </c>
      <c r="J1971">
        <v>1281.28</v>
      </c>
      <c r="K1971" t="s">
        <v>1219</v>
      </c>
      <c r="L1971" t="s">
        <v>45</v>
      </c>
    </row>
    <row r="1972" spans="1:12" x14ac:dyDescent="0.35">
      <c r="A1972" t="s">
        <v>3299</v>
      </c>
      <c r="B1972" t="s">
        <v>219</v>
      </c>
      <c r="C1972" t="s">
        <v>220</v>
      </c>
      <c r="D1972" t="s">
        <v>32</v>
      </c>
      <c r="E1972" t="s">
        <v>203</v>
      </c>
      <c r="F1972" t="s">
        <v>42</v>
      </c>
      <c r="G1972" t="s">
        <v>225</v>
      </c>
      <c r="H1972">
        <v>3</v>
      </c>
      <c r="I1972">
        <v>576.82000000000005</v>
      </c>
      <c r="J1972">
        <v>1730.46</v>
      </c>
      <c r="K1972" t="s">
        <v>462</v>
      </c>
      <c r="L1972" t="s">
        <v>36</v>
      </c>
    </row>
    <row r="1973" spans="1:12" x14ac:dyDescent="0.35">
      <c r="A1973" t="s">
        <v>3300</v>
      </c>
      <c r="B1973" t="s">
        <v>123</v>
      </c>
      <c r="C1973" t="s">
        <v>124</v>
      </c>
      <c r="D1973" t="s">
        <v>40</v>
      </c>
      <c r="E1973" t="s">
        <v>79</v>
      </c>
      <c r="F1973" t="s">
        <v>16</v>
      </c>
      <c r="G1973" t="s">
        <v>148</v>
      </c>
      <c r="H1973">
        <v>4</v>
      </c>
      <c r="I1973">
        <v>931.7</v>
      </c>
      <c r="J1973">
        <v>3726.8</v>
      </c>
      <c r="K1973" t="s">
        <v>305</v>
      </c>
      <c r="L1973" t="s">
        <v>28</v>
      </c>
    </row>
    <row r="1974" spans="1:12" x14ac:dyDescent="0.35">
      <c r="A1974" t="s">
        <v>3301</v>
      </c>
      <c r="B1974" t="s">
        <v>345</v>
      </c>
      <c r="C1974" t="s">
        <v>346</v>
      </c>
      <c r="D1974" t="s">
        <v>23</v>
      </c>
      <c r="E1974" t="s">
        <v>338</v>
      </c>
      <c r="F1974" t="s">
        <v>101</v>
      </c>
      <c r="G1974" t="s">
        <v>649</v>
      </c>
      <c r="H1974">
        <v>2</v>
      </c>
      <c r="I1974">
        <v>324.14999999999998</v>
      </c>
      <c r="J1974">
        <v>648.29999999999995</v>
      </c>
      <c r="K1974" t="s">
        <v>1256</v>
      </c>
      <c r="L1974" t="s">
        <v>45</v>
      </c>
    </row>
    <row r="1975" spans="1:12" x14ac:dyDescent="0.35">
      <c r="A1975" t="s">
        <v>3302</v>
      </c>
      <c r="B1975" t="s">
        <v>797</v>
      </c>
      <c r="C1975" t="s">
        <v>798</v>
      </c>
      <c r="D1975" t="s">
        <v>32</v>
      </c>
      <c r="E1975" t="s">
        <v>33</v>
      </c>
      <c r="F1975" t="s">
        <v>50</v>
      </c>
      <c r="G1975" t="s">
        <v>51</v>
      </c>
      <c r="H1975">
        <v>4</v>
      </c>
      <c r="I1975">
        <v>926.87</v>
      </c>
      <c r="J1975">
        <v>3707.48</v>
      </c>
      <c r="K1975" t="s">
        <v>1026</v>
      </c>
      <c r="L1975" t="s">
        <v>36</v>
      </c>
    </row>
    <row r="1976" spans="1:12" x14ac:dyDescent="0.35">
      <c r="A1976" t="s">
        <v>3303</v>
      </c>
      <c r="B1976" t="s">
        <v>759</v>
      </c>
      <c r="C1976" t="s">
        <v>760</v>
      </c>
      <c r="D1976" t="s">
        <v>32</v>
      </c>
      <c r="E1976" t="s">
        <v>203</v>
      </c>
      <c r="F1976" t="s">
        <v>42</v>
      </c>
      <c r="G1976" t="s">
        <v>80</v>
      </c>
      <c r="H1976">
        <v>4</v>
      </c>
      <c r="I1976">
        <v>1228.73</v>
      </c>
      <c r="J1976">
        <v>4914.92</v>
      </c>
      <c r="K1976" t="s">
        <v>2069</v>
      </c>
      <c r="L1976" t="s">
        <v>91</v>
      </c>
    </row>
    <row r="1977" spans="1:12" x14ac:dyDescent="0.35">
      <c r="A1977" t="s">
        <v>3304</v>
      </c>
      <c r="B1977" t="s">
        <v>321</v>
      </c>
      <c r="C1977" t="s">
        <v>322</v>
      </c>
      <c r="D1977" t="s">
        <v>40</v>
      </c>
      <c r="E1977" t="s">
        <v>79</v>
      </c>
      <c r="F1977" t="s">
        <v>25</v>
      </c>
      <c r="G1977" t="s">
        <v>74</v>
      </c>
      <c r="H1977">
        <v>1</v>
      </c>
      <c r="I1977">
        <v>762.39</v>
      </c>
      <c r="J1977">
        <v>762.39</v>
      </c>
      <c r="K1977" t="s">
        <v>3305</v>
      </c>
      <c r="L1977" t="s">
        <v>91</v>
      </c>
    </row>
    <row r="1978" spans="1:12" x14ac:dyDescent="0.35">
      <c r="A1978" t="s">
        <v>3306</v>
      </c>
      <c r="B1978" t="s">
        <v>443</v>
      </c>
      <c r="C1978" t="s">
        <v>444</v>
      </c>
      <c r="D1978" t="s">
        <v>67</v>
      </c>
      <c r="E1978" t="s">
        <v>130</v>
      </c>
      <c r="F1978" t="s">
        <v>101</v>
      </c>
      <c r="G1978" t="s">
        <v>237</v>
      </c>
      <c r="H1978">
        <v>1</v>
      </c>
      <c r="I1978">
        <v>1450.64</v>
      </c>
      <c r="J1978">
        <v>1450.64</v>
      </c>
      <c r="K1978" t="s">
        <v>2648</v>
      </c>
      <c r="L1978" t="s">
        <v>36</v>
      </c>
    </row>
    <row r="1979" spans="1:12" x14ac:dyDescent="0.35">
      <c r="A1979" t="s">
        <v>3307</v>
      </c>
      <c r="B1979" t="s">
        <v>439</v>
      </c>
      <c r="C1979" t="s">
        <v>440</v>
      </c>
      <c r="D1979" t="s">
        <v>67</v>
      </c>
      <c r="E1979" t="s">
        <v>130</v>
      </c>
      <c r="F1979" t="s">
        <v>101</v>
      </c>
      <c r="G1979" t="s">
        <v>165</v>
      </c>
      <c r="H1979">
        <v>5</v>
      </c>
      <c r="I1979">
        <v>609.46</v>
      </c>
      <c r="J1979">
        <v>3047.3</v>
      </c>
      <c r="K1979" t="s">
        <v>2172</v>
      </c>
      <c r="L1979" t="s">
        <v>36</v>
      </c>
    </row>
    <row r="1980" spans="1:12" x14ac:dyDescent="0.35">
      <c r="A1980" t="s">
        <v>3308</v>
      </c>
      <c r="B1980" t="s">
        <v>1101</v>
      </c>
      <c r="C1980" t="s">
        <v>1102</v>
      </c>
      <c r="D1980" t="s">
        <v>14</v>
      </c>
      <c r="E1980" t="s">
        <v>100</v>
      </c>
      <c r="F1980" t="s">
        <v>42</v>
      </c>
      <c r="G1980" t="s">
        <v>170</v>
      </c>
      <c r="H1980">
        <v>3</v>
      </c>
      <c r="I1980">
        <v>239.87</v>
      </c>
      <c r="J1980">
        <v>719.61</v>
      </c>
      <c r="K1980" t="s">
        <v>1588</v>
      </c>
      <c r="L1980" t="s">
        <v>28</v>
      </c>
    </row>
    <row r="1981" spans="1:12" x14ac:dyDescent="0.35">
      <c r="A1981" t="s">
        <v>3309</v>
      </c>
      <c r="B1981" t="s">
        <v>443</v>
      </c>
      <c r="C1981" t="s">
        <v>444</v>
      </c>
      <c r="D1981" t="s">
        <v>67</v>
      </c>
      <c r="E1981" t="s">
        <v>115</v>
      </c>
      <c r="F1981" t="s">
        <v>25</v>
      </c>
      <c r="G1981" t="s">
        <v>26</v>
      </c>
      <c r="H1981">
        <v>2</v>
      </c>
      <c r="I1981">
        <v>355.13</v>
      </c>
      <c r="J1981">
        <v>710.26</v>
      </c>
      <c r="K1981" t="s">
        <v>3310</v>
      </c>
      <c r="L1981" t="s">
        <v>45</v>
      </c>
    </row>
    <row r="1982" spans="1:12" x14ac:dyDescent="0.35">
      <c r="A1982" t="s">
        <v>3311</v>
      </c>
      <c r="B1982" t="s">
        <v>775</v>
      </c>
      <c r="C1982" t="s">
        <v>776</v>
      </c>
      <c r="D1982" t="s">
        <v>67</v>
      </c>
      <c r="E1982" t="s">
        <v>130</v>
      </c>
      <c r="F1982" t="s">
        <v>42</v>
      </c>
      <c r="G1982" t="s">
        <v>225</v>
      </c>
      <c r="H1982">
        <v>5</v>
      </c>
      <c r="I1982">
        <v>1448.22</v>
      </c>
      <c r="J1982">
        <v>7241.1</v>
      </c>
      <c r="K1982" t="s">
        <v>1629</v>
      </c>
      <c r="L1982" t="s">
        <v>91</v>
      </c>
    </row>
    <row r="1983" spans="1:12" x14ac:dyDescent="0.35">
      <c r="A1983" t="s">
        <v>3312</v>
      </c>
      <c r="B1983" t="s">
        <v>273</v>
      </c>
      <c r="C1983" t="s">
        <v>274</v>
      </c>
      <c r="D1983" t="s">
        <v>14</v>
      </c>
      <c r="E1983" t="s">
        <v>15</v>
      </c>
      <c r="F1983" t="s">
        <v>25</v>
      </c>
      <c r="G1983" t="s">
        <v>26</v>
      </c>
      <c r="H1983">
        <v>4</v>
      </c>
      <c r="I1983">
        <v>1166.31</v>
      </c>
      <c r="J1983">
        <v>4665.24</v>
      </c>
      <c r="K1983" t="s">
        <v>1822</v>
      </c>
      <c r="L1983" t="s">
        <v>28</v>
      </c>
    </row>
    <row r="1984" spans="1:12" x14ac:dyDescent="0.35">
      <c r="A1984" t="s">
        <v>3313</v>
      </c>
      <c r="B1984" t="s">
        <v>1153</v>
      </c>
      <c r="C1984" t="s">
        <v>1154</v>
      </c>
      <c r="D1984" t="s">
        <v>67</v>
      </c>
      <c r="E1984" t="s">
        <v>68</v>
      </c>
      <c r="F1984" t="s">
        <v>42</v>
      </c>
      <c r="G1984" t="s">
        <v>170</v>
      </c>
      <c r="H1984">
        <v>1</v>
      </c>
      <c r="I1984">
        <v>462.79</v>
      </c>
      <c r="J1984">
        <v>462.79</v>
      </c>
      <c r="K1984" t="s">
        <v>1181</v>
      </c>
      <c r="L1984" t="s">
        <v>91</v>
      </c>
    </row>
    <row r="1985" spans="1:12" x14ac:dyDescent="0.35">
      <c r="A1985" t="s">
        <v>3314</v>
      </c>
      <c r="B1985" t="s">
        <v>1278</v>
      </c>
      <c r="C1985" t="s">
        <v>1279</v>
      </c>
      <c r="D1985" t="s">
        <v>67</v>
      </c>
      <c r="E1985" t="s">
        <v>115</v>
      </c>
      <c r="F1985" t="s">
        <v>16</v>
      </c>
      <c r="G1985" t="s">
        <v>177</v>
      </c>
      <c r="H1985">
        <v>5</v>
      </c>
      <c r="I1985">
        <v>757.07</v>
      </c>
      <c r="J1985">
        <v>3785.35</v>
      </c>
      <c r="K1985" t="s">
        <v>479</v>
      </c>
      <c r="L1985" t="s">
        <v>19</v>
      </c>
    </row>
    <row r="1986" spans="1:12" x14ac:dyDescent="0.35">
      <c r="A1986" t="s">
        <v>3315</v>
      </c>
      <c r="B1986" t="s">
        <v>742</v>
      </c>
      <c r="C1986" t="s">
        <v>743</v>
      </c>
      <c r="D1986" t="s">
        <v>14</v>
      </c>
      <c r="E1986" t="s">
        <v>95</v>
      </c>
      <c r="F1986" t="s">
        <v>42</v>
      </c>
      <c r="G1986" t="s">
        <v>80</v>
      </c>
      <c r="H1986">
        <v>3</v>
      </c>
      <c r="I1986">
        <v>438.61</v>
      </c>
      <c r="J1986">
        <v>1315.83</v>
      </c>
      <c r="K1986" t="s">
        <v>3316</v>
      </c>
      <c r="L1986" t="s">
        <v>91</v>
      </c>
    </row>
    <row r="1987" spans="1:12" x14ac:dyDescent="0.35">
      <c r="A1987" t="s">
        <v>3317</v>
      </c>
      <c r="B1987" t="s">
        <v>2245</v>
      </c>
      <c r="C1987" t="s">
        <v>2246</v>
      </c>
      <c r="D1987" t="s">
        <v>32</v>
      </c>
      <c r="E1987" t="s">
        <v>61</v>
      </c>
      <c r="F1987" t="s">
        <v>25</v>
      </c>
      <c r="G1987" t="s">
        <v>74</v>
      </c>
      <c r="H1987">
        <v>2</v>
      </c>
      <c r="I1987">
        <v>1342.01</v>
      </c>
      <c r="J1987">
        <v>2684.02</v>
      </c>
      <c r="K1987" t="s">
        <v>390</v>
      </c>
      <c r="L1987" t="s">
        <v>36</v>
      </c>
    </row>
    <row r="1988" spans="1:12" x14ac:dyDescent="0.35">
      <c r="A1988" t="s">
        <v>3318</v>
      </c>
      <c r="B1988" t="s">
        <v>763</v>
      </c>
      <c r="C1988" t="s">
        <v>764</v>
      </c>
      <c r="D1988" t="s">
        <v>67</v>
      </c>
      <c r="E1988" t="s">
        <v>130</v>
      </c>
      <c r="F1988" t="s">
        <v>42</v>
      </c>
      <c r="G1988" t="s">
        <v>80</v>
      </c>
      <c r="H1988">
        <v>1</v>
      </c>
      <c r="I1988">
        <v>1260.1500000000001</v>
      </c>
      <c r="J1988">
        <v>1260.1500000000001</v>
      </c>
      <c r="K1988" t="s">
        <v>1727</v>
      </c>
      <c r="L1988" t="s">
        <v>19</v>
      </c>
    </row>
    <row r="1989" spans="1:12" x14ac:dyDescent="0.35">
      <c r="A1989" t="s">
        <v>3319</v>
      </c>
      <c r="B1989" t="s">
        <v>223</v>
      </c>
      <c r="C1989" t="s">
        <v>224</v>
      </c>
      <c r="D1989" t="s">
        <v>40</v>
      </c>
      <c r="E1989" t="s">
        <v>79</v>
      </c>
      <c r="F1989" t="s">
        <v>50</v>
      </c>
      <c r="G1989" t="s">
        <v>51</v>
      </c>
      <c r="H1989">
        <v>5</v>
      </c>
      <c r="I1989">
        <v>753.9</v>
      </c>
      <c r="J1989">
        <v>3769.5</v>
      </c>
      <c r="K1989" t="s">
        <v>667</v>
      </c>
      <c r="L1989" t="s">
        <v>36</v>
      </c>
    </row>
    <row r="1990" spans="1:12" x14ac:dyDescent="0.35">
      <c r="A1990" t="s">
        <v>3320</v>
      </c>
      <c r="B1990" t="s">
        <v>12</v>
      </c>
      <c r="C1990" t="s">
        <v>13</v>
      </c>
      <c r="D1990" t="s">
        <v>67</v>
      </c>
      <c r="E1990" t="s">
        <v>130</v>
      </c>
      <c r="F1990" t="s">
        <v>50</v>
      </c>
      <c r="G1990" t="s">
        <v>216</v>
      </c>
      <c r="H1990">
        <v>2</v>
      </c>
      <c r="I1990">
        <v>1324.92</v>
      </c>
      <c r="J1990">
        <v>2649.84</v>
      </c>
      <c r="K1990" t="s">
        <v>2057</v>
      </c>
      <c r="L1990" t="s">
        <v>19</v>
      </c>
    </row>
    <row r="1991" spans="1:12" x14ac:dyDescent="0.35">
      <c r="A1991" t="s">
        <v>3321</v>
      </c>
      <c r="B1991" t="s">
        <v>791</v>
      </c>
      <c r="C1991" t="s">
        <v>792</v>
      </c>
      <c r="D1991" t="s">
        <v>14</v>
      </c>
      <c r="E1991" t="s">
        <v>15</v>
      </c>
      <c r="F1991" t="s">
        <v>25</v>
      </c>
      <c r="G1991" t="s">
        <v>26</v>
      </c>
      <c r="H1991">
        <v>5</v>
      </c>
      <c r="I1991">
        <v>1065.3699999999999</v>
      </c>
      <c r="J1991">
        <v>5326.85</v>
      </c>
      <c r="K1991" t="s">
        <v>1064</v>
      </c>
      <c r="L1991" t="s">
        <v>91</v>
      </c>
    </row>
    <row r="1992" spans="1:12" x14ac:dyDescent="0.35">
      <c r="A1992" t="s">
        <v>3322</v>
      </c>
      <c r="B1992" t="s">
        <v>359</v>
      </c>
      <c r="C1992" t="s">
        <v>360</v>
      </c>
      <c r="D1992" t="s">
        <v>23</v>
      </c>
      <c r="E1992" t="s">
        <v>49</v>
      </c>
      <c r="F1992" t="s">
        <v>16</v>
      </c>
      <c r="G1992" t="s">
        <v>177</v>
      </c>
      <c r="H1992">
        <v>2</v>
      </c>
      <c r="I1992">
        <v>559.61</v>
      </c>
      <c r="J1992">
        <v>1119.22</v>
      </c>
      <c r="K1992" t="s">
        <v>1352</v>
      </c>
      <c r="L1992" t="s">
        <v>45</v>
      </c>
    </row>
    <row r="1993" spans="1:12" x14ac:dyDescent="0.35">
      <c r="A1993" t="s">
        <v>3323</v>
      </c>
      <c r="B1993" t="s">
        <v>12</v>
      </c>
      <c r="C1993" t="s">
        <v>13</v>
      </c>
      <c r="D1993" t="s">
        <v>67</v>
      </c>
      <c r="E1993" t="s">
        <v>115</v>
      </c>
      <c r="F1993" t="s">
        <v>50</v>
      </c>
      <c r="G1993" t="s">
        <v>69</v>
      </c>
      <c r="H1993">
        <v>2</v>
      </c>
      <c r="I1993">
        <v>717.96</v>
      </c>
      <c r="J1993">
        <v>1435.92</v>
      </c>
      <c r="K1993" t="s">
        <v>1455</v>
      </c>
      <c r="L1993" t="s">
        <v>36</v>
      </c>
    </row>
    <row r="1994" spans="1:12" x14ac:dyDescent="0.35">
      <c r="A1994" t="s">
        <v>3324</v>
      </c>
      <c r="B1994" t="s">
        <v>173</v>
      </c>
      <c r="C1994" t="s">
        <v>174</v>
      </c>
      <c r="D1994" t="s">
        <v>23</v>
      </c>
      <c r="E1994" t="s">
        <v>49</v>
      </c>
      <c r="F1994" t="s">
        <v>42</v>
      </c>
      <c r="G1994" t="s">
        <v>225</v>
      </c>
      <c r="H1994">
        <v>2</v>
      </c>
      <c r="I1994">
        <v>937.01</v>
      </c>
      <c r="J1994">
        <v>1874.02</v>
      </c>
      <c r="K1994" t="s">
        <v>2048</v>
      </c>
      <c r="L1994" t="s">
        <v>45</v>
      </c>
    </row>
    <row r="1995" spans="1:12" x14ac:dyDescent="0.35">
      <c r="A1995" t="s">
        <v>3325</v>
      </c>
      <c r="B1995" t="s">
        <v>248</v>
      </c>
      <c r="C1995" t="s">
        <v>249</v>
      </c>
      <c r="D1995" t="s">
        <v>67</v>
      </c>
      <c r="E1995" t="s">
        <v>130</v>
      </c>
      <c r="F1995" t="s">
        <v>16</v>
      </c>
      <c r="G1995" t="s">
        <v>148</v>
      </c>
      <c r="H1995">
        <v>4</v>
      </c>
      <c r="I1995">
        <v>694.6</v>
      </c>
      <c r="J1995">
        <v>2778.4</v>
      </c>
      <c r="K1995" t="s">
        <v>1174</v>
      </c>
      <c r="L1995" t="s">
        <v>28</v>
      </c>
    </row>
    <row r="1996" spans="1:12" x14ac:dyDescent="0.35">
      <c r="A1996" t="s">
        <v>3326</v>
      </c>
      <c r="B1996" t="s">
        <v>586</v>
      </c>
      <c r="C1996" t="s">
        <v>587</v>
      </c>
      <c r="D1996" t="s">
        <v>23</v>
      </c>
      <c r="E1996" t="s">
        <v>24</v>
      </c>
      <c r="F1996" t="s">
        <v>16</v>
      </c>
      <c r="G1996" t="s">
        <v>17</v>
      </c>
      <c r="H1996">
        <v>5</v>
      </c>
      <c r="I1996">
        <v>907.43</v>
      </c>
      <c r="J1996">
        <v>4537.1499999999996</v>
      </c>
      <c r="K1996" t="s">
        <v>1348</v>
      </c>
      <c r="L1996" t="s">
        <v>28</v>
      </c>
    </row>
    <row r="1997" spans="1:12" x14ac:dyDescent="0.35">
      <c r="A1997" t="s">
        <v>3327</v>
      </c>
      <c r="B1997" t="s">
        <v>1307</v>
      </c>
      <c r="C1997" t="s">
        <v>1308</v>
      </c>
      <c r="D1997" t="s">
        <v>32</v>
      </c>
      <c r="E1997" t="s">
        <v>61</v>
      </c>
      <c r="F1997" t="s">
        <v>25</v>
      </c>
      <c r="G1997" t="s">
        <v>26</v>
      </c>
      <c r="H1997">
        <v>5</v>
      </c>
      <c r="I1997">
        <v>1127.3800000000001</v>
      </c>
      <c r="J1997">
        <v>5636.9</v>
      </c>
      <c r="K1997" t="s">
        <v>1518</v>
      </c>
      <c r="L1997" t="s">
        <v>28</v>
      </c>
    </row>
    <row r="1998" spans="1:12" x14ac:dyDescent="0.35">
      <c r="A1998" t="s">
        <v>3328</v>
      </c>
      <c r="B1998" t="s">
        <v>1677</v>
      </c>
      <c r="C1998" t="s">
        <v>1678</v>
      </c>
      <c r="D1998" t="s">
        <v>32</v>
      </c>
      <c r="E1998" t="s">
        <v>61</v>
      </c>
      <c r="F1998" t="s">
        <v>16</v>
      </c>
      <c r="G1998" t="s">
        <v>230</v>
      </c>
      <c r="H1998">
        <v>4</v>
      </c>
      <c r="I1998">
        <v>1438.86</v>
      </c>
      <c r="J1998">
        <v>5755.44</v>
      </c>
      <c r="K1998" t="s">
        <v>1254</v>
      </c>
      <c r="L1998" t="s">
        <v>91</v>
      </c>
    </row>
    <row r="1999" spans="1:12" x14ac:dyDescent="0.35">
      <c r="A1999" t="s">
        <v>3329</v>
      </c>
      <c r="B1999" t="s">
        <v>223</v>
      </c>
      <c r="C1999" t="s">
        <v>224</v>
      </c>
      <c r="D1999" t="s">
        <v>32</v>
      </c>
      <c r="E1999" t="s">
        <v>61</v>
      </c>
      <c r="F1999" t="s">
        <v>25</v>
      </c>
      <c r="G1999" t="s">
        <v>139</v>
      </c>
      <c r="H1999">
        <v>4</v>
      </c>
      <c r="I1999">
        <v>1151.3399999999999</v>
      </c>
      <c r="J1999">
        <v>4605.3599999999997</v>
      </c>
      <c r="K1999" t="s">
        <v>289</v>
      </c>
      <c r="L1999" t="s">
        <v>19</v>
      </c>
    </row>
    <row r="2000" spans="1:12" x14ac:dyDescent="0.35">
      <c r="A2000" t="s">
        <v>3330</v>
      </c>
      <c r="B2000" t="s">
        <v>443</v>
      </c>
      <c r="C2000" t="s">
        <v>444</v>
      </c>
      <c r="D2000" t="s">
        <v>32</v>
      </c>
      <c r="E2000" t="s">
        <v>33</v>
      </c>
      <c r="F2000" t="s">
        <v>101</v>
      </c>
      <c r="G2000" t="s">
        <v>373</v>
      </c>
      <c r="H2000">
        <v>3</v>
      </c>
      <c r="I2000">
        <v>1182.57</v>
      </c>
      <c r="J2000">
        <v>3547.71</v>
      </c>
      <c r="K2000" t="s">
        <v>1889</v>
      </c>
      <c r="L2000" t="s">
        <v>19</v>
      </c>
    </row>
    <row r="2001" spans="1:12" x14ac:dyDescent="0.35">
      <c r="A2001" t="s">
        <v>3331</v>
      </c>
      <c r="B2001" t="s">
        <v>38</v>
      </c>
      <c r="C2001" t="s">
        <v>39</v>
      </c>
      <c r="D2001" t="s">
        <v>40</v>
      </c>
      <c r="E2001" t="s">
        <v>120</v>
      </c>
      <c r="F2001" t="s">
        <v>50</v>
      </c>
      <c r="G2001" t="s">
        <v>170</v>
      </c>
      <c r="H2001">
        <v>3</v>
      </c>
      <c r="I2001">
        <v>66.58</v>
      </c>
      <c r="J2001">
        <v>199.74</v>
      </c>
      <c r="K2001" t="s">
        <v>538</v>
      </c>
      <c r="L2001" t="s">
        <v>36</v>
      </c>
    </row>
    <row r="2002" spans="1:12" x14ac:dyDescent="0.35">
      <c r="A2002" t="s">
        <v>3332</v>
      </c>
      <c r="B2002" t="s">
        <v>618</v>
      </c>
      <c r="C2002" t="s">
        <v>619</v>
      </c>
      <c r="D2002" t="s">
        <v>14</v>
      </c>
      <c r="E2002" t="s">
        <v>125</v>
      </c>
      <c r="F2002" t="s">
        <v>16</v>
      </c>
      <c r="G2002" t="s">
        <v>17</v>
      </c>
      <c r="H2002">
        <v>2</v>
      </c>
      <c r="I2002">
        <v>1070.68</v>
      </c>
      <c r="J2002">
        <v>2141.36</v>
      </c>
      <c r="K2002" t="s">
        <v>1569</v>
      </c>
      <c r="L2002" t="s">
        <v>36</v>
      </c>
    </row>
    <row r="2003" spans="1:12" x14ac:dyDescent="0.35">
      <c r="A2003" t="s">
        <v>3333</v>
      </c>
      <c r="B2003" t="s">
        <v>429</v>
      </c>
      <c r="C2003" t="s">
        <v>430</v>
      </c>
      <c r="D2003" t="s">
        <v>23</v>
      </c>
      <c r="E2003" t="s">
        <v>338</v>
      </c>
      <c r="F2003" t="s">
        <v>101</v>
      </c>
      <c r="G2003" t="s">
        <v>102</v>
      </c>
      <c r="H2003">
        <v>5</v>
      </c>
      <c r="I2003">
        <v>478.38</v>
      </c>
      <c r="J2003">
        <v>2391.9</v>
      </c>
      <c r="K2003" t="s">
        <v>2140</v>
      </c>
      <c r="L2003" t="s">
        <v>45</v>
      </c>
    </row>
    <row r="2004" spans="1:12" x14ac:dyDescent="0.35">
      <c r="A2004" t="s">
        <v>3334</v>
      </c>
      <c r="B2004" t="s">
        <v>742</v>
      </c>
      <c r="C2004" t="s">
        <v>743</v>
      </c>
      <c r="D2004" t="s">
        <v>40</v>
      </c>
      <c r="E2004" t="s">
        <v>120</v>
      </c>
      <c r="F2004" t="s">
        <v>25</v>
      </c>
      <c r="G2004" t="s">
        <v>26</v>
      </c>
      <c r="H2004">
        <v>4</v>
      </c>
      <c r="I2004">
        <v>251.48</v>
      </c>
      <c r="J2004">
        <v>1005.92</v>
      </c>
      <c r="K2004" t="s">
        <v>1040</v>
      </c>
      <c r="L2004" t="s">
        <v>36</v>
      </c>
    </row>
    <row r="2005" spans="1:12" x14ac:dyDescent="0.35">
      <c r="A2005" t="s">
        <v>3335</v>
      </c>
      <c r="B2005" t="s">
        <v>842</v>
      </c>
      <c r="C2005" t="s">
        <v>843</v>
      </c>
      <c r="D2005" t="s">
        <v>67</v>
      </c>
      <c r="E2005" t="s">
        <v>130</v>
      </c>
      <c r="F2005" t="s">
        <v>16</v>
      </c>
      <c r="G2005" t="s">
        <v>177</v>
      </c>
      <c r="H2005">
        <v>4</v>
      </c>
      <c r="I2005">
        <v>1089.8800000000001</v>
      </c>
      <c r="J2005">
        <v>4359.5200000000004</v>
      </c>
      <c r="K2005" t="s">
        <v>1157</v>
      </c>
      <c r="L2005" t="s">
        <v>91</v>
      </c>
    </row>
    <row r="2006" spans="1:12" x14ac:dyDescent="0.35">
      <c r="A2006" t="s">
        <v>3336</v>
      </c>
      <c r="B2006" t="s">
        <v>1516</v>
      </c>
      <c r="C2006" t="s">
        <v>1517</v>
      </c>
      <c r="D2006" t="s">
        <v>32</v>
      </c>
      <c r="E2006" t="s">
        <v>33</v>
      </c>
      <c r="F2006" t="s">
        <v>101</v>
      </c>
      <c r="G2006" t="s">
        <v>102</v>
      </c>
      <c r="H2006">
        <v>4</v>
      </c>
      <c r="I2006">
        <v>388.58</v>
      </c>
      <c r="J2006">
        <v>1554.32</v>
      </c>
      <c r="K2006" t="s">
        <v>647</v>
      </c>
      <c r="L2006" t="s">
        <v>28</v>
      </c>
    </row>
    <row r="2007" spans="1:12" x14ac:dyDescent="0.35">
      <c r="A2007" t="s">
        <v>3337</v>
      </c>
      <c r="B2007" t="s">
        <v>273</v>
      </c>
      <c r="C2007" t="s">
        <v>274</v>
      </c>
      <c r="D2007" t="s">
        <v>32</v>
      </c>
      <c r="E2007" t="s">
        <v>203</v>
      </c>
      <c r="F2007" t="s">
        <v>50</v>
      </c>
      <c r="G2007" t="s">
        <v>56</v>
      </c>
      <c r="H2007">
        <v>2</v>
      </c>
      <c r="I2007">
        <v>1275.74</v>
      </c>
      <c r="J2007">
        <v>2551.48</v>
      </c>
      <c r="K2007" t="s">
        <v>1266</v>
      </c>
      <c r="L2007" t="s">
        <v>45</v>
      </c>
    </row>
    <row r="2008" spans="1:12" x14ac:dyDescent="0.35">
      <c r="A2008" t="s">
        <v>3338</v>
      </c>
      <c r="B2008" t="s">
        <v>759</v>
      </c>
      <c r="C2008" t="s">
        <v>760</v>
      </c>
      <c r="D2008" t="s">
        <v>32</v>
      </c>
      <c r="E2008" t="s">
        <v>33</v>
      </c>
      <c r="F2008" t="s">
        <v>42</v>
      </c>
      <c r="G2008" t="s">
        <v>89</v>
      </c>
      <c r="H2008">
        <v>2</v>
      </c>
      <c r="I2008">
        <v>867.61</v>
      </c>
      <c r="J2008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r="B2009" t="s">
        <v>1144</v>
      </c>
      <c r="C2009" t="s">
        <v>1145</v>
      </c>
      <c r="D2009" t="s">
        <v>23</v>
      </c>
      <c r="E2009" t="s">
        <v>338</v>
      </c>
      <c r="F2009" t="s">
        <v>16</v>
      </c>
      <c r="G2009" t="s">
        <v>17</v>
      </c>
      <c r="H2009">
        <v>2</v>
      </c>
      <c r="I2009">
        <v>415.35</v>
      </c>
      <c r="J2009">
        <v>830.7</v>
      </c>
      <c r="K2009" t="s">
        <v>840</v>
      </c>
      <c r="L2009" t="s">
        <v>19</v>
      </c>
    </row>
    <row r="2010" spans="1:12" x14ac:dyDescent="0.35">
      <c r="A2010" t="s">
        <v>3340</v>
      </c>
      <c r="B2010" t="s">
        <v>93</v>
      </c>
      <c r="C2010" t="s">
        <v>94</v>
      </c>
      <c r="D2010" t="s">
        <v>40</v>
      </c>
      <c r="E2010" t="s">
        <v>120</v>
      </c>
      <c r="F2010" t="s">
        <v>16</v>
      </c>
      <c r="G2010" t="s">
        <v>17</v>
      </c>
      <c r="H2010">
        <v>5</v>
      </c>
      <c r="I2010">
        <v>1336.34</v>
      </c>
      <c r="J2010">
        <v>6681.7</v>
      </c>
      <c r="K2010" t="s">
        <v>3341</v>
      </c>
      <c r="L2010" t="s">
        <v>19</v>
      </c>
    </row>
    <row r="2011" spans="1:12" x14ac:dyDescent="0.35">
      <c r="A2011" t="s">
        <v>3342</v>
      </c>
      <c r="B2011" t="s">
        <v>128</v>
      </c>
      <c r="C2011" t="s">
        <v>129</v>
      </c>
      <c r="D2011" t="s">
        <v>67</v>
      </c>
      <c r="E2011" t="s">
        <v>115</v>
      </c>
      <c r="F2011" t="s">
        <v>42</v>
      </c>
      <c r="G2011" t="s">
        <v>225</v>
      </c>
      <c r="H2011">
        <v>4</v>
      </c>
      <c r="I2011">
        <v>906.38</v>
      </c>
      <c r="J2011">
        <v>3625.52</v>
      </c>
      <c r="K2011" t="s">
        <v>279</v>
      </c>
      <c r="L2011" t="s">
        <v>19</v>
      </c>
    </row>
    <row r="2012" spans="1:12" x14ac:dyDescent="0.35">
      <c r="A2012" t="s">
        <v>3343</v>
      </c>
      <c r="B2012" t="s">
        <v>1024</v>
      </c>
      <c r="C2012" t="s">
        <v>1025</v>
      </c>
      <c r="D2012" t="s">
        <v>32</v>
      </c>
      <c r="E2012" t="s">
        <v>61</v>
      </c>
      <c r="F2012" t="s">
        <v>25</v>
      </c>
      <c r="G2012" t="s">
        <v>62</v>
      </c>
      <c r="H2012">
        <v>2</v>
      </c>
      <c r="I2012">
        <v>202</v>
      </c>
      <c r="J2012">
        <v>404</v>
      </c>
      <c r="K2012" t="s">
        <v>3344</v>
      </c>
      <c r="L2012" t="s">
        <v>91</v>
      </c>
    </row>
    <row r="2013" spans="1:12" x14ac:dyDescent="0.35">
      <c r="A2013" t="s">
        <v>3345</v>
      </c>
      <c r="B2013" t="s">
        <v>159</v>
      </c>
      <c r="C2013" t="s">
        <v>160</v>
      </c>
      <c r="D2013" t="s">
        <v>14</v>
      </c>
      <c r="E2013" t="s">
        <v>95</v>
      </c>
      <c r="F2013" t="s">
        <v>42</v>
      </c>
      <c r="G2013" t="s">
        <v>80</v>
      </c>
      <c r="H2013">
        <v>3</v>
      </c>
      <c r="I2013">
        <v>65.06</v>
      </c>
      <c r="J2013">
        <v>195.18</v>
      </c>
      <c r="K2013" t="s">
        <v>3346</v>
      </c>
      <c r="L2013" t="s">
        <v>19</v>
      </c>
    </row>
    <row r="2014" spans="1:12" x14ac:dyDescent="0.35">
      <c r="A2014" t="s">
        <v>3347</v>
      </c>
      <c r="B2014" t="s">
        <v>392</v>
      </c>
      <c r="C2014" t="s">
        <v>393</v>
      </c>
      <c r="D2014" t="s">
        <v>32</v>
      </c>
      <c r="E2014" t="s">
        <v>203</v>
      </c>
      <c r="F2014" t="s">
        <v>42</v>
      </c>
      <c r="G2014" t="s">
        <v>43</v>
      </c>
      <c r="H2014">
        <v>1</v>
      </c>
      <c r="I2014">
        <v>224.69</v>
      </c>
      <c r="J2014">
        <v>224.69</v>
      </c>
      <c r="K2014" t="s">
        <v>1898</v>
      </c>
      <c r="L2014" t="s">
        <v>36</v>
      </c>
    </row>
    <row r="2015" spans="1:12" x14ac:dyDescent="0.35">
      <c r="A2015" t="s">
        <v>3348</v>
      </c>
      <c r="B2015" t="s">
        <v>574</v>
      </c>
      <c r="C2015" t="s">
        <v>575</v>
      </c>
      <c r="D2015" t="s">
        <v>23</v>
      </c>
      <c r="E2015" t="s">
        <v>338</v>
      </c>
      <c r="F2015" t="s">
        <v>25</v>
      </c>
      <c r="G2015" t="s">
        <v>74</v>
      </c>
      <c r="H2015">
        <v>2</v>
      </c>
      <c r="I2015">
        <v>736.76</v>
      </c>
      <c r="J2015">
        <v>1473.52</v>
      </c>
      <c r="K2015" t="s">
        <v>2276</v>
      </c>
      <c r="L2015" t="s">
        <v>19</v>
      </c>
    </row>
    <row r="2016" spans="1:12" x14ac:dyDescent="0.35">
      <c r="A2016" t="s">
        <v>3349</v>
      </c>
      <c r="B2016" t="s">
        <v>1662</v>
      </c>
      <c r="C2016" t="s">
        <v>1663</v>
      </c>
      <c r="D2016" t="s">
        <v>40</v>
      </c>
      <c r="E2016" t="s">
        <v>41</v>
      </c>
      <c r="F2016" t="s">
        <v>25</v>
      </c>
      <c r="G2016" t="s">
        <v>62</v>
      </c>
      <c r="H2016">
        <v>4</v>
      </c>
      <c r="I2016">
        <v>747.41</v>
      </c>
      <c r="J2016">
        <v>2989.64</v>
      </c>
      <c r="K2016" t="s">
        <v>2142</v>
      </c>
      <c r="L2016" t="s">
        <v>45</v>
      </c>
    </row>
    <row r="2017" spans="1:12" x14ac:dyDescent="0.35">
      <c r="A2017" t="s">
        <v>3350</v>
      </c>
      <c r="B2017" t="s">
        <v>189</v>
      </c>
      <c r="C2017" t="s">
        <v>190</v>
      </c>
      <c r="D2017" t="s">
        <v>23</v>
      </c>
      <c r="E2017" t="s">
        <v>338</v>
      </c>
      <c r="F2017" t="s">
        <v>42</v>
      </c>
      <c r="G2017" t="s">
        <v>43</v>
      </c>
      <c r="H2017">
        <v>3</v>
      </c>
      <c r="I2017">
        <v>1388.19</v>
      </c>
      <c r="J2017">
        <v>4164.57</v>
      </c>
      <c r="K2017" t="s">
        <v>472</v>
      </c>
      <c r="L2017" t="s">
        <v>45</v>
      </c>
    </row>
    <row r="2018" spans="1:12" x14ac:dyDescent="0.35">
      <c r="A2018" t="s">
        <v>3351</v>
      </c>
      <c r="B2018" t="s">
        <v>1828</v>
      </c>
      <c r="C2018" t="s">
        <v>1829</v>
      </c>
      <c r="D2018" t="s">
        <v>23</v>
      </c>
      <c r="E2018" t="s">
        <v>49</v>
      </c>
      <c r="F2018" t="s">
        <v>50</v>
      </c>
      <c r="G2018" t="s">
        <v>170</v>
      </c>
      <c r="H2018">
        <v>4</v>
      </c>
      <c r="I2018">
        <v>1306.75</v>
      </c>
      <c r="J2018">
        <v>5227</v>
      </c>
      <c r="K2018" t="s">
        <v>1032</v>
      </c>
      <c r="L2018" t="s">
        <v>28</v>
      </c>
    </row>
    <row r="2019" spans="1:12" x14ac:dyDescent="0.35">
      <c r="A2019" t="s">
        <v>3352</v>
      </c>
      <c r="B2019" t="s">
        <v>384</v>
      </c>
      <c r="C2019" t="s">
        <v>385</v>
      </c>
      <c r="D2019" t="s">
        <v>14</v>
      </c>
      <c r="E2019" t="s">
        <v>95</v>
      </c>
      <c r="F2019" t="s">
        <v>42</v>
      </c>
      <c r="G2019" t="s">
        <v>89</v>
      </c>
      <c r="H2019">
        <v>2</v>
      </c>
      <c r="I2019">
        <v>5.45</v>
      </c>
      <c r="J2019">
        <v>10.9</v>
      </c>
      <c r="K2019" t="s">
        <v>2108</v>
      </c>
      <c r="L2019" t="s">
        <v>19</v>
      </c>
    </row>
    <row r="2020" spans="1:12" x14ac:dyDescent="0.35">
      <c r="A2020" t="s">
        <v>3353</v>
      </c>
      <c r="B2020" t="s">
        <v>1149</v>
      </c>
      <c r="C2020" t="s">
        <v>1150</v>
      </c>
      <c r="D2020" t="s">
        <v>40</v>
      </c>
      <c r="E2020" t="s">
        <v>79</v>
      </c>
      <c r="F2020" t="s">
        <v>16</v>
      </c>
      <c r="G2020" t="s">
        <v>230</v>
      </c>
      <c r="H2020">
        <v>4</v>
      </c>
      <c r="I2020">
        <v>1322.01</v>
      </c>
      <c r="J2020">
        <v>5288.04</v>
      </c>
      <c r="K2020" t="s">
        <v>1737</v>
      </c>
      <c r="L2020" t="s">
        <v>45</v>
      </c>
    </row>
    <row r="2021" spans="1:12" x14ac:dyDescent="0.35">
      <c r="A2021" t="s">
        <v>3354</v>
      </c>
      <c r="B2021" t="s">
        <v>922</v>
      </c>
      <c r="C2021" t="s">
        <v>923</v>
      </c>
      <c r="D2021" t="s">
        <v>67</v>
      </c>
      <c r="E2021" t="s">
        <v>68</v>
      </c>
      <c r="F2021" t="s">
        <v>16</v>
      </c>
      <c r="G2021" t="s">
        <v>230</v>
      </c>
      <c r="H2021">
        <v>4</v>
      </c>
      <c r="I2021">
        <v>796.63</v>
      </c>
      <c r="J2021">
        <v>3186.52</v>
      </c>
      <c r="K2021" t="s">
        <v>773</v>
      </c>
      <c r="L2021" t="s">
        <v>19</v>
      </c>
    </row>
    <row r="2022" spans="1:12" x14ac:dyDescent="0.35">
      <c r="A2022" t="s">
        <v>3355</v>
      </c>
      <c r="B2022" t="s">
        <v>1179</v>
      </c>
      <c r="C2022" t="s">
        <v>1180</v>
      </c>
      <c r="D2022" t="s">
        <v>40</v>
      </c>
      <c r="E2022" t="s">
        <v>120</v>
      </c>
      <c r="F2022" t="s">
        <v>50</v>
      </c>
      <c r="G2022" t="s">
        <v>69</v>
      </c>
      <c r="H2022">
        <v>2</v>
      </c>
      <c r="I2022">
        <v>276.58999999999997</v>
      </c>
      <c r="J2022">
        <v>553.17999999999995</v>
      </c>
      <c r="K2022" t="s">
        <v>3356</v>
      </c>
      <c r="L2022" t="s">
        <v>45</v>
      </c>
    </row>
    <row r="2023" spans="1:12" x14ac:dyDescent="0.35">
      <c r="A2023" t="s">
        <v>3357</v>
      </c>
      <c r="B2023" t="s">
        <v>260</v>
      </c>
      <c r="C2023" t="s">
        <v>261</v>
      </c>
      <c r="D2023" t="s">
        <v>23</v>
      </c>
      <c r="E2023" t="s">
        <v>49</v>
      </c>
      <c r="F2023" t="s">
        <v>25</v>
      </c>
      <c r="G2023" t="s">
        <v>26</v>
      </c>
      <c r="H2023">
        <v>2</v>
      </c>
      <c r="I2023">
        <v>735.27</v>
      </c>
      <c r="J2023">
        <v>1470.54</v>
      </c>
      <c r="K2023" t="s">
        <v>3286</v>
      </c>
      <c r="L2023" t="s">
        <v>91</v>
      </c>
    </row>
    <row r="2024" spans="1:12" x14ac:dyDescent="0.35">
      <c r="A2024" t="s">
        <v>3358</v>
      </c>
      <c r="B2024" t="s">
        <v>960</v>
      </c>
      <c r="C2024" t="s">
        <v>961</v>
      </c>
      <c r="D2024" t="s">
        <v>23</v>
      </c>
      <c r="E2024" t="s">
        <v>24</v>
      </c>
      <c r="F2024" t="s">
        <v>42</v>
      </c>
      <c r="G2024" t="s">
        <v>225</v>
      </c>
      <c r="H2024">
        <v>1</v>
      </c>
      <c r="I2024">
        <v>464.66</v>
      </c>
      <c r="J2024">
        <v>464.66</v>
      </c>
      <c r="K2024" t="s">
        <v>35</v>
      </c>
      <c r="L2024" t="s">
        <v>19</v>
      </c>
    </row>
    <row r="2025" spans="1:12" x14ac:dyDescent="0.35">
      <c r="A2025" t="s">
        <v>3359</v>
      </c>
      <c r="B2025" t="s">
        <v>832</v>
      </c>
      <c r="C2025" t="s">
        <v>833</v>
      </c>
      <c r="D2025" t="s">
        <v>14</v>
      </c>
      <c r="E2025" t="s">
        <v>95</v>
      </c>
      <c r="F2025" t="s">
        <v>25</v>
      </c>
      <c r="G2025" t="s">
        <v>26</v>
      </c>
      <c r="H2025">
        <v>4</v>
      </c>
      <c r="I2025">
        <v>785.14</v>
      </c>
      <c r="J2025">
        <v>3140.56</v>
      </c>
      <c r="K2025" t="s">
        <v>822</v>
      </c>
      <c r="L2025" t="s">
        <v>45</v>
      </c>
    </row>
    <row r="2026" spans="1:12" x14ac:dyDescent="0.35">
      <c r="A2026" t="s">
        <v>3360</v>
      </c>
      <c r="B2026" t="s">
        <v>303</v>
      </c>
      <c r="C2026" t="s">
        <v>304</v>
      </c>
      <c r="D2026" t="s">
        <v>23</v>
      </c>
      <c r="E2026" t="s">
        <v>49</v>
      </c>
      <c r="F2026" t="s">
        <v>25</v>
      </c>
      <c r="G2026" t="s">
        <v>139</v>
      </c>
      <c r="H2026">
        <v>5</v>
      </c>
      <c r="I2026">
        <v>1200.78</v>
      </c>
      <c r="J2026">
        <v>6003.9</v>
      </c>
      <c r="K2026" t="s">
        <v>238</v>
      </c>
      <c r="L2026" t="s">
        <v>36</v>
      </c>
    </row>
    <row r="2027" spans="1:12" x14ac:dyDescent="0.35">
      <c r="A2027" t="s">
        <v>3361</v>
      </c>
      <c r="B2027" t="s">
        <v>355</v>
      </c>
      <c r="C2027" t="s">
        <v>356</v>
      </c>
      <c r="D2027" t="s">
        <v>32</v>
      </c>
      <c r="E2027" t="s">
        <v>203</v>
      </c>
      <c r="F2027" t="s">
        <v>101</v>
      </c>
      <c r="G2027" t="s">
        <v>165</v>
      </c>
      <c r="H2027">
        <v>4</v>
      </c>
      <c r="I2027">
        <v>306.56</v>
      </c>
      <c r="J2027">
        <v>1226.24</v>
      </c>
      <c r="K2027" t="s">
        <v>400</v>
      </c>
      <c r="L2027" t="s">
        <v>45</v>
      </c>
    </row>
    <row r="2028" spans="1:12" x14ac:dyDescent="0.35">
      <c r="A2028" t="s">
        <v>3362</v>
      </c>
      <c r="B2028" t="s">
        <v>1079</v>
      </c>
      <c r="C2028" t="s">
        <v>1080</v>
      </c>
      <c r="D2028" t="s">
        <v>23</v>
      </c>
      <c r="E2028" t="s">
        <v>49</v>
      </c>
      <c r="F2028" t="s">
        <v>25</v>
      </c>
      <c r="G2028" t="s">
        <v>34</v>
      </c>
      <c r="H2028">
        <v>2</v>
      </c>
      <c r="I2028">
        <v>468.89</v>
      </c>
      <c r="J2028">
        <v>937.78</v>
      </c>
      <c r="K2028" t="s">
        <v>327</v>
      </c>
      <c r="L2028" t="s">
        <v>91</v>
      </c>
    </row>
    <row r="2029" spans="1:12" x14ac:dyDescent="0.35">
      <c r="A2029" t="s">
        <v>3363</v>
      </c>
      <c r="B2029" t="s">
        <v>1024</v>
      </c>
      <c r="C2029" t="s">
        <v>1025</v>
      </c>
      <c r="D2029" t="s">
        <v>14</v>
      </c>
      <c r="E2029" t="s">
        <v>15</v>
      </c>
      <c r="F2029" t="s">
        <v>101</v>
      </c>
      <c r="G2029" t="s">
        <v>237</v>
      </c>
      <c r="H2029">
        <v>1</v>
      </c>
      <c r="I2029">
        <v>1454.45</v>
      </c>
      <c r="J2029">
        <v>1454.45</v>
      </c>
      <c r="K2029" t="s">
        <v>2060</v>
      </c>
      <c r="L2029" t="s">
        <v>19</v>
      </c>
    </row>
    <row r="2030" spans="1:12" x14ac:dyDescent="0.35">
      <c r="A2030" t="s">
        <v>3364</v>
      </c>
      <c r="B2030" t="s">
        <v>1046</v>
      </c>
      <c r="C2030" t="s">
        <v>1047</v>
      </c>
      <c r="D2030" t="s">
        <v>32</v>
      </c>
      <c r="E2030" t="s">
        <v>61</v>
      </c>
      <c r="F2030" t="s">
        <v>50</v>
      </c>
      <c r="G2030" t="s">
        <v>170</v>
      </c>
      <c r="H2030">
        <v>5</v>
      </c>
      <c r="I2030">
        <v>879.48</v>
      </c>
      <c r="J2030">
        <v>4397.3999999999996</v>
      </c>
      <c r="K2030" t="s">
        <v>1014</v>
      </c>
      <c r="L2030" t="s">
        <v>36</v>
      </c>
    </row>
    <row r="2031" spans="1:12" x14ac:dyDescent="0.35">
      <c r="A2031" t="s">
        <v>3365</v>
      </c>
      <c r="B2031" t="s">
        <v>47</v>
      </c>
      <c r="C2031" t="s">
        <v>48</v>
      </c>
      <c r="D2031" t="s">
        <v>40</v>
      </c>
      <c r="E2031" t="s">
        <v>120</v>
      </c>
      <c r="F2031" t="s">
        <v>50</v>
      </c>
      <c r="G2031" t="s">
        <v>170</v>
      </c>
      <c r="H2031">
        <v>3</v>
      </c>
      <c r="I2031">
        <v>1006.99</v>
      </c>
      <c r="J2031">
        <v>3020.97</v>
      </c>
      <c r="K2031" t="s">
        <v>2831</v>
      </c>
      <c r="L2031" t="s">
        <v>36</v>
      </c>
    </row>
    <row r="2032" spans="1:12" x14ac:dyDescent="0.35">
      <c r="A2032" t="s">
        <v>3366</v>
      </c>
      <c r="B2032" t="s">
        <v>1523</v>
      </c>
      <c r="C2032" t="s">
        <v>1524</v>
      </c>
      <c r="D2032" t="s">
        <v>32</v>
      </c>
      <c r="E2032" t="s">
        <v>61</v>
      </c>
      <c r="F2032" t="s">
        <v>50</v>
      </c>
      <c r="G2032" t="s">
        <v>56</v>
      </c>
      <c r="H2032">
        <v>3</v>
      </c>
      <c r="I2032">
        <v>12.81</v>
      </c>
      <c r="J2032">
        <v>38.43</v>
      </c>
      <c r="K2032" t="s">
        <v>1585</v>
      </c>
      <c r="L2032" t="s">
        <v>91</v>
      </c>
    </row>
    <row r="2033" spans="1:12" x14ac:dyDescent="0.35">
      <c r="A2033" t="s">
        <v>3367</v>
      </c>
      <c r="B2033" t="s">
        <v>355</v>
      </c>
      <c r="C2033" t="s">
        <v>356</v>
      </c>
      <c r="D2033" t="s">
        <v>23</v>
      </c>
      <c r="E2033" t="s">
        <v>338</v>
      </c>
      <c r="F2033" t="s">
        <v>42</v>
      </c>
      <c r="G2033" t="s">
        <v>43</v>
      </c>
      <c r="H2033">
        <v>2</v>
      </c>
      <c r="I2033">
        <v>18.79</v>
      </c>
      <c r="J2033">
        <v>37.58</v>
      </c>
      <c r="K2033" t="s">
        <v>1069</v>
      </c>
      <c r="L2033" t="s">
        <v>45</v>
      </c>
    </row>
    <row r="2034" spans="1:12" x14ac:dyDescent="0.35">
      <c r="A2034" t="s">
        <v>3368</v>
      </c>
      <c r="B2034" t="s">
        <v>1196</v>
      </c>
      <c r="C2034" t="s">
        <v>1197</v>
      </c>
      <c r="D2034" t="s">
        <v>23</v>
      </c>
      <c r="E2034" t="s">
        <v>49</v>
      </c>
      <c r="F2034" t="s">
        <v>101</v>
      </c>
      <c r="G2034" t="s">
        <v>165</v>
      </c>
      <c r="H2034">
        <v>1</v>
      </c>
      <c r="I2034">
        <v>185.02</v>
      </c>
      <c r="J2034">
        <v>185.02</v>
      </c>
      <c r="K2034" t="s">
        <v>250</v>
      </c>
      <c r="L2034" t="s">
        <v>19</v>
      </c>
    </row>
    <row r="2035" spans="1:12" x14ac:dyDescent="0.35">
      <c r="A2035" t="s">
        <v>3369</v>
      </c>
      <c r="B2035" t="s">
        <v>105</v>
      </c>
      <c r="C2035" t="s">
        <v>106</v>
      </c>
      <c r="D2035" t="s">
        <v>67</v>
      </c>
      <c r="E2035" t="s">
        <v>68</v>
      </c>
      <c r="F2035" t="s">
        <v>101</v>
      </c>
      <c r="G2035" t="s">
        <v>102</v>
      </c>
      <c r="H2035">
        <v>3</v>
      </c>
      <c r="I2035">
        <v>113.81</v>
      </c>
      <c r="J2035">
        <v>341.43</v>
      </c>
      <c r="K2035" t="s">
        <v>1737</v>
      </c>
      <c r="L2035" t="s">
        <v>91</v>
      </c>
    </row>
    <row r="2036" spans="1:12" x14ac:dyDescent="0.35">
      <c r="A2036" t="s">
        <v>3370</v>
      </c>
      <c r="B2036" t="s">
        <v>574</v>
      </c>
      <c r="C2036" t="s">
        <v>575</v>
      </c>
      <c r="D2036" t="s">
        <v>67</v>
      </c>
      <c r="E2036" t="s">
        <v>68</v>
      </c>
      <c r="F2036" t="s">
        <v>50</v>
      </c>
      <c r="G2036" t="s">
        <v>56</v>
      </c>
      <c r="H2036">
        <v>2</v>
      </c>
      <c r="I2036">
        <v>1317.7</v>
      </c>
      <c r="J2036">
        <v>2635.4</v>
      </c>
      <c r="K2036" t="s">
        <v>398</v>
      </c>
      <c r="L2036" t="s">
        <v>36</v>
      </c>
    </row>
    <row r="2037" spans="1:12" x14ac:dyDescent="0.35">
      <c r="A2037" t="s">
        <v>3371</v>
      </c>
      <c r="B2037" t="s">
        <v>113</v>
      </c>
      <c r="C2037" t="s">
        <v>114</v>
      </c>
      <c r="D2037" t="s">
        <v>40</v>
      </c>
      <c r="E2037" t="s">
        <v>120</v>
      </c>
      <c r="F2037" t="s">
        <v>101</v>
      </c>
      <c r="G2037" t="s">
        <v>102</v>
      </c>
      <c r="H2037">
        <v>3</v>
      </c>
      <c r="I2037">
        <v>994.35</v>
      </c>
      <c r="J2037">
        <v>2983.05</v>
      </c>
      <c r="K2037" t="s">
        <v>1350</v>
      </c>
      <c r="L2037" t="s">
        <v>45</v>
      </c>
    </row>
    <row r="2038" spans="1:12" x14ac:dyDescent="0.35">
      <c r="A2038" t="s">
        <v>3372</v>
      </c>
      <c r="B2038" t="s">
        <v>173</v>
      </c>
      <c r="C2038" t="s">
        <v>174</v>
      </c>
      <c r="D2038" t="s">
        <v>67</v>
      </c>
      <c r="E2038" t="s">
        <v>130</v>
      </c>
      <c r="F2038" t="s">
        <v>16</v>
      </c>
      <c r="G2038" t="s">
        <v>177</v>
      </c>
      <c r="H2038">
        <v>4</v>
      </c>
      <c r="I2038">
        <v>416.09</v>
      </c>
      <c r="J2038">
        <v>1664.36</v>
      </c>
      <c r="K2038" t="s">
        <v>1805</v>
      </c>
      <c r="L2038" t="s">
        <v>36</v>
      </c>
    </row>
    <row r="2039" spans="1:12" x14ac:dyDescent="0.35">
      <c r="A2039" t="s">
        <v>3373</v>
      </c>
      <c r="B2039" t="s">
        <v>72</v>
      </c>
      <c r="C2039" t="s">
        <v>73</v>
      </c>
      <c r="D2039" t="s">
        <v>23</v>
      </c>
      <c r="E2039" t="s">
        <v>24</v>
      </c>
      <c r="F2039" t="s">
        <v>42</v>
      </c>
      <c r="G2039" t="s">
        <v>43</v>
      </c>
      <c r="H2039">
        <v>4</v>
      </c>
      <c r="I2039">
        <v>405.91</v>
      </c>
      <c r="J2039">
        <v>1623.64</v>
      </c>
      <c r="K2039" t="s">
        <v>2911</v>
      </c>
      <c r="L2039" t="s">
        <v>28</v>
      </c>
    </row>
    <row r="2040" spans="1:12" x14ac:dyDescent="0.35">
      <c r="A2040" t="s">
        <v>3374</v>
      </c>
      <c r="B2040" t="s">
        <v>602</v>
      </c>
      <c r="C2040" t="s">
        <v>603</v>
      </c>
      <c r="D2040" t="s">
        <v>40</v>
      </c>
      <c r="E2040" t="s">
        <v>120</v>
      </c>
      <c r="F2040" t="s">
        <v>16</v>
      </c>
      <c r="G2040" t="s">
        <v>182</v>
      </c>
      <c r="H2040">
        <v>4</v>
      </c>
      <c r="I2040">
        <v>977.81</v>
      </c>
      <c r="J2040">
        <v>3911.24</v>
      </c>
      <c r="K2040" t="s">
        <v>660</v>
      </c>
      <c r="L2040" t="s">
        <v>45</v>
      </c>
    </row>
    <row r="2041" spans="1:12" x14ac:dyDescent="0.35">
      <c r="A2041" t="s">
        <v>3375</v>
      </c>
      <c r="B2041" t="s">
        <v>658</v>
      </c>
      <c r="C2041" t="s">
        <v>659</v>
      </c>
      <c r="D2041" t="s">
        <v>23</v>
      </c>
      <c r="E2041" t="s">
        <v>49</v>
      </c>
      <c r="F2041" t="s">
        <v>16</v>
      </c>
      <c r="G2041" t="s">
        <v>182</v>
      </c>
      <c r="H2041">
        <v>5</v>
      </c>
      <c r="I2041">
        <v>1198.57</v>
      </c>
      <c r="J2041">
        <v>5992.85</v>
      </c>
      <c r="K2041" t="s">
        <v>2648</v>
      </c>
      <c r="L2041" t="s">
        <v>45</v>
      </c>
    </row>
    <row r="2042" spans="1:12" x14ac:dyDescent="0.35">
      <c r="A2042" t="s">
        <v>3376</v>
      </c>
      <c r="B2042" t="s">
        <v>214</v>
      </c>
      <c r="C2042" t="s">
        <v>215</v>
      </c>
      <c r="D2042" t="s">
        <v>40</v>
      </c>
      <c r="E2042" t="s">
        <v>120</v>
      </c>
      <c r="F2042" t="s">
        <v>42</v>
      </c>
      <c r="G2042" t="s">
        <v>43</v>
      </c>
      <c r="H2042">
        <v>3</v>
      </c>
      <c r="I2042">
        <v>223.01</v>
      </c>
      <c r="J2042">
        <v>669.03</v>
      </c>
      <c r="K2042" t="s">
        <v>1629</v>
      </c>
      <c r="L2042" t="s">
        <v>36</v>
      </c>
    </row>
    <row r="2043" spans="1:12" x14ac:dyDescent="0.35">
      <c r="A2043" t="s">
        <v>3377</v>
      </c>
      <c r="B2043" t="s">
        <v>402</v>
      </c>
      <c r="C2043" t="s">
        <v>403</v>
      </c>
      <c r="D2043" t="s">
        <v>32</v>
      </c>
      <c r="E2043" t="s">
        <v>203</v>
      </c>
      <c r="F2043" t="s">
        <v>25</v>
      </c>
      <c r="G2043" t="s">
        <v>62</v>
      </c>
      <c r="H2043">
        <v>5</v>
      </c>
      <c r="I2043">
        <v>747.83</v>
      </c>
      <c r="J2043">
        <v>3739.15</v>
      </c>
      <c r="K2043" t="s">
        <v>2887</v>
      </c>
      <c r="L2043" t="s">
        <v>19</v>
      </c>
    </row>
    <row r="2044" spans="1:12" x14ac:dyDescent="0.35">
      <c r="A2044" t="s">
        <v>3378</v>
      </c>
      <c r="B2044" t="s">
        <v>832</v>
      </c>
      <c r="C2044" t="s">
        <v>833</v>
      </c>
      <c r="D2044" t="s">
        <v>40</v>
      </c>
      <c r="E2044" t="s">
        <v>79</v>
      </c>
      <c r="F2044" t="s">
        <v>50</v>
      </c>
      <c r="G2044" t="s">
        <v>56</v>
      </c>
      <c r="H2044">
        <v>1</v>
      </c>
      <c r="I2044">
        <v>1000.14</v>
      </c>
      <c r="J2044">
        <v>1000.14</v>
      </c>
      <c r="K2044" t="s">
        <v>3097</v>
      </c>
      <c r="L2044" t="s">
        <v>91</v>
      </c>
    </row>
    <row r="2045" spans="1:12" x14ac:dyDescent="0.35">
      <c r="A2045" t="s">
        <v>3379</v>
      </c>
      <c r="B2045" t="s">
        <v>1856</v>
      </c>
      <c r="C2045" t="s">
        <v>1857</v>
      </c>
      <c r="D2045" t="s">
        <v>67</v>
      </c>
      <c r="E2045" t="s">
        <v>115</v>
      </c>
      <c r="F2045" t="s">
        <v>42</v>
      </c>
      <c r="G2045" t="s">
        <v>225</v>
      </c>
      <c r="H2045">
        <v>2</v>
      </c>
      <c r="I2045">
        <v>1059.5899999999999</v>
      </c>
      <c r="J2045">
        <v>2119.1799999999998</v>
      </c>
      <c r="K2045" t="s">
        <v>697</v>
      </c>
      <c r="L2045" t="s">
        <v>91</v>
      </c>
    </row>
    <row r="2046" spans="1:12" x14ac:dyDescent="0.35">
      <c r="A2046" t="s">
        <v>3380</v>
      </c>
      <c r="B2046" t="s">
        <v>742</v>
      </c>
      <c r="C2046" t="s">
        <v>743</v>
      </c>
      <c r="D2046" t="s">
        <v>23</v>
      </c>
      <c r="E2046" t="s">
        <v>49</v>
      </c>
      <c r="F2046" t="s">
        <v>42</v>
      </c>
      <c r="G2046" t="s">
        <v>225</v>
      </c>
      <c r="H2046">
        <v>5</v>
      </c>
      <c r="I2046">
        <v>751.25</v>
      </c>
      <c r="J2046">
        <v>3756.25</v>
      </c>
      <c r="K2046" t="s">
        <v>1809</v>
      </c>
      <c r="L2046" t="s">
        <v>36</v>
      </c>
    </row>
    <row r="2047" spans="1:12" x14ac:dyDescent="0.35">
      <c r="A2047" t="s">
        <v>3381</v>
      </c>
      <c r="B2047" t="s">
        <v>146</v>
      </c>
      <c r="C2047" t="s">
        <v>147</v>
      </c>
      <c r="D2047" t="s">
        <v>67</v>
      </c>
      <c r="E2047" t="s">
        <v>130</v>
      </c>
      <c r="F2047" t="s">
        <v>25</v>
      </c>
      <c r="G2047" t="s">
        <v>34</v>
      </c>
      <c r="H2047">
        <v>3</v>
      </c>
      <c r="I2047">
        <v>114.68</v>
      </c>
      <c r="J2047">
        <v>344.04</v>
      </c>
      <c r="K2047" t="s">
        <v>3382</v>
      </c>
      <c r="L2047" t="s">
        <v>45</v>
      </c>
    </row>
    <row r="2048" spans="1:12" x14ac:dyDescent="0.35">
      <c r="A2048" t="s">
        <v>3383</v>
      </c>
      <c r="B2048" t="s">
        <v>77</v>
      </c>
      <c r="C2048" t="s">
        <v>78</v>
      </c>
      <c r="D2048" t="s">
        <v>23</v>
      </c>
      <c r="E2048" t="s">
        <v>24</v>
      </c>
      <c r="F2048" t="s">
        <v>101</v>
      </c>
      <c r="G2048" t="s">
        <v>373</v>
      </c>
      <c r="H2048">
        <v>2</v>
      </c>
      <c r="I2048">
        <v>1014.88</v>
      </c>
      <c r="J2048">
        <v>2029.76</v>
      </c>
      <c r="K2048" t="s">
        <v>1022</v>
      </c>
      <c r="L2048" t="s">
        <v>28</v>
      </c>
    </row>
    <row r="2049" spans="1:12" x14ac:dyDescent="0.35">
      <c r="A2049" t="s">
        <v>3384</v>
      </c>
      <c r="B2049" t="s">
        <v>173</v>
      </c>
      <c r="C2049" t="s">
        <v>174</v>
      </c>
      <c r="D2049" t="s">
        <v>67</v>
      </c>
      <c r="E2049" t="s">
        <v>68</v>
      </c>
      <c r="F2049" t="s">
        <v>25</v>
      </c>
      <c r="G2049" t="s">
        <v>139</v>
      </c>
      <c r="H2049">
        <v>4</v>
      </c>
      <c r="I2049">
        <v>188.96</v>
      </c>
      <c r="J2049">
        <v>755.84</v>
      </c>
      <c r="K2049" t="s">
        <v>1929</v>
      </c>
      <c r="L2049" t="s">
        <v>91</v>
      </c>
    </row>
    <row r="2050" spans="1:12" x14ac:dyDescent="0.35">
      <c r="A2050" t="s">
        <v>3385</v>
      </c>
      <c r="B2050" t="s">
        <v>1354</v>
      </c>
      <c r="C2050" t="s">
        <v>1355</v>
      </c>
      <c r="D2050" t="s">
        <v>32</v>
      </c>
      <c r="E2050" t="s">
        <v>33</v>
      </c>
      <c r="F2050" t="s">
        <v>50</v>
      </c>
      <c r="G2050" t="s">
        <v>56</v>
      </c>
      <c r="H2050">
        <v>2</v>
      </c>
      <c r="I2050">
        <v>1055.3900000000001</v>
      </c>
      <c r="J2050">
        <v>2110.7800000000002</v>
      </c>
      <c r="K2050" t="s">
        <v>2285</v>
      </c>
      <c r="L2050" t="s">
        <v>91</v>
      </c>
    </row>
    <row r="2051" spans="1:12" x14ac:dyDescent="0.35">
      <c r="A2051" t="s">
        <v>3386</v>
      </c>
      <c r="B2051" t="s">
        <v>273</v>
      </c>
      <c r="C2051" t="s">
        <v>274</v>
      </c>
      <c r="D2051" t="s">
        <v>14</v>
      </c>
      <c r="E2051" t="s">
        <v>266</v>
      </c>
      <c r="F2051" t="s">
        <v>16</v>
      </c>
      <c r="G2051" t="s">
        <v>177</v>
      </c>
      <c r="H2051">
        <v>1</v>
      </c>
      <c r="I2051">
        <v>347.04</v>
      </c>
      <c r="J2051">
        <v>347.04</v>
      </c>
      <c r="K2051" t="s">
        <v>1256</v>
      </c>
      <c r="L2051" t="s">
        <v>91</v>
      </c>
    </row>
    <row r="2052" spans="1:12" x14ac:dyDescent="0.35">
      <c r="A2052" t="s">
        <v>3387</v>
      </c>
      <c r="B2052" t="s">
        <v>1159</v>
      </c>
      <c r="C2052" t="s">
        <v>1160</v>
      </c>
      <c r="D2052" t="s">
        <v>32</v>
      </c>
      <c r="E2052" t="s">
        <v>61</v>
      </c>
      <c r="F2052" t="s">
        <v>16</v>
      </c>
      <c r="G2052" t="s">
        <v>148</v>
      </c>
      <c r="H2052">
        <v>5</v>
      </c>
      <c r="I2052">
        <v>1199.67</v>
      </c>
      <c r="J2052">
        <v>5998.35</v>
      </c>
      <c r="K2052" t="s">
        <v>701</v>
      </c>
      <c r="L2052" t="s">
        <v>45</v>
      </c>
    </row>
    <row r="2053" spans="1:12" x14ac:dyDescent="0.35">
      <c r="A2053" t="s">
        <v>3388</v>
      </c>
      <c r="B2053" t="s">
        <v>1005</v>
      </c>
      <c r="C2053" t="s">
        <v>1006</v>
      </c>
      <c r="D2053" t="s">
        <v>40</v>
      </c>
      <c r="E2053" t="s">
        <v>79</v>
      </c>
      <c r="F2053" t="s">
        <v>101</v>
      </c>
      <c r="G2053" t="s">
        <v>165</v>
      </c>
      <c r="H2053">
        <v>5</v>
      </c>
      <c r="I2053">
        <v>244.84</v>
      </c>
      <c r="J2053">
        <v>1224.2</v>
      </c>
      <c r="K2053" t="s">
        <v>488</v>
      </c>
      <c r="L2053" t="s">
        <v>28</v>
      </c>
    </row>
    <row r="2054" spans="1:12" x14ac:dyDescent="0.35">
      <c r="A2054" t="s">
        <v>3389</v>
      </c>
      <c r="B2054" t="s">
        <v>853</v>
      </c>
      <c r="C2054" t="s">
        <v>854</v>
      </c>
      <c r="D2054" t="s">
        <v>32</v>
      </c>
      <c r="E2054" t="s">
        <v>61</v>
      </c>
      <c r="F2054" t="s">
        <v>42</v>
      </c>
      <c r="G2054" t="s">
        <v>89</v>
      </c>
      <c r="H2054">
        <v>4</v>
      </c>
      <c r="I2054">
        <v>417.52</v>
      </c>
      <c r="J2054">
        <v>1670.08</v>
      </c>
      <c r="K2054" t="s">
        <v>52</v>
      </c>
      <c r="L2054" t="s">
        <v>36</v>
      </c>
    </row>
    <row r="2055" spans="1:12" x14ac:dyDescent="0.35">
      <c r="A2055" t="s">
        <v>3390</v>
      </c>
      <c r="B2055" t="s">
        <v>904</v>
      </c>
      <c r="C2055" t="s">
        <v>905</v>
      </c>
      <c r="D2055" t="s">
        <v>23</v>
      </c>
      <c r="E2055" t="s">
        <v>338</v>
      </c>
      <c r="F2055" t="s">
        <v>25</v>
      </c>
      <c r="G2055" t="s">
        <v>62</v>
      </c>
      <c r="H2055">
        <v>2</v>
      </c>
      <c r="I2055">
        <v>774.27</v>
      </c>
      <c r="J2055">
        <v>1548.54</v>
      </c>
      <c r="K2055" t="s">
        <v>1600</v>
      </c>
      <c r="L2055" t="s">
        <v>36</v>
      </c>
    </row>
    <row r="2056" spans="1:12" x14ac:dyDescent="0.35">
      <c r="A2056" t="s">
        <v>3391</v>
      </c>
      <c r="B2056" t="s">
        <v>842</v>
      </c>
      <c r="C2056" t="s">
        <v>843</v>
      </c>
      <c r="D2056" t="s">
        <v>67</v>
      </c>
      <c r="E2056" t="s">
        <v>115</v>
      </c>
      <c r="F2056" t="s">
        <v>42</v>
      </c>
      <c r="G2056" t="s">
        <v>225</v>
      </c>
      <c r="H2056">
        <v>4</v>
      </c>
      <c r="I2056">
        <v>1217.8699999999999</v>
      </c>
      <c r="J2056">
        <v>4871.4799999999996</v>
      </c>
      <c r="K2056" t="s">
        <v>3248</v>
      </c>
      <c r="L2056" t="s">
        <v>28</v>
      </c>
    </row>
    <row r="2057" spans="1:12" x14ac:dyDescent="0.35">
      <c r="A2057" t="s">
        <v>3392</v>
      </c>
      <c r="B2057" t="s">
        <v>146</v>
      </c>
      <c r="C2057" t="s">
        <v>147</v>
      </c>
      <c r="D2057" t="s">
        <v>40</v>
      </c>
      <c r="E2057" t="s">
        <v>79</v>
      </c>
      <c r="F2057" t="s">
        <v>16</v>
      </c>
      <c r="G2057" t="s">
        <v>182</v>
      </c>
      <c r="H2057">
        <v>1</v>
      </c>
      <c r="I2057">
        <v>720.47</v>
      </c>
      <c r="J2057">
        <v>720.47</v>
      </c>
      <c r="K2057" t="s">
        <v>2673</v>
      </c>
      <c r="L2057" t="s">
        <v>36</v>
      </c>
    </row>
    <row r="2058" spans="1:12" x14ac:dyDescent="0.35">
      <c r="A2058" t="s">
        <v>3393</v>
      </c>
      <c r="B2058" t="s">
        <v>252</v>
      </c>
      <c r="C2058" t="s">
        <v>253</v>
      </c>
      <c r="D2058" t="s">
        <v>23</v>
      </c>
      <c r="E2058" t="s">
        <v>24</v>
      </c>
      <c r="F2058" t="s">
        <v>25</v>
      </c>
      <c r="G2058" t="s">
        <v>34</v>
      </c>
      <c r="H2058">
        <v>3</v>
      </c>
      <c r="I2058">
        <v>1023.87</v>
      </c>
      <c r="J2058">
        <v>3071.61</v>
      </c>
      <c r="K2058" t="s">
        <v>262</v>
      </c>
      <c r="L2058" t="s">
        <v>45</v>
      </c>
    </row>
    <row r="2059" spans="1:12" x14ac:dyDescent="0.35">
      <c r="A2059" t="s">
        <v>3394</v>
      </c>
      <c r="B2059" t="s">
        <v>1203</v>
      </c>
      <c r="C2059" t="s">
        <v>1204</v>
      </c>
      <c r="D2059" t="s">
        <v>23</v>
      </c>
      <c r="E2059" t="s">
        <v>24</v>
      </c>
      <c r="F2059" t="s">
        <v>42</v>
      </c>
      <c r="G2059" t="s">
        <v>43</v>
      </c>
      <c r="H2059">
        <v>4</v>
      </c>
      <c r="I2059">
        <v>547.05999999999995</v>
      </c>
      <c r="J2059">
        <v>2188.2399999999998</v>
      </c>
      <c r="K2059" t="s">
        <v>1970</v>
      </c>
      <c r="L2059" t="s">
        <v>28</v>
      </c>
    </row>
    <row r="2060" spans="1:12" x14ac:dyDescent="0.35">
      <c r="A2060" t="s">
        <v>3395</v>
      </c>
      <c r="B2060" t="s">
        <v>376</v>
      </c>
      <c r="C2060" t="s">
        <v>377</v>
      </c>
      <c r="D2060" t="s">
        <v>14</v>
      </c>
      <c r="E2060" t="s">
        <v>266</v>
      </c>
      <c r="F2060" t="s">
        <v>42</v>
      </c>
      <c r="G2060" t="s">
        <v>225</v>
      </c>
      <c r="H2060">
        <v>1</v>
      </c>
      <c r="I2060">
        <v>602.41</v>
      </c>
      <c r="J2060">
        <v>602.41</v>
      </c>
      <c r="K2060" t="s">
        <v>1217</v>
      </c>
      <c r="L2060" t="s">
        <v>19</v>
      </c>
    </row>
    <row r="2061" spans="1:12" x14ac:dyDescent="0.35">
      <c r="A2061" t="s">
        <v>3396</v>
      </c>
      <c r="B2061" t="s">
        <v>594</v>
      </c>
      <c r="C2061" t="s">
        <v>595</v>
      </c>
      <c r="D2061" t="s">
        <v>40</v>
      </c>
      <c r="E2061" t="s">
        <v>79</v>
      </c>
      <c r="F2061" t="s">
        <v>16</v>
      </c>
      <c r="G2061" t="s">
        <v>17</v>
      </c>
      <c r="H2061">
        <v>2</v>
      </c>
      <c r="I2061">
        <v>209.43</v>
      </c>
      <c r="J2061">
        <v>418.86</v>
      </c>
      <c r="K2061" t="s">
        <v>2285</v>
      </c>
      <c r="L2061" t="s">
        <v>19</v>
      </c>
    </row>
    <row r="2062" spans="1:12" x14ac:dyDescent="0.35">
      <c r="A2062" t="s">
        <v>3397</v>
      </c>
      <c r="B2062" t="s">
        <v>1464</v>
      </c>
      <c r="C2062" t="s">
        <v>1465</v>
      </c>
      <c r="D2062" t="s">
        <v>40</v>
      </c>
      <c r="E2062" t="s">
        <v>79</v>
      </c>
      <c r="F2062" t="s">
        <v>50</v>
      </c>
      <c r="G2062" t="s">
        <v>216</v>
      </c>
      <c r="H2062">
        <v>2</v>
      </c>
      <c r="I2062">
        <v>1485.17</v>
      </c>
      <c r="J2062">
        <v>2970.34</v>
      </c>
      <c r="K2062" t="s">
        <v>3398</v>
      </c>
      <c r="L2062" t="s">
        <v>91</v>
      </c>
    </row>
    <row r="2063" spans="1:12" x14ac:dyDescent="0.35">
      <c r="A2063" t="s">
        <v>3399</v>
      </c>
      <c r="B2063" t="s">
        <v>54</v>
      </c>
      <c r="C2063" t="s">
        <v>55</v>
      </c>
      <c r="D2063" t="s">
        <v>32</v>
      </c>
      <c r="E2063" t="s">
        <v>203</v>
      </c>
      <c r="F2063" t="s">
        <v>101</v>
      </c>
      <c r="G2063" t="s">
        <v>165</v>
      </c>
      <c r="H2063">
        <v>5</v>
      </c>
      <c r="I2063">
        <v>202.92</v>
      </c>
      <c r="J2063">
        <v>1014.6</v>
      </c>
      <c r="K2063" t="s">
        <v>2405</v>
      </c>
      <c r="L2063" t="s">
        <v>28</v>
      </c>
    </row>
    <row r="2064" spans="1:12" x14ac:dyDescent="0.35">
      <c r="A2064" t="s">
        <v>3400</v>
      </c>
      <c r="B2064" t="s">
        <v>827</v>
      </c>
      <c r="C2064" t="s">
        <v>828</v>
      </c>
      <c r="D2064" t="s">
        <v>23</v>
      </c>
      <c r="E2064" t="s">
        <v>338</v>
      </c>
      <c r="F2064" t="s">
        <v>50</v>
      </c>
      <c r="G2064" t="s">
        <v>216</v>
      </c>
      <c r="H2064">
        <v>3</v>
      </c>
      <c r="I2064">
        <v>25.56</v>
      </c>
      <c r="J2064">
        <v>76.680000000000007</v>
      </c>
      <c r="K2064" t="s">
        <v>3401</v>
      </c>
      <c r="L2064" t="s">
        <v>45</v>
      </c>
    </row>
    <row r="2065" spans="1:12" x14ac:dyDescent="0.35">
      <c r="A2065" t="s">
        <v>3402</v>
      </c>
      <c r="B2065" t="s">
        <v>727</v>
      </c>
      <c r="C2065" t="s">
        <v>728</v>
      </c>
      <c r="D2065" t="s">
        <v>32</v>
      </c>
      <c r="E2065" t="s">
        <v>33</v>
      </c>
      <c r="F2065" t="s">
        <v>16</v>
      </c>
      <c r="G2065" t="s">
        <v>177</v>
      </c>
      <c r="H2065">
        <v>4</v>
      </c>
      <c r="I2065">
        <v>763.92</v>
      </c>
      <c r="J2065">
        <v>3055.68</v>
      </c>
      <c r="K2065" t="s">
        <v>1297</v>
      </c>
      <c r="L2065" t="s">
        <v>45</v>
      </c>
    </row>
    <row r="2066" spans="1:12" x14ac:dyDescent="0.35">
      <c r="A2066" t="s">
        <v>3403</v>
      </c>
      <c r="B2066" t="s">
        <v>727</v>
      </c>
      <c r="C2066" t="s">
        <v>728</v>
      </c>
      <c r="D2066" t="s">
        <v>67</v>
      </c>
      <c r="E2066" t="s">
        <v>115</v>
      </c>
      <c r="F2066" t="s">
        <v>42</v>
      </c>
      <c r="G2066" t="s">
        <v>80</v>
      </c>
      <c r="H2066">
        <v>4</v>
      </c>
      <c r="I2066">
        <v>199.58</v>
      </c>
      <c r="J2066">
        <v>798.32</v>
      </c>
      <c r="K2066" t="s">
        <v>1297</v>
      </c>
      <c r="L2066" t="s">
        <v>91</v>
      </c>
    </row>
    <row r="2067" spans="1:12" x14ac:dyDescent="0.35">
      <c r="A2067" t="s">
        <v>3404</v>
      </c>
      <c r="B2067" t="s">
        <v>801</v>
      </c>
      <c r="C2067" t="s">
        <v>802</v>
      </c>
      <c r="D2067" t="s">
        <v>32</v>
      </c>
      <c r="E2067" t="s">
        <v>203</v>
      </c>
      <c r="F2067" t="s">
        <v>101</v>
      </c>
      <c r="G2067" t="s">
        <v>373</v>
      </c>
      <c r="H2067">
        <v>1</v>
      </c>
      <c r="I2067">
        <v>1302.07</v>
      </c>
      <c r="J2067">
        <v>1302.07</v>
      </c>
      <c r="K2067" t="s">
        <v>468</v>
      </c>
      <c r="L2067" t="s">
        <v>91</v>
      </c>
    </row>
    <row r="2068" spans="1:12" x14ac:dyDescent="0.35">
      <c r="A2068" t="s">
        <v>3405</v>
      </c>
      <c r="B2068" t="s">
        <v>443</v>
      </c>
      <c r="C2068" t="s">
        <v>444</v>
      </c>
      <c r="D2068" t="s">
        <v>32</v>
      </c>
      <c r="E2068" t="s">
        <v>61</v>
      </c>
      <c r="F2068" t="s">
        <v>50</v>
      </c>
      <c r="G2068" t="s">
        <v>56</v>
      </c>
      <c r="H2068">
        <v>4</v>
      </c>
      <c r="I2068">
        <v>1000.6</v>
      </c>
      <c r="J2068">
        <v>4002.4</v>
      </c>
      <c r="K2068" t="s">
        <v>2831</v>
      </c>
      <c r="L2068" t="s">
        <v>19</v>
      </c>
    </row>
    <row r="2069" spans="1:12" x14ac:dyDescent="0.35">
      <c r="A2069" t="s">
        <v>3406</v>
      </c>
      <c r="B2069" t="s">
        <v>105</v>
      </c>
      <c r="C2069" t="s">
        <v>106</v>
      </c>
      <c r="D2069" t="s">
        <v>14</v>
      </c>
      <c r="E2069" t="s">
        <v>15</v>
      </c>
      <c r="F2069" t="s">
        <v>16</v>
      </c>
      <c r="G2069" t="s">
        <v>148</v>
      </c>
      <c r="H2069">
        <v>4</v>
      </c>
      <c r="I2069">
        <v>827.11</v>
      </c>
      <c r="J2069">
        <v>3308.44</v>
      </c>
      <c r="K2069" t="s">
        <v>1837</v>
      </c>
      <c r="L2069" t="s">
        <v>36</v>
      </c>
    </row>
    <row r="2070" spans="1:12" x14ac:dyDescent="0.35">
      <c r="A2070" t="s">
        <v>3407</v>
      </c>
      <c r="B2070" t="s">
        <v>380</v>
      </c>
      <c r="C2070" t="s">
        <v>381</v>
      </c>
      <c r="D2070" t="s">
        <v>67</v>
      </c>
      <c r="E2070" t="s">
        <v>68</v>
      </c>
      <c r="F2070" t="s">
        <v>42</v>
      </c>
      <c r="G2070" t="s">
        <v>170</v>
      </c>
      <c r="H2070">
        <v>3</v>
      </c>
      <c r="I2070">
        <v>1258.92</v>
      </c>
      <c r="J2070">
        <v>3776.76</v>
      </c>
      <c r="K2070" t="s">
        <v>2648</v>
      </c>
      <c r="L2070" t="s">
        <v>91</v>
      </c>
    </row>
    <row r="2071" spans="1:12" x14ac:dyDescent="0.35">
      <c r="A2071" t="s">
        <v>3408</v>
      </c>
      <c r="B2071" t="s">
        <v>860</v>
      </c>
      <c r="C2071" t="s">
        <v>861</v>
      </c>
      <c r="D2071" t="s">
        <v>40</v>
      </c>
      <c r="E2071" t="s">
        <v>79</v>
      </c>
      <c r="F2071" t="s">
        <v>101</v>
      </c>
      <c r="G2071" t="s">
        <v>373</v>
      </c>
      <c r="H2071">
        <v>5</v>
      </c>
      <c r="I2071">
        <v>248.83</v>
      </c>
      <c r="J2071">
        <v>1244.1500000000001</v>
      </c>
      <c r="K2071" t="s">
        <v>1596</v>
      </c>
      <c r="L2071" t="s">
        <v>28</v>
      </c>
    </row>
    <row r="2072" spans="1:12" x14ac:dyDescent="0.35">
      <c r="A2072" t="s">
        <v>3409</v>
      </c>
      <c r="B2072" t="s">
        <v>500</v>
      </c>
      <c r="C2072" t="s">
        <v>501</v>
      </c>
      <c r="D2072" t="s">
        <v>32</v>
      </c>
      <c r="E2072" t="s">
        <v>61</v>
      </c>
      <c r="F2072" t="s">
        <v>25</v>
      </c>
      <c r="G2072" t="s">
        <v>74</v>
      </c>
      <c r="H2072">
        <v>2</v>
      </c>
      <c r="I2072">
        <v>874.49</v>
      </c>
      <c r="J2072">
        <v>1748.98</v>
      </c>
      <c r="K2072" t="s">
        <v>1112</v>
      </c>
      <c r="L2072" t="s">
        <v>28</v>
      </c>
    </row>
    <row r="2073" spans="1:12" x14ac:dyDescent="0.35">
      <c r="A2073" t="s">
        <v>3410</v>
      </c>
      <c r="B2073" t="s">
        <v>235</v>
      </c>
      <c r="C2073" t="s">
        <v>236</v>
      </c>
      <c r="D2073" t="s">
        <v>32</v>
      </c>
      <c r="E2073" t="s">
        <v>33</v>
      </c>
      <c r="F2073" t="s">
        <v>42</v>
      </c>
      <c r="G2073" t="s">
        <v>89</v>
      </c>
      <c r="H2073">
        <v>3</v>
      </c>
      <c r="I2073">
        <v>180.79</v>
      </c>
      <c r="J2073">
        <v>542.37</v>
      </c>
      <c r="K2073" t="s">
        <v>807</v>
      </c>
      <c r="L2073" t="s">
        <v>45</v>
      </c>
    </row>
    <row r="2074" spans="1:12" x14ac:dyDescent="0.35">
      <c r="A2074" t="s">
        <v>3411</v>
      </c>
      <c r="B2074" t="s">
        <v>133</v>
      </c>
      <c r="C2074" t="s">
        <v>134</v>
      </c>
      <c r="D2074" t="s">
        <v>23</v>
      </c>
      <c r="E2074" t="s">
        <v>49</v>
      </c>
      <c r="F2074" t="s">
        <v>101</v>
      </c>
      <c r="G2074" t="s">
        <v>373</v>
      </c>
      <c r="H2074">
        <v>1</v>
      </c>
      <c r="I2074">
        <v>554.33000000000004</v>
      </c>
      <c r="J2074">
        <v>554.33000000000004</v>
      </c>
      <c r="K2074" t="s">
        <v>2057</v>
      </c>
      <c r="L2074" t="s">
        <v>45</v>
      </c>
    </row>
    <row r="2075" spans="1:12" x14ac:dyDescent="0.35">
      <c r="A2075" t="s">
        <v>3412</v>
      </c>
      <c r="B2075" t="s">
        <v>248</v>
      </c>
      <c r="C2075" t="s">
        <v>249</v>
      </c>
      <c r="D2075" t="s">
        <v>32</v>
      </c>
      <c r="E2075" t="s">
        <v>61</v>
      </c>
      <c r="F2075" t="s">
        <v>42</v>
      </c>
      <c r="G2075" t="s">
        <v>225</v>
      </c>
      <c r="H2075">
        <v>2</v>
      </c>
      <c r="I2075">
        <v>344.08</v>
      </c>
      <c r="J2075">
        <v>688.16</v>
      </c>
      <c r="K2075" t="s">
        <v>2340</v>
      </c>
      <c r="L2075" t="s">
        <v>19</v>
      </c>
    </row>
    <row r="2076" spans="1:12" x14ac:dyDescent="0.35">
      <c r="A2076" t="s">
        <v>3413</v>
      </c>
      <c r="B2076" t="s">
        <v>574</v>
      </c>
      <c r="C2076" t="s">
        <v>575</v>
      </c>
      <c r="D2076" t="s">
        <v>32</v>
      </c>
      <c r="E2076" t="s">
        <v>203</v>
      </c>
      <c r="F2076" t="s">
        <v>16</v>
      </c>
      <c r="G2076" t="s">
        <v>182</v>
      </c>
      <c r="H2076">
        <v>3</v>
      </c>
      <c r="I2076">
        <v>303.16000000000003</v>
      </c>
      <c r="J2076">
        <v>909.48</v>
      </c>
      <c r="K2076" t="s">
        <v>1054</v>
      </c>
      <c r="L2076" t="s">
        <v>45</v>
      </c>
    </row>
    <row r="2077" spans="1:12" x14ac:dyDescent="0.35">
      <c r="A2077" t="s">
        <v>3414</v>
      </c>
      <c r="B2077" t="s">
        <v>206</v>
      </c>
      <c r="C2077" t="s">
        <v>207</v>
      </c>
      <c r="D2077" t="s">
        <v>14</v>
      </c>
      <c r="E2077" t="s">
        <v>15</v>
      </c>
      <c r="F2077" t="s">
        <v>50</v>
      </c>
      <c r="G2077" t="s">
        <v>69</v>
      </c>
      <c r="H2077">
        <v>3</v>
      </c>
      <c r="I2077">
        <v>1355.76</v>
      </c>
      <c r="J2077">
        <v>4067.28</v>
      </c>
      <c r="K2077" t="s">
        <v>940</v>
      </c>
      <c r="L2077" t="s">
        <v>19</v>
      </c>
    </row>
    <row r="2078" spans="1:12" x14ac:dyDescent="0.35">
      <c r="A2078" t="s">
        <v>3415</v>
      </c>
      <c r="B2078" t="s">
        <v>827</v>
      </c>
      <c r="C2078" t="s">
        <v>828</v>
      </c>
      <c r="D2078" t="s">
        <v>14</v>
      </c>
      <c r="E2078" t="s">
        <v>95</v>
      </c>
      <c r="F2078" t="s">
        <v>25</v>
      </c>
      <c r="G2078" t="s">
        <v>26</v>
      </c>
      <c r="H2078">
        <v>5</v>
      </c>
      <c r="I2078">
        <v>1151.3699999999999</v>
      </c>
      <c r="J2078">
        <v>5756.85</v>
      </c>
      <c r="K2078" t="s">
        <v>3416</v>
      </c>
      <c r="L2078" t="s">
        <v>28</v>
      </c>
    </row>
    <row r="2079" spans="1:12" x14ac:dyDescent="0.35">
      <c r="A2079" t="s">
        <v>3417</v>
      </c>
      <c r="B2079" t="s">
        <v>901</v>
      </c>
      <c r="C2079" t="s">
        <v>902</v>
      </c>
      <c r="D2079" t="s">
        <v>40</v>
      </c>
      <c r="E2079" t="s">
        <v>79</v>
      </c>
      <c r="F2079" t="s">
        <v>25</v>
      </c>
      <c r="G2079" t="s">
        <v>74</v>
      </c>
      <c r="H2079">
        <v>3</v>
      </c>
      <c r="I2079">
        <v>843.13</v>
      </c>
      <c r="J2079">
        <v>2529.39</v>
      </c>
      <c r="K2079" t="s">
        <v>713</v>
      </c>
      <c r="L2079" t="s">
        <v>45</v>
      </c>
    </row>
    <row r="2080" spans="1:12" x14ac:dyDescent="0.35">
      <c r="A2080" t="s">
        <v>3418</v>
      </c>
      <c r="B2080" t="s">
        <v>481</v>
      </c>
      <c r="C2080" t="s">
        <v>482</v>
      </c>
      <c r="D2080" t="s">
        <v>67</v>
      </c>
      <c r="E2080" t="s">
        <v>130</v>
      </c>
      <c r="F2080" t="s">
        <v>50</v>
      </c>
      <c r="G2080" t="s">
        <v>51</v>
      </c>
      <c r="H2080">
        <v>4</v>
      </c>
      <c r="I2080">
        <v>643.29</v>
      </c>
      <c r="J2080">
        <v>2573.16</v>
      </c>
      <c r="K2080" t="s">
        <v>528</v>
      </c>
      <c r="L2080" t="s">
        <v>45</v>
      </c>
    </row>
    <row r="2081" spans="1:12" x14ac:dyDescent="0.35">
      <c r="A2081" t="s">
        <v>3419</v>
      </c>
      <c r="B2081" t="s">
        <v>759</v>
      </c>
      <c r="C2081" t="s">
        <v>760</v>
      </c>
      <c r="D2081" t="s">
        <v>23</v>
      </c>
      <c r="E2081" t="s">
        <v>49</v>
      </c>
      <c r="F2081" t="s">
        <v>42</v>
      </c>
      <c r="G2081" t="s">
        <v>170</v>
      </c>
      <c r="H2081">
        <v>1</v>
      </c>
      <c r="I2081">
        <v>714.81</v>
      </c>
      <c r="J2081">
        <v>714.81</v>
      </c>
      <c r="K2081" t="s">
        <v>1256</v>
      </c>
      <c r="L2081" t="s">
        <v>36</v>
      </c>
    </row>
    <row r="2082" spans="1:12" x14ac:dyDescent="0.35">
      <c r="A2082" t="s">
        <v>3420</v>
      </c>
      <c r="B2082" t="s">
        <v>690</v>
      </c>
      <c r="C2082" t="s">
        <v>691</v>
      </c>
      <c r="D2082" t="s">
        <v>67</v>
      </c>
      <c r="E2082" t="s">
        <v>115</v>
      </c>
      <c r="F2082" t="s">
        <v>25</v>
      </c>
      <c r="G2082" t="s">
        <v>62</v>
      </c>
      <c r="H2082">
        <v>3</v>
      </c>
      <c r="I2082">
        <v>81.84</v>
      </c>
      <c r="J2082">
        <v>245.52</v>
      </c>
      <c r="K2082" t="s">
        <v>2540</v>
      </c>
      <c r="L2082" t="s">
        <v>91</v>
      </c>
    </row>
    <row r="2083" spans="1:12" x14ac:dyDescent="0.35">
      <c r="A2083" t="s">
        <v>3421</v>
      </c>
      <c r="B2083" t="s">
        <v>496</v>
      </c>
      <c r="C2083" t="s">
        <v>497</v>
      </c>
      <c r="D2083" t="s">
        <v>14</v>
      </c>
      <c r="E2083" t="s">
        <v>15</v>
      </c>
      <c r="F2083" t="s">
        <v>42</v>
      </c>
      <c r="G2083" t="s">
        <v>43</v>
      </c>
      <c r="H2083">
        <v>5</v>
      </c>
      <c r="I2083">
        <v>1273.18</v>
      </c>
      <c r="J2083">
        <v>6365.9</v>
      </c>
      <c r="K2083" t="s">
        <v>2057</v>
      </c>
      <c r="L2083" t="s">
        <v>36</v>
      </c>
    </row>
    <row r="2084" spans="1:12" x14ac:dyDescent="0.35">
      <c r="A2084" t="s">
        <v>3422</v>
      </c>
      <c r="B2084" t="s">
        <v>307</v>
      </c>
      <c r="C2084" t="s">
        <v>308</v>
      </c>
      <c r="D2084" t="s">
        <v>32</v>
      </c>
      <c r="E2084" t="s">
        <v>33</v>
      </c>
      <c r="F2084" t="s">
        <v>25</v>
      </c>
      <c r="G2084" t="s">
        <v>62</v>
      </c>
      <c r="H2084">
        <v>4</v>
      </c>
      <c r="I2084">
        <v>1159.8</v>
      </c>
      <c r="J2084">
        <v>4639.2</v>
      </c>
      <c r="K2084" t="s">
        <v>1470</v>
      </c>
      <c r="L2084" t="s">
        <v>19</v>
      </c>
    </row>
    <row r="2085" spans="1:12" x14ac:dyDescent="0.35">
      <c r="A2085" t="s">
        <v>3423</v>
      </c>
      <c r="B2085" t="s">
        <v>633</v>
      </c>
      <c r="C2085" t="s">
        <v>634</v>
      </c>
      <c r="D2085" t="s">
        <v>32</v>
      </c>
      <c r="E2085" t="s">
        <v>203</v>
      </c>
      <c r="F2085" t="s">
        <v>16</v>
      </c>
      <c r="G2085" t="s">
        <v>17</v>
      </c>
      <c r="H2085">
        <v>2</v>
      </c>
      <c r="I2085">
        <v>1089.6300000000001</v>
      </c>
      <c r="J2085">
        <v>2179.2600000000002</v>
      </c>
      <c r="K2085" t="s">
        <v>2648</v>
      </c>
      <c r="L2085" t="s">
        <v>28</v>
      </c>
    </row>
    <row r="2086" spans="1:12" x14ac:dyDescent="0.35">
      <c r="A2086" t="s">
        <v>3424</v>
      </c>
      <c r="B2086" t="s">
        <v>868</v>
      </c>
      <c r="C2086" t="s">
        <v>869</v>
      </c>
      <c r="D2086" t="s">
        <v>14</v>
      </c>
      <c r="E2086" t="s">
        <v>100</v>
      </c>
      <c r="F2086" t="s">
        <v>101</v>
      </c>
      <c r="G2086" t="s">
        <v>373</v>
      </c>
      <c r="H2086">
        <v>4</v>
      </c>
      <c r="I2086">
        <v>18.829999999999998</v>
      </c>
      <c r="J2086">
        <v>75.319999999999993</v>
      </c>
      <c r="K2086" t="s">
        <v>3425</v>
      </c>
      <c r="L2086" t="s">
        <v>28</v>
      </c>
    </row>
    <row r="2087" spans="1:12" x14ac:dyDescent="0.35">
      <c r="A2087" t="s">
        <v>3426</v>
      </c>
      <c r="B2087" t="s">
        <v>521</v>
      </c>
      <c r="C2087" t="s">
        <v>522</v>
      </c>
      <c r="D2087" t="s">
        <v>14</v>
      </c>
      <c r="E2087" t="s">
        <v>266</v>
      </c>
      <c r="F2087" t="s">
        <v>50</v>
      </c>
      <c r="G2087" t="s">
        <v>69</v>
      </c>
      <c r="H2087">
        <v>5</v>
      </c>
      <c r="I2087">
        <v>318.83</v>
      </c>
      <c r="J2087">
        <v>1594.15</v>
      </c>
      <c r="K2087" t="s">
        <v>1026</v>
      </c>
      <c r="L2087" t="s">
        <v>91</v>
      </c>
    </row>
    <row r="2088" spans="1:12" x14ac:dyDescent="0.35">
      <c r="A2088" t="s">
        <v>3427</v>
      </c>
      <c r="B2088" t="s">
        <v>910</v>
      </c>
      <c r="C2088" t="s">
        <v>911</v>
      </c>
      <c r="D2088" t="s">
        <v>32</v>
      </c>
      <c r="E2088" t="s">
        <v>33</v>
      </c>
      <c r="F2088" t="s">
        <v>101</v>
      </c>
      <c r="G2088" t="s">
        <v>649</v>
      </c>
      <c r="H2088">
        <v>1</v>
      </c>
      <c r="I2088">
        <v>769.32</v>
      </c>
      <c r="J2088">
        <v>769.32</v>
      </c>
      <c r="K2088" t="s">
        <v>2673</v>
      </c>
      <c r="L2088" t="s">
        <v>28</v>
      </c>
    </row>
    <row r="2089" spans="1:12" x14ac:dyDescent="0.35">
      <c r="A2089" t="s">
        <v>3428</v>
      </c>
      <c r="B2089" t="s">
        <v>842</v>
      </c>
      <c r="C2089" t="s">
        <v>843</v>
      </c>
      <c r="D2089" t="s">
        <v>40</v>
      </c>
      <c r="E2089" t="s">
        <v>79</v>
      </c>
      <c r="F2089" t="s">
        <v>42</v>
      </c>
      <c r="G2089" t="s">
        <v>89</v>
      </c>
      <c r="H2089">
        <v>2</v>
      </c>
      <c r="I2089">
        <v>1318.98</v>
      </c>
      <c r="J2089">
        <v>2637.96</v>
      </c>
      <c r="K2089" t="s">
        <v>1542</v>
      </c>
      <c r="L2089" t="s">
        <v>45</v>
      </c>
    </row>
    <row r="2090" spans="1:12" x14ac:dyDescent="0.35">
      <c r="A2090" t="s">
        <v>3429</v>
      </c>
      <c r="B2090" t="s">
        <v>1496</v>
      </c>
      <c r="C2090" t="s">
        <v>1497</v>
      </c>
      <c r="D2090" t="s">
        <v>23</v>
      </c>
      <c r="E2090" t="s">
        <v>338</v>
      </c>
      <c r="F2090" t="s">
        <v>16</v>
      </c>
      <c r="G2090" t="s">
        <v>177</v>
      </c>
      <c r="H2090">
        <v>5</v>
      </c>
      <c r="I2090">
        <v>578.72</v>
      </c>
      <c r="J2090">
        <v>2893.6</v>
      </c>
      <c r="K2090" t="s">
        <v>2167</v>
      </c>
      <c r="L2090" t="s">
        <v>91</v>
      </c>
    </row>
    <row r="2091" spans="1:12" x14ac:dyDescent="0.35">
      <c r="A2091" t="s">
        <v>3430</v>
      </c>
      <c r="B2091" t="s">
        <v>856</v>
      </c>
      <c r="C2091" t="s">
        <v>857</v>
      </c>
      <c r="D2091" t="s">
        <v>40</v>
      </c>
      <c r="E2091" t="s">
        <v>79</v>
      </c>
      <c r="F2091" t="s">
        <v>16</v>
      </c>
      <c r="G2091" t="s">
        <v>182</v>
      </c>
      <c r="H2091">
        <v>3</v>
      </c>
      <c r="I2091">
        <v>907.96</v>
      </c>
      <c r="J2091">
        <v>2723.88</v>
      </c>
      <c r="K2091" t="s">
        <v>2232</v>
      </c>
      <c r="L2091" t="s">
        <v>36</v>
      </c>
    </row>
    <row r="2092" spans="1:12" x14ac:dyDescent="0.35">
      <c r="A2092" t="s">
        <v>3431</v>
      </c>
      <c r="B2092" t="s">
        <v>65</v>
      </c>
      <c r="C2092" t="s">
        <v>66</v>
      </c>
      <c r="D2092" t="s">
        <v>67</v>
      </c>
      <c r="E2092" t="s">
        <v>68</v>
      </c>
      <c r="F2092" t="s">
        <v>42</v>
      </c>
      <c r="G2092" t="s">
        <v>225</v>
      </c>
      <c r="H2092">
        <v>4</v>
      </c>
      <c r="I2092">
        <v>64.73</v>
      </c>
      <c r="J2092">
        <v>258.92</v>
      </c>
      <c r="K2092" t="s">
        <v>2065</v>
      </c>
      <c r="L2092" t="s">
        <v>45</v>
      </c>
    </row>
    <row r="2093" spans="1:12" x14ac:dyDescent="0.35">
      <c r="A2093" t="s">
        <v>3432</v>
      </c>
      <c r="B2093" t="s">
        <v>412</v>
      </c>
      <c r="C2093" t="s">
        <v>413</v>
      </c>
      <c r="D2093" t="s">
        <v>32</v>
      </c>
      <c r="E2093" t="s">
        <v>33</v>
      </c>
      <c r="F2093" t="s">
        <v>50</v>
      </c>
      <c r="G2093" t="s">
        <v>170</v>
      </c>
      <c r="H2093">
        <v>3</v>
      </c>
      <c r="I2093">
        <v>245.26</v>
      </c>
      <c r="J2093">
        <v>735.78</v>
      </c>
      <c r="K2093" t="s">
        <v>2930</v>
      </c>
      <c r="L2093" t="s">
        <v>36</v>
      </c>
    </row>
    <row r="2094" spans="1:12" x14ac:dyDescent="0.35">
      <c r="A2094" t="s">
        <v>3433</v>
      </c>
      <c r="B2094" t="s">
        <v>1419</v>
      </c>
      <c r="C2094" t="s">
        <v>1420</v>
      </c>
      <c r="D2094" t="s">
        <v>23</v>
      </c>
      <c r="E2094" t="s">
        <v>24</v>
      </c>
      <c r="F2094" t="s">
        <v>101</v>
      </c>
      <c r="G2094" t="s">
        <v>237</v>
      </c>
      <c r="H2094">
        <v>2</v>
      </c>
      <c r="I2094">
        <v>1292.05</v>
      </c>
      <c r="J2094">
        <v>2584.1</v>
      </c>
      <c r="K2094" t="s">
        <v>3434</v>
      </c>
      <c r="L2094" t="s">
        <v>36</v>
      </c>
    </row>
    <row r="2095" spans="1:12" x14ac:dyDescent="0.35">
      <c r="A2095" t="s">
        <v>3435</v>
      </c>
      <c r="B2095" t="s">
        <v>767</v>
      </c>
      <c r="C2095" t="s">
        <v>768</v>
      </c>
      <c r="D2095" t="s">
        <v>67</v>
      </c>
      <c r="E2095" t="s">
        <v>115</v>
      </c>
      <c r="F2095" t="s">
        <v>101</v>
      </c>
      <c r="G2095" t="s">
        <v>373</v>
      </c>
      <c r="H2095">
        <v>1</v>
      </c>
      <c r="I2095">
        <v>949.52</v>
      </c>
      <c r="J2095">
        <v>949.52</v>
      </c>
      <c r="K2095" t="s">
        <v>1635</v>
      </c>
      <c r="L2095" t="s">
        <v>28</v>
      </c>
    </row>
    <row r="2096" spans="1:12" x14ac:dyDescent="0.35">
      <c r="A2096" t="s">
        <v>3436</v>
      </c>
      <c r="B2096" t="s">
        <v>418</v>
      </c>
      <c r="C2096" t="s">
        <v>419</v>
      </c>
      <c r="D2096" t="s">
        <v>14</v>
      </c>
      <c r="E2096" t="s">
        <v>95</v>
      </c>
      <c r="F2096" t="s">
        <v>42</v>
      </c>
      <c r="G2096" t="s">
        <v>170</v>
      </c>
      <c r="H2096">
        <v>2</v>
      </c>
      <c r="I2096">
        <v>544.29</v>
      </c>
      <c r="J2096">
        <v>1088.58</v>
      </c>
      <c r="K2096" t="s">
        <v>1378</v>
      </c>
      <c r="L2096" t="s">
        <v>91</v>
      </c>
    </row>
    <row r="2097" spans="1:12" x14ac:dyDescent="0.35">
      <c r="A2097" t="s">
        <v>3437</v>
      </c>
      <c r="B2097" t="s">
        <v>605</v>
      </c>
      <c r="C2097" t="s">
        <v>606</v>
      </c>
      <c r="D2097" t="s">
        <v>14</v>
      </c>
      <c r="E2097" t="s">
        <v>15</v>
      </c>
      <c r="F2097" t="s">
        <v>42</v>
      </c>
      <c r="G2097" t="s">
        <v>89</v>
      </c>
      <c r="H2097">
        <v>3</v>
      </c>
      <c r="I2097">
        <v>1068.6600000000001</v>
      </c>
      <c r="J2097">
        <v>3205.98</v>
      </c>
      <c r="K2097" t="s">
        <v>1069</v>
      </c>
      <c r="L2097" t="s">
        <v>45</v>
      </c>
    </row>
    <row r="2098" spans="1:12" x14ac:dyDescent="0.35">
      <c r="A2098" t="s">
        <v>3438</v>
      </c>
      <c r="B2098" t="s">
        <v>611</v>
      </c>
      <c r="C2098" t="s">
        <v>612</v>
      </c>
      <c r="D2098" t="s">
        <v>32</v>
      </c>
      <c r="E2098" t="s">
        <v>203</v>
      </c>
      <c r="F2098" t="s">
        <v>42</v>
      </c>
      <c r="G2098" t="s">
        <v>225</v>
      </c>
      <c r="H2098">
        <v>3</v>
      </c>
      <c r="I2098">
        <v>980.47</v>
      </c>
      <c r="J2098">
        <v>2941.41</v>
      </c>
      <c r="K2098" t="s">
        <v>1803</v>
      </c>
      <c r="L2098" t="s">
        <v>19</v>
      </c>
    </row>
    <row r="2099" spans="1:12" x14ac:dyDescent="0.35">
      <c r="A2099" t="s">
        <v>3439</v>
      </c>
      <c r="B2099" t="s">
        <v>1523</v>
      </c>
      <c r="C2099" t="s">
        <v>1524</v>
      </c>
      <c r="D2099" t="s">
        <v>67</v>
      </c>
      <c r="E2099" t="s">
        <v>68</v>
      </c>
      <c r="F2099" t="s">
        <v>101</v>
      </c>
      <c r="G2099" t="s">
        <v>102</v>
      </c>
      <c r="H2099">
        <v>4</v>
      </c>
      <c r="I2099">
        <v>1311.87</v>
      </c>
      <c r="J2099">
        <v>5247.48</v>
      </c>
      <c r="K2099" t="s">
        <v>386</v>
      </c>
      <c r="L2099" t="s">
        <v>36</v>
      </c>
    </row>
    <row r="2100" spans="1:12" x14ac:dyDescent="0.35">
      <c r="A2100" t="s">
        <v>3440</v>
      </c>
      <c r="B2100" t="s">
        <v>142</v>
      </c>
      <c r="C2100" t="s">
        <v>143</v>
      </c>
      <c r="D2100" t="s">
        <v>32</v>
      </c>
      <c r="E2100" t="s">
        <v>33</v>
      </c>
      <c r="F2100" t="s">
        <v>16</v>
      </c>
      <c r="G2100" t="s">
        <v>230</v>
      </c>
      <c r="H2100">
        <v>1</v>
      </c>
      <c r="I2100">
        <v>1272.28</v>
      </c>
      <c r="J2100">
        <v>1272.28</v>
      </c>
      <c r="K2100" t="s">
        <v>3310</v>
      </c>
      <c r="L2100" t="s">
        <v>36</v>
      </c>
    </row>
    <row r="2101" spans="1:12" x14ac:dyDescent="0.35">
      <c r="A2101" t="s">
        <v>3441</v>
      </c>
      <c r="B2101" t="s">
        <v>454</v>
      </c>
      <c r="C2101" t="s">
        <v>455</v>
      </c>
      <c r="D2101" t="s">
        <v>23</v>
      </c>
      <c r="E2101" t="s">
        <v>338</v>
      </c>
      <c r="F2101" t="s">
        <v>42</v>
      </c>
      <c r="G2101" t="s">
        <v>170</v>
      </c>
      <c r="H2101">
        <v>5</v>
      </c>
      <c r="I2101">
        <v>617.53</v>
      </c>
      <c r="J2101">
        <v>3087.65</v>
      </c>
      <c r="K2101" t="s">
        <v>744</v>
      </c>
      <c r="L2101" t="s">
        <v>45</v>
      </c>
    </row>
    <row r="2102" spans="1:12" x14ac:dyDescent="0.35">
      <c r="A2102" t="s">
        <v>3442</v>
      </c>
      <c r="B2102" t="s">
        <v>785</v>
      </c>
      <c r="C2102" t="s">
        <v>786</v>
      </c>
      <c r="D2102" t="s">
        <v>14</v>
      </c>
      <c r="E2102" t="s">
        <v>100</v>
      </c>
      <c r="F2102" t="s">
        <v>42</v>
      </c>
      <c r="G2102" t="s">
        <v>80</v>
      </c>
      <c r="H2102">
        <v>3</v>
      </c>
      <c r="I2102">
        <v>431.5</v>
      </c>
      <c r="J2102">
        <v>1294.5</v>
      </c>
      <c r="K2102" t="s">
        <v>3416</v>
      </c>
      <c r="L2102" t="s">
        <v>36</v>
      </c>
    </row>
    <row r="2103" spans="1:12" x14ac:dyDescent="0.35">
      <c r="A2103" t="s">
        <v>3443</v>
      </c>
      <c r="B2103" t="s">
        <v>838</v>
      </c>
      <c r="C2103" t="s">
        <v>839</v>
      </c>
      <c r="D2103" t="s">
        <v>23</v>
      </c>
      <c r="E2103" t="s">
        <v>24</v>
      </c>
      <c r="F2103" t="s">
        <v>42</v>
      </c>
      <c r="G2103" t="s">
        <v>43</v>
      </c>
      <c r="H2103">
        <v>1</v>
      </c>
      <c r="I2103">
        <v>854.07</v>
      </c>
      <c r="J2103">
        <v>854.07</v>
      </c>
      <c r="K2103" t="s">
        <v>1069</v>
      </c>
      <c r="L2103" t="s">
        <v>36</v>
      </c>
    </row>
    <row r="2104" spans="1:12" x14ac:dyDescent="0.35">
      <c r="A2104" t="s">
        <v>3444</v>
      </c>
      <c r="B2104" t="s">
        <v>827</v>
      </c>
      <c r="C2104" t="s">
        <v>828</v>
      </c>
      <c r="D2104" t="s">
        <v>23</v>
      </c>
      <c r="E2104" t="s">
        <v>49</v>
      </c>
      <c r="F2104" t="s">
        <v>16</v>
      </c>
      <c r="G2104" t="s">
        <v>17</v>
      </c>
      <c r="H2104">
        <v>1</v>
      </c>
      <c r="I2104">
        <v>1019.29</v>
      </c>
      <c r="J2104">
        <v>1019.29</v>
      </c>
      <c r="K2104" t="s">
        <v>3289</v>
      </c>
      <c r="L2104" t="s">
        <v>28</v>
      </c>
    </row>
    <row r="2105" spans="1:12" x14ac:dyDescent="0.35">
      <c r="A2105" t="s">
        <v>3445</v>
      </c>
      <c r="B2105" t="s">
        <v>228</v>
      </c>
      <c r="C2105" t="s">
        <v>229</v>
      </c>
      <c r="D2105" t="s">
        <v>23</v>
      </c>
      <c r="E2105" t="s">
        <v>49</v>
      </c>
      <c r="F2105" t="s">
        <v>25</v>
      </c>
      <c r="G2105" t="s">
        <v>139</v>
      </c>
      <c r="H2105">
        <v>1</v>
      </c>
      <c r="I2105">
        <v>1265.8800000000001</v>
      </c>
      <c r="J2105">
        <v>1265.8800000000001</v>
      </c>
      <c r="K2105" t="s">
        <v>1512</v>
      </c>
      <c r="L2105" t="s">
        <v>19</v>
      </c>
    </row>
    <row r="2106" spans="1:12" x14ac:dyDescent="0.35">
      <c r="A2106" t="s">
        <v>3446</v>
      </c>
      <c r="B2106" t="s">
        <v>1707</v>
      </c>
      <c r="C2106" t="s">
        <v>1708</v>
      </c>
      <c r="D2106" t="s">
        <v>67</v>
      </c>
      <c r="E2106" t="s">
        <v>130</v>
      </c>
      <c r="F2106" t="s">
        <v>50</v>
      </c>
      <c r="G2106" t="s">
        <v>69</v>
      </c>
      <c r="H2106">
        <v>5</v>
      </c>
      <c r="I2106">
        <v>1040.71</v>
      </c>
      <c r="J2106">
        <v>5203.55</v>
      </c>
      <c r="K2106" t="s">
        <v>1919</v>
      </c>
      <c r="L2106" t="s">
        <v>19</v>
      </c>
    </row>
    <row r="2107" spans="1:12" x14ac:dyDescent="0.35">
      <c r="A2107" t="s">
        <v>3447</v>
      </c>
      <c r="B2107" t="s">
        <v>1707</v>
      </c>
      <c r="C2107" t="s">
        <v>1708</v>
      </c>
      <c r="D2107" t="s">
        <v>32</v>
      </c>
      <c r="E2107" t="s">
        <v>61</v>
      </c>
      <c r="F2107" t="s">
        <v>16</v>
      </c>
      <c r="G2107" t="s">
        <v>17</v>
      </c>
      <c r="H2107">
        <v>1</v>
      </c>
      <c r="I2107">
        <v>1060.58</v>
      </c>
      <c r="J2107">
        <v>1060.58</v>
      </c>
      <c r="K2107" t="s">
        <v>309</v>
      </c>
      <c r="L2107" t="s">
        <v>45</v>
      </c>
    </row>
    <row r="2108" spans="1:12" x14ac:dyDescent="0.35">
      <c r="A2108" t="s">
        <v>3448</v>
      </c>
      <c r="B2108" t="s">
        <v>763</v>
      </c>
      <c r="C2108" t="s">
        <v>764</v>
      </c>
      <c r="D2108" t="s">
        <v>67</v>
      </c>
      <c r="E2108" t="s">
        <v>115</v>
      </c>
      <c r="F2108" t="s">
        <v>50</v>
      </c>
      <c r="G2108" t="s">
        <v>216</v>
      </c>
      <c r="H2108">
        <v>4</v>
      </c>
      <c r="I2108">
        <v>248.63</v>
      </c>
      <c r="J2108">
        <v>994.52</v>
      </c>
      <c r="K2108" t="s">
        <v>807</v>
      </c>
      <c r="L2108" t="s">
        <v>91</v>
      </c>
    </row>
    <row r="2109" spans="1:12" x14ac:dyDescent="0.35">
      <c r="A2109" t="s">
        <v>3449</v>
      </c>
      <c r="B2109" t="s">
        <v>137</v>
      </c>
      <c r="C2109" t="s">
        <v>138</v>
      </c>
      <c r="D2109" t="s">
        <v>14</v>
      </c>
      <c r="E2109" t="s">
        <v>266</v>
      </c>
      <c r="F2109" t="s">
        <v>16</v>
      </c>
      <c r="G2109" t="s">
        <v>182</v>
      </c>
      <c r="H2109">
        <v>5</v>
      </c>
      <c r="I2109">
        <v>1334.25</v>
      </c>
      <c r="J2109">
        <v>6671.25</v>
      </c>
      <c r="K2109" t="s">
        <v>1995</v>
      </c>
      <c r="L2109" t="s">
        <v>19</v>
      </c>
    </row>
    <row r="2110" spans="1:12" x14ac:dyDescent="0.35">
      <c r="A2110" t="s">
        <v>3450</v>
      </c>
      <c r="B2110" t="s">
        <v>470</v>
      </c>
      <c r="C2110" t="s">
        <v>471</v>
      </c>
      <c r="D2110" t="s">
        <v>23</v>
      </c>
      <c r="E2110" t="s">
        <v>24</v>
      </c>
      <c r="F2110" t="s">
        <v>50</v>
      </c>
      <c r="G2110" t="s">
        <v>170</v>
      </c>
      <c r="H2110">
        <v>2</v>
      </c>
      <c r="I2110">
        <v>797.24</v>
      </c>
      <c r="J2110">
        <v>1594.48</v>
      </c>
      <c r="K2110" t="s">
        <v>3451</v>
      </c>
      <c r="L2110" t="s">
        <v>45</v>
      </c>
    </row>
    <row r="2111" spans="1:12" x14ac:dyDescent="0.35">
      <c r="A2111" t="s">
        <v>3452</v>
      </c>
      <c r="B2111" t="s">
        <v>77</v>
      </c>
      <c r="C2111" t="s">
        <v>78</v>
      </c>
      <c r="D2111" t="s">
        <v>40</v>
      </c>
      <c r="E2111" t="s">
        <v>79</v>
      </c>
      <c r="F2111" t="s">
        <v>50</v>
      </c>
      <c r="G2111" t="s">
        <v>170</v>
      </c>
      <c r="H2111">
        <v>5</v>
      </c>
      <c r="I2111">
        <v>389.52</v>
      </c>
      <c r="J2111">
        <v>1947.6</v>
      </c>
      <c r="K2111" t="s">
        <v>289</v>
      </c>
      <c r="L2111" t="s">
        <v>91</v>
      </c>
    </row>
    <row r="2112" spans="1:12" x14ac:dyDescent="0.35">
      <c r="A2112" t="s">
        <v>3453</v>
      </c>
      <c r="B2112" t="s">
        <v>652</v>
      </c>
      <c r="C2112" t="s">
        <v>653</v>
      </c>
      <c r="D2112" t="s">
        <v>23</v>
      </c>
      <c r="E2112" t="s">
        <v>338</v>
      </c>
      <c r="F2112" t="s">
        <v>42</v>
      </c>
      <c r="G2112" t="s">
        <v>170</v>
      </c>
      <c r="H2112">
        <v>2</v>
      </c>
      <c r="I2112">
        <v>894.45</v>
      </c>
      <c r="J2112">
        <v>1788.9</v>
      </c>
      <c r="K2112" t="s">
        <v>1446</v>
      </c>
      <c r="L2112" t="s">
        <v>36</v>
      </c>
    </row>
    <row r="2113" spans="1:12" x14ac:dyDescent="0.35">
      <c r="A2113" t="s">
        <v>3454</v>
      </c>
      <c r="B2113" t="s">
        <v>47</v>
      </c>
      <c r="C2113" t="s">
        <v>48</v>
      </c>
      <c r="D2113" t="s">
        <v>67</v>
      </c>
      <c r="E2113" t="s">
        <v>68</v>
      </c>
      <c r="F2113" t="s">
        <v>101</v>
      </c>
      <c r="G2113" t="s">
        <v>373</v>
      </c>
      <c r="H2113">
        <v>2</v>
      </c>
      <c r="I2113">
        <v>1416.14</v>
      </c>
      <c r="J2113">
        <v>2832.28</v>
      </c>
      <c r="K2113" t="s">
        <v>2532</v>
      </c>
      <c r="L2113" t="s">
        <v>36</v>
      </c>
    </row>
    <row r="2114" spans="1:12" x14ac:dyDescent="0.35">
      <c r="A2114" t="s">
        <v>3455</v>
      </c>
      <c r="B2114" t="s">
        <v>598</v>
      </c>
      <c r="C2114" t="s">
        <v>599</v>
      </c>
      <c r="D2114" t="s">
        <v>67</v>
      </c>
      <c r="E2114" t="s">
        <v>115</v>
      </c>
      <c r="F2114" t="s">
        <v>50</v>
      </c>
      <c r="G2114" t="s">
        <v>51</v>
      </c>
      <c r="H2114">
        <v>4</v>
      </c>
      <c r="I2114">
        <v>1184.8599999999999</v>
      </c>
      <c r="J2114">
        <v>4739.4399999999996</v>
      </c>
      <c r="K2114" t="s">
        <v>705</v>
      </c>
      <c r="L2114" t="s">
        <v>45</v>
      </c>
    </row>
    <row r="2115" spans="1:12" x14ac:dyDescent="0.35">
      <c r="A2115" t="s">
        <v>3456</v>
      </c>
      <c r="B2115" t="s">
        <v>1793</v>
      </c>
      <c r="C2115" t="s">
        <v>1794</v>
      </c>
      <c r="D2115" t="s">
        <v>40</v>
      </c>
      <c r="E2115" t="s">
        <v>120</v>
      </c>
      <c r="F2115" t="s">
        <v>50</v>
      </c>
      <c r="G2115" t="s">
        <v>69</v>
      </c>
      <c r="H2115">
        <v>4</v>
      </c>
      <c r="I2115">
        <v>780.33</v>
      </c>
      <c r="J2115">
        <v>3121.32</v>
      </c>
      <c r="K2115" t="s">
        <v>3457</v>
      </c>
      <c r="L2115" t="s">
        <v>91</v>
      </c>
    </row>
    <row r="2116" spans="1:12" x14ac:dyDescent="0.35">
      <c r="A2116" t="s">
        <v>3458</v>
      </c>
      <c r="B2116" t="s">
        <v>1354</v>
      </c>
      <c r="C2116" t="s">
        <v>1355</v>
      </c>
      <c r="D2116" t="s">
        <v>23</v>
      </c>
      <c r="E2116" t="s">
        <v>24</v>
      </c>
      <c r="F2116" t="s">
        <v>16</v>
      </c>
      <c r="G2116" t="s">
        <v>182</v>
      </c>
      <c r="H2116">
        <v>3</v>
      </c>
      <c r="I2116">
        <v>639.04999999999995</v>
      </c>
      <c r="J2116">
        <v>1917.15</v>
      </c>
      <c r="K2116" t="s">
        <v>456</v>
      </c>
      <c r="L2116" t="s">
        <v>19</v>
      </c>
    </row>
    <row r="2117" spans="1:12" x14ac:dyDescent="0.35">
      <c r="A2117" t="s">
        <v>3459</v>
      </c>
      <c r="B2117" t="s">
        <v>168</v>
      </c>
      <c r="C2117" t="s">
        <v>169</v>
      </c>
      <c r="D2117" t="s">
        <v>32</v>
      </c>
      <c r="E2117" t="s">
        <v>61</v>
      </c>
      <c r="F2117" t="s">
        <v>101</v>
      </c>
      <c r="G2117" t="s">
        <v>373</v>
      </c>
      <c r="H2117">
        <v>5</v>
      </c>
      <c r="I2117">
        <v>1306.4000000000001</v>
      </c>
      <c r="J2117">
        <v>6532</v>
      </c>
      <c r="K2117" t="s">
        <v>319</v>
      </c>
      <c r="L2117" t="s">
        <v>19</v>
      </c>
    </row>
    <row r="2118" spans="1:12" x14ac:dyDescent="0.35">
      <c r="A2118" t="s">
        <v>3460</v>
      </c>
      <c r="B2118" t="s">
        <v>260</v>
      </c>
      <c r="C2118" t="s">
        <v>261</v>
      </c>
      <c r="D2118" t="s">
        <v>32</v>
      </c>
      <c r="E2118" t="s">
        <v>61</v>
      </c>
      <c r="F2118" t="s">
        <v>25</v>
      </c>
      <c r="G2118" t="s">
        <v>62</v>
      </c>
      <c r="H2118">
        <v>2</v>
      </c>
      <c r="I2118">
        <v>781.92</v>
      </c>
      <c r="J2118">
        <v>1563.84</v>
      </c>
      <c r="K2118" t="s">
        <v>2613</v>
      </c>
      <c r="L2118" t="s">
        <v>19</v>
      </c>
    </row>
    <row r="2119" spans="1:12" x14ac:dyDescent="0.35">
      <c r="A2119" t="s">
        <v>3461</v>
      </c>
      <c r="B2119" t="s">
        <v>1128</v>
      </c>
      <c r="C2119" t="s">
        <v>1129</v>
      </c>
      <c r="D2119" t="s">
        <v>32</v>
      </c>
      <c r="E2119" t="s">
        <v>61</v>
      </c>
      <c r="F2119" t="s">
        <v>16</v>
      </c>
      <c r="G2119" t="s">
        <v>148</v>
      </c>
      <c r="H2119">
        <v>5</v>
      </c>
      <c r="I2119">
        <v>420.43</v>
      </c>
      <c r="J2119">
        <v>2102.15</v>
      </c>
      <c r="K2119" t="s">
        <v>1534</v>
      </c>
      <c r="L2119" t="s">
        <v>45</v>
      </c>
    </row>
    <row r="2120" spans="1:12" x14ac:dyDescent="0.35">
      <c r="A2120" t="s">
        <v>3462</v>
      </c>
      <c r="B2120" t="s">
        <v>618</v>
      </c>
      <c r="C2120" t="s">
        <v>619</v>
      </c>
      <c r="D2120" t="s">
        <v>67</v>
      </c>
      <c r="E2120" t="s">
        <v>115</v>
      </c>
      <c r="F2120" t="s">
        <v>50</v>
      </c>
      <c r="G2120" t="s">
        <v>170</v>
      </c>
      <c r="H2120">
        <v>4</v>
      </c>
      <c r="I2120">
        <v>1033.02</v>
      </c>
      <c r="J2120">
        <v>4132.08</v>
      </c>
      <c r="K2120" t="s">
        <v>2556</v>
      </c>
      <c r="L2120" t="s">
        <v>45</v>
      </c>
    </row>
    <row r="2121" spans="1:12" x14ac:dyDescent="0.35">
      <c r="A2121" t="s">
        <v>3463</v>
      </c>
      <c r="B2121" t="s">
        <v>711</v>
      </c>
      <c r="C2121" t="s">
        <v>712</v>
      </c>
      <c r="D2121" t="s">
        <v>40</v>
      </c>
      <c r="E2121" t="s">
        <v>79</v>
      </c>
      <c r="F2121" t="s">
        <v>42</v>
      </c>
      <c r="G2121" t="s">
        <v>89</v>
      </c>
      <c r="H2121">
        <v>5</v>
      </c>
      <c r="I2121">
        <v>749.26</v>
      </c>
      <c r="J2121">
        <v>3746.3</v>
      </c>
      <c r="K2121" t="s">
        <v>927</v>
      </c>
      <c r="L2121" t="s">
        <v>28</v>
      </c>
    </row>
    <row r="2122" spans="1:12" x14ac:dyDescent="0.35">
      <c r="A2122" t="s">
        <v>3464</v>
      </c>
      <c r="B2122" t="s">
        <v>355</v>
      </c>
      <c r="C2122" t="s">
        <v>356</v>
      </c>
      <c r="D2122" t="s">
        <v>23</v>
      </c>
      <c r="E2122" t="s">
        <v>49</v>
      </c>
      <c r="F2122" t="s">
        <v>16</v>
      </c>
      <c r="G2122" t="s">
        <v>177</v>
      </c>
      <c r="H2122">
        <v>4</v>
      </c>
      <c r="I2122">
        <v>239.16</v>
      </c>
      <c r="J2122">
        <v>956.64</v>
      </c>
      <c r="K2122" t="s">
        <v>3465</v>
      </c>
      <c r="L2122" t="s">
        <v>36</v>
      </c>
    </row>
    <row r="2123" spans="1:12" x14ac:dyDescent="0.35">
      <c r="A2123" t="s">
        <v>3466</v>
      </c>
      <c r="B2123" t="s">
        <v>281</v>
      </c>
      <c r="C2123" t="s">
        <v>282</v>
      </c>
      <c r="D2123" t="s">
        <v>67</v>
      </c>
      <c r="E2123" t="s">
        <v>130</v>
      </c>
      <c r="F2123" t="s">
        <v>25</v>
      </c>
      <c r="G2123" t="s">
        <v>74</v>
      </c>
      <c r="H2123">
        <v>4</v>
      </c>
      <c r="I2123">
        <v>248.37</v>
      </c>
      <c r="J2123">
        <v>993.48</v>
      </c>
      <c r="K2123" t="s">
        <v>1847</v>
      </c>
      <c r="L2123" t="s">
        <v>19</v>
      </c>
    </row>
    <row r="2124" spans="1:12" x14ac:dyDescent="0.35">
      <c r="A2124" t="s">
        <v>3467</v>
      </c>
      <c r="B2124" t="s">
        <v>109</v>
      </c>
      <c r="C2124" t="s">
        <v>110</v>
      </c>
      <c r="D2124" t="s">
        <v>23</v>
      </c>
      <c r="E2124" t="s">
        <v>24</v>
      </c>
      <c r="F2124" t="s">
        <v>25</v>
      </c>
      <c r="G2124" t="s">
        <v>139</v>
      </c>
      <c r="H2124">
        <v>4</v>
      </c>
      <c r="I2124">
        <v>1140.72</v>
      </c>
      <c r="J2124">
        <v>4562.88</v>
      </c>
      <c r="K2124" t="s">
        <v>1693</v>
      </c>
      <c r="L2124" t="s">
        <v>45</v>
      </c>
    </row>
    <row r="2125" spans="1:12" x14ac:dyDescent="0.35">
      <c r="A2125" t="s">
        <v>3468</v>
      </c>
      <c r="B2125" t="s">
        <v>605</v>
      </c>
      <c r="C2125" t="s">
        <v>606</v>
      </c>
      <c r="D2125" t="s">
        <v>32</v>
      </c>
      <c r="E2125" t="s">
        <v>203</v>
      </c>
      <c r="F2125" t="s">
        <v>50</v>
      </c>
      <c r="G2125" t="s">
        <v>216</v>
      </c>
      <c r="H2125">
        <v>2</v>
      </c>
      <c r="I2125">
        <v>255.71</v>
      </c>
      <c r="J2125">
        <v>511.42</v>
      </c>
      <c r="K2125" t="s">
        <v>645</v>
      </c>
      <c r="L2125" t="s">
        <v>91</v>
      </c>
    </row>
    <row r="2126" spans="1:12" x14ac:dyDescent="0.35">
      <c r="A2126" t="s">
        <v>3469</v>
      </c>
      <c r="B2126" t="s">
        <v>914</v>
      </c>
      <c r="C2126" t="s">
        <v>915</v>
      </c>
      <c r="D2126" t="s">
        <v>32</v>
      </c>
      <c r="E2126" t="s">
        <v>203</v>
      </c>
      <c r="F2126" t="s">
        <v>101</v>
      </c>
      <c r="G2126" t="s">
        <v>237</v>
      </c>
      <c r="H2126">
        <v>4</v>
      </c>
      <c r="I2126">
        <v>349.53</v>
      </c>
      <c r="J2126">
        <v>1398.12</v>
      </c>
      <c r="K2126" t="s">
        <v>954</v>
      </c>
      <c r="L2126" t="s">
        <v>19</v>
      </c>
    </row>
    <row r="2127" spans="1:12" x14ac:dyDescent="0.35">
      <c r="A2127" t="s">
        <v>3470</v>
      </c>
      <c r="B2127" t="s">
        <v>1005</v>
      </c>
      <c r="C2127" t="s">
        <v>1006</v>
      </c>
      <c r="D2127" t="s">
        <v>32</v>
      </c>
      <c r="E2127" t="s">
        <v>203</v>
      </c>
      <c r="F2127" t="s">
        <v>50</v>
      </c>
      <c r="G2127" t="s">
        <v>216</v>
      </c>
      <c r="H2127">
        <v>1</v>
      </c>
      <c r="I2127">
        <v>250.26</v>
      </c>
      <c r="J2127">
        <v>250.26</v>
      </c>
      <c r="K2127" t="s">
        <v>3471</v>
      </c>
      <c r="L2127" t="s">
        <v>28</v>
      </c>
    </row>
    <row r="2128" spans="1:12" x14ac:dyDescent="0.35">
      <c r="A2128" t="s">
        <v>3472</v>
      </c>
      <c r="B2128" t="s">
        <v>281</v>
      </c>
      <c r="C2128" t="s">
        <v>282</v>
      </c>
      <c r="D2128" t="s">
        <v>67</v>
      </c>
      <c r="E2128" t="s">
        <v>130</v>
      </c>
      <c r="F2128" t="s">
        <v>16</v>
      </c>
      <c r="G2128" t="s">
        <v>182</v>
      </c>
      <c r="H2128">
        <v>3</v>
      </c>
      <c r="I2128">
        <v>1215.53</v>
      </c>
      <c r="J2128">
        <v>3646.59</v>
      </c>
      <c r="K2128" t="s">
        <v>3473</v>
      </c>
      <c r="L2128" t="s">
        <v>91</v>
      </c>
    </row>
    <row r="2129" spans="1:12" x14ac:dyDescent="0.35">
      <c r="A2129" t="s">
        <v>3474</v>
      </c>
      <c r="B2129" t="s">
        <v>1532</v>
      </c>
      <c r="C2129" t="s">
        <v>1533</v>
      </c>
      <c r="D2129" t="s">
        <v>23</v>
      </c>
      <c r="E2129" t="s">
        <v>49</v>
      </c>
      <c r="F2129" t="s">
        <v>50</v>
      </c>
      <c r="G2129" t="s">
        <v>69</v>
      </c>
      <c r="H2129">
        <v>2</v>
      </c>
      <c r="I2129">
        <v>40.619999999999997</v>
      </c>
      <c r="J2129">
        <v>81.239999999999995</v>
      </c>
      <c r="K2129" t="s">
        <v>950</v>
      </c>
      <c r="L2129" t="s">
        <v>91</v>
      </c>
    </row>
    <row r="2130" spans="1:12" x14ac:dyDescent="0.35">
      <c r="A2130" t="s">
        <v>3475</v>
      </c>
      <c r="B2130" t="s">
        <v>450</v>
      </c>
      <c r="C2130" t="s">
        <v>451</v>
      </c>
      <c r="D2130" t="s">
        <v>23</v>
      </c>
      <c r="E2130" t="s">
        <v>24</v>
      </c>
      <c r="F2130" t="s">
        <v>25</v>
      </c>
      <c r="G2130" t="s">
        <v>139</v>
      </c>
      <c r="H2130">
        <v>4</v>
      </c>
      <c r="I2130">
        <v>408.13</v>
      </c>
      <c r="J2130">
        <v>1632.52</v>
      </c>
      <c r="K2130" t="s">
        <v>844</v>
      </c>
      <c r="L2130" t="s">
        <v>28</v>
      </c>
    </row>
    <row r="2131" spans="1:12" x14ac:dyDescent="0.35">
      <c r="A2131" t="s">
        <v>3476</v>
      </c>
      <c r="B2131" t="s">
        <v>1594</v>
      </c>
      <c r="C2131" t="s">
        <v>1595</v>
      </c>
      <c r="D2131" t="s">
        <v>40</v>
      </c>
      <c r="E2131" t="s">
        <v>120</v>
      </c>
      <c r="F2131" t="s">
        <v>42</v>
      </c>
      <c r="G2131" t="s">
        <v>80</v>
      </c>
      <c r="H2131">
        <v>2</v>
      </c>
      <c r="I2131">
        <v>1044.78</v>
      </c>
      <c r="J2131">
        <v>2089.56</v>
      </c>
      <c r="K2131" t="s">
        <v>1380</v>
      </c>
      <c r="L2131" t="s">
        <v>19</v>
      </c>
    </row>
    <row r="2132" spans="1:12" x14ac:dyDescent="0.35">
      <c r="A2132" t="s">
        <v>3477</v>
      </c>
      <c r="B2132" t="s">
        <v>1028</v>
      </c>
      <c r="C2132" t="s">
        <v>1029</v>
      </c>
      <c r="D2132" t="s">
        <v>23</v>
      </c>
      <c r="E2132" t="s">
        <v>338</v>
      </c>
      <c r="F2132" t="s">
        <v>16</v>
      </c>
      <c r="G2132" t="s">
        <v>230</v>
      </c>
      <c r="H2132">
        <v>4</v>
      </c>
      <c r="I2132">
        <v>92.46</v>
      </c>
      <c r="J2132">
        <v>369.84</v>
      </c>
      <c r="K2132" t="s">
        <v>131</v>
      </c>
      <c r="L2132" t="s">
        <v>28</v>
      </c>
    </row>
    <row r="2133" spans="1:12" x14ac:dyDescent="0.35">
      <c r="A2133" t="s">
        <v>3478</v>
      </c>
      <c r="B2133" t="s">
        <v>779</v>
      </c>
      <c r="C2133" t="s">
        <v>780</v>
      </c>
      <c r="D2133" t="s">
        <v>23</v>
      </c>
      <c r="E2133" t="s">
        <v>338</v>
      </c>
      <c r="F2133" t="s">
        <v>101</v>
      </c>
      <c r="G2133" t="s">
        <v>237</v>
      </c>
      <c r="H2133">
        <v>1</v>
      </c>
      <c r="I2133">
        <v>332.6</v>
      </c>
      <c r="J2133">
        <v>332.6</v>
      </c>
      <c r="K2133" t="s">
        <v>3479</v>
      </c>
      <c r="L2133" t="s">
        <v>28</v>
      </c>
    </row>
    <row r="2134" spans="1:12" x14ac:dyDescent="0.35">
      <c r="A2134" t="s">
        <v>3480</v>
      </c>
      <c r="B2134" t="s">
        <v>711</v>
      </c>
      <c r="C2134" t="s">
        <v>712</v>
      </c>
      <c r="D2134" t="s">
        <v>40</v>
      </c>
      <c r="E2134" t="s">
        <v>120</v>
      </c>
      <c r="F2134" t="s">
        <v>42</v>
      </c>
      <c r="G2134" t="s">
        <v>80</v>
      </c>
      <c r="H2134">
        <v>4</v>
      </c>
      <c r="I2134">
        <v>1263.45</v>
      </c>
      <c r="J2134">
        <v>5053.8</v>
      </c>
      <c r="K2134" t="s">
        <v>1775</v>
      </c>
      <c r="L2134" t="s">
        <v>19</v>
      </c>
    </row>
    <row r="2135" spans="1:12" x14ac:dyDescent="0.35">
      <c r="A2135" t="s">
        <v>3481</v>
      </c>
      <c r="B2135" t="s">
        <v>711</v>
      </c>
      <c r="C2135" t="s">
        <v>712</v>
      </c>
      <c r="D2135" t="s">
        <v>67</v>
      </c>
      <c r="E2135" t="s">
        <v>68</v>
      </c>
      <c r="F2135" t="s">
        <v>101</v>
      </c>
      <c r="G2135" t="s">
        <v>102</v>
      </c>
      <c r="H2135">
        <v>4</v>
      </c>
      <c r="I2135">
        <v>1441.12</v>
      </c>
      <c r="J2135">
        <v>5764.48</v>
      </c>
      <c r="K2135" t="s">
        <v>2116</v>
      </c>
      <c r="L2135" t="s">
        <v>28</v>
      </c>
    </row>
    <row r="2136" spans="1:12" x14ac:dyDescent="0.35">
      <c r="A2136" t="s">
        <v>3482</v>
      </c>
      <c r="B2136" t="s">
        <v>77</v>
      </c>
      <c r="C2136" t="s">
        <v>78</v>
      </c>
      <c r="D2136" t="s">
        <v>67</v>
      </c>
      <c r="E2136" t="s">
        <v>130</v>
      </c>
      <c r="F2136" t="s">
        <v>101</v>
      </c>
      <c r="G2136" t="s">
        <v>373</v>
      </c>
      <c r="H2136">
        <v>1</v>
      </c>
      <c r="I2136">
        <v>1317.1</v>
      </c>
      <c r="J2136">
        <v>1317.1</v>
      </c>
      <c r="K2136" t="s">
        <v>1984</v>
      </c>
      <c r="L2136" t="s">
        <v>19</v>
      </c>
    </row>
    <row r="2137" spans="1:12" x14ac:dyDescent="0.35">
      <c r="A2137" t="s">
        <v>3483</v>
      </c>
      <c r="B2137" t="s">
        <v>506</v>
      </c>
      <c r="C2137" t="s">
        <v>507</v>
      </c>
      <c r="D2137" t="s">
        <v>23</v>
      </c>
      <c r="E2137" t="s">
        <v>49</v>
      </c>
      <c r="F2137" t="s">
        <v>42</v>
      </c>
      <c r="G2137" t="s">
        <v>225</v>
      </c>
      <c r="H2137">
        <v>2</v>
      </c>
      <c r="I2137">
        <v>1448.78</v>
      </c>
      <c r="J2137">
        <v>2897.56</v>
      </c>
      <c r="K2137" t="s">
        <v>844</v>
      </c>
      <c r="L2137" t="s">
        <v>91</v>
      </c>
    </row>
    <row r="2138" spans="1:12" x14ac:dyDescent="0.35">
      <c r="A2138" t="s">
        <v>3484</v>
      </c>
      <c r="B2138" t="s">
        <v>1532</v>
      </c>
      <c r="C2138" t="s">
        <v>1533</v>
      </c>
      <c r="D2138" t="s">
        <v>40</v>
      </c>
      <c r="E2138" t="s">
        <v>120</v>
      </c>
      <c r="F2138" t="s">
        <v>42</v>
      </c>
      <c r="G2138" t="s">
        <v>170</v>
      </c>
      <c r="H2138">
        <v>2</v>
      </c>
      <c r="I2138">
        <v>1056.75</v>
      </c>
      <c r="J2138">
        <v>2113.5</v>
      </c>
      <c r="K2138" t="s">
        <v>773</v>
      </c>
      <c r="L2138" t="s">
        <v>19</v>
      </c>
    </row>
    <row r="2139" spans="1:12" x14ac:dyDescent="0.35">
      <c r="A2139" t="s">
        <v>3485</v>
      </c>
      <c r="B2139" t="s">
        <v>311</v>
      </c>
      <c r="C2139" t="s">
        <v>312</v>
      </c>
      <c r="D2139" t="s">
        <v>32</v>
      </c>
      <c r="E2139" t="s">
        <v>33</v>
      </c>
      <c r="F2139" t="s">
        <v>25</v>
      </c>
      <c r="G2139" t="s">
        <v>62</v>
      </c>
      <c r="H2139">
        <v>2</v>
      </c>
      <c r="I2139">
        <v>226.04</v>
      </c>
      <c r="J2139">
        <v>452.08</v>
      </c>
      <c r="K2139" t="s">
        <v>3486</v>
      </c>
      <c r="L2139" t="s">
        <v>28</v>
      </c>
    </row>
    <row r="2140" spans="1:12" x14ac:dyDescent="0.35">
      <c r="A2140" t="s">
        <v>3487</v>
      </c>
      <c r="B2140" t="s">
        <v>180</v>
      </c>
      <c r="C2140" t="s">
        <v>181</v>
      </c>
      <c r="D2140" t="s">
        <v>67</v>
      </c>
      <c r="E2140" t="s">
        <v>115</v>
      </c>
      <c r="F2140" t="s">
        <v>16</v>
      </c>
      <c r="G2140" t="s">
        <v>182</v>
      </c>
      <c r="H2140">
        <v>3</v>
      </c>
      <c r="I2140">
        <v>1454.77</v>
      </c>
      <c r="J2140">
        <v>4364.3100000000004</v>
      </c>
      <c r="K2140" t="s">
        <v>2850</v>
      </c>
      <c r="L2140" t="s">
        <v>91</v>
      </c>
    </row>
    <row r="2141" spans="1:12" x14ac:dyDescent="0.35">
      <c r="A2141" t="s">
        <v>3488</v>
      </c>
      <c r="B2141" t="s">
        <v>562</v>
      </c>
      <c r="C2141" t="s">
        <v>563</v>
      </c>
      <c r="D2141" t="s">
        <v>23</v>
      </c>
      <c r="E2141" t="s">
        <v>49</v>
      </c>
      <c r="F2141" t="s">
        <v>50</v>
      </c>
      <c r="G2141" t="s">
        <v>69</v>
      </c>
      <c r="H2141">
        <v>4</v>
      </c>
      <c r="I2141">
        <v>783.19</v>
      </c>
      <c r="J2141">
        <v>3132.76</v>
      </c>
      <c r="K2141" t="s">
        <v>3200</v>
      </c>
      <c r="L2141" t="s">
        <v>19</v>
      </c>
    </row>
    <row r="2142" spans="1:12" x14ac:dyDescent="0.35">
      <c r="A2142" t="s">
        <v>3489</v>
      </c>
      <c r="B2142" t="s">
        <v>548</v>
      </c>
      <c r="C2142" t="s">
        <v>549</v>
      </c>
      <c r="D2142" t="s">
        <v>32</v>
      </c>
      <c r="E2142" t="s">
        <v>33</v>
      </c>
      <c r="F2142" t="s">
        <v>16</v>
      </c>
      <c r="G2142" t="s">
        <v>17</v>
      </c>
      <c r="H2142">
        <v>3</v>
      </c>
      <c r="I2142">
        <v>317.41000000000003</v>
      </c>
      <c r="J2142">
        <v>952.23</v>
      </c>
      <c r="K2142" t="s">
        <v>361</v>
      </c>
      <c r="L2142" t="s">
        <v>28</v>
      </c>
    </row>
    <row r="2143" spans="1:12" x14ac:dyDescent="0.35">
      <c r="A2143" t="s">
        <v>3490</v>
      </c>
      <c r="B2143" t="s">
        <v>1278</v>
      </c>
      <c r="C2143" t="s">
        <v>1279</v>
      </c>
      <c r="D2143" t="s">
        <v>32</v>
      </c>
      <c r="E2143" t="s">
        <v>33</v>
      </c>
      <c r="F2143" t="s">
        <v>42</v>
      </c>
      <c r="G2143" t="s">
        <v>89</v>
      </c>
      <c r="H2143">
        <v>1</v>
      </c>
      <c r="I2143">
        <v>1004.37</v>
      </c>
      <c r="J2143">
        <v>1004.37</v>
      </c>
      <c r="K2143" t="s">
        <v>1052</v>
      </c>
      <c r="L2143" t="s">
        <v>28</v>
      </c>
    </row>
    <row r="2144" spans="1:12" x14ac:dyDescent="0.35">
      <c r="A2144" t="s">
        <v>3491</v>
      </c>
      <c r="B2144" t="s">
        <v>832</v>
      </c>
      <c r="C2144" t="s">
        <v>833</v>
      </c>
      <c r="D2144" t="s">
        <v>23</v>
      </c>
      <c r="E2144" t="s">
        <v>338</v>
      </c>
      <c r="F2144" t="s">
        <v>16</v>
      </c>
      <c r="G2144" t="s">
        <v>182</v>
      </c>
      <c r="H2144">
        <v>5</v>
      </c>
      <c r="I2144">
        <v>1178.6300000000001</v>
      </c>
      <c r="J2144">
        <v>5893.15</v>
      </c>
      <c r="K2144" t="s">
        <v>2046</v>
      </c>
      <c r="L2144" t="s">
        <v>28</v>
      </c>
    </row>
    <row r="2145" spans="1:12" x14ac:dyDescent="0.35">
      <c r="A2145" t="s">
        <v>3492</v>
      </c>
      <c r="B2145" t="s">
        <v>922</v>
      </c>
      <c r="C2145" t="s">
        <v>923</v>
      </c>
      <c r="D2145" t="s">
        <v>14</v>
      </c>
      <c r="E2145" t="s">
        <v>95</v>
      </c>
      <c r="F2145" t="s">
        <v>101</v>
      </c>
      <c r="G2145" t="s">
        <v>649</v>
      </c>
      <c r="H2145">
        <v>2</v>
      </c>
      <c r="I2145">
        <v>1375.65</v>
      </c>
      <c r="J2145">
        <v>2751.3</v>
      </c>
      <c r="K2145" t="s">
        <v>662</v>
      </c>
      <c r="L2145" t="s">
        <v>91</v>
      </c>
    </row>
    <row r="2146" spans="1:12" x14ac:dyDescent="0.35">
      <c r="A2146" t="s">
        <v>3493</v>
      </c>
      <c r="B2146" t="s">
        <v>817</v>
      </c>
      <c r="C2146" t="s">
        <v>818</v>
      </c>
      <c r="D2146" t="s">
        <v>67</v>
      </c>
      <c r="E2146" t="s">
        <v>130</v>
      </c>
      <c r="F2146" t="s">
        <v>16</v>
      </c>
      <c r="G2146" t="s">
        <v>182</v>
      </c>
      <c r="H2146">
        <v>2</v>
      </c>
      <c r="I2146">
        <v>239.33</v>
      </c>
      <c r="J2146">
        <v>478.66</v>
      </c>
      <c r="K2146" t="s">
        <v>635</v>
      </c>
      <c r="L2146" t="s">
        <v>36</v>
      </c>
    </row>
    <row r="2147" spans="1:12" x14ac:dyDescent="0.35">
      <c r="A2147" t="s">
        <v>3494</v>
      </c>
      <c r="B2147" t="s">
        <v>214</v>
      </c>
      <c r="C2147" t="s">
        <v>215</v>
      </c>
      <c r="D2147" t="s">
        <v>14</v>
      </c>
      <c r="E2147" t="s">
        <v>15</v>
      </c>
      <c r="F2147" t="s">
        <v>25</v>
      </c>
      <c r="G2147" t="s">
        <v>139</v>
      </c>
      <c r="H2147">
        <v>3</v>
      </c>
      <c r="I2147">
        <v>1304</v>
      </c>
      <c r="J2147">
        <v>3912</v>
      </c>
      <c r="K2147" t="s">
        <v>2631</v>
      </c>
      <c r="L2147" t="s">
        <v>19</v>
      </c>
    </row>
    <row r="2148" spans="1:12" x14ac:dyDescent="0.35">
      <c r="A2148" t="s">
        <v>3495</v>
      </c>
      <c r="B2148" t="s">
        <v>1278</v>
      </c>
      <c r="C2148" t="s">
        <v>1279</v>
      </c>
      <c r="D2148" t="s">
        <v>67</v>
      </c>
      <c r="E2148" t="s">
        <v>115</v>
      </c>
      <c r="F2148" t="s">
        <v>50</v>
      </c>
      <c r="G2148" t="s">
        <v>216</v>
      </c>
      <c r="H2148">
        <v>3</v>
      </c>
      <c r="I2148">
        <v>544.37</v>
      </c>
      <c r="J2148">
        <v>1633.11</v>
      </c>
      <c r="K2148" t="s">
        <v>2225</v>
      </c>
      <c r="L2148" t="s">
        <v>91</v>
      </c>
    </row>
    <row r="2149" spans="1:12" x14ac:dyDescent="0.35">
      <c r="A2149" t="s">
        <v>3496</v>
      </c>
      <c r="B2149" t="s">
        <v>446</v>
      </c>
      <c r="C2149" t="s">
        <v>447</v>
      </c>
      <c r="D2149" t="s">
        <v>40</v>
      </c>
      <c r="E2149" t="s">
        <v>41</v>
      </c>
      <c r="F2149" t="s">
        <v>16</v>
      </c>
      <c r="G2149" t="s">
        <v>230</v>
      </c>
      <c r="H2149">
        <v>3</v>
      </c>
      <c r="I2149">
        <v>486.29</v>
      </c>
      <c r="J2149">
        <v>1458.87</v>
      </c>
      <c r="K2149" t="s">
        <v>596</v>
      </c>
      <c r="L2149" t="s">
        <v>28</v>
      </c>
    </row>
    <row r="2150" spans="1:12" x14ac:dyDescent="0.35">
      <c r="A2150" t="s">
        <v>3497</v>
      </c>
      <c r="B2150" t="s">
        <v>240</v>
      </c>
      <c r="C2150" t="s">
        <v>241</v>
      </c>
      <c r="D2150" t="s">
        <v>32</v>
      </c>
      <c r="E2150" t="s">
        <v>33</v>
      </c>
      <c r="F2150" t="s">
        <v>50</v>
      </c>
      <c r="G2150" t="s">
        <v>216</v>
      </c>
      <c r="H2150">
        <v>3</v>
      </c>
      <c r="I2150">
        <v>26.96</v>
      </c>
      <c r="J2150">
        <v>80.88</v>
      </c>
      <c r="K2150" t="s">
        <v>502</v>
      </c>
      <c r="L2150" t="s">
        <v>28</v>
      </c>
    </row>
    <row r="2151" spans="1:12" x14ac:dyDescent="0.35">
      <c r="A2151" t="s">
        <v>3498</v>
      </c>
      <c r="B2151" t="s">
        <v>775</v>
      </c>
      <c r="C2151" t="s">
        <v>776</v>
      </c>
      <c r="D2151" t="s">
        <v>14</v>
      </c>
      <c r="E2151" t="s">
        <v>125</v>
      </c>
      <c r="F2151" t="s">
        <v>42</v>
      </c>
      <c r="G2151" t="s">
        <v>43</v>
      </c>
      <c r="H2151">
        <v>2</v>
      </c>
      <c r="I2151">
        <v>992</v>
      </c>
      <c r="J2151">
        <v>1984</v>
      </c>
      <c r="K2151" t="s">
        <v>1241</v>
      </c>
      <c r="L2151" t="s">
        <v>45</v>
      </c>
    </row>
    <row r="2152" spans="1:12" x14ac:dyDescent="0.35">
      <c r="A2152" t="s">
        <v>3499</v>
      </c>
      <c r="B2152" t="s">
        <v>552</v>
      </c>
      <c r="C2152" t="s">
        <v>553</v>
      </c>
      <c r="D2152" t="s">
        <v>14</v>
      </c>
      <c r="E2152" t="s">
        <v>266</v>
      </c>
      <c r="F2152" t="s">
        <v>25</v>
      </c>
      <c r="G2152" t="s">
        <v>74</v>
      </c>
      <c r="H2152">
        <v>1</v>
      </c>
      <c r="I2152">
        <v>380.5</v>
      </c>
      <c r="J2152">
        <v>380.5</v>
      </c>
      <c r="K2152" t="s">
        <v>2243</v>
      </c>
      <c r="L2152" t="s">
        <v>28</v>
      </c>
    </row>
    <row r="2153" spans="1:12" x14ac:dyDescent="0.35">
      <c r="A2153" t="s">
        <v>3500</v>
      </c>
      <c r="B2153" t="s">
        <v>163</v>
      </c>
      <c r="C2153" t="s">
        <v>164</v>
      </c>
      <c r="D2153" t="s">
        <v>23</v>
      </c>
      <c r="E2153" t="s">
        <v>24</v>
      </c>
      <c r="F2153" t="s">
        <v>25</v>
      </c>
      <c r="G2153" t="s">
        <v>34</v>
      </c>
      <c r="H2153">
        <v>1</v>
      </c>
      <c r="I2153">
        <v>975</v>
      </c>
      <c r="J2153">
        <v>975</v>
      </c>
      <c r="K2153" t="s">
        <v>1474</v>
      </c>
      <c r="L2153" t="s">
        <v>36</v>
      </c>
    </row>
    <row r="2154" spans="1:12" x14ac:dyDescent="0.35">
      <c r="A2154" t="s">
        <v>3501</v>
      </c>
      <c r="B2154" t="s">
        <v>443</v>
      </c>
      <c r="C2154" t="s">
        <v>444</v>
      </c>
      <c r="D2154" t="s">
        <v>32</v>
      </c>
      <c r="E2154" t="s">
        <v>203</v>
      </c>
      <c r="F2154" t="s">
        <v>16</v>
      </c>
      <c r="G2154" t="s">
        <v>177</v>
      </c>
      <c r="H2154">
        <v>4</v>
      </c>
      <c r="I2154">
        <v>83.47</v>
      </c>
      <c r="J2154">
        <v>333.88</v>
      </c>
      <c r="K2154" t="s">
        <v>1404</v>
      </c>
      <c r="L2154" t="s">
        <v>91</v>
      </c>
    </row>
    <row r="2155" spans="1:12" x14ac:dyDescent="0.35">
      <c r="A2155" t="s">
        <v>3502</v>
      </c>
      <c r="B2155" t="s">
        <v>611</v>
      </c>
      <c r="C2155" t="s">
        <v>612</v>
      </c>
      <c r="D2155" t="s">
        <v>32</v>
      </c>
      <c r="E2155" t="s">
        <v>33</v>
      </c>
      <c r="F2155" t="s">
        <v>42</v>
      </c>
      <c r="G2155" t="s">
        <v>80</v>
      </c>
      <c r="H2155">
        <v>1</v>
      </c>
      <c r="I2155">
        <v>1499.17</v>
      </c>
      <c r="J2155">
        <v>1499.17</v>
      </c>
      <c r="K2155" t="s">
        <v>2179</v>
      </c>
      <c r="L2155" t="s">
        <v>28</v>
      </c>
    </row>
    <row r="2156" spans="1:12" x14ac:dyDescent="0.35">
      <c r="A2156" t="s">
        <v>3503</v>
      </c>
      <c r="B2156" t="s">
        <v>544</v>
      </c>
      <c r="C2156" t="s">
        <v>545</v>
      </c>
      <c r="D2156" t="s">
        <v>32</v>
      </c>
      <c r="E2156" t="s">
        <v>33</v>
      </c>
      <c r="F2156" t="s">
        <v>50</v>
      </c>
      <c r="G2156" t="s">
        <v>170</v>
      </c>
      <c r="H2156">
        <v>4</v>
      </c>
      <c r="I2156">
        <v>1259.05</v>
      </c>
      <c r="J2156">
        <v>5036.2</v>
      </c>
      <c r="K2156" t="s">
        <v>3504</v>
      </c>
      <c r="L2156" t="s">
        <v>28</v>
      </c>
    </row>
    <row r="2157" spans="1:12" x14ac:dyDescent="0.35">
      <c r="A2157" t="s">
        <v>3505</v>
      </c>
      <c r="B2157" t="s">
        <v>1285</v>
      </c>
      <c r="C2157" t="s">
        <v>1286</v>
      </c>
      <c r="D2157" t="s">
        <v>32</v>
      </c>
      <c r="E2157" t="s">
        <v>61</v>
      </c>
      <c r="F2157" t="s">
        <v>16</v>
      </c>
      <c r="G2157" t="s">
        <v>182</v>
      </c>
      <c r="H2157">
        <v>2</v>
      </c>
      <c r="I2157">
        <v>516.98</v>
      </c>
      <c r="J2157">
        <v>1033.96</v>
      </c>
      <c r="K2157" t="s">
        <v>1228</v>
      </c>
      <c r="L2157" t="s">
        <v>91</v>
      </c>
    </row>
    <row r="2158" spans="1:12" x14ac:dyDescent="0.35">
      <c r="A2158" t="s">
        <v>3506</v>
      </c>
      <c r="B2158" t="s">
        <v>123</v>
      </c>
      <c r="C2158" t="s">
        <v>124</v>
      </c>
      <c r="D2158" t="s">
        <v>40</v>
      </c>
      <c r="E2158" t="s">
        <v>120</v>
      </c>
      <c r="F2158" t="s">
        <v>16</v>
      </c>
      <c r="G2158" t="s">
        <v>230</v>
      </c>
      <c r="H2158">
        <v>3</v>
      </c>
      <c r="I2158">
        <v>194.3</v>
      </c>
      <c r="J2158">
        <v>582.9</v>
      </c>
      <c r="K2158" t="s">
        <v>2327</v>
      </c>
      <c r="L2158" t="s">
        <v>19</v>
      </c>
    </row>
    <row r="2159" spans="1:12" x14ac:dyDescent="0.35">
      <c r="A2159" t="s">
        <v>3507</v>
      </c>
      <c r="B2159" t="s">
        <v>380</v>
      </c>
      <c r="C2159" t="s">
        <v>381</v>
      </c>
      <c r="D2159" t="s">
        <v>23</v>
      </c>
      <c r="E2159" t="s">
        <v>49</v>
      </c>
      <c r="F2159" t="s">
        <v>101</v>
      </c>
      <c r="G2159" t="s">
        <v>373</v>
      </c>
      <c r="H2159">
        <v>4</v>
      </c>
      <c r="I2159">
        <v>1032.18</v>
      </c>
      <c r="J2159">
        <v>4128.72</v>
      </c>
      <c r="K2159" t="s">
        <v>1603</v>
      </c>
      <c r="L2159" t="s">
        <v>36</v>
      </c>
    </row>
    <row r="2160" spans="1:12" x14ac:dyDescent="0.35">
      <c r="A2160" t="s">
        <v>3508</v>
      </c>
      <c r="B2160" t="s">
        <v>936</v>
      </c>
      <c r="C2160" t="s">
        <v>937</v>
      </c>
      <c r="D2160" t="s">
        <v>40</v>
      </c>
      <c r="E2160" t="s">
        <v>79</v>
      </c>
      <c r="F2160" t="s">
        <v>42</v>
      </c>
      <c r="G2160" t="s">
        <v>80</v>
      </c>
      <c r="H2160">
        <v>2</v>
      </c>
      <c r="I2160">
        <v>1243.9100000000001</v>
      </c>
      <c r="J2160">
        <v>2487.8200000000002</v>
      </c>
      <c r="K2160" t="s">
        <v>1805</v>
      </c>
      <c r="L2160" t="s">
        <v>19</v>
      </c>
    </row>
    <row r="2161" spans="1:12" x14ac:dyDescent="0.35">
      <c r="A2161" t="s">
        <v>3509</v>
      </c>
      <c r="B2161" t="s">
        <v>1340</v>
      </c>
      <c r="C2161" t="s">
        <v>1341</v>
      </c>
      <c r="D2161" t="s">
        <v>32</v>
      </c>
      <c r="E2161" t="s">
        <v>33</v>
      </c>
      <c r="F2161" t="s">
        <v>25</v>
      </c>
      <c r="G2161" t="s">
        <v>26</v>
      </c>
      <c r="H2161">
        <v>3</v>
      </c>
      <c r="I2161">
        <v>545.07000000000005</v>
      </c>
      <c r="J2161">
        <v>1635.21</v>
      </c>
      <c r="K2161" t="s">
        <v>1217</v>
      </c>
      <c r="L2161" t="s">
        <v>28</v>
      </c>
    </row>
    <row r="2162" spans="1:12" x14ac:dyDescent="0.35">
      <c r="A2162" t="s">
        <v>3510</v>
      </c>
      <c r="B2162" t="s">
        <v>348</v>
      </c>
      <c r="C2162" t="s">
        <v>349</v>
      </c>
      <c r="D2162" t="s">
        <v>14</v>
      </c>
      <c r="E2162" t="s">
        <v>266</v>
      </c>
      <c r="F2162" t="s">
        <v>25</v>
      </c>
      <c r="G2162" t="s">
        <v>62</v>
      </c>
      <c r="H2162">
        <v>5</v>
      </c>
      <c r="I2162">
        <v>613.97</v>
      </c>
      <c r="J2162">
        <v>3069.85</v>
      </c>
      <c r="K2162" t="s">
        <v>1974</v>
      </c>
      <c r="L2162" t="s">
        <v>91</v>
      </c>
    </row>
    <row r="2163" spans="1:12" x14ac:dyDescent="0.35">
      <c r="A2163" t="s">
        <v>3511</v>
      </c>
      <c r="B2163" t="s">
        <v>779</v>
      </c>
      <c r="C2163" t="s">
        <v>780</v>
      </c>
      <c r="D2163" t="s">
        <v>40</v>
      </c>
      <c r="E2163" t="s">
        <v>41</v>
      </c>
      <c r="F2163" t="s">
        <v>42</v>
      </c>
      <c r="G2163" t="s">
        <v>225</v>
      </c>
      <c r="H2163">
        <v>3</v>
      </c>
      <c r="I2163">
        <v>49.85</v>
      </c>
      <c r="J2163">
        <v>149.55000000000001</v>
      </c>
      <c r="K2163" t="s">
        <v>781</v>
      </c>
      <c r="L2163" t="s">
        <v>36</v>
      </c>
    </row>
    <row r="2164" spans="1:12" x14ac:dyDescent="0.35">
      <c r="A2164" t="s">
        <v>3512</v>
      </c>
      <c r="B2164" t="s">
        <v>1018</v>
      </c>
      <c r="C2164" t="s">
        <v>1019</v>
      </c>
      <c r="D2164" t="s">
        <v>32</v>
      </c>
      <c r="E2164" t="s">
        <v>33</v>
      </c>
      <c r="F2164" t="s">
        <v>16</v>
      </c>
      <c r="G2164" t="s">
        <v>230</v>
      </c>
      <c r="H2164">
        <v>1</v>
      </c>
      <c r="I2164">
        <v>185.3</v>
      </c>
      <c r="J2164">
        <v>185.3</v>
      </c>
      <c r="K2164" t="s">
        <v>400</v>
      </c>
      <c r="L2164" t="s">
        <v>36</v>
      </c>
    </row>
    <row r="2165" spans="1:12" x14ac:dyDescent="0.35">
      <c r="A2165" t="s">
        <v>3513</v>
      </c>
      <c r="B2165" t="s">
        <v>820</v>
      </c>
      <c r="C2165" t="s">
        <v>821</v>
      </c>
      <c r="D2165" t="s">
        <v>67</v>
      </c>
      <c r="E2165" t="s">
        <v>130</v>
      </c>
      <c r="F2165" t="s">
        <v>16</v>
      </c>
      <c r="G2165" t="s">
        <v>230</v>
      </c>
      <c r="H2165">
        <v>4</v>
      </c>
      <c r="I2165">
        <v>1324.79</v>
      </c>
      <c r="J2165">
        <v>5299.16</v>
      </c>
      <c r="K2165" t="s">
        <v>2111</v>
      </c>
      <c r="L2165" t="s">
        <v>45</v>
      </c>
    </row>
    <row r="2166" spans="1:12" x14ac:dyDescent="0.35">
      <c r="A2166" t="s">
        <v>3514</v>
      </c>
      <c r="B2166" t="s">
        <v>240</v>
      </c>
      <c r="C2166" t="s">
        <v>241</v>
      </c>
      <c r="D2166" t="s">
        <v>40</v>
      </c>
      <c r="E2166" t="s">
        <v>41</v>
      </c>
      <c r="F2166" t="s">
        <v>101</v>
      </c>
      <c r="G2166" t="s">
        <v>237</v>
      </c>
      <c r="H2166">
        <v>4</v>
      </c>
      <c r="I2166">
        <v>1024.74</v>
      </c>
      <c r="J2166">
        <v>4098.96</v>
      </c>
      <c r="K2166" t="s">
        <v>1397</v>
      </c>
      <c r="L2166" t="s">
        <v>45</v>
      </c>
    </row>
    <row r="2167" spans="1:12" x14ac:dyDescent="0.35">
      <c r="A2167" t="s">
        <v>3515</v>
      </c>
      <c r="B2167" t="s">
        <v>21</v>
      </c>
      <c r="C2167" t="s">
        <v>22</v>
      </c>
      <c r="D2167" t="s">
        <v>67</v>
      </c>
      <c r="E2167" t="s">
        <v>115</v>
      </c>
      <c r="F2167" t="s">
        <v>25</v>
      </c>
      <c r="G2167" t="s">
        <v>74</v>
      </c>
      <c r="H2167">
        <v>4</v>
      </c>
      <c r="I2167">
        <v>522.70000000000005</v>
      </c>
      <c r="J2167">
        <v>2090.8000000000002</v>
      </c>
      <c r="K2167" t="s">
        <v>103</v>
      </c>
      <c r="L2167" t="s">
        <v>91</v>
      </c>
    </row>
    <row r="2168" spans="1:12" x14ac:dyDescent="0.35">
      <c r="A2168" t="s">
        <v>3516</v>
      </c>
      <c r="B2168" t="s">
        <v>1137</v>
      </c>
      <c r="C2168" t="s">
        <v>1138</v>
      </c>
      <c r="D2168" t="s">
        <v>14</v>
      </c>
      <c r="E2168" t="s">
        <v>100</v>
      </c>
      <c r="F2168" t="s">
        <v>101</v>
      </c>
      <c r="G2168" t="s">
        <v>649</v>
      </c>
      <c r="H2168">
        <v>3</v>
      </c>
      <c r="I2168">
        <v>1460.14</v>
      </c>
      <c r="J2168">
        <v>4380.42</v>
      </c>
      <c r="K2168" t="s">
        <v>1847</v>
      </c>
      <c r="L2168" t="s">
        <v>28</v>
      </c>
    </row>
    <row r="2169" spans="1:12" x14ac:dyDescent="0.35">
      <c r="A2169" t="s">
        <v>3517</v>
      </c>
      <c r="B2169" t="s">
        <v>1428</v>
      </c>
      <c r="C2169" t="s">
        <v>1429</v>
      </c>
      <c r="D2169" t="s">
        <v>40</v>
      </c>
      <c r="E2169" t="s">
        <v>79</v>
      </c>
      <c r="F2169" t="s">
        <v>101</v>
      </c>
      <c r="G2169" t="s">
        <v>102</v>
      </c>
      <c r="H2169">
        <v>4</v>
      </c>
      <c r="I2169">
        <v>876.69</v>
      </c>
      <c r="J2169">
        <v>3506.76</v>
      </c>
      <c r="K2169" t="s">
        <v>1256</v>
      </c>
      <c r="L2169" t="s">
        <v>28</v>
      </c>
    </row>
    <row r="2170" spans="1:12" x14ac:dyDescent="0.35">
      <c r="A2170" t="s">
        <v>3518</v>
      </c>
      <c r="B2170" t="s">
        <v>801</v>
      </c>
      <c r="C2170" t="s">
        <v>802</v>
      </c>
      <c r="D2170" t="s">
        <v>40</v>
      </c>
      <c r="E2170" t="s">
        <v>120</v>
      </c>
      <c r="F2170" t="s">
        <v>25</v>
      </c>
      <c r="G2170" t="s">
        <v>62</v>
      </c>
      <c r="H2170">
        <v>1</v>
      </c>
      <c r="I2170">
        <v>310.83999999999997</v>
      </c>
      <c r="J2170">
        <v>310.83999999999997</v>
      </c>
      <c r="K2170" t="s">
        <v>2301</v>
      </c>
      <c r="L2170" t="s">
        <v>36</v>
      </c>
    </row>
    <row r="2171" spans="1:12" x14ac:dyDescent="0.35">
      <c r="A2171" t="s">
        <v>3519</v>
      </c>
      <c r="B2171" t="s">
        <v>252</v>
      </c>
      <c r="C2171" t="s">
        <v>253</v>
      </c>
      <c r="D2171" t="s">
        <v>32</v>
      </c>
      <c r="E2171" t="s">
        <v>203</v>
      </c>
      <c r="F2171" t="s">
        <v>101</v>
      </c>
      <c r="G2171" t="s">
        <v>102</v>
      </c>
      <c r="H2171">
        <v>1</v>
      </c>
      <c r="I2171">
        <v>158.83000000000001</v>
      </c>
      <c r="J2171">
        <v>158.83000000000001</v>
      </c>
      <c r="K2171" t="s">
        <v>250</v>
      </c>
      <c r="L2171" t="s">
        <v>45</v>
      </c>
    </row>
    <row r="2172" spans="1:12" x14ac:dyDescent="0.35">
      <c r="A2172" t="s">
        <v>3520</v>
      </c>
      <c r="B2172" t="s">
        <v>1516</v>
      </c>
      <c r="C2172" t="s">
        <v>1517</v>
      </c>
      <c r="D2172" t="s">
        <v>32</v>
      </c>
      <c r="E2172" t="s">
        <v>61</v>
      </c>
      <c r="F2172" t="s">
        <v>25</v>
      </c>
      <c r="G2172" t="s">
        <v>62</v>
      </c>
      <c r="H2172">
        <v>4</v>
      </c>
      <c r="I2172">
        <v>727.82</v>
      </c>
      <c r="J2172">
        <v>2911.28</v>
      </c>
      <c r="K2172" t="s">
        <v>1382</v>
      </c>
      <c r="L2172" t="s">
        <v>28</v>
      </c>
    </row>
    <row r="2173" spans="1:12" x14ac:dyDescent="0.35">
      <c r="A2173" t="s">
        <v>3521</v>
      </c>
      <c r="B2173" t="s">
        <v>299</v>
      </c>
      <c r="C2173" t="s">
        <v>300</v>
      </c>
      <c r="D2173" t="s">
        <v>40</v>
      </c>
      <c r="E2173" t="s">
        <v>79</v>
      </c>
      <c r="F2173" t="s">
        <v>50</v>
      </c>
      <c r="G2173" t="s">
        <v>51</v>
      </c>
      <c r="H2173">
        <v>4</v>
      </c>
      <c r="I2173">
        <v>1270.8900000000001</v>
      </c>
      <c r="J2173">
        <v>5083.5600000000004</v>
      </c>
      <c r="K2173" t="s">
        <v>783</v>
      </c>
      <c r="L2173" t="s">
        <v>91</v>
      </c>
    </row>
    <row r="2174" spans="1:12" x14ac:dyDescent="0.35">
      <c r="A2174" t="s">
        <v>3522</v>
      </c>
      <c r="B2174" t="s">
        <v>751</v>
      </c>
      <c r="C2174" t="s">
        <v>752</v>
      </c>
      <c r="D2174" t="s">
        <v>23</v>
      </c>
      <c r="E2174" t="s">
        <v>24</v>
      </c>
      <c r="F2174" t="s">
        <v>101</v>
      </c>
      <c r="G2174" t="s">
        <v>373</v>
      </c>
      <c r="H2174">
        <v>1</v>
      </c>
      <c r="I2174">
        <v>477.43</v>
      </c>
      <c r="J2174">
        <v>477.43</v>
      </c>
      <c r="K2174" t="s">
        <v>1635</v>
      </c>
      <c r="L2174" t="s">
        <v>91</v>
      </c>
    </row>
    <row r="2175" spans="1:12" x14ac:dyDescent="0.35">
      <c r="A2175" t="s">
        <v>3523</v>
      </c>
      <c r="B2175" t="s">
        <v>1153</v>
      </c>
      <c r="C2175" t="s">
        <v>1154</v>
      </c>
      <c r="D2175" t="s">
        <v>14</v>
      </c>
      <c r="E2175" t="s">
        <v>266</v>
      </c>
      <c r="F2175" t="s">
        <v>25</v>
      </c>
      <c r="G2175" t="s">
        <v>34</v>
      </c>
      <c r="H2175">
        <v>1</v>
      </c>
      <c r="I2175">
        <v>1453.62</v>
      </c>
      <c r="J2175">
        <v>1453.62</v>
      </c>
      <c r="K2175" t="s">
        <v>3524</v>
      </c>
      <c r="L2175" t="s">
        <v>19</v>
      </c>
    </row>
    <row r="2176" spans="1:12" x14ac:dyDescent="0.35">
      <c r="A2176" t="s">
        <v>3525</v>
      </c>
      <c r="B2176" t="s">
        <v>1066</v>
      </c>
      <c r="C2176" t="s">
        <v>1067</v>
      </c>
      <c r="D2176" t="s">
        <v>14</v>
      </c>
      <c r="E2176" t="s">
        <v>15</v>
      </c>
      <c r="F2176" t="s">
        <v>16</v>
      </c>
      <c r="G2176" t="s">
        <v>148</v>
      </c>
      <c r="H2176">
        <v>3</v>
      </c>
      <c r="I2176">
        <v>984.02</v>
      </c>
      <c r="J2176">
        <v>2952.06</v>
      </c>
      <c r="K2176" t="s">
        <v>2648</v>
      </c>
      <c r="L2176" t="s">
        <v>36</v>
      </c>
    </row>
    <row r="2177" spans="1:12" x14ac:dyDescent="0.35">
      <c r="A2177" t="s">
        <v>3526</v>
      </c>
      <c r="B2177" t="s">
        <v>1042</v>
      </c>
      <c r="C2177" t="s">
        <v>1043</v>
      </c>
      <c r="D2177" t="s">
        <v>40</v>
      </c>
      <c r="E2177" t="s">
        <v>79</v>
      </c>
      <c r="F2177" t="s">
        <v>16</v>
      </c>
      <c r="G2177" t="s">
        <v>17</v>
      </c>
      <c r="H2177">
        <v>5</v>
      </c>
      <c r="I2177">
        <v>447.2</v>
      </c>
      <c r="J2177">
        <v>2236</v>
      </c>
      <c r="K2177" t="s">
        <v>1098</v>
      </c>
      <c r="L2177" t="s">
        <v>19</v>
      </c>
    </row>
    <row r="2178" spans="1:12" x14ac:dyDescent="0.35">
      <c r="A2178" t="s">
        <v>3527</v>
      </c>
      <c r="B2178" t="s">
        <v>193</v>
      </c>
      <c r="C2178" t="s">
        <v>194</v>
      </c>
      <c r="D2178" t="s">
        <v>40</v>
      </c>
      <c r="E2178" t="s">
        <v>41</v>
      </c>
      <c r="F2178" t="s">
        <v>16</v>
      </c>
      <c r="G2178" t="s">
        <v>230</v>
      </c>
      <c r="H2178">
        <v>4</v>
      </c>
      <c r="I2178">
        <v>440.28</v>
      </c>
      <c r="J2178">
        <v>1761.12</v>
      </c>
      <c r="K2178" t="s">
        <v>1905</v>
      </c>
      <c r="L2178" t="s">
        <v>91</v>
      </c>
    </row>
    <row r="2179" spans="1:12" x14ac:dyDescent="0.35">
      <c r="A2179" t="s">
        <v>3528</v>
      </c>
      <c r="B2179" t="s">
        <v>901</v>
      </c>
      <c r="C2179" t="s">
        <v>902</v>
      </c>
      <c r="D2179" t="s">
        <v>67</v>
      </c>
      <c r="E2179" t="s">
        <v>115</v>
      </c>
      <c r="F2179" t="s">
        <v>101</v>
      </c>
      <c r="G2179" t="s">
        <v>237</v>
      </c>
      <c r="H2179">
        <v>5</v>
      </c>
      <c r="I2179">
        <v>1003.53</v>
      </c>
      <c r="J2179">
        <v>5017.6499999999996</v>
      </c>
      <c r="K2179" t="s">
        <v>1161</v>
      </c>
      <c r="L2179" t="s">
        <v>36</v>
      </c>
    </row>
    <row r="2180" spans="1:12" x14ac:dyDescent="0.35">
      <c r="A2180" t="s">
        <v>3529</v>
      </c>
      <c r="B2180" t="s">
        <v>429</v>
      </c>
      <c r="C2180" t="s">
        <v>430</v>
      </c>
      <c r="D2180" t="s">
        <v>40</v>
      </c>
      <c r="E2180" t="s">
        <v>120</v>
      </c>
      <c r="F2180" t="s">
        <v>101</v>
      </c>
      <c r="G2180" t="s">
        <v>649</v>
      </c>
      <c r="H2180">
        <v>5</v>
      </c>
      <c r="I2180">
        <v>401.73</v>
      </c>
      <c r="J2180">
        <v>2008.65</v>
      </c>
      <c r="K2180" t="s">
        <v>490</v>
      </c>
      <c r="L2180" t="s">
        <v>36</v>
      </c>
    </row>
    <row r="2181" spans="1:12" x14ac:dyDescent="0.35">
      <c r="A2181" t="s">
        <v>3530</v>
      </c>
      <c r="B2181" t="s">
        <v>201</v>
      </c>
      <c r="C2181" t="s">
        <v>202</v>
      </c>
      <c r="D2181" t="s">
        <v>32</v>
      </c>
      <c r="E2181" t="s">
        <v>61</v>
      </c>
      <c r="F2181" t="s">
        <v>101</v>
      </c>
      <c r="G2181" t="s">
        <v>165</v>
      </c>
      <c r="H2181">
        <v>3</v>
      </c>
      <c r="I2181">
        <v>1304.3699999999999</v>
      </c>
      <c r="J2181">
        <v>3913.11</v>
      </c>
      <c r="K2181" t="s">
        <v>3051</v>
      </c>
      <c r="L2181" t="s">
        <v>45</v>
      </c>
    </row>
    <row r="2182" spans="1:12" x14ac:dyDescent="0.35">
      <c r="A2182" t="s">
        <v>3531</v>
      </c>
      <c r="B2182" t="s">
        <v>1131</v>
      </c>
      <c r="C2182" t="s">
        <v>1132</v>
      </c>
      <c r="D2182" t="s">
        <v>40</v>
      </c>
      <c r="E2182" t="s">
        <v>41</v>
      </c>
      <c r="F2182" t="s">
        <v>16</v>
      </c>
      <c r="G2182" t="s">
        <v>177</v>
      </c>
      <c r="H2182">
        <v>5</v>
      </c>
      <c r="I2182">
        <v>1192.28</v>
      </c>
      <c r="J2182">
        <v>5961.4</v>
      </c>
      <c r="K2182" t="s">
        <v>1540</v>
      </c>
      <c r="L2182" t="s">
        <v>28</v>
      </c>
    </row>
    <row r="2183" spans="1:12" x14ac:dyDescent="0.35">
      <c r="A2183" t="s">
        <v>3532</v>
      </c>
      <c r="B2183" t="s">
        <v>1346</v>
      </c>
      <c r="C2183" t="s">
        <v>1347</v>
      </c>
      <c r="D2183" t="s">
        <v>40</v>
      </c>
      <c r="E2183" t="s">
        <v>79</v>
      </c>
      <c r="F2183" t="s">
        <v>16</v>
      </c>
      <c r="G2183" t="s">
        <v>177</v>
      </c>
      <c r="H2183">
        <v>2</v>
      </c>
      <c r="I2183">
        <v>946.03</v>
      </c>
      <c r="J2183">
        <v>1892.06</v>
      </c>
      <c r="K2183" t="s">
        <v>2140</v>
      </c>
      <c r="L2183" t="s">
        <v>91</v>
      </c>
    </row>
    <row r="2184" spans="1:12" x14ac:dyDescent="0.35">
      <c r="A2184" t="s">
        <v>3533</v>
      </c>
      <c r="B2184" t="s">
        <v>832</v>
      </c>
      <c r="C2184" t="s">
        <v>833</v>
      </c>
      <c r="D2184" t="s">
        <v>67</v>
      </c>
      <c r="E2184" t="s">
        <v>115</v>
      </c>
      <c r="F2184" t="s">
        <v>25</v>
      </c>
      <c r="G2184" t="s">
        <v>62</v>
      </c>
      <c r="H2184">
        <v>3</v>
      </c>
      <c r="I2184">
        <v>353.82</v>
      </c>
      <c r="J2184">
        <v>1061.46</v>
      </c>
      <c r="K2184" t="s">
        <v>1350</v>
      </c>
      <c r="L2184" t="s">
        <v>45</v>
      </c>
    </row>
    <row r="2185" spans="1:12" x14ac:dyDescent="0.35">
      <c r="A2185" t="s">
        <v>3534</v>
      </c>
      <c r="B2185" t="s">
        <v>287</v>
      </c>
      <c r="C2185" t="s">
        <v>288</v>
      </c>
      <c r="D2185" t="s">
        <v>40</v>
      </c>
      <c r="E2185" t="s">
        <v>79</v>
      </c>
      <c r="F2185" t="s">
        <v>101</v>
      </c>
      <c r="G2185" t="s">
        <v>373</v>
      </c>
      <c r="H2185">
        <v>2</v>
      </c>
      <c r="I2185">
        <v>334.8</v>
      </c>
      <c r="J2185">
        <v>669.6</v>
      </c>
      <c r="K2185" t="s">
        <v>954</v>
      </c>
      <c r="L2185" t="s">
        <v>45</v>
      </c>
    </row>
    <row r="2186" spans="1:12" x14ac:dyDescent="0.35">
      <c r="A2186" t="s">
        <v>3535</v>
      </c>
      <c r="B2186" t="s">
        <v>1149</v>
      </c>
      <c r="C2186" t="s">
        <v>1150</v>
      </c>
      <c r="D2186" t="s">
        <v>40</v>
      </c>
      <c r="E2186" t="s">
        <v>41</v>
      </c>
      <c r="F2186" t="s">
        <v>50</v>
      </c>
      <c r="G2186" t="s">
        <v>51</v>
      </c>
      <c r="H2186">
        <v>1</v>
      </c>
      <c r="I2186">
        <v>273.82</v>
      </c>
      <c r="J2186">
        <v>273.82</v>
      </c>
      <c r="K2186" t="s">
        <v>1841</v>
      </c>
      <c r="L2186" t="s">
        <v>19</v>
      </c>
    </row>
    <row r="2187" spans="1:12" x14ac:dyDescent="0.35">
      <c r="A2187" t="s">
        <v>3536</v>
      </c>
      <c r="B2187" t="s">
        <v>860</v>
      </c>
      <c r="C2187" t="s">
        <v>861</v>
      </c>
      <c r="D2187" t="s">
        <v>67</v>
      </c>
      <c r="E2187" t="s">
        <v>68</v>
      </c>
      <c r="F2187" t="s">
        <v>42</v>
      </c>
      <c r="G2187" t="s">
        <v>170</v>
      </c>
      <c r="H2187">
        <v>5</v>
      </c>
      <c r="I2187">
        <v>255.33</v>
      </c>
      <c r="J2187">
        <v>1276.6500000000001</v>
      </c>
      <c r="K2187" t="s">
        <v>2198</v>
      </c>
      <c r="L2187" t="s">
        <v>36</v>
      </c>
    </row>
    <row r="2188" spans="1:12" x14ac:dyDescent="0.35">
      <c r="A2188" t="s">
        <v>3537</v>
      </c>
      <c r="B2188" t="s">
        <v>1144</v>
      </c>
      <c r="C2188" t="s">
        <v>1145</v>
      </c>
      <c r="D2188" t="s">
        <v>67</v>
      </c>
      <c r="E2188" t="s">
        <v>68</v>
      </c>
      <c r="F2188" t="s">
        <v>50</v>
      </c>
      <c r="G2188" t="s">
        <v>56</v>
      </c>
      <c r="H2188">
        <v>5</v>
      </c>
      <c r="I2188">
        <v>499.81</v>
      </c>
      <c r="J2188">
        <v>2499.0500000000002</v>
      </c>
      <c r="K2188" t="s">
        <v>1949</v>
      </c>
      <c r="L2188" t="s">
        <v>91</v>
      </c>
    </row>
    <row r="2189" spans="1:12" x14ac:dyDescent="0.35">
      <c r="A2189" t="s">
        <v>3538</v>
      </c>
      <c r="B2189" t="s">
        <v>197</v>
      </c>
      <c r="C2189" t="s">
        <v>198</v>
      </c>
      <c r="D2189" t="s">
        <v>14</v>
      </c>
      <c r="E2189" t="s">
        <v>15</v>
      </c>
      <c r="F2189" t="s">
        <v>42</v>
      </c>
      <c r="G2189" t="s">
        <v>89</v>
      </c>
      <c r="H2189">
        <v>4</v>
      </c>
      <c r="I2189">
        <v>1003.21</v>
      </c>
      <c r="J2189">
        <v>4012.84</v>
      </c>
      <c r="K2189" t="s">
        <v>1737</v>
      </c>
      <c r="L2189" t="s">
        <v>19</v>
      </c>
    </row>
    <row r="2190" spans="1:12" x14ac:dyDescent="0.35">
      <c r="A2190" t="s">
        <v>3539</v>
      </c>
      <c r="B2190" t="s">
        <v>260</v>
      </c>
      <c r="C2190" t="s">
        <v>261</v>
      </c>
      <c r="D2190" t="s">
        <v>14</v>
      </c>
      <c r="E2190" t="s">
        <v>100</v>
      </c>
      <c r="F2190" t="s">
        <v>42</v>
      </c>
      <c r="G2190" t="s">
        <v>225</v>
      </c>
      <c r="H2190">
        <v>3</v>
      </c>
      <c r="I2190">
        <v>734.3</v>
      </c>
      <c r="J2190">
        <v>2202.9</v>
      </c>
      <c r="K2190" t="s">
        <v>840</v>
      </c>
      <c r="L2190" t="s">
        <v>19</v>
      </c>
    </row>
    <row r="2191" spans="1:12" x14ac:dyDescent="0.35">
      <c r="A2191" t="s">
        <v>3540</v>
      </c>
      <c r="B2191" t="s">
        <v>771</v>
      </c>
      <c r="C2191" t="s">
        <v>772</v>
      </c>
      <c r="D2191" t="s">
        <v>67</v>
      </c>
      <c r="E2191" t="s">
        <v>68</v>
      </c>
      <c r="F2191" t="s">
        <v>16</v>
      </c>
      <c r="G2191" t="s">
        <v>148</v>
      </c>
      <c r="H2191">
        <v>1</v>
      </c>
      <c r="I2191">
        <v>727.24</v>
      </c>
      <c r="J2191">
        <v>727.24</v>
      </c>
      <c r="K2191" t="s">
        <v>2439</v>
      </c>
      <c r="L2191" t="s">
        <v>91</v>
      </c>
    </row>
    <row r="2192" spans="1:12" x14ac:dyDescent="0.35">
      <c r="A2192" t="s">
        <v>3541</v>
      </c>
      <c r="B2192" t="s">
        <v>500</v>
      </c>
      <c r="C2192" t="s">
        <v>501</v>
      </c>
      <c r="D2192" t="s">
        <v>67</v>
      </c>
      <c r="E2192" t="s">
        <v>130</v>
      </c>
      <c r="F2192" t="s">
        <v>25</v>
      </c>
      <c r="G2192" t="s">
        <v>26</v>
      </c>
      <c r="H2192">
        <v>3</v>
      </c>
      <c r="I2192">
        <v>880.84</v>
      </c>
      <c r="J2192">
        <v>2642.52</v>
      </c>
      <c r="K2192" t="s">
        <v>2992</v>
      </c>
      <c r="L2192" t="s">
        <v>19</v>
      </c>
    </row>
    <row r="2193" spans="1:12" x14ac:dyDescent="0.35">
      <c r="A2193" t="s">
        <v>3542</v>
      </c>
      <c r="B2193" t="s">
        <v>363</v>
      </c>
      <c r="C2193" t="s">
        <v>364</v>
      </c>
      <c r="D2193" t="s">
        <v>32</v>
      </c>
      <c r="E2193" t="s">
        <v>203</v>
      </c>
      <c r="F2193" t="s">
        <v>101</v>
      </c>
      <c r="G2193" t="s">
        <v>165</v>
      </c>
      <c r="H2193">
        <v>1</v>
      </c>
      <c r="I2193">
        <v>1392.53</v>
      </c>
      <c r="J2193">
        <v>1392.53</v>
      </c>
      <c r="K2193" t="s">
        <v>620</v>
      </c>
      <c r="L2193" t="s">
        <v>36</v>
      </c>
    </row>
    <row r="2194" spans="1:12" x14ac:dyDescent="0.35">
      <c r="A2194" t="s">
        <v>3543</v>
      </c>
      <c r="B2194" t="s">
        <v>652</v>
      </c>
      <c r="C2194" t="s">
        <v>653</v>
      </c>
      <c r="D2194" t="s">
        <v>23</v>
      </c>
      <c r="E2194" t="s">
        <v>49</v>
      </c>
      <c r="F2194" t="s">
        <v>25</v>
      </c>
      <c r="G2194" t="s">
        <v>34</v>
      </c>
      <c r="H2194">
        <v>4</v>
      </c>
      <c r="I2194">
        <v>600.15</v>
      </c>
      <c r="J2194">
        <v>2400.6</v>
      </c>
      <c r="K2194" t="s">
        <v>894</v>
      </c>
      <c r="L2194" t="s">
        <v>28</v>
      </c>
    </row>
    <row r="2195" spans="1:12" x14ac:dyDescent="0.35">
      <c r="A2195" t="s">
        <v>3544</v>
      </c>
      <c r="B2195" t="s">
        <v>791</v>
      </c>
      <c r="C2195" t="s">
        <v>792</v>
      </c>
      <c r="D2195" t="s">
        <v>32</v>
      </c>
      <c r="E2195" t="s">
        <v>61</v>
      </c>
      <c r="F2195" t="s">
        <v>42</v>
      </c>
      <c r="G2195" t="s">
        <v>43</v>
      </c>
      <c r="H2195">
        <v>5</v>
      </c>
      <c r="I2195">
        <v>156.6</v>
      </c>
      <c r="J2195">
        <v>783</v>
      </c>
      <c r="K2195" t="s">
        <v>2243</v>
      </c>
      <c r="L2195" t="s">
        <v>19</v>
      </c>
    </row>
    <row r="2196" spans="1:12" x14ac:dyDescent="0.35">
      <c r="A2196" t="s">
        <v>3545</v>
      </c>
      <c r="B2196" t="s">
        <v>568</v>
      </c>
      <c r="C2196" t="s">
        <v>569</v>
      </c>
      <c r="D2196" t="s">
        <v>67</v>
      </c>
      <c r="E2196" t="s">
        <v>115</v>
      </c>
      <c r="F2196" t="s">
        <v>42</v>
      </c>
      <c r="G2196" t="s">
        <v>225</v>
      </c>
      <c r="H2196">
        <v>2</v>
      </c>
      <c r="I2196">
        <v>1384.97</v>
      </c>
      <c r="J2196">
        <v>2769.94</v>
      </c>
      <c r="K2196" t="s">
        <v>226</v>
      </c>
      <c r="L2196" t="s">
        <v>19</v>
      </c>
    </row>
    <row r="2197" spans="1:12" x14ac:dyDescent="0.35">
      <c r="A2197" t="s">
        <v>3546</v>
      </c>
      <c r="B2197" t="s">
        <v>1510</v>
      </c>
      <c r="C2197" t="s">
        <v>1511</v>
      </c>
      <c r="D2197" t="s">
        <v>23</v>
      </c>
      <c r="E2197" t="s">
        <v>338</v>
      </c>
      <c r="F2197" t="s">
        <v>101</v>
      </c>
      <c r="G2197" t="s">
        <v>165</v>
      </c>
      <c r="H2197">
        <v>5</v>
      </c>
      <c r="I2197">
        <v>123.56</v>
      </c>
      <c r="J2197">
        <v>617.79999999999995</v>
      </c>
      <c r="K2197" t="s">
        <v>1987</v>
      </c>
      <c r="L2197" t="s">
        <v>28</v>
      </c>
    </row>
    <row r="2198" spans="1:12" x14ac:dyDescent="0.35">
      <c r="A2198" t="s">
        <v>3547</v>
      </c>
      <c r="B2198" t="s">
        <v>388</v>
      </c>
      <c r="C2198" t="s">
        <v>389</v>
      </c>
      <c r="D2198" t="s">
        <v>23</v>
      </c>
      <c r="E2198" t="s">
        <v>338</v>
      </c>
      <c r="F2198" t="s">
        <v>42</v>
      </c>
      <c r="G2198" t="s">
        <v>89</v>
      </c>
      <c r="H2198">
        <v>2</v>
      </c>
      <c r="I2198">
        <v>144.97999999999999</v>
      </c>
      <c r="J2198">
        <v>289.95999999999998</v>
      </c>
      <c r="K2198" t="s">
        <v>647</v>
      </c>
      <c r="L2198" t="s">
        <v>91</v>
      </c>
    </row>
    <row r="2199" spans="1:12" x14ac:dyDescent="0.35">
      <c r="A2199" t="s">
        <v>3548</v>
      </c>
      <c r="B2199" t="s">
        <v>123</v>
      </c>
      <c r="C2199" t="s">
        <v>124</v>
      </c>
      <c r="D2199" t="s">
        <v>14</v>
      </c>
      <c r="E2199" t="s">
        <v>125</v>
      </c>
      <c r="F2199" t="s">
        <v>50</v>
      </c>
      <c r="G2199" t="s">
        <v>69</v>
      </c>
      <c r="H2199">
        <v>4</v>
      </c>
      <c r="I2199">
        <v>725.95</v>
      </c>
      <c r="J2199">
        <v>2903.8</v>
      </c>
      <c r="K2199" t="s">
        <v>1165</v>
      </c>
      <c r="L2199" t="s">
        <v>36</v>
      </c>
    </row>
    <row r="2200" spans="1:12" x14ac:dyDescent="0.35">
      <c r="A2200" t="s">
        <v>3549</v>
      </c>
      <c r="B2200" t="s">
        <v>936</v>
      </c>
      <c r="C2200" t="s">
        <v>937</v>
      </c>
      <c r="D2200" t="s">
        <v>23</v>
      </c>
      <c r="E2200" t="s">
        <v>338</v>
      </c>
      <c r="F2200" t="s">
        <v>42</v>
      </c>
      <c r="G2200" t="s">
        <v>89</v>
      </c>
      <c r="H2200">
        <v>3</v>
      </c>
      <c r="I2200">
        <v>118.42</v>
      </c>
      <c r="J2200">
        <v>355.26</v>
      </c>
      <c r="K2200" t="s">
        <v>486</v>
      </c>
      <c r="L2200" t="s">
        <v>28</v>
      </c>
    </row>
    <row r="2201" spans="1:12" x14ac:dyDescent="0.35">
      <c r="A2201" t="s">
        <v>3550</v>
      </c>
      <c r="B2201" t="s">
        <v>159</v>
      </c>
      <c r="C2201" t="s">
        <v>160</v>
      </c>
      <c r="D2201" t="s">
        <v>32</v>
      </c>
      <c r="E2201" t="s">
        <v>33</v>
      </c>
      <c r="F2201" t="s">
        <v>50</v>
      </c>
      <c r="G2201" t="s">
        <v>56</v>
      </c>
      <c r="H2201">
        <v>5</v>
      </c>
      <c r="I2201">
        <v>495.43</v>
      </c>
      <c r="J2201">
        <v>2477.15</v>
      </c>
      <c r="K2201" t="s">
        <v>2304</v>
      </c>
      <c r="L2201" t="s">
        <v>28</v>
      </c>
    </row>
    <row r="2202" spans="1:12" x14ac:dyDescent="0.35">
      <c r="A2202" t="s">
        <v>3551</v>
      </c>
      <c r="B2202" t="s">
        <v>240</v>
      </c>
      <c r="C2202" t="s">
        <v>241</v>
      </c>
      <c r="D2202" t="s">
        <v>23</v>
      </c>
      <c r="E2202" t="s">
        <v>338</v>
      </c>
      <c r="F2202" t="s">
        <v>25</v>
      </c>
      <c r="G2202" t="s">
        <v>74</v>
      </c>
      <c r="H2202">
        <v>1</v>
      </c>
      <c r="I2202">
        <v>624.54999999999995</v>
      </c>
      <c r="J2202">
        <v>624.54999999999995</v>
      </c>
      <c r="K2202" t="s">
        <v>2588</v>
      </c>
      <c r="L2202" t="s">
        <v>91</v>
      </c>
    </row>
    <row r="2203" spans="1:12" x14ac:dyDescent="0.35">
      <c r="A2203" t="s">
        <v>3552</v>
      </c>
      <c r="B2203" t="s">
        <v>264</v>
      </c>
      <c r="C2203" t="s">
        <v>265</v>
      </c>
      <c r="D2203" t="s">
        <v>23</v>
      </c>
      <c r="E2203" t="s">
        <v>24</v>
      </c>
      <c r="F2203" t="s">
        <v>101</v>
      </c>
      <c r="G2203" t="s">
        <v>237</v>
      </c>
      <c r="H2203">
        <v>3</v>
      </c>
      <c r="I2203">
        <v>267.89</v>
      </c>
      <c r="J2203">
        <v>803.67</v>
      </c>
      <c r="K2203" t="s">
        <v>1781</v>
      </c>
      <c r="L2203" t="s">
        <v>19</v>
      </c>
    </row>
    <row r="2204" spans="1:12" x14ac:dyDescent="0.35">
      <c r="A2204" t="s">
        <v>3553</v>
      </c>
      <c r="B2204" t="s">
        <v>1153</v>
      </c>
      <c r="C2204" t="s">
        <v>1154</v>
      </c>
      <c r="D2204" t="s">
        <v>67</v>
      </c>
      <c r="E2204" t="s">
        <v>68</v>
      </c>
      <c r="F2204" t="s">
        <v>42</v>
      </c>
      <c r="G2204" t="s">
        <v>43</v>
      </c>
      <c r="H2204">
        <v>1</v>
      </c>
      <c r="I2204">
        <v>681.34</v>
      </c>
      <c r="J2204">
        <v>681.34</v>
      </c>
      <c r="K2204" t="s">
        <v>90</v>
      </c>
      <c r="L2204" t="s">
        <v>36</v>
      </c>
    </row>
    <row r="2205" spans="1:12" x14ac:dyDescent="0.35">
      <c r="A2205" t="s">
        <v>3554</v>
      </c>
      <c r="B2205" t="s">
        <v>474</v>
      </c>
      <c r="C2205" t="s">
        <v>475</v>
      </c>
      <c r="D2205" t="s">
        <v>23</v>
      </c>
      <c r="E2205" t="s">
        <v>24</v>
      </c>
      <c r="F2205" t="s">
        <v>25</v>
      </c>
      <c r="G2205" t="s">
        <v>34</v>
      </c>
      <c r="H2205">
        <v>2</v>
      </c>
      <c r="I2205">
        <v>527.05999999999995</v>
      </c>
      <c r="J2205">
        <v>1054.1199999999999</v>
      </c>
      <c r="K2205" t="s">
        <v>420</v>
      </c>
      <c r="L2205" t="s">
        <v>36</v>
      </c>
    </row>
    <row r="2206" spans="1:12" x14ac:dyDescent="0.35">
      <c r="A2206" t="s">
        <v>3555</v>
      </c>
      <c r="B2206" t="s">
        <v>240</v>
      </c>
      <c r="C2206" t="s">
        <v>241</v>
      </c>
      <c r="D2206" t="s">
        <v>23</v>
      </c>
      <c r="E2206" t="s">
        <v>338</v>
      </c>
      <c r="F2206" t="s">
        <v>50</v>
      </c>
      <c r="G2206" t="s">
        <v>216</v>
      </c>
      <c r="H2206">
        <v>1</v>
      </c>
      <c r="I2206">
        <v>280.08999999999997</v>
      </c>
      <c r="J2206">
        <v>280.08999999999997</v>
      </c>
      <c r="K2206" t="s">
        <v>1984</v>
      </c>
      <c r="L2206" t="s">
        <v>91</v>
      </c>
    </row>
    <row r="2207" spans="1:12" x14ac:dyDescent="0.35">
      <c r="A2207" t="s">
        <v>3556</v>
      </c>
      <c r="B2207" t="s">
        <v>341</v>
      </c>
      <c r="C2207" t="s">
        <v>342</v>
      </c>
      <c r="D2207" t="s">
        <v>40</v>
      </c>
      <c r="E2207" t="s">
        <v>79</v>
      </c>
      <c r="F2207" t="s">
        <v>50</v>
      </c>
      <c r="G2207" t="s">
        <v>216</v>
      </c>
      <c r="H2207">
        <v>2</v>
      </c>
      <c r="I2207">
        <v>123.05</v>
      </c>
      <c r="J2207">
        <v>246.1</v>
      </c>
      <c r="K2207" t="s">
        <v>483</v>
      </c>
      <c r="L2207" t="s">
        <v>91</v>
      </c>
    </row>
    <row r="2208" spans="1:12" x14ac:dyDescent="0.35">
      <c r="A2208" t="s">
        <v>3557</v>
      </c>
      <c r="B2208" t="s">
        <v>779</v>
      </c>
      <c r="C2208" t="s">
        <v>780</v>
      </c>
      <c r="D2208" t="s">
        <v>14</v>
      </c>
      <c r="E2208" t="s">
        <v>15</v>
      </c>
      <c r="F2208" t="s">
        <v>42</v>
      </c>
      <c r="G2208" t="s">
        <v>89</v>
      </c>
      <c r="H2208">
        <v>5</v>
      </c>
      <c r="I2208">
        <v>1273.42</v>
      </c>
      <c r="J2208">
        <v>6367.1</v>
      </c>
      <c r="K2208" t="s">
        <v>490</v>
      </c>
      <c r="L2208" t="s">
        <v>28</v>
      </c>
    </row>
    <row r="2209" spans="1:12" x14ac:dyDescent="0.35">
      <c r="A2209" t="s">
        <v>3558</v>
      </c>
      <c r="B2209" t="s">
        <v>128</v>
      </c>
      <c r="C2209" t="s">
        <v>129</v>
      </c>
      <c r="D2209" t="s">
        <v>23</v>
      </c>
      <c r="E2209" t="s">
        <v>338</v>
      </c>
      <c r="F2209" t="s">
        <v>42</v>
      </c>
      <c r="G2209" t="s">
        <v>89</v>
      </c>
      <c r="H2209">
        <v>3</v>
      </c>
      <c r="I2209">
        <v>47.1</v>
      </c>
      <c r="J2209">
        <v>141.30000000000001</v>
      </c>
      <c r="K2209" t="s">
        <v>647</v>
      </c>
      <c r="L2209" t="s">
        <v>45</v>
      </c>
    </row>
    <row r="2210" spans="1:12" x14ac:dyDescent="0.35">
      <c r="A2210" t="s">
        <v>3559</v>
      </c>
      <c r="B2210" t="s">
        <v>960</v>
      </c>
      <c r="C2210" t="s">
        <v>961</v>
      </c>
      <c r="D2210" t="s">
        <v>32</v>
      </c>
      <c r="E2210" t="s">
        <v>33</v>
      </c>
      <c r="F2210" t="s">
        <v>42</v>
      </c>
      <c r="G2210" t="s">
        <v>225</v>
      </c>
      <c r="H2210">
        <v>3</v>
      </c>
      <c r="I2210">
        <v>146.29</v>
      </c>
      <c r="J2210">
        <v>438.87</v>
      </c>
      <c r="K2210" t="s">
        <v>2108</v>
      </c>
      <c r="L2210" t="s">
        <v>28</v>
      </c>
    </row>
    <row r="2211" spans="1:12" x14ac:dyDescent="0.35">
      <c r="A2211" t="s">
        <v>3560</v>
      </c>
      <c r="B2211" t="s">
        <v>1828</v>
      </c>
      <c r="C2211" t="s">
        <v>1829</v>
      </c>
      <c r="D2211" t="s">
        <v>32</v>
      </c>
      <c r="E2211" t="s">
        <v>33</v>
      </c>
      <c r="F2211" t="s">
        <v>16</v>
      </c>
      <c r="G2211" t="s">
        <v>182</v>
      </c>
      <c r="H2211">
        <v>5</v>
      </c>
      <c r="I2211">
        <v>574.6</v>
      </c>
      <c r="J2211">
        <v>2873</v>
      </c>
      <c r="K2211" t="s">
        <v>1367</v>
      </c>
      <c r="L2211" t="s">
        <v>45</v>
      </c>
    </row>
    <row r="2212" spans="1:12" x14ac:dyDescent="0.35">
      <c r="A2212" t="s">
        <v>3561</v>
      </c>
      <c r="B2212" t="s">
        <v>1260</v>
      </c>
      <c r="C2212" t="s">
        <v>1261</v>
      </c>
      <c r="D2212" t="s">
        <v>40</v>
      </c>
      <c r="E2212" t="s">
        <v>120</v>
      </c>
      <c r="F2212" t="s">
        <v>101</v>
      </c>
      <c r="G2212" t="s">
        <v>237</v>
      </c>
      <c r="H2212">
        <v>4</v>
      </c>
      <c r="I2212">
        <v>1484.63</v>
      </c>
      <c r="J2212">
        <v>5938.52</v>
      </c>
      <c r="K2212" t="s">
        <v>1841</v>
      </c>
      <c r="L2212" t="s">
        <v>28</v>
      </c>
    </row>
    <row r="2213" spans="1:12" x14ac:dyDescent="0.35">
      <c r="A2213" t="s">
        <v>3562</v>
      </c>
      <c r="B2213" t="s">
        <v>155</v>
      </c>
      <c r="C2213" t="s">
        <v>156</v>
      </c>
      <c r="D2213" t="s">
        <v>23</v>
      </c>
      <c r="E2213" t="s">
        <v>24</v>
      </c>
      <c r="F2213" t="s">
        <v>101</v>
      </c>
      <c r="G2213" t="s">
        <v>165</v>
      </c>
      <c r="H2213">
        <v>2</v>
      </c>
      <c r="I2213">
        <v>903.39</v>
      </c>
      <c r="J2213">
        <v>1806.78</v>
      </c>
      <c r="K2213" t="s">
        <v>761</v>
      </c>
      <c r="L2213" t="s">
        <v>28</v>
      </c>
    </row>
    <row r="2214" spans="1:12" x14ac:dyDescent="0.35">
      <c r="A2214" t="s">
        <v>3563</v>
      </c>
      <c r="B2214" t="s">
        <v>223</v>
      </c>
      <c r="C2214" t="s">
        <v>224</v>
      </c>
      <c r="D2214" t="s">
        <v>23</v>
      </c>
      <c r="E2214" t="s">
        <v>338</v>
      </c>
      <c r="F2214" t="s">
        <v>50</v>
      </c>
      <c r="G2214" t="s">
        <v>170</v>
      </c>
      <c r="H2214">
        <v>2</v>
      </c>
      <c r="I2214">
        <v>921.89</v>
      </c>
      <c r="J2214">
        <v>1843.78</v>
      </c>
      <c r="K2214" t="s">
        <v>2667</v>
      </c>
      <c r="L2214" t="s">
        <v>45</v>
      </c>
    </row>
    <row r="2215" spans="1:12" x14ac:dyDescent="0.35">
      <c r="A2215" t="s">
        <v>3564</v>
      </c>
      <c r="B2215" t="s">
        <v>910</v>
      </c>
      <c r="C2215" t="s">
        <v>911</v>
      </c>
      <c r="D2215" t="s">
        <v>14</v>
      </c>
      <c r="E2215" t="s">
        <v>15</v>
      </c>
      <c r="F2215" t="s">
        <v>101</v>
      </c>
      <c r="G2215" t="s">
        <v>165</v>
      </c>
      <c r="H2215">
        <v>3</v>
      </c>
      <c r="I2215">
        <v>1420.6</v>
      </c>
      <c r="J2215">
        <v>4261.8</v>
      </c>
      <c r="K2215" t="s">
        <v>777</v>
      </c>
      <c r="L2215" t="s">
        <v>45</v>
      </c>
    </row>
    <row r="2216" spans="1:12" x14ac:dyDescent="0.35">
      <c r="A2216" t="s">
        <v>3565</v>
      </c>
      <c r="B2216" t="s">
        <v>155</v>
      </c>
      <c r="C2216" t="s">
        <v>156</v>
      </c>
      <c r="D2216" t="s">
        <v>32</v>
      </c>
      <c r="E2216" t="s">
        <v>61</v>
      </c>
      <c r="F2216" t="s">
        <v>16</v>
      </c>
      <c r="G2216" t="s">
        <v>148</v>
      </c>
      <c r="H2216">
        <v>3</v>
      </c>
      <c r="I2216">
        <v>1276.8499999999999</v>
      </c>
      <c r="J2216">
        <v>3830.55</v>
      </c>
      <c r="K2216" t="s">
        <v>884</v>
      </c>
      <c r="L2216" t="s">
        <v>36</v>
      </c>
    </row>
    <row r="2217" spans="1:12" x14ac:dyDescent="0.35">
      <c r="A2217" t="s">
        <v>3566</v>
      </c>
      <c r="B2217" t="s">
        <v>532</v>
      </c>
      <c r="C2217" t="s">
        <v>533</v>
      </c>
      <c r="D2217" t="s">
        <v>32</v>
      </c>
      <c r="E2217" t="s">
        <v>61</v>
      </c>
      <c r="F2217" t="s">
        <v>101</v>
      </c>
      <c r="G2217" t="s">
        <v>373</v>
      </c>
      <c r="H2217">
        <v>3</v>
      </c>
      <c r="I2217">
        <v>1362.93</v>
      </c>
      <c r="J2217">
        <v>4088.79</v>
      </c>
      <c r="K2217" t="s">
        <v>1691</v>
      </c>
      <c r="L2217" t="s">
        <v>19</v>
      </c>
    </row>
    <row r="2218" spans="1:12" x14ac:dyDescent="0.35">
      <c r="A2218" t="s">
        <v>3567</v>
      </c>
      <c r="B2218" t="s">
        <v>931</v>
      </c>
      <c r="C2218" t="s">
        <v>932</v>
      </c>
      <c r="D2218" t="s">
        <v>23</v>
      </c>
      <c r="E2218" t="s">
        <v>24</v>
      </c>
      <c r="F2218" t="s">
        <v>16</v>
      </c>
      <c r="G2218" t="s">
        <v>230</v>
      </c>
      <c r="H2218">
        <v>3</v>
      </c>
      <c r="I2218">
        <v>286.51</v>
      </c>
      <c r="J2218">
        <v>859.53</v>
      </c>
      <c r="K2218" t="s">
        <v>81</v>
      </c>
      <c r="L2218" t="s">
        <v>19</v>
      </c>
    </row>
    <row r="2219" spans="1:12" x14ac:dyDescent="0.35">
      <c r="A2219" t="s">
        <v>3568</v>
      </c>
      <c r="B2219" t="s">
        <v>210</v>
      </c>
      <c r="C2219" t="s">
        <v>211</v>
      </c>
      <c r="D2219" t="s">
        <v>32</v>
      </c>
      <c r="E2219" t="s">
        <v>61</v>
      </c>
      <c r="F2219" t="s">
        <v>16</v>
      </c>
      <c r="G2219" t="s">
        <v>182</v>
      </c>
      <c r="H2219">
        <v>1</v>
      </c>
      <c r="I2219">
        <v>329.05</v>
      </c>
      <c r="J2219">
        <v>329.05</v>
      </c>
      <c r="K2219" t="s">
        <v>3569</v>
      </c>
      <c r="L2219" t="s">
        <v>45</v>
      </c>
    </row>
    <row r="2220" spans="1:12" x14ac:dyDescent="0.35">
      <c r="A2220" t="s">
        <v>3570</v>
      </c>
      <c r="B2220" t="s">
        <v>558</v>
      </c>
      <c r="C2220" t="s">
        <v>559</v>
      </c>
      <c r="D2220" t="s">
        <v>32</v>
      </c>
      <c r="E2220" t="s">
        <v>203</v>
      </c>
      <c r="F2220" t="s">
        <v>42</v>
      </c>
      <c r="G2220" t="s">
        <v>43</v>
      </c>
      <c r="H2220">
        <v>5</v>
      </c>
      <c r="I2220">
        <v>635.14</v>
      </c>
      <c r="J2220">
        <v>3175.7</v>
      </c>
      <c r="K2220" t="s">
        <v>3571</v>
      </c>
      <c r="L2220" t="s">
        <v>19</v>
      </c>
    </row>
    <row r="2221" spans="1:12" x14ac:dyDescent="0.35">
      <c r="A2221" t="s">
        <v>3572</v>
      </c>
      <c r="B2221" t="s">
        <v>1170</v>
      </c>
      <c r="C2221" t="s">
        <v>1171</v>
      </c>
      <c r="D2221" t="s">
        <v>40</v>
      </c>
      <c r="E2221" t="s">
        <v>120</v>
      </c>
      <c r="F2221" t="s">
        <v>25</v>
      </c>
      <c r="G2221" t="s">
        <v>34</v>
      </c>
      <c r="H2221">
        <v>4</v>
      </c>
      <c r="I2221">
        <v>94.91</v>
      </c>
      <c r="J2221">
        <v>379.64</v>
      </c>
      <c r="K2221" t="s">
        <v>781</v>
      </c>
      <c r="L2221" t="s">
        <v>45</v>
      </c>
    </row>
    <row r="2222" spans="1:12" x14ac:dyDescent="0.35">
      <c r="A2222" t="s">
        <v>3573</v>
      </c>
      <c r="B2222" t="s">
        <v>1042</v>
      </c>
      <c r="C2222" t="s">
        <v>1043</v>
      </c>
      <c r="D2222" t="s">
        <v>14</v>
      </c>
      <c r="E2222" t="s">
        <v>15</v>
      </c>
      <c r="F2222" t="s">
        <v>42</v>
      </c>
      <c r="G2222" t="s">
        <v>89</v>
      </c>
      <c r="H2222">
        <v>4</v>
      </c>
      <c r="I2222">
        <v>708.47</v>
      </c>
      <c r="J2222">
        <v>2833.88</v>
      </c>
      <c r="K2222" t="s">
        <v>2420</v>
      </c>
      <c r="L2222" t="s">
        <v>19</v>
      </c>
    </row>
    <row r="2223" spans="1:12" x14ac:dyDescent="0.35">
      <c r="A2223" t="s">
        <v>3574</v>
      </c>
      <c r="B2223" t="s">
        <v>98</v>
      </c>
      <c r="C2223" t="s">
        <v>99</v>
      </c>
      <c r="D2223" t="s">
        <v>23</v>
      </c>
      <c r="E2223" t="s">
        <v>49</v>
      </c>
      <c r="F2223" t="s">
        <v>16</v>
      </c>
      <c r="G2223" t="s">
        <v>148</v>
      </c>
      <c r="H2223">
        <v>1</v>
      </c>
      <c r="I2223">
        <v>1239.1500000000001</v>
      </c>
      <c r="J2223">
        <v>1239.1500000000001</v>
      </c>
      <c r="K2223" t="s">
        <v>153</v>
      </c>
      <c r="L2223" t="s">
        <v>19</v>
      </c>
    </row>
    <row r="2224" spans="1:12" x14ac:dyDescent="0.35">
      <c r="A2224" t="s">
        <v>3575</v>
      </c>
      <c r="B2224" t="s">
        <v>727</v>
      </c>
      <c r="C2224" t="s">
        <v>728</v>
      </c>
      <c r="D2224" t="s">
        <v>32</v>
      </c>
      <c r="E2224" t="s">
        <v>61</v>
      </c>
      <c r="F2224" t="s">
        <v>42</v>
      </c>
      <c r="G2224" t="s">
        <v>80</v>
      </c>
      <c r="H2224">
        <v>3</v>
      </c>
      <c r="I2224">
        <v>766.01</v>
      </c>
      <c r="J2224">
        <v>2298.0300000000002</v>
      </c>
      <c r="K2224" t="s">
        <v>2705</v>
      </c>
      <c r="L2224" t="s">
        <v>91</v>
      </c>
    </row>
    <row r="2225" spans="1:12" x14ac:dyDescent="0.35">
      <c r="A2225" t="s">
        <v>3576</v>
      </c>
      <c r="B2225" t="s">
        <v>797</v>
      </c>
      <c r="C2225" t="s">
        <v>798</v>
      </c>
      <c r="D2225" t="s">
        <v>40</v>
      </c>
      <c r="E2225" t="s">
        <v>41</v>
      </c>
      <c r="F2225" t="s">
        <v>25</v>
      </c>
      <c r="G2225" t="s">
        <v>74</v>
      </c>
      <c r="H2225">
        <v>4</v>
      </c>
      <c r="I2225">
        <v>612.23</v>
      </c>
      <c r="J2225">
        <v>2448.92</v>
      </c>
      <c r="K2225" t="s">
        <v>1062</v>
      </c>
      <c r="L2225" t="s">
        <v>19</v>
      </c>
    </row>
    <row r="2226" spans="1:12" x14ac:dyDescent="0.35">
      <c r="A2226" t="s">
        <v>3577</v>
      </c>
      <c r="B2226" t="s">
        <v>481</v>
      </c>
      <c r="C2226" t="s">
        <v>482</v>
      </c>
      <c r="D2226" t="s">
        <v>40</v>
      </c>
      <c r="E2226" t="s">
        <v>120</v>
      </c>
      <c r="F2226" t="s">
        <v>42</v>
      </c>
      <c r="G2226" t="s">
        <v>89</v>
      </c>
      <c r="H2226">
        <v>2</v>
      </c>
      <c r="I2226">
        <v>954.46</v>
      </c>
      <c r="J2226">
        <v>1908.92</v>
      </c>
      <c r="K2226" t="s">
        <v>1889</v>
      </c>
      <c r="L2226" t="s">
        <v>36</v>
      </c>
    </row>
    <row r="2227" spans="1:12" x14ac:dyDescent="0.35">
      <c r="A2227" t="s">
        <v>3578</v>
      </c>
      <c r="B2227" t="s">
        <v>1131</v>
      </c>
      <c r="C2227" t="s">
        <v>1132</v>
      </c>
      <c r="D2227" t="s">
        <v>40</v>
      </c>
      <c r="E2227" t="s">
        <v>79</v>
      </c>
      <c r="F2227" t="s">
        <v>101</v>
      </c>
      <c r="G2227" t="s">
        <v>165</v>
      </c>
      <c r="H2227">
        <v>5</v>
      </c>
      <c r="I2227">
        <v>78.98</v>
      </c>
      <c r="J2227">
        <v>394.9</v>
      </c>
      <c r="K2227" t="s">
        <v>2248</v>
      </c>
      <c r="L2227" t="s">
        <v>36</v>
      </c>
    </row>
    <row r="2228" spans="1:12" x14ac:dyDescent="0.35">
      <c r="A2228" t="s">
        <v>3579</v>
      </c>
      <c r="B2228" t="s">
        <v>30</v>
      </c>
      <c r="C2228" t="s">
        <v>31</v>
      </c>
      <c r="D2228" t="s">
        <v>32</v>
      </c>
      <c r="E2228" t="s">
        <v>61</v>
      </c>
      <c r="F2228" t="s">
        <v>16</v>
      </c>
      <c r="G2228" t="s">
        <v>177</v>
      </c>
      <c r="H2228">
        <v>4</v>
      </c>
      <c r="I2228">
        <v>1447.15</v>
      </c>
      <c r="J2228">
        <v>5788.6</v>
      </c>
      <c r="K2228" t="s">
        <v>1382</v>
      </c>
      <c r="L2228" t="s">
        <v>36</v>
      </c>
    </row>
    <row r="2229" spans="1:12" x14ac:dyDescent="0.35">
      <c r="A2229" t="s">
        <v>3580</v>
      </c>
      <c r="B2229" t="s">
        <v>287</v>
      </c>
      <c r="C2229" t="s">
        <v>288</v>
      </c>
      <c r="D2229" t="s">
        <v>23</v>
      </c>
      <c r="E2229" t="s">
        <v>338</v>
      </c>
      <c r="F2229" t="s">
        <v>25</v>
      </c>
      <c r="G2229" t="s">
        <v>74</v>
      </c>
      <c r="H2229">
        <v>4</v>
      </c>
      <c r="I2229">
        <v>320.73</v>
      </c>
      <c r="J2229">
        <v>1282.92</v>
      </c>
      <c r="K2229" t="s">
        <v>448</v>
      </c>
      <c r="L2229" t="s">
        <v>19</v>
      </c>
    </row>
    <row r="2230" spans="1:12" x14ac:dyDescent="0.35">
      <c r="A2230" t="s">
        <v>3581</v>
      </c>
      <c r="B2230" t="s">
        <v>518</v>
      </c>
      <c r="C2230" t="s">
        <v>519</v>
      </c>
      <c r="D2230" t="s">
        <v>14</v>
      </c>
      <c r="E2230" t="s">
        <v>266</v>
      </c>
      <c r="F2230" t="s">
        <v>42</v>
      </c>
      <c r="G2230" t="s">
        <v>43</v>
      </c>
      <c r="H2230">
        <v>4</v>
      </c>
      <c r="I2230">
        <v>81.22</v>
      </c>
      <c r="J2230">
        <v>324.88</v>
      </c>
      <c r="K2230" t="s">
        <v>3582</v>
      </c>
      <c r="L2230" t="s">
        <v>45</v>
      </c>
    </row>
    <row r="2231" spans="1:12" x14ac:dyDescent="0.35">
      <c r="A2231" t="s">
        <v>3583</v>
      </c>
      <c r="B2231" t="s">
        <v>922</v>
      </c>
      <c r="C2231" t="s">
        <v>923</v>
      </c>
      <c r="D2231" t="s">
        <v>67</v>
      </c>
      <c r="E2231" t="s">
        <v>130</v>
      </c>
      <c r="F2231" t="s">
        <v>16</v>
      </c>
      <c r="G2231" t="s">
        <v>182</v>
      </c>
      <c r="H2231">
        <v>4</v>
      </c>
      <c r="I2231">
        <v>873.27</v>
      </c>
      <c r="J2231">
        <v>3493.08</v>
      </c>
      <c r="K2231" t="s">
        <v>267</v>
      </c>
      <c r="L2231" t="s">
        <v>36</v>
      </c>
    </row>
    <row r="2232" spans="1:12" x14ac:dyDescent="0.35">
      <c r="A2232" t="s">
        <v>3584</v>
      </c>
      <c r="B2232" t="s">
        <v>574</v>
      </c>
      <c r="C2232" t="s">
        <v>575</v>
      </c>
      <c r="D2232" t="s">
        <v>40</v>
      </c>
      <c r="E2232" t="s">
        <v>41</v>
      </c>
      <c r="F2232" t="s">
        <v>101</v>
      </c>
      <c r="G2232" t="s">
        <v>373</v>
      </c>
      <c r="H2232">
        <v>1</v>
      </c>
      <c r="I2232">
        <v>71.52</v>
      </c>
      <c r="J2232">
        <v>71.52</v>
      </c>
      <c r="K2232" t="s">
        <v>3473</v>
      </c>
      <c r="L2232" t="s">
        <v>45</v>
      </c>
    </row>
    <row r="2233" spans="1:12" x14ac:dyDescent="0.35">
      <c r="A2233" t="s">
        <v>3585</v>
      </c>
      <c r="B2233" t="s">
        <v>629</v>
      </c>
      <c r="C2233" t="s">
        <v>630</v>
      </c>
      <c r="D2233" t="s">
        <v>14</v>
      </c>
      <c r="E2233" t="s">
        <v>100</v>
      </c>
      <c r="F2233" t="s">
        <v>42</v>
      </c>
      <c r="G2233" t="s">
        <v>80</v>
      </c>
      <c r="H2233">
        <v>2</v>
      </c>
      <c r="I2233">
        <v>270.23</v>
      </c>
      <c r="J2233">
        <v>540.46</v>
      </c>
      <c r="K2233" t="s">
        <v>2149</v>
      </c>
      <c r="L2233" t="s">
        <v>91</v>
      </c>
    </row>
    <row r="2234" spans="1:12" x14ac:dyDescent="0.35">
      <c r="A2234" t="s">
        <v>3586</v>
      </c>
      <c r="B2234" t="s">
        <v>273</v>
      </c>
      <c r="C2234" t="s">
        <v>274</v>
      </c>
      <c r="D2234" t="s">
        <v>32</v>
      </c>
      <c r="E2234" t="s">
        <v>61</v>
      </c>
      <c r="F2234" t="s">
        <v>42</v>
      </c>
      <c r="G2234" t="s">
        <v>89</v>
      </c>
      <c r="H2234">
        <v>1</v>
      </c>
      <c r="I2234">
        <v>25.43</v>
      </c>
      <c r="J2234">
        <v>25.43</v>
      </c>
      <c r="K2234" t="s">
        <v>2108</v>
      </c>
      <c r="L2234" t="s">
        <v>36</v>
      </c>
    </row>
    <row r="2235" spans="1:12" x14ac:dyDescent="0.35">
      <c r="A2235" t="s">
        <v>3587</v>
      </c>
      <c r="B2235" t="s">
        <v>345</v>
      </c>
      <c r="C2235" t="s">
        <v>346</v>
      </c>
      <c r="D2235" t="s">
        <v>40</v>
      </c>
      <c r="E2235" t="s">
        <v>120</v>
      </c>
      <c r="F2235" t="s">
        <v>25</v>
      </c>
      <c r="G2235" t="s">
        <v>26</v>
      </c>
      <c r="H2235">
        <v>5</v>
      </c>
      <c r="I2235">
        <v>257.89</v>
      </c>
      <c r="J2235">
        <v>1289.45</v>
      </c>
      <c r="K2235" t="s">
        <v>327</v>
      </c>
      <c r="L2235" t="s">
        <v>45</v>
      </c>
    </row>
    <row r="2236" spans="1:12" x14ac:dyDescent="0.35">
      <c r="A2236" t="s">
        <v>3588</v>
      </c>
      <c r="B2236" t="s">
        <v>797</v>
      </c>
      <c r="C2236" t="s">
        <v>798</v>
      </c>
      <c r="D2236" t="s">
        <v>32</v>
      </c>
      <c r="E2236" t="s">
        <v>203</v>
      </c>
      <c r="F2236" t="s">
        <v>42</v>
      </c>
      <c r="G2236" t="s">
        <v>170</v>
      </c>
      <c r="H2236">
        <v>5</v>
      </c>
      <c r="I2236">
        <v>707.14</v>
      </c>
      <c r="J2236">
        <v>3535.7</v>
      </c>
      <c r="K2236" t="s">
        <v>983</v>
      </c>
      <c r="L2236" t="s">
        <v>36</v>
      </c>
    </row>
    <row r="2237" spans="1:12" x14ac:dyDescent="0.35">
      <c r="A2237" t="s">
        <v>3589</v>
      </c>
      <c r="B2237" t="s">
        <v>558</v>
      </c>
      <c r="C2237" t="s">
        <v>559</v>
      </c>
      <c r="D2237" t="s">
        <v>23</v>
      </c>
      <c r="E2237" t="s">
        <v>338</v>
      </c>
      <c r="F2237" t="s">
        <v>16</v>
      </c>
      <c r="G2237" t="s">
        <v>182</v>
      </c>
      <c r="H2237">
        <v>1</v>
      </c>
      <c r="I2237">
        <v>473.05</v>
      </c>
      <c r="J2237">
        <v>473.05</v>
      </c>
      <c r="K2237" t="s">
        <v>1060</v>
      </c>
      <c r="L2237" t="s">
        <v>28</v>
      </c>
    </row>
    <row r="2238" spans="1:12" x14ac:dyDescent="0.35">
      <c r="A2238" t="s">
        <v>3590</v>
      </c>
      <c r="B2238" t="s">
        <v>918</v>
      </c>
      <c r="C2238" t="s">
        <v>919</v>
      </c>
      <c r="D2238" t="s">
        <v>40</v>
      </c>
      <c r="E2238" t="s">
        <v>120</v>
      </c>
      <c r="F2238" t="s">
        <v>25</v>
      </c>
      <c r="G2238" t="s">
        <v>26</v>
      </c>
      <c r="H2238">
        <v>4</v>
      </c>
      <c r="I2238">
        <v>1223.3800000000001</v>
      </c>
      <c r="J2238">
        <v>4893.5200000000004</v>
      </c>
      <c r="K2238" t="s">
        <v>844</v>
      </c>
      <c r="L2238" t="s">
        <v>36</v>
      </c>
    </row>
    <row r="2239" spans="1:12" x14ac:dyDescent="0.35">
      <c r="A2239" t="s">
        <v>3591</v>
      </c>
      <c r="B2239" t="s">
        <v>223</v>
      </c>
      <c r="C2239" t="s">
        <v>224</v>
      </c>
      <c r="D2239" t="s">
        <v>14</v>
      </c>
      <c r="E2239" t="s">
        <v>95</v>
      </c>
      <c r="F2239" t="s">
        <v>50</v>
      </c>
      <c r="G2239" t="s">
        <v>69</v>
      </c>
      <c r="H2239">
        <v>2</v>
      </c>
      <c r="I2239">
        <v>1493.93</v>
      </c>
      <c r="J2239">
        <v>2987.86</v>
      </c>
      <c r="K2239" t="s">
        <v>238</v>
      </c>
      <c r="L2239" t="s">
        <v>36</v>
      </c>
    </row>
    <row r="2240" spans="1:12" x14ac:dyDescent="0.35">
      <c r="A2240" t="s">
        <v>3592</v>
      </c>
      <c r="B2240" t="s">
        <v>443</v>
      </c>
      <c r="C2240" t="s">
        <v>444</v>
      </c>
      <c r="D2240" t="s">
        <v>14</v>
      </c>
      <c r="E2240" t="s">
        <v>266</v>
      </c>
      <c r="F2240" t="s">
        <v>16</v>
      </c>
      <c r="G2240" t="s">
        <v>230</v>
      </c>
      <c r="H2240">
        <v>4</v>
      </c>
      <c r="I2240">
        <v>1058.9000000000001</v>
      </c>
      <c r="J2240">
        <v>4235.6000000000004</v>
      </c>
      <c r="K2240" t="s">
        <v>1103</v>
      </c>
      <c r="L2240" t="s">
        <v>28</v>
      </c>
    </row>
    <row r="2241" spans="1:12" x14ac:dyDescent="0.35">
      <c r="A2241" t="s">
        <v>3593</v>
      </c>
      <c r="B2241" t="s">
        <v>568</v>
      </c>
      <c r="C2241" t="s">
        <v>569</v>
      </c>
      <c r="D2241" t="s">
        <v>40</v>
      </c>
      <c r="E2241" t="s">
        <v>120</v>
      </c>
      <c r="F2241" t="s">
        <v>25</v>
      </c>
      <c r="G2241" t="s">
        <v>74</v>
      </c>
      <c r="H2241">
        <v>2</v>
      </c>
      <c r="I2241">
        <v>380.42</v>
      </c>
      <c r="J2241">
        <v>760.84</v>
      </c>
      <c r="K2241" t="s">
        <v>3200</v>
      </c>
      <c r="L2241" t="s">
        <v>91</v>
      </c>
    </row>
    <row r="2242" spans="1:12" x14ac:dyDescent="0.35">
      <c r="A2242" t="s">
        <v>3594</v>
      </c>
      <c r="B2242" t="s">
        <v>384</v>
      </c>
      <c r="C2242" t="s">
        <v>385</v>
      </c>
      <c r="D2242" t="s">
        <v>23</v>
      </c>
      <c r="E2242" t="s">
        <v>24</v>
      </c>
      <c r="F2242" t="s">
        <v>50</v>
      </c>
      <c r="G2242" t="s">
        <v>56</v>
      </c>
      <c r="H2242">
        <v>5</v>
      </c>
      <c r="I2242">
        <v>1391.24</v>
      </c>
      <c r="J2242">
        <v>6956.2</v>
      </c>
      <c r="K2242" t="s">
        <v>1605</v>
      </c>
      <c r="L2242" t="s">
        <v>36</v>
      </c>
    </row>
    <row r="2243" spans="1:12" x14ac:dyDescent="0.35">
      <c r="A2243" t="s">
        <v>3595</v>
      </c>
      <c r="B2243" t="s">
        <v>325</v>
      </c>
      <c r="C2243" t="s">
        <v>326</v>
      </c>
      <c r="D2243" t="s">
        <v>40</v>
      </c>
      <c r="E2243" t="s">
        <v>79</v>
      </c>
      <c r="F2243" t="s">
        <v>25</v>
      </c>
      <c r="G2243" t="s">
        <v>34</v>
      </c>
      <c r="H2243">
        <v>2</v>
      </c>
      <c r="I2243">
        <v>796.7</v>
      </c>
      <c r="J2243">
        <v>1593.4</v>
      </c>
      <c r="K2243" t="s">
        <v>3596</v>
      </c>
      <c r="L2243" t="s">
        <v>36</v>
      </c>
    </row>
    <row r="2244" spans="1:12" x14ac:dyDescent="0.35">
      <c r="A2244" t="s">
        <v>3597</v>
      </c>
      <c r="B2244" t="s">
        <v>751</v>
      </c>
      <c r="C2244" t="s">
        <v>752</v>
      </c>
      <c r="D2244" t="s">
        <v>40</v>
      </c>
      <c r="E2244" t="s">
        <v>41</v>
      </c>
      <c r="F2244" t="s">
        <v>16</v>
      </c>
      <c r="G2244" t="s">
        <v>182</v>
      </c>
      <c r="H2244">
        <v>4</v>
      </c>
      <c r="I2244">
        <v>287.49</v>
      </c>
      <c r="J2244">
        <v>1149.96</v>
      </c>
      <c r="K2244" t="s">
        <v>813</v>
      </c>
      <c r="L2244" t="s">
        <v>19</v>
      </c>
    </row>
    <row r="2245" spans="1:12" x14ac:dyDescent="0.35">
      <c r="A2245" t="s">
        <v>3598</v>
      </c>
      <c r="B2245" t="s">
        <v>1662</v>
      </c>
      <c r="C2245" t="s">
        <v>1663</v>
      </c>
      <c r="D2245" t="s">
        <v>14</v>
      </c>
      <c r="E2245" t="s">
        <v>95</v>
      </c>
      <c r="F2245" t="s">
        <v>101</v>
      </c>
      <c r="G2245" t="s">
        <v>237</v>
      </c>
      <c r="H2245">
        <v>1</v>
      </c>
      <c r="I2245">
        <v>772.77</v>
      </c>
      <c r="J2245">
        <v>772.77</v>
      </c>
      <c r="K2245" t="s">
        <v>2276</v>
      </c>
      <c r="L2245" t="s">
        <v>19</v>
      </c>
    </row>
    <row r="2246" spans="1:12" x14ac:dyDescent="0.35">
      <c r="A2246" t="s">
        <v>3599</v>
      </c>
      <c r="B2246" t="s">
        <v>460</v>
      </c>
      <c r="C2246" t="s">
        <v>461</v>
      </c>
      <c r="D2246" t="s">
        <v>32</v>
      </c>
      <c r="E2246" t="s">
        <v>61</v>
      </c>
      <c r="F2246" t="s">
        <v>25</v>
      </c>
      <c r="G2246" t="s">
        <v>139</v>
      </c>
      <c r="H2246">
        <v>5</v>
      </c>
      <c r="I2246">
        <v>241.46</v>
      </c>
      <c r="J2246">
        <v>1207.3</v>
      </c>
      <c r="K2246" t="s">
        <v>1194</v>
      </c>
      <c r="L2246" t="s">
        <v>45</v>
      </c>
    </row>
    <row r="2247" spans="1:12" x14ac:dyDescent="0.35">
      <c r="A2247" t="s">
        <v>3600</v>
      </c>
      <c r="B2247" t="s">
        <v>681</v>
      </c>
      <c r="C2247" t="s">
        <v>682</v>
      </c>
      <c r="D2247" t="s">
        <v>40</v>
      </c>
      <c r="E2247" t="s">
        <v>120</v>
      </c>
      <c r="F2247" t="s">
        <v>25</v>
      </c>
      <c r="G2247" t="s">
        <v>26</v>
      </c>
      <c r="H2247">
        <v>3</v>
      </c>
      <c r="I2247">
        <v>1345.9</v>
      </c>
      <c r="J2247">
        <v>4037.7</v>
      </c>
      <c r="K2247" t="s">
        <v>1411</v>
      </c>
      <c r="L2247" t="s">
        <v>28</v>
      </c>
    </row>
    <row r="2248" spans="1:12" x14ac:dyDescent="0.35">
      <c r="A2248" t="s">
        <v>3601</v>
      </c>
      <c r="B2248" t="s">
        <v>159</v>
      </c>
      <c r="C2248" t="s">
        <v>160</v>
      </c>
      <c r="D2248" t="s">
        <v>32</v>
      </c>
      <c r="E2248" t="s">
        <v>203</v>
      </c>
      <c r="F2248" t="s">
        <v>16</v>
      </c>
      <c r="G2248" t="s">
        <v>148</v>
      </c>
      <c r="H2248">
        <v>1</v>
      </c>
      <c r="I2248">
        <v>1317.39</v>
      </c>
      <c r="J2248">
        <v>1317.39</v>
      </c>
      <c r="K2248" t="s">
        <v>2057</v>
      </c>
      <c r="L2248" t="s">
        <v>91</v>
      </c>
    </row>
    <row r="2249" spans="1:12" x14ac:dyDescent="0.35">
      <c r="A2249" t="s">
        <v>3602</v>
      </c>
      <c r="B2249" t="s">
        <v>1523</v>
      </c>
      <c r="C2249" t="s">
        <v>1524</v>
      </c>
      <c r="D2249" t="s">
        <v>32</v>
      </c>
      <c r="E2249" t="s">
        <v>61</v>
      </c>
      <c r="F2249" t="s">
        <v>16</v>
      </c>
      <c r="G2249" t="s">
        <v>148</v>
      </c>
      <c r="H2249">
        <v>3</v>
      </c>
      <c r="I2249">
        <v>931.17</v>
      </c>
      <c r="J2249">
        <v>2793.51</v>
      </c>
      <c r="K2249" t="s">
        <v>2131</v>
      </c>
      <c r="L2249" t="s">
        <v>91</v>
      </c>
    </row>
    <row r="2250" spans="1:12" x14ac:dyDescent="0.35">
      <c r="A2250" t="s">
        <v>3603</v>
      </c>
      <c r="B2250" t="s">
        <v>1516</v>
      </c>
      <c r="C2250" t="s">
        <v>1517</v>
      </c>
      <c r="D2250" t="s">
        <v>32</v>
      </c>
      <c r="E2250" t="s">
        <v>33</v>
      </c>
      <c r="F2250" t="s">
        <v>50</v>
      </c>
      <c r="G2250" t="s">
        <v>51</v>
      </c>
      <c r="H2250">
        <v>2</v>
      </c>
      <c r="I2250">
        <v>309.57</v>
      </c>
      <c r="J2250">
        <v>619.14</v>
      </c>
      <c r="K2250" t="s">
        <v>2116</v>
      </c>
      <c r="L2250" t="s">
        <v>36</v>
      </c>
    </row>
    <row r="2251" spans="1:12" x14ac:dyDescent="0.35">
      <c r="A2251" t="s">
        <v>3604</v>
      </c>
      <c r="B2251" t="s">
        <v>333</v>
      </c>
      <c r="C2251" t="s">
        <v>334</v>
      </c>
      <c r="D2251" t="s">
        <v>67</v>
      </c>
      <c r="E2251" t="s">
        <v>115</v>
      </c>
      <c r="F2251" t="s">
        <v>101</v>
      </c>
      <c r="G2251" t="s">
        <v>649</v>
      </c>
      <c r="H2251">
        <v>3</v>
      </c>
      <c r="I2251">
        <v>53.33</v>
      </c>
      <c r="J2251">
        <v>159.99</v>
      </c>
      <c r="K2251" t="s">
        <v>624</v>
      </c>
      <c r="L2251" t="s">
        <v>91</v>
      </c>
    </row>
    <row r="2252" spans="1:12" x14ac:dyDescent="0.35">
      <c r="A2252" t="s">
        <v>3605</v>
      </c>
      <c r="B2252" t="s">
        <v>1281</v>
      </c>
      <c r="C2252" t="s">
        <v>1282</v>
      </c>
      <c r="D2252" t="s">
        <v>67</v>
      </c>
      <c r="E2252" t="s">
        <v>130</v>
      </c>
      <c r="F2252" t="s">
        <v>25</v>
      </c>
      <c r="G2252" t="s">
        <v>139</v>
      </c>
      <c r="H2252">
        <v>1</v>
      </c>
      <c r="I2252">
        <v>837.53</v>
      </c>
      <c r="J2252">
        <v>837.53</v>
      </c>
      <c r="K2252" t="s">
        <v>2575</v>
      </c>
      <c r="L2252" t="s">
        <v>91</v>
      </c>
    </row>
    <row r="2253" spans="1:12" x14ac:dyDescent="0.35">
      <c r="A2253" t="s">
        <v>3606</v>
      </c>
      <c r="B2253" t="s">
        <v>47</v>
      </c>
      <c r="C2253" t="s">
        <v>48</v>
      </c>
      <c r="D2253" t="s">
        <v>23</v>
      </c>
      <c r="E2253" t="s">
        <v>24</v>
      </c>
      <c r="F2253" t="s">
        <v>50</v>
      </c>
      <c r="G2253" t="s">
        <v>216</v>
      </c>
      <c r="H2253">
        <v>4</v>
      </c>
      <c r="I2253">
        <v>1425.66</v>
      </c>
      <c r="J2253">
        <v>5702.64</v>
      </c>
      <c r="K2253" t="s">
        <v>2046</v>
      </c>
      <c r="L2253" t="s">
        <v>19</v>
      </c>
    </row>
    <row r="2254" spans="1:12" x14ac:dyDescent="0.35">
      <c r="A2254" t="s">
        <v>3607</v>
      </c>
      <c r="B2254" t="s">
        <v>1428</v>
      </c>
      <c r="C2254" t="s">
        <v>1429</v>
      </c>
      <c r="D2254" t="s">
        <v>32</v>
      </c>
      <c r="E2254" t="s">
        <v>61</v>
      </c>
      <c r="F2254" t="s">
        <v>16</v>
      </c>
      <c r="G2254" t="s">
        <v>177</v>
      </c>
      <c r="H2254">
        <v>5</v>
      </c>
      <c r="I2254">
        <v>921.65</v>
      </c>
      <c r="J2254">
        <v>4608.25</v>
      </c>
      <c r="K2254" t="s">
        <v>2565</v>
      </c>
      <c r="L2254" t="s">
        <v>91</v>
      </c>
    </row>
    <row r="2255" spans="1:12" x14ac:dyDescent="0.35">
      <c r="A2255" t="s">
        <v>3608</v>
      </c>
      <c r="B2255" t="s">
        <v>1354</v>
      </c>
      <c r="C2255" t="s">
        <v>1355</v>
      </c>
      <c r="D2255" t="s">
        <v>32</v>
      </c>
      <c r="E2255" t="s">
        <v>203</v>
      </c>
      <c r="F2255" t="s">
        <v>16</v>
      </c>
      <c r="G2255" t="s">
        <v>148</v>
      </c>
      <c r="H2255">
        <v>1</v>
      </c>
      <c r="I2255">
        <v>464.04</v>
      </c>
      <c r="J2255">
        <v>464.04</v>
      </c>
      <c r="K2255" t="s">
        <v>1483</v>
      </c>
      <c r="L2255" t="s">
        <v>28</v>
      </c>
    </row>
    <row r="2256" spans="1:12" x14ac:dyDescent="0.35">
      <c r="A2256" t="s">
        <v>3609</v>
      </c>
      <c r="B2256" t="s">
        <v>12</v>
      </c>
      <c r="C2256" t="s">
        <v>13</v>
      </c>
      <c r="D2256" t="s">
        <v>40</v>
      </c>
      <c r="E2256" t="s">
        <v>79</v>
      </c>
      <c r="F2256" t="s">
        <v>25</v>
      </c>
      <c r="G2256" t="s">
        <v>26</v>
      </c>
      <c r="H2256">
        <v>3</v>
      </c>
      <c r="I2256">
        <v>1013.35</v>
      </c>
      <c r="J2256">
        <v>3040.05</v>
      </c>
      <c r="K2256" t="s">
        <v>882</v>
      </c>
      <c r="L2256" t="s">
        <v>91</v>
      </c>
    </row>
    <row r="2257" spans="1:12" x14ac:dyDescent="0.35">
      <c r="A2257" t="s">
        <v>3610</v>
      </c>
      <c r="B2257" t="s">
        <v>287</v>
      </c>
      <c r="C2257" t="s">
        <v>288</v>
      </c>
      <c r="D2257" t="s">
        <v>67</v>
      </c>
      <c r="E2257" t="s">
        <v>115</v>
      </c>
      <c r="F2257" t="s">
        <v>16</v>
      </c>
      <c r="G2257" t="s">
        <v>148</v>
      </c>
      <c r="H2257">
        <v>1</v>
      </c>
      <c r="I2257">
        <v>809.52</v>
      </c>
      <c r="J2257">
        <v>809.52</v>
      </c>
      <c r="K2257" t="s">
        <v>3473</v>
      </c>
      <c r="L2257" t="s">
        <v>28</v>
      </c>
    </row>
    <row r="2258" spans="1:12" x14ac:dyDescent="0.35">
      <c r="A2258" t="s">
        <v>3611</v>
      </c>
      <c r="B2258" t="s">
        <v>418</v>
      </c>
      <c r="C2258" t="s">
        <v>419</v>
      </c>
      <c r="D2258" t="s">
        <v>32</v>
      </c>
      <c r="E2258" t="s">
        <v>61</v>
      </c>
      <c r="F2258" t="s">
        <v>25</v>
      </c>
      <c r="G2258" t="s">
        <v>74</v>
      </c>
      <c r="H2258">
        <v>1</v>
      </c>
      <c r="I2258">
        <v>574.91999999999996</v>
      </c>
      <c r="J2258">
        <v>574.91999999999996</v>
      </c>
      <c r="K2258" t="s">
        <v>1309</v>
      </c>
      <c r="L2258" t="s">
        <v>91</v>
      </c>
    </row>
    <row r="2259" spans="1:12" x14ac:dyDescent="0.35">
      <c r="A2259" t="s">
        <v>3612</v>
      </c>
      <c r="B2259" t="s">
        <v>1444</v>
      </c>
      <c r="C2259" t="s">
        <v>1445</v>
      </c>
      <c r="D2259" t="s">
        <v>32</v>
      </c>
      <c r="E2259" t="s">
        <v>203</v>
      </c>
      <c r="F2259" t="s">
        <v>50</v>
      </c>
      <c r="G2259" t="s">
        <v>69</v>
      </c>
      <c r="H2259">
        <v>2</v>
      </c>
      <c r="I2259">
        <v>501.41</v>
      </c>
      <c r="J2259">
        <v>1002.82</v>
      </c>
      <c r="K2259" t="s">
        <v>1914</v>
      </c>
      <c r="L2259" t="s">
        <v>36</v>
      </c>
    </row>
    <row r="2260" spans="1:12" x14ac:dyDescent="0.35">
      <c r="A2260" t="s">
        <v>3613</v>
      </c>
      <c r="B2260" t="s">
        <v>260</v>
      </c>
      <c r="C2260" t="s">
        <v>261</v>
      </c>
      <c r="D2260" t="s">
        <v>23</v>
      </c>
      <c r="E2260" t="s">
        <v>338</v>
      </c>
      <c r="F2260" t="s">
        <v>50</v>
      </c>
      <c r="G2260" t="s">
        <v>170</v>
      </c>
      <c r="H2260">
        <v>2</v>
      </c>
      <c r="I2260">
        <v>1331.81</v>
      </c>
      <c r="J2260">
        <v>2663.62</v>
      </c>
      <c r="K2260" t="s">
        <v>1344</v>
      </c>
      <c r="L2260" t="s">
        <v>45</v>
      </c>
    </row>
    <row r="2261" spans="1:12" x14ac:dyDescent="0.35">
      <c r="A2261" t="s">
        <v>3614</v>
      </c>
      <c r="B2261" t="s">
        <v>21</v>
      </c>
      <c r="C2261" t="s">
        <v>22</v>
      </c>
      <c r="D2261" t="s">
        <v>32</v>
      </c>
      <c r="E2261" t="s">
        <v>203</v>
      </c>
      <c r="F2261" t="s">
        <v>50</v>
      </c>
      <c r="G2261" t="s">
        <v>170</v>
      </c>
      <c r="H2261">
        <v>1</v>
      </c>
      <c r="I2261">
        <v>678.34</v>
      </c>
      <c r="J2261">
        <v>678.34</v>
      </c>
      <c r="K2261" t="s">
        <v>830</v>
      </c>
      <c r="L2261" t="s">
        <v>45</v>
      </c>
    </row>
    <row r="2262" spans="1:12" x14ac:dyDescent="0.35">
      <c r="A2262" t="s">
        <v>3615</v>
      </c>
      <c r="B2262" t="s">
        <v>21</v>
      </c>
      <c r="C2262" t="s">
        <v>22</v>
      </c>
      <c r="D2262" t="s">
        <v>32</v>
      </c>
      <c r="E2262" t="s">
        <v>61</v>
      </c>
      <c r="F2262" t="s">
        <v>50</v>
      </c>
      <c r="G2262" t="s">
        <v>51</v>
      </c>
      <c r="H2262">
        <v>4</v>
      </c>
      <c r="I2262">
        <v>439.91</v>
      </c>
      <c r="J2262">
        <v>1759.64</v>
      </c>
      <c r="K2262" t="s">
        <v>2641</v>
      </c>
      <c r="L2262" t="s">
        <v>91</v>
      </c>
    </row>
    <row r="2263" spans="1:12" x14ac:dyDescent="0.35">
      <c r="A2263" t="s">
        <v>3616</v>
      </c>
      <c r="B2263" t="s">
        <v>146</v>
      </c>
      <c r="C2263" t="s">
        <v>147</v>
      </c>
      <c r="D2263" t="s">
        <v>67</v>
      </c>
      <c r="E2263" t="s">
        <v>68</v>
      </c>
      <c r="F2263" t="s">
        <v>101</v>
      </c>
      <c r="G2263" t="s">
        <v>649</v>
      </c>
      <c r="H2263">
        <v>3</v>
      </c>
      <c r="I2263">
        <v>688.55</v>
      </c>
      <c r="J2263">
        <v>2065.65</v>
      </c>
      <c r="K2263" t="s">
        <v>1952</v>
      </c>
      <c r="L2263" t="s">
        <v>36</v>
      </c>
    </row>
    <row r="2264" spans="1:12" x14ac:dyDescent="0.35">
      <c r="A2264" t="s">
        <v>3617</v>
      </c>
      <c r="B2264" t="s">
        <v>832</v>
      </c>
      <c r="C2264" t="s">
        <v>833</v>
      </c>
      <c r="D2264" t="s">
        <v>40</v>
      </c>
      <c r="E2264" t="s">
        <v>79</v>
      </c>
      <c r="F2264" t="s">
        <v>42</v>
      </c>
      <c r="G2264" t="s">
        <v>80</v>
      </c>
      <c r="H2264">
        <v>2</v>
      </c>
      <c r="I2264">
        <v>1259.8699999999999</v>
      </c>
      <c r="J2264">
        <v>2519.7399999999998</v>
      </c>
      <c r="K2264" t="s">
        <v>1371</v>
      </c>
      <c r="L2264" t="s">
        <v>36</v>
      </c>
    </row>
    <row r="2265" spans="1:12" x14ac:dyDescent="0.35">
      <c r="A2265" t="s">
        <v>3618</v>
      </c>
      <c r="B2265" t="s">
        <v>47</v>
      </c>
      <c r="C2265" t="s">
        <v>48</v>
      </c>
      <c r="D2265" t="s">
        <v>67</v>
      </c>
      <c r="E2265" t="s">
        <v>68</v>
      </c>
      <c r="F2265" t="s">
        <v>50</v>
      </c>
      <c r="G2265" t="s">
        <v>216</v>
      </c>
      <c r="H2265">
        <v>1</v>
      </c>
      <c r="I2265">
        <v>522.1</v>
      </c>
      <c r="J2265">
        <v>522.1</v>
      </c>
      <c r="K2265" t="s">
        <v>1287</v>
      </c>
      <c r="L2265" t="s">
        <v>36</v>
      </c>
    </row>
    <row r="2266" spans="1:12" x14ac:dyDescent="0.35">
      <c r="A2266" t="s">
        <v>3619</v>
      </c>
      <c r="B2266" t="s">
        <v>363</v>
      </c>
      <c r="C2266" t="s">
        <v>364</v>
      </c>
      <c r="D2266" t="s">
        <v>23</v>
      </c>
      <c r="E2266" t="s">
        <v>338</v>
      </c>
      <c r="F2266" t="s">
        <v>42</v>
      </c>
      <c r="G2266" t="s">
        <v>43</v>
      </c>
      <c r="H2266">
        <v>1</v>
      </c>
      <c r="I2266">
        <v>731.55</v>
      </c>
      <c r="J2266">
        <v>731.55</v>
      </c>
      <c r="K2266" t="s">
        <v>697</v>
      </c>
      <c r="L2266" t="s">
        <v>36</v>
      </c>
    </row>
    <row r="2267" spans="1:12" x14ac:dyDescent="0.35">
      <c r="A2267" t="s">
        <v>3620</v>
      </c>
      <c r="B2267" t="s">
        <v>240</v>
      </c>
      <c r="C2267" t="s">
        <v>241</v>
      </c>
      <c r="D2267" t="s">
        <v>14</v>
      </c>
      <c r="E2267" t="s">
        <v>15</v>
      </c>
      <c r="F2267" t="s">
        <v>16</v>
      </c>
      <c r="G2267" t="s">
        <v>230</v>
      </c>
      <c r="H2267">
        <v>5</v>
      </c>
      <c r="I2267">
        <v>401.61</v>
      </c>
      <c r="J2267">
        <v>2008.05</v>
      </c>
      <c r="K2267" t="s">
        <v>472</v>
      </c>
      <c r="L2267" t="s">
        <v>28</v>
      </c>
    </row>
    <row r="2268" spans="1:12" x14ac:dyDescent="0.35">
      <c r="A2268" t="s">
        <v>3621</v>
      </c>
      <c r="B2268" t="s">
        <v>492</v>
      </c>
      <c r="C2268" t="s">
        <v>493</v>
      </c>
      <c r="D2268" t="s">
        <v>40</v>
      </c>
      <c r="E2268" t="s">
        <v>41</v>
      </c>
      <c r="F2268" t="s">
        <v>16</v>
      </c>
      <c r="G2268" t="s">
        <v>182</v>
      </c>
      <c r="H2268">
        <v>1</v>
      </c>
      <c r="I2268">
        <v>605.55999999999995</v>
      </c>
      <c r="J2268">
        <v>605.55999999999995</v>
      </c>
      <c r="K2268" t="s">
        <v>44</v>
      </c>
      <c r="L2268" t="s">
        <v>91</v>
      </c>
    </row>
    <row r="2269" spans="1:12" x14ac:dyDescent="0.35">
      <c r="A2269" t="s">
        <v>3622</v>
      </c>
      <c r="B2269" t="s">
        <v>1340</v>
      </c>
      <c r="C2269" t="s">
        <v>1341</v>
      </c>
      <c r="D2269" t="s">
        <v>32</v>
      </c>
      <c r="E2269" t="s">
        <v>203</v>
      </c>
      <c r="F2269" t="s">
        <v>25</v>
      </c>
      <c r="G2269" t="s">
        <v>139</v>
      </c>
      <c r="H2269">
        <v>2</v>
      </c>
      <c r="I2269">
        <v>50.38</v>
      </c>
      <c r="J2269">
        <v>100.76</v>
      </c>
      <c r="K2269" t="s">
        <v>876</v>
      </c>
      <c r="L2269" t="s">
        <v>19</v>
      </c>
    </row>
    <row r="2270" spans="1:12" x14ac:dyDescent="0.35">
      <c r="A2270" t="s">
        <v>3623</v>
      </c>
      <c r="B2270" t="s">
        <v>711</v>
      </c>
      <c r="C2270" t="s">
        <v>712</v>
      </c>
      <c r="D2270" t="s">
        <v>32</v>
      </c>
      <c r="E2270" t="s">
        <v>33</v>
      </c>
      <c r="F2270" t="s">
        <v>42</v>
      </c>
      <c r="G2270" t="s">
        <v>170</v>
      </c>
      <c r="H2270">
        <v>5</v>
      </c>
      <c r="I2270">
        <v>1171.6600000000001</v>
      </c>
      <c r="J2270">
        <v>5858.3</v>
      </c>
      <c r="K2270" t="s">
        <v>645</v>
      </c>
      <c r="L2270" t="s">
        <v>45</v>
      </c>
    </row>
    <row r="2271" spans="1:12" x14ac:dyDescent="0.35">
      <c r="A2271" t="s">
        <v>3624</v>
      </c>
      <c r="B2271" t="s">
        <v>59</v>
      </c>
      <c r="C2271" t="s">
        <v>60</v>
      </c>
      <c r="D2271" t="s">
        <v>40</v>
      </c>
      <c r="E2271" t="s">
        <v>79</v>
      </c>
      <c r="F2271" t="s">
        <v>42</v>
      </c>
      <c r="G2271" t="s">
        <v>43</v>
      </c>
      <c r="H2271">
        <v>2</v>
      </c>
      <c r="I2271">
        <v>692.25</v>
      </c>
      <c r="J2271">
        <v>1384.5</v>
      </c>
      <c r="K2271" t="s">
        <v>1393</v>
      </c>
      <c r="L2271" t="s">
        <v>36</v>
      </c>
    </row>
    <row r="2272" spans="1:12" x14ac:dyDescent="0.35">
      <c r="A2272" t="s">
        <v>3625</v>
      </c>
      <c r="B2272" t="s">
        <v>715</v>
      </c>
      <c r="C2272" t="s">
        <v>716</v>
      </c>
      <c r="D2272" t="s">
        <v>67</v>
      </c>
      <c r="E2272" t="s">
        <v>68</v>
      </c>
      <c r="F2272" t="s">
        <v>50</v>
      </c>
      <c r="G2272" t="s">
        <v>51</v>
      </c>
      <c r="H2272">
        <v>3</v>
      </c>
      <c r="I2272">
        <v>1449.97</v>
      </c>
      <c r="J2272">
        <v>4349.91</v>
      </c>
      <c r="K2272" t="s">
        <v>1413</v>
      </c>
      <c r="L2272" t="s">
        <v>91</v>
      </c>
    </row>
    <row r="2273" spans="1:12" x14ac:dyDescent="0.35">
      <c r="A2273" t="s">
        <v>3626</v>
      </c>
      <c r="B2273" t="s">
        <v>159</v>
      </c>
      <c r="C2273" t="s">
        <v>160</v>
      </c>
      <c r="D2273" t="s">
        <v>40</v>
      </c>
      <c r="E2273" t="s">
        <v>120</v>
      </c>
      <c r="F2273" t="s">
        <v>25</v>
      </c>
      <c r="G2273" t="s">
        <v>74</v>
      </c>
      <c r="H2273">
        <v>1</v>
      </c>
      <c r="I2273">
        <v>1303.8399999999999</v>
      </c>
      <c r="J2273">
        <v>1303.8399999999999</v>
      </c>
      <c r="K2273" t="s">
        <v>382</v>
      </c>
      <c r="L2273" t="s">
        <v>45</v>
      </c>
    </row>
    <row r="2274" spans="1:12" x14ac:dyDescent="0.35">
      <c r="A2274" t="s">
        <v>3627</v>
      </c>
      <c r="B2274" t="s">
        <v>611</v>
      </c>
      <c r="C2274" t="s">
        <v>612</v>
      </c>
      <c r="D2274" t="s">
        <v>32</v>
      </c>
      <c r="E2274" t="s">
        <v>203</v>
      </c>
      <c r="F2274" t="s">
        <v>16</v>
      </c>
      <c r="G2274" t="s">
        <v>17</v>
      </c>
      <c r="H2274">
        <v>4</v>
      </c>
      <c r="I2274">
        <v>279.81</v>
      </c>
      <c r="J2274">
        <v>1119.24</v>
      </c>
      <c r="K2274" t="s">
        <v>1474</v>
      </c>
      <c r="L2274" t="s">
        <v>19</v>
      </c>
    </row>
    <row r="2275" spans="1:12" x14ac:dyDescent="0.35">
      <c r="A2275" t="s">
        <v>3628</v>
      </c>
      <c r="B2275" t="s">
        <v>83</v>
      </c>
      <c r="C2275" t="s">
        <v>84</v>
      </c>
      <c r="D2275" t="s">
        <v>40</v>
      </c>
      <c r="E2275" t="s">
        <v>120</v>
      </c>
      <c r="F2275" t="s">
        <v>101</v>
      </c>
      <c r="G2275" t="s">
        <v>165</v>
      </c>
      <c r="H2275">
        <v>4</v>
      </c>
      <c r="I2275">
        <v>22.82</v>
      </c>
      <c r="J2275">
        <v>91.28</v>
      </c>
      <c r="K2275" t="s">
        <v>2578</v>
      </c>
      <c r="L2275" t="s">
        <v>45</v>
      </c>
    </row>
    <row r="2276" spans="1:12" x14ac:dyDescent="0.35">
      <c r="A2276" t="s">
        <v>3629</v>
      </c>
      <c r="B2276" t="s">
        <v>228</v>
      </c>
      <c r="C2276" t="s">
        <v>229</v>
      </c>
      <c r="D2276" t="s">
        <v>23</v>
      </c>
      <c r="E2276" t="s">
        <v>49</v>
      </c>
      <c r="F2276" t="s">
        <v>25</v>
      </c>
      <c r="G2276" t="s">
        <v>34</v>
      </c>
      <c r="H2276">
        <v>1</v>
      </c>
      <c r="I2276">
        <v>793.9</v>
      </c>
      <c r="J2276">
        <v>793.9</v>
      </c>
      <c r="K2276" t="s">
        <v>3425</v>
      </c>
      <c r="L2276" t="s">
        <v>36</v>
      </c>
    </row>
    <row r="2277" spans="1:12" x14ac:dyDescent="0.35">
      <c r="A2277" t="s">
        <v>3630</v>
      </c>
      <c r="B2277" t="s">
        <v>454</v>
      </c>
      <c r="C2277" t="s">
        <v>455</v>
      </c>
      <c r="D2277" t="s">
        <v>40</v>
      </c>
      <c r="E2277" t="s">
        <v>79</v>
      </c>
      <c r="F2277" t="s">
        <v>25</v>
      </c>
      <c r="G2277" t="s">
        <v>26</v>
      </c>
      <c r="H2277">
        <v>4</v>
      </c>
      <c r="I2277">
        <v>1380.37</v>
      </c>
      <c r="J2277">
        <v>5521.48</v>
      </c>
      <c r="K2277" t="s">
        <v>285</v>
      </c>
      <c r="L2277" t="s">
        <v>19</v>
      </c>
    </row>
    <row r="2278" spans="1:12" x14ac:dyDescent="0.35">
      <c r="A2278" t="s">
        <v>3631</v>
      </c>
      <c r="B2278" t="s">
        <v>936</v>
      </c>
      <c r="C2278" t="s">
        <v>937</v>
      </c>
      <c r="D2278" t="s">
        <v>67</v>
      </c>
      <c r="E2278" t="s">
        <v>115</v>
      </c>
      <c r="F2278" t="s">
        <v>16</v>
      </c>
      <c r="G2278" t="s">
        <v>182</v>
      </c>
      <c r="H2278">
        <v>1</v>
      </c>
      <c r="I2278">
        <v>518.17999999999995</v>
      </c>
      <c r="J2278">
        <v>518.17999999999995</v>
      </c>
      <c r="K2278" t="s">
        <v>2623</v>
      </c>
      <c r="L2278" t="s">
        <v>28</v>
      </c>
    </row>
    <row r="2279" spans="1:12" x14ac:dyDescent="0.35">
      <c r="A2279" t="s">
        <v>3632</v>
      </c>
      <c r="B2279" t="s">
        <v>311</v>
      </c>
      <c r="C2279" t="s">
        <v>312</v>
      </c>
      <c r="D2279" t="s">
        <v>40</v>
      </c>
      <c r="E2279" t="s">
        <v>120</v>
      </c>
      <c r="F2279" t="s">
        <v>101</v>
      </c>
      <c r="G2279" t="s">
        <v>237</v>
      </c>
      <c r="H2279">
        <v>2</v>
      </c>
      <c r="I2279">
        <v>510.52</v>
      </c>
      <c r="J2279">
        <v>1021.04</v>
      </c>
      <c r="K2279" t="s">
        <v>2695</v>
      </c>
      <c r="L2279" t="s">
        <v>19</v>
      </c>
    </row>
    <row r="2280" spans="1:12" x14ac:dyDescent="0.35">
      <c r="A2280" t="s">
        <v>3633</v>
      </c>
      <c r="B2280" t="s">
        <v>838</v>
      </c>
      <c r="C2280" t="s">
        <v>839</v>
      </c>
      <c r="D2280" t="s">
        <v>14</v>
      </c>
      <c r="E2280" t="s">
        <v>100</v>
      </c>
      <c r="F2280" t="s">
        <v>25</v>
      </c>
      <c r="G2280" t="s">
        <v>139</v>
      </c>
      <c r="H2280">
        <v>1</v>
      </c>
      <c r="I2280">
        <v>1328.65</v>
      </c>
      <c r="J2280">
        <v>1328.65</v>
      </c>
      <c r="K2280" t="s">
        <v>2648</v>
      </c>
      <c r="L2280" t="s">
        <v>91</v>
      </c>
    </row>
    <row r="2281" spans="1:12" x14ac:dyDescent="0.35">
      <c r="A2281" t="s">
        <v>3634</v>
      </c>
      <c r="B2281" t="s">
        <v>1226</v>
      </c>
      <c r="C2281" t="s">
        <v>1227</v>
      </c>
      <c r="D2281" t="s">
        <v>40</v>
      </c>
      <c r="E2281" t="s">
        <v>79</v>
      </c>
      <c r="F2281" t="s">
        <v>16</v>
      </c>
      <c r="G2281" t="s">
        <v>230</v>
      </c>
      <c r="H2281">
        <v>2</v>
      </c>
      <c r="I2281">
        <v>285.92</v>
      </c>
      <c r="J2281">
        <v>571.84</v>
      </c>
      <c r="K2281" t="s">
        <v>2437</v>
      </c>
      <c r="L2281" t="s">
        <v>28</v>
      </c>
    </row>
    <row r="2282" spans="1:12" x14ac:dyDescent="0.35">
      <c r="A2282" t="s">
        <v>3635</v>
      </c>
      <c r="B2282" t="s">
        <v>252</v>
      </c>
      <c r="C2282" t="s">
        <v>253</v>
      </c>
      <c r="D2282" t="s">
        <v>23</v>
      </c>
      <c r="E2282" t="s">
        <v>24</v>
      </c>
      <c r="F2282" t="s">
        <v>101</v>
      </c>
      <c r="G2282" t="s">
        <v>165</v>
      </c>
      <c r="H2282">
        <v>5</v>
      </c>
      <c r="I2282">
        <v>1220.75</v>
      </c>
      <c r="J2282">
        <v>6103.75</v>
      </c>
      <c r="K2282" t="s">
        <v>1450</v>
      </c>
      <c r="L2282" t="s">
        <v>36</v>
      </c>
    </row>
    <row r="2283" spans="1:12" x14ac:dyDescent="0.35">
      <c r="A2283" t="s">
        <v>3636</v>
      </c>
      <c r="B2283" t="s">
        <v>65</v>
      </c>
      <c r="C2283" t="s">
        <v>66</v>
      </c>
      <c r="D2283" t="s">
        <v>40</v>
      </c>
      <c r="E2283" t="s">
        <v>41</v>
      </c>
      <c r="F2283" t="s">
        <v>25</v>
      </c>
      <c r="G2283" t="s">
        <v>26</v>
      </c>
      <c r="H2283">
        <v>5</v>
      </c>
      <c r="I2283">
        <v>1033.27</v>
      </c>
      <c r="J2283">
        <v>5166.3500000000004</v>
      </c>
      <c r="K2283" t="s">
        <v>166</v>
      </c>
      <c r="L2283" t="s">
        <v>28</v>
      </c>
    </row>
    <row r="2284" spans="1:12" x14ac:dyDescent="0.35">
      <c r="A2284" t="s">
        <v>3637</v>
      </c>
      <c r="B2284" t="s">
        <v>1212</v>
      </c>
      <c r="C2284" t="s">
        <v>1213</v>
      </c>
      <c r="D2284" t="s">
        <v>40</v>
      </c>
      <c r="E2284" t="s">
        <v>120</v>
      </c>
      <c r="F2284" t="s">
        <v>42</v>
      </c>
      <c r="G2284" t="s">
        <v>225</v>
      </c>
      <c r="H2284">
        <v>3</v>
      </c>
      <c r="I2284">
        <v>716.35</v>
      </c>
      <c r="J2284">
        <v>2149.0500000000002</v>
      </c>
      <c r="K2284" t="s">
        <v>1544</v>
      </c>
      <c r="L2284" t="s">
        <v>28</v>
      </c>
    </row>
    <row r="2285" spans="1:12" x14ac:dyDescent="0.35">
      <c r="A2285" t="s">
        <v>3638</v>
      </c>
      <c r="B2285" t="s">
        <v>914</v>
      </c>
      <c r="C2285" t="s">
        <v>915</v>
      </c>
      <c r="D2285" t="s">
        <v>40</v>
      </c>
      <c r="E2285" t="s">
        <v>41</v>
      </c>
      <c r="F2285" t="s">
        <v>50</v>
      </c>
      <c r="G2285" t="s">
        <v>216</v>
      </c>
      <c r="H2285">
        <v>2</v>
      </c>
      <c r="I2285">
        <v>492.47</v>
      </c>
      <c r="J2285">
        <v>984.94</v>
      </c>
      <c r="K2285" t="s">
        <v>1098</v>
      </c>
      <c r="L2285" t="s">
        <v>19</v>
      </c>
    </row>
    <row r="2286" spans="1:12" x14ac:dyDescent="0.35">
      <c r="A2286" t="s">
        <v>3639</v>
      </c>
      <c r="B2286" t="s">
        <v>336</v>
      </c>
      <c r="C2286" t="s">
        <v>337</v>
      </c>
      <c r="D2286" t="s">
        <v>32</v>
      </c>
      <c r="E2286" t="s">
        <v>33</v>
      </c>
      <c r="F2286" t="s">
        <v>16</v>
      </c>
      <c r="G2286" t="s">
        <v>148</v>
      </c>
      <c r="H2286">
        <v>5</v>
      </c>
      <c r="I2286">
        <v>1005.97</v>
      </c>
      <c r="J2286">
        <v>5029.8500000000004</v>
      </c>
      <c r="K2286" t="s">
        <v>90</v>
      </c>
      <c r="L2286" t="s">
        <v>19</v>
      </c>
    </row>
    <row r="2287" spans="1:12" x14ac:dyDescent="0.35">
      <c r="A2287" t="s">
        <v>3640</v>
      </c>
      <c r="B2287" t="s">
        <v>594</v>
      </c>
      <c r="C2287" t="s">
        <v>595</v>
      </c>
      <c r="D2287" t="s">
        <v>23</v>
      </c>
      <c r="E2287" t="s">
        <v>49</v>
      </c>
      <c r="F2287" t="s">
        <v>42</v>
      </c>
      <c r="G2287" t="s">
        <v>80</v>
      </c>
      <c r="H2287">
        <v>3</v>
      </c>
      <c r="I2287">
        <v>1223.69</v>
      </c>
      <c r="J2287">
        <v>3671.07</v>
      </c>
      <c r="K2287" t="s">
        <v>2252</v>
      </c>
      <c r="L2287" t="s">
        <v>36</v>
      </c>
    </row>
    <row r="2288" spans="1:12" x14ac:dyDescent="0.35">
      <c r="A2288" t="s">
        <v>3641</v>
      </c>
      <c r="B2288" t="s">
        <v>1260</v>
      </c>
      <c r="C2288" t="s">
        <v>1261</v>
      </c>
      <c r="D2288" t="s">
        <v>32</v>
      </c>
      <c r="E2288" t="s">
        <v>33</v>
      </c>
      <c r="F2288" t="s">
        <v>101</v>
      </c>
      <c r="G2288" t="s">
        <v>373</v>
      </c>
      <c r="H2288">
        <v>5</v>
      </c>
      <c r="I2288">
        <v>370.32</v>
      </c>
      <c r="J2288">
        <v>1851.6</v>
      </c>
      <c r="K2288" t="s">
        <v>701</v>
      </c>
      <c r="L2288" t="s">
        <v>28</v>
      </c>
    </row>
    <row r="2289" spans="1:12" x14ac:dyDescent="0.35">
      <c r="A2289" t="s">
        <v>3642</v>
      </c>
      <c r="B2289" t="s">
        <v>586</v>
      </c>
      <c r="C2289" t="s">
        <v>587</v>
      </c>
      <c r="D2289" t="s">
        <v>23</v>
      </c>
      <c r="E2289" t="s">
        <v>49</v>
      </c>
      <c r="F2289" t="s">
        <v>42</v>
      </c>
      <c r="G2289" t="s">
        <v>225</v>
      </c>
      <c r="H2289">
        <v>5</v>
      </c>
      <c r="I2289">
        <v>1414.63</v>
      </c>
      <c r="J2289">
        <v>7073.15</v>
      </c>
      <c r="K2289" t="s">
        <v>3596</v>
      </c>
      <c r="L2289" t="s">
        <v>28</v>
      </c>
    </row>
    <row r="2290" spans="1:12" x14ac:dyDescent="0.35">
      <c r="A2290" t="s">
        <v>3643</v>
      </c>
      <c r="B2290" t="s">
        <v>325</v>
      </c>
      <c r="C2290" t="s">
        <v>326</v>
      </c>
      <c r="D2290" t="s">
        <v>23</v>
      </c>
      <c r="E2290" t="s">
        <v>24</v>
      </c>
      <c r="F2290" t="s">
        <v>101</v>
      </c>
      <c r="G2290" t="s">
        <v>237</v>
      </c>
      <c r="H2290">
        <v>3</v>
      </c>
      <c r="I2290">
        <v>1468.27</v>
      </c>
      <c r="J2290">
        <v>4404.8100000000004</v>
      </c>
      <c r="K2290" t="s">
        <v>462</v>
      </c>
      <c r="L2290" t="s">
        <v>45</v>
      </c>
    </row>
    <row r="2291" spans="1:12" x14ac:dyDescent="0.35">
      <c r="A2291" t="s">
        <v>3644</v>
      </c>
      <c r="B2291" t="s">
        <v>514</v>
      </c>
      <c r="C2291" t="s">
        <v>515</v>
      </c>
      <c r="D2291" t="s">
        <v>40</v>
      </c>
      <c r="E2291" t="s">
        <v>79</v>
      </c>
      <c r="F2291" t="s">
        <v>25</v>
      </c>
      <c r="G2291" t="s">
        <v>62</v>
      </c>
      <c r="H2291">
        <v>2</v>
      </c>
      <c r="I2291">
        <v>1322.49</v>
      </c>
      <c r="J2291">
        <v>2644.98</v>
      </c>
      <c r="K2291" t="s">
        <v>2755</v>
      </c>
      <c r="L2291" t="s">
        <v>19</v>
      </c>
    </row>
    <row r="2292" spans="1:12" x14ac:dyDescent="0.35">
      <c r="A2292" t="s">
        <v>3645</v>
      </c>
      <c r="B2292" t="s">
        <v>210</v>
      </c>
      <c r="C2292" t="s">
        <v>211</v>
      </c>
      <c r="D2292" t="s">
        <v>14</v>
      </c>
      <c r="E2292" t="s">
        <v>125</v>
      </c>
      <c r="F2292" t="s">
        <v>42</v>
      </c>
      <c r="G2292" t="s">
        <v>89</v>
      </c>
      <c r="H2292">
        <v>2</v>
      </c>
      <c r="I2292">
        <v>38.01</v>
      </c>
      <c r="J2292">
        <v>76.02</v>
      </c>
      <c r="K2292" t="s">
        <v>1083</v>
      </c>
      <c r="L2292" t="s">
        <v>45</v>
      </c>
    </row>
    <row r="2293" spans="1:12" x14ac:dyDescent="0.35">
      <c r="A2293" t="s">
        <v>3646</v>
      </c>
      <c r="B2293" t="s">
        <v>579</v>
      </c>
      <c r="C2293" t="s">
        <v>580</v>
      </c>
      <c r="D2293" t="s">
        <v>40</v>
      </c>
      <c r="E2293" t="s">
        <v>120</v>
      </c>
      <c r="F2293" t="s">
        <v>25</v>
      </c>
      <c r="G2293" t="s">
        <v>34</v>
      </c>
      <c r="H2293">
        <v>4</v>
      </c>
      <c r="I2293">
        <v>23.21</v>
      </c>
      <c r="J2293">
        <v>92.84</v>
      </c>
      <c r="K2293" t="s">
        <v>3647</v>
      </c>
      <c r="L2293" t="s">
        <v>91</v>
      </c>
    </row>
    <row r="2294" spans="1:12" x14ac:dyDescent="0.35">
      <c r="A2294" t="s">
        <v>3648</v>
      </c>
      <c r="B2294" t="s">
        <v>352</v>
      </c>
      <c r="C2294" t="s">
        <v>353</v>
      </c>
      <c r="D2294" t="s">
        <v>14</v>
      </c>
      <c r="E2294" t="s">
        <v>125</v>
      </c>
      <c r="F2294" t="s">
        <v>101</v>
      </c>
      <c r="G2294" t="s">
        <v>165</v>
      </c>
      <c r="H2294">
        <v>4</v>
      </c>
      <c r="I2294">
        <v>489.44</v>
      </c>
      <c r="J2294">
        <v>1957.76</v>
      </c>
      <c r="K2294" t="s">
        <v>1824</v>
      </c>
      <c r="L2294" t="s">
        <v>36</v>
      </c>
    </row>
    <row r="2295" spans="1:12" x14ac:dyDescent="0.35">
      <c r="A2295" t="s">
        <v>3649</v>
      </c>
      <c r="B2295" t="s">
        <v>492</v>
      </c>
      <c r="C2295" t="s">
        <v>493</v>
      </c>
      <c r="D2295" t="s">
        <v>32</v>
      </c>
      <c r="E2295" t="s">
        <v>203</v>
      </c>
      <c r="F2295" t="s">
        <v>101</v>
      </c>
      <c r="G2295" t="s">
        <v>165</v>
      </c>
      <c r="H2295">
        <v>5</v>
      </c>
      <c r="I2295">
        <v>59.45</v>
      </c>
      <c r="J2295">
        <v>297.25</v>
      </c>
      <c r="K2295" t="s">
        <v>2027</v>
      </c>
      <c r="L2295" t="s">
        <v>28</v>
      </c>
    </row>
    <row r="2296" spans="1:12" x14ac:dyDescent="0.35">
      <c r="A2296" t="s">
        <v>3650</v>
      </c>
      <c r="B2296" t="s">
        <v>1018</v>
      </c>
      <c r="C2296" t="s">
        <v>1019</v>
      </c>
      <c r="D2296" t="s">
        <v>23</v>
      </c>
      <c r="E2296" t="s">
        <v>49</v>
      </c>
      <c r="F2296" t="s">
        <v>101</v>
      </c>
      <c r="G2296" t="s">
        <v>165</v>
      </c>
      <c r="H2296">
        <v>5</v>
      </c>
      <c r="I2296">
        <v>548.79999999999995</v>
      </c>
      <c r="J2296">
        <v>2744</v>
      </c>
      <c r="K2296" t="s">
        <v>3524</v>
      </c>
      <c r="L2296" t="s">
        <v>19</v>
      </c>
    </row>
    <row r="2297" spans="1:12" x14ac:dyDescent="0.35">
      <c r="A2297" t="s">
        <v>3651</v>
      </c>
      <c r="B2297" t="s">
        <v>500</v>
      </c>
      <c r="C2297" t="s">
        <v>501</v>
      </c>
      <c r="D2297" t="s">
        <v>67</v>
      </c>
      <c r="E2297" t="s">
        <v>68</v>
      </c>
      <c r="F2297" t="s">
        <v>50</v>
      </c>
      <c r="G2297" t="s">
        <v>51</v>
      </c>
      <c r="H2297">
        <v>5</v>
      </c>
      <c r="I2297">
        <v>833.13</v>
      </c>
      <c r="J2297">
        <v>4165.6499999999996</v>
      </c>
      <c r="K2297" t="s">
        <v>433</v>
      </c>
      <c r="L2297" t="s">
        <v>91</v>
      </c>
    </row>
    <row r="2298" spans="1:12" x14ac:dyDescent="0.35">
      <c r="A2298" t="s">
        <v>3652</v>
      </c>
      <c r="B2298" t="s">
        <v>311</v>
      </c>
      <c r="C2298" t="s">
        <v>312</v>
      </c>
      <c r="D2298" t="s">
        <v>40</v>
      </c>
      <c r="E2298" t="s">
        <v>79</v>
      </c>
      <c r="F2298" t="s">
        <v>50</v>
      </c>
      <c r="G2298" t="s">
        <v>56</v>
      </c>
      <c r="H2298">
        <v>4</v>
      </c>
      <c r="I2298">
        <v>465.59</v>
      </c>
      <c r="J2298">
        <v>1862.36</v>
      </c>
      <c r="K2298" t="s">
        <v>1230</v>
      </c>
      <c r="L2298" t="s">
        <v>19</v>
      </c>
    </row>
    <row r="2299" spans="1:12" x14ac:dyDescent="0.35">
      <c r="A2299" t="s">
        <v>3653</v>
      </c>
      <c r="B2299" t="s">
        <v>936</v>
      </c>
      <c r="C2299" t="s">
        <v>937</v>
      </c>
      <c r="D2299" t="s">
        <v>40</v>
      </c>
      <c r="E2299" t="s">
        <v>120</v>
      </c>
      <c r="F2299" t="s">
        <v>42</v>
      </c>
      <c r="G2299" t="s">
        <v>89</v>
      </c>
      <c r="H2299">
        <v>1</v>
      </c>
      <c r="I2299">
        <v>40.869999999999997</v>
      </c>
      <c r="J2299">
        <v>40.869999999999997</v>
      </c>
      <c r="K2299" t="s">
        <v>2052</v>
      </c>
      <c r="L2299" t="s">
        <v>36</v>
      </c>
    </row>
    <row r="2300" spans="1:12" x14ac:dyDescent="0.35">
      <c r="A2300" t="s">
        <v>3654</v>
      </c>
      <c r="B2300" t="s">
        <v>605</v>
      </c>
      <c r="C2300" t="s">
        <v>606</v>
      </c>
      <c r="D2300" t="s">
        <v>67</v>
      </c>
      <c r="E2300" t="s">
        <v>130</v>
      </c>
      <c r="F2300" t="s">
        <v>42</v>
      </c>
      <c r="G2300" t="s">
        <v>170</v>
      </c>
      <c r="H2300">
        <v>4</v>
      </c>
      <c r="I2300">
        <v>33.18</v>
      </c>
      <c r="J2300">
        <v>132.72</v>
      </c>
      <c r="K2300" t="s">
        <v>920</v>
      </c>
      <c r="L2300" t="s">
        <v>91</v>
      </c>
    </row>
    <row r="2301" spans="1:12" x14ac:dyDescent="0.35">
      <c r="A2301" t="s">
        <v>3655</v>
      </c>
      <c r="B2301" t="s">
        <v>240</v>
      </c>
      <c r="C2301" t="s">
        <v>241</v>
      </c>
      <c r="D2301" t="s">
        <v>40</v>
      </c>
      <c r="E2301" t="s">
        <v>79</v>
      </c>
      <c r="F2301" t="s">
        <v>42</v>
      </c>
      <c r="G2301" t="s">
        <v>170</v>
      </c>
      <c r="H2301">
        <v>1</v>
      </c>
      <c r="I2301">
        <v>435.43</v>
      </c>
      <c r="J2301">
        <v>435.43</v>
      </c>
      <c r="K2301" t="s">
        <v>675</v>
      </c>
      <c r="L2301" t="s">
        <v>28</v>
      </c>
    </row>
    <row r="2302" spans="1:12" x14ac:dyDescent="0.35">
      <c r="A2302" t="s">
        <v>3656</v>
      </c>
      <c r="B2302" t="s">
        <v>481</v>
      </c>
      <c r="C2302" t="s">
        <v>482</v>
      </c>
      <c r="D2302" t="s">
        <v>14</v>
      </c>
      <c r="E2302" t="s">
        <v>15</v>
      </c>
      <c r="F2302" t="s">
        <v>101</v>
      </c>
      <c r="G2302" t="s">
        <v>237</v>
      </c>
      <c r="H2302">
        <v>2</v>
      </c>
      <c r="I2302">
        <v>1192.6600000000001</v>
      </c>
      <c r="J2302">
        <v>2385.3200000000002</v>
      </c>
      <c r="K2302" t="s">
        <v>862</v>
      </c>
      <c r="L2302" t="s">
        <v>36</v>
      </c>
    </row>
    <row r="2303" spans="1:12" x14ac:dyDescent="0.35">
      <c r="A2303" t="s">
        <v>3657</v>
      </c>
      <c r="B2303" t="s">
        <v>699</v>
      </c>
      <c r="C2303" t="s">
        <v>700</v>
      </c>
      <c r="D2303" t="s">
        <v>40</v>
      </c>
      <c r="E2303" t="s">
        <v>120</v>
      </c>
      <c r="F2303" t="s">
        <v>50</v>
      </c>
      <c r="G2303" t="s">
        <v>216</v>
      </c>
      <c r="H2303">
        <v>3</v>
      </c>
      <c r="I2303">
        <v>391.97</v>
      </c>
      <c r="J2303">
        <v>1175.9100000000001</v>
      </c>
      <c r="K2303" t="s">
        <v>888</v>
      </c>
      <c r="L2303" t="s">
        <v>91</v>
      </c>
    </row>
    <row r="2304" spans="1:12" x14ac:dyDescent="0.35">
      <c r="A2304" t="s">
        <v>3658</v>
      </c>
      <c r="B2304" t="s">
        <v>964</v>
      </c>
      <c r="C2304" t="s">
        <v>965</v>
      </c>
      <c r="D2304" t="s">
        <v>32</v>
      </c>
      <c r="E2304" t="s">
        <v>61</v>
      </c>
      <c r="F2304" t="s">
        <v>16</v>
      </c>
      <c r="G2304" t="s">
        <v>148</v>
      </c>
      <c r="H2304">
        <v>4</v>
      </c>
      <c r="I2304">
        <v>679.27</v>
      </c>
      <c r="J2304">
        <v>2717.08</v>
      </c>
      <c r="K2304" t="s">
        <v>431</v>
      </c>
      <c r="L2304" t="s">
        <v>19</v>
      </c>
    </row>
    <row r="2305" spans="1:12" x14ac:dyDescent="0.35">
      <c r="A2305" t="s">
        <v>3659</v>
      </c>
      <c r="B2305" t="s">
        <v>380</v>
      </c>
      <c r="C2305" t="s">
        <v>381</v>
      </c>
      <c r="D2305" t="s">
        <v>14</v>
      </c>
      <c r="E2305" t="s">
        <v>266</v>
      </c>
      <c r="F2305" t="s">
        <v>50</v>
      </c>
      <c r="G2305" t="s">
        <v>216</v>
      </c>
      <c r="H2305">
        <v>4</v>
      </c>
      <c r="I2305">
        <v>477.36</v>
      </c>
      <c r="J2305">
        <v>1909.44</v>
      </c>
      <c r="K2305" t="s">
        <v>416</v>
      </c>
      <c r="L2305" t="s">
        <v>91</v>
      </c>
    </row>
    <row r="2306" spans="1:12" x14ac:dyDescent="0.35">
      <c r="A2306" t="s">
        <v>3660</v>
      </c>
      <c r="B2306" t="s">
        <v>1101</v>
      </c>
      <c r="C2306" t="s">
        <v>1102</v>
      </c>
      <c r="D2306" t="s">
        <v>67</v>
      </c>
      <c r="E2306" t="s">
        <v>130</v>
      </c>
      <c r="F2306" t="s">
        <v>50</v>
      </c>
      <c r="G2306" t="s">
        <v>170</v>
      </c>
      <c r="H2306">
        <v>4</v>
      </c>
      <c r="I2306">
        <v>57.68</v>
      </c>
      <c r="J2306">
        <v>230.72</v>
      </c>
      <c r="K2306" t="s">
        <v>3155</v>
      </c>
      <c r="L2306" t="s">
        <v>36</v>
      </c>
    </row>
    <row r="2307" spans="1:12" x14ac:dyDescent="0.35">
      <c r="A2307" t="s">
        <v>3661</v>
      </c>
      <c r="B2307" t="s">
        <v>201</v>
      </c>
      <c r="C2307" t="s">
        <v>202</v>
      </c>
      <c r="D2307" t="s">
        <v>40</v>
      </c>
      <c r="E2307" t="s">
        <v>79</v>
      </c>
      <c r="F2307" t="s">
        <v>42</v>
      </c>
      <c r="G2307" t="s">
        <v>80</v>
      </c>
      <c r="H2307">
        <v>5</v>
      </c>
      <c r="I2307">
        <v>628.55999999999995</v>
      </c>
      <c r="J2307">
        <v>3142.8</v>
      </c>
      <c r="K2307" t="s">
        <v>1811</v>
      </c>
      <c r="L2307" t="s">
        <v>19</v>
      </c>
    </row>
    <row r="2308" spans="1:12" x14ac:dyDescent="0.35">
      <c r="A2308" t="s">
        <v>3662</v>
      </c>
      <c r="B2308" t="s">
        <v>1464</v>
      </c>
      <c r="C2308" t="s">
        <v>1465</v>
      </c>
      <c r="D2308" t="s">
        <v>40</v>
      </c>
      <c r="E2308" t="s">
        <v>120</v>
      </c>
      <c r="F2308" t="s">
        <v>101</v>
      </c>
      <c r="G2308" t="s">
        <v>102</v>
      </c>
      <c r="H2308">
        <v>1</v>
      </c>
      <c r="I2308">
        <v>171.15</v>
      </c>
      <c r="J2308">
        <v>171.15</v>
      </c>
      <c r="K2308" t="s">
        <v>456</v>
      </c>
      <c r="L2308" t="s">
        <v>45</v>
      </c>
    </row>
    <row r="2309" spans="1:12" x14ac:dyDescent="0.35">
      <c r="A2309" t="s">
        <v>3663</v>
      </c>
      <c r="B2309" t="s">
        <v>1167</v>
      </c>
      <c r="C2309" t="s">
        <v>1168</v>
      </c>
      <c r="D2309" t="s">
        <v>40</v>
      </c>
      <c r="E2309" t="s">
        <v>41</v>
      </c>
      <c r="F2309" t="s">
        <v>16</v>
      </c>
      <c r="G2309" t="s">
        <v>17</v>
      </c>
      <c r="H2309">
        <v>5</v>
      </c>
      <c r="I2309">
        <v>141.54</v>
      </c>
      <c r="J2309">
        <v>707.7</v>
      </c>
      <c r="K2309" t="s">
        <v>1350</v>
      </c>
      <c r="L2309" t="s">
        <v>45</v>
      </c>
    </row>
    <row r="2310" spans="1:12" x14ac:dyDescent="0.35">
      <c r="A2310" t="s">
        <v>3664</v>
      </c>
      <c r="B2310" t="s">
        <v>574</v>
      </c>
      <c r="C2310" t="s">
        <v>575</v>
      </c>
      <c r="D2310" t="s">
        <v>23</v>
      </c>
      <c r="E2310" t="s">
        <v>24</v>
      </c>
      <c r="F2310" t="s">
        <v>101</v>
      </c>
      <c r="G2310" t="s">
        <v>165</v>
      </c>
      <c r="H2310">
        <v>1</v>
      </c>
      <c r="I2310">
        <v>1281.76</v>
      </c>
      <c r="J2310">
        <v>1281.76</v>
      </c>
      <c r="K2310" t="s">
        <v>153</v>
      </c>
      <c r="L2310" t="s">
        <v>45</v>
      </c>
    </row>
    <row r="2311" spans="1:12" x14ac:dyDescent="0.35">
      <c r="A2311" t="s">
        <v>3665</v>
      </c>
      <c r="B2311" t="s">
        <v>426</v>
      </c>
      <c r="C2311" t="s">
        <v>427</v>
      </c>
      <c r="D2311" t="s">
        <v>40</v>
      </c>
      <c r="E2311" t="s">
        <v>79</v>
      </c>
      <c r="F2311" t="s">
        <v>50</v>
      </c>
      <c r="G2311" t="s">
        <v>51</v>
      </c>
      <c r="H2311">
        <v>4</v>
      </c>
      <c r="I2311">
        <v>1338.5</v>
      </c>
      <c r="J2311">
        <v>5354</v>
      </c>
      <c r="K2311" t="s">
        <v>516</v>
      </c>
      <c r="L2311" t="s">
        <v>19</v>
      </c>
    </row>
    <row r="2312" spans="1:12" x14ac:dyDescent="0.35">
      <c r="A2312" t="s">
        <v>3666</v>
      </c>
      <c r="B2312" t="s">
        <v>151</v>
      </c>
      <c r="C2312" t="s">
        <v>152</v>
      </c>
      <c r="D2312" t="s">
        <v>40</v>
      </c>
      <c r="E2312" t="s">
        <v>79</v>
      </c>
      <c r="F2312" t="s">
        <v>42</v>
      </c>
      <c r="G2312" t="s">
        <v>89</v>
      </c>
      <c r="H2312">
        <v>3</v>
      </c>
      <c r="I2312">
        <v>1360.66</v>
      </c>
      <c r="J2312">
        <v>4081.98</v>
      </c>
      <c r="K2312" t="s">
        <v>2098</v>
      </c>
      <c r="L2312" t="s">
        <v>28</v>
      </c>
    </row>
    <row r="2313" spans="1:12" x14ac:dyDescent="0.35">
      <c r="A2313" t="s">
        <v>3667</v>
      </c>
      <c r="B2313" t="s">
        <v>738</v>
      </c>
      <c r="C2313" t="s">
        <v>739</v>
      </c>
      <c r="D2313" t="s">
        <v>67</v>
      </c>
      <c r="E2313" t="s">
        <v>130</v>
      </c>
      <c r="F2313" t="s">
        <v>50</v>
      </c>
      <c r="G2313" t="s">
        <v>51</v>
      </c>
      <c r="H2313">
        <v>5</v>
      </c>
      <c r="I2313">
        <v>245.66</v>
      </c>
      <c r="J2313">
        <v>1228.3</v>
      </c>
      <c r="K2313" t="s">
        <v>441</v>
      </c>
      <c r="L2313" t="s">
        <v>36</v>
      </c>
    </row>
    <row r="2314" spans="1:12" x14ac:dyDescent="0.35">
      <c r="A2314" t="s">
        <v>3668</v>
      </c>
      <c r="B2314" t="s">
        <v>1131</v>
      </c>
      <c r="C2314" t="s">
        <v>1132</v>
      </c>
      <c r="D2314" t="s">
        <v>23</v>
      </c>
      <c r="E2314" t="s">
        <v>24</v>
      </c>
      <c r="F2314" t="s">
        <v>101</v>
      </c>
      <c r="G2314" t="s">
        <v>237</v>
      </c>
      <c r="H2314">
        <v>2</v>
      </c>
      <c r="I2314">
        <v>137.11000000000001</v>
      </c>
      <c r="J2314">
        <v>274.22000000000003</v>
      </c>
      <c r="K2314" t="s">
        <v>564</v>
      </c>
      <c r="L2314" t="s">
        <v>28</v>
      </c>
    </row>
    <row r="2315" spans="1:12" x14ac:dyDescent="0.35">
      <c r="A2315" t="s">
        <v>3669</v>
      </c>
      <c r="B2315" t="s">
        <v>359</v>
      </c>
      <c r="C2315" t="s">
        <v>360</v>
      </c>
      <c r="D2315" t="s">
        <v>14</v>
      </c>
      <c r="E2315" t="s">
        <v>125</v>
      </c>
      <c r="F2315" t="s">
        <v>16</v>
      </c>
      <c r="G2315" t="s">
        <v>182</v>
      </c>
      <c r="H2315">
        <v>4</v>
      </c>
      <c r="I2315">
        <v>914.32</v>
      </c>
      <c r="J2315">
        <v>3657.28</v>
      </c>
      <c r="K2315" t="s">
        <v>1860</v>
      </c>
      <c r="L2315" t="s">
        <v>36</v>
      </c>
    </row>
    <row r="2316" spans="1:12" x14ac:dyDescent="0.35">
      <c r="A2316" t="s">
        <v>3670</v>
      </c>
      <c r="B2316" t="s">
        <v>59</v>
      </c>
      <c r="C2316" t="s">
        <v>60</v>
      </c>
      <c r="D2316" t="s">
        <v>32</v>
      </c>
      <c r="E2316" t="s">
        <v>33</v>
      </c>
      <c r="F2316" t="s">
        <v>25</v>
      </c>
      <c r="G2316" t="s">
        <v>62</v>
      </c>
      <c r="H2316">
        <v>4</v>
      </c>
      <c r="I2316">
        <v>1095.0999999999999</v>
      </c>
      <c r="J2316">
        <v>4380.3999999999996</v>
      </c>
      <c r="K2316" t="s">
        <v>954</v>
      </c>
      <c r="L2316" t="s">
        <v>19</v>
      </c>
    </row>
    <row r="2317" spans="1:12" x14ac:dyDescent="0.35">
      <c r="A2317" t="s">
        <v>3671</v>
      </c>
      <c r="B2317" t="s">
        <v>355</v>
      </c>
      <c r="C2317" t="s">
        <v>356</v>
      </c>
      <c r="D2317" t="s">
        <v>14</v>
      </c>
      <c r="E2317" t="s">
        <v>266</v>
      </c>
      <c r="F2317" t="s">
        <v>42</v>
      </c>
      <c r="G2317" t="s">
        <v>43</v>
      </c>
      <c r="H2317">
        <v>3</v>
      </c>
      <c r="I2317">
        <v>867.55</v>
      </c>
      <c r="J2317">
        <v>2602.65</v>
      </c>
      <c r="K2317" t="s">
        <v>2930</v>
      </c>
      <c r="L2317" t="s">
        <v>19</v>
      </c>
    </row>
    <row r="2318" spans="1:12" x14ac:dyDescent="0.35">
      <c r="A2318" t="s">
        <v>3672</v>
      </c>
      <c r="B2318" t="s">
        <v>727</v>
      </c>
      <c r="C2318" t="s">
        <v>728</v>
      </c>
      <c r="D2318" t="s">
        <v>67</v>
      </c>
      <c r="E2318" t="s">
        <v>68</v>
      </c>
      <c r="F2318" t="s">
        <v>50</v>
      </c>
      <c r="G2318" t="s">
        <v>51</v>
      </c>
      <c r="H2318">
        <v>2</v>
      </c>
      <c r="I2318">
        <v>1408.53</v>
      </c>
      <c r="J2318">
        <v>2817.06</v>
      </c>
      <c r="K2318" t="s">
        <v>1022</v>
      </c>
      <c r="L2318" t="s">
        <v>28</v>
      </c>
    </row>
    <row r="2319" spans="1:12" x14ac:dyDescent="0.35">
      <c r="A2319" t="s">
        <v>3673</v>
      </c>
      <c r="B2319" t="s">
        <v>1226</v>
      </c>
      <c r="C2319" t="s">
        <v>1227</v>
      </c>
      <c r="D2319" t="s">
        <v>14</v>
      </c>
      <c r="E2319" t="s">
        <v>15</v>
      </c>
      <c r="F2319" t="s">
        <v>16</v>
      </c>
      <c r="G2319" t="s">
        <v>182</v>
      </c>
      <c r="H2319">
        <v>4</v>
      </c>
      <c r="I2319">
        <v>1299.25</v>
      </c>
      <c r="J2319">
        <v>5197</v>
      </c>
      <c r="K2319" t="s">
        <v>3674</v>
      </c>
      <c r="L2319" t="s">
        <v>19</v>
      </c>
    </row>
    <row r="2320" spans="1:12" x14ac:dyDescent="0.35">
      <c r="A2320" t="s">
        <v>3675</v>
      </c>
      <c r="B2320" t="s">
        <v>1196</v>
      </c>
      <c r="C2320" t="s">
        <v>1197</v>
      </c>
      <c r="D2320" t="s">
        <v>32</v>
      </c>
      <c r="E2320" t="s">
        <v>33</v>
      </c>
      <c r="F2320" t="s">
        <v>42</v>
      </c>
      <c r="G2320" t="s">
        <v>80</v>
      </c>
      <c r="H2320">
        <v>5</v>
      </c>
      <c r="I2320">
        <v>145.79</v>
      </c>
      <c r="J2320">
        <v>728.95</v>
      </c>
      <c r="K2320" t="s">
        <v>1900</v>
      </c>
      <c r="L2320" t="s">
        <v>19</v>
      </c>
    </row>
    <row r="2321" spans="1:12" x14ac:dyDescent="0.35">
      <c r="A2321" t="s">
        <v>3676</v>
      </c>
      <c r="B2321" t="s">
        <v>936</v>
      </c>
      <c r="C2321" t="s">
        <v>937</v>
      </c>
      <c r="D2321" t="s">
        <v>67</v>
      </c>
      <c r="E2321" t="s">
        <v>115</v>
      </c>
      <c r="F2321" t="s">
        <v>42</v>
      </c>
      <c r="G2321" t="s">
        <v>89</v>
      </c>
      <c r="H2321">
        <v>4</v>
      </c>
      <c r="I2321">
        <v>297.01</v>
      </c>
      <c r="J2321">
        <v>1188.04</v>
      </c>
      <c r="K2321" t="s">
        <v>1199</v>
      </c>
      <c r="L2321" t="s">
        <v>45</v>
      </c>
    </row>
    <row r="2322" spans="1:12" x14ac:dyDescent="0.35">
      <c r="A2322" t="s">
        <v>3677</v>
      </c>
      <c r="B2322" t="s">
        <v>142</v>
      </c>
      <c r="C2322" t="s">
        <v>143</v>
      </c>
      <c r="D2322" t="s">
        <v>23</v>
      </c>
      <c r="E2322" t="s">
        <v>49</v>
      </c>
      <c r="F2322" t="s">
        <v>25</v>
      </c>
      <c r="G2322" t="s">
        <v>74</v>
      </c>
      <c r="H2322">
        <v>2</v>
      </c>
      <c r="I2322">
        <v>635.5</v>
      </c>
      <c r="J2322">
        <v>1271</v>
      </c>
      <c r="K2322" t="s">
        <v>2377</v>
      </c>
      <c r="L2322" t="s">
        <v>91</v>
      </c>
    </row>
    <row r="2323" spans="1:12" x14ac:dyDescent="0.35">
      <c r="A2323" t="s">
        <v>3678</v>
      </c>
      <c r="B2323" t="s">
        <v>521</v>
      </c>
      <c r="C2323" t="s">
        <v>522</v>
      </c>
      <c r="D2323" t="s">
        <v>23</v>
      </c>
      <c r="E2323" t="s">
        <v>338</v>
      </c>
      <c r="F2323" t="s">
        <v>25</v>
      </c>
      <c r="G2323" t="s">
        <v>62</v>
      </c>
      <c r="H2323">
        <v>3</v>
      </c>
      <c r="I2323">
        <v>667.57</v>
      </c>
      <c r="J2323">
        <v>2002.71</v>
      </c>
      <c r="K2323" t="s">
        <v>2248</v>
      </c>
      <c r="L2323" t="s">
        <v>45</v>
      </c>
    </row>
    <row r="2324" spans="1:12" x14ac:dyDescent="0.35">
      <c r="A2324" t="s">
        <v>3679</v>
      </c>
      <c r="B2324" t="s">
        <v>303</v>
      </c>
      <c r="C2324" t="s">
        <v>304</v>
      </c>
      <c r="D2324" t="s">
        <v>23</v>
      </c>
      <c r="E2324" t="s">
        <v>49</v>
      </c>
      <c r="F2324" t="s">
        <v>25</v>
      </c>
      <c r="G2324" t="s">
        <v>74</v>
      </c>
      <c r="H2324">
        <v>5</v>
      </c>
      <c r="I2324">
        <v>169.1</v>
      </c>
      <c r="J2324">
        <v>845.5</v>
      </c>
      <c r="K2324" t="s">
        <v>2227</v>
      </c>
      <c r="L2324" t="s">
        <v>45</v>
      </c>
    </row>
    <row r="2325" spans="1:12" x14ac:dyDescent="0.35">
      <c r="A2325" t="s">
        <v>3680</v>
      </c>
      <c r="B2325" t="s">
        <v>779</v>
      </c>
      <c r="C2325" t="s">
        <v>780</v>
      </c>
      <c r="D2325" t="s">
        <v>14</v>
      </c>
      <c r="E2325" t="s">
        <v>125</v>
      </c>
      <c r="F2325" t="s">
        <v>42</v>
      </c>
      <c r="G2325" t="s">
        <v>225</v>
      </c>
      <c r="H2325">
        <v>4</v>
      </c>
      <c r="I2325">
        <v>1388.47</v>
      </c>
      <c r="J2325">
        <v>5553.88</v>
      </c>
      <c r="K2325" t="s">
        <v>1575</v>
      </c>
      <c r="L2325" t="s">
        <v>19</v>
      </c>
    </row>
    <row r="2326" spans="1:12" x14ac:dyDescent="0.35">
      <c r="A2326" t="s">
        <v>3681</v>
      </c>
      <c r="B2326" t="s">
        <v>904</v>
      </c>
      <c r="C2326" t="s">
        <v>905</v>
      </c>
      <c r="D2326" t="s">
        <v>14</v>
      </c>
      <c r="E2326" t="s">
        <v>266</v>
      </c>
      <c r="F2326" t="s">
        <v>16</v>
      </c>
      <c r="G2326" t="s">
        <v>230</v>
      </c>
      <c r="H2326">
        <v>4</v>
      </c>
      <c r="I2326">
        <v>414.44</v>
      </c>
      <c r="J2326">
        <v>1657.76</v>
      </c>
      <c r="K2326" t="s">
        <v>1564</v>
      </c>
      <c r="L2326" t="s">
        <v>36</v>
      </c>
    </row>
    <row r="2327" spans="1:12" x14ac:dyDescent="0.35">
      <c r="A2327" t="s">
        <v>3682</v>
      </c>
      <c r="B2327" t="s">
        <v>163</v>
      </c>
      <c r="C2327" t="s">
        <v>164</v>
      </c>
      <c r="D2327" t="s">
        <v>14</v>
      </c>
      <c r="E2327" t="s">
        <v>100</v>
      </c>
      <c r="F2327" t="s">
        <v>50</v>
      </c>
      <c r="G2327" t="s">
        <v>51</v>
      </c>
      <c r="H2327">
        <v>4</v>
      </c>
      <c r="I2327">
        <v>1217.46</v>
      </c>
      <c r="J2327">
        <v>4869.84</v>
      </c>
      <c r="K2327" t="s">
        <v>1770</v>
      </c>
      <c r="L2327" t="s">
        <v>45</v>
      </c>
    </row>
    <row r="2328" spans="1:12" x14ac:dyDescent="0.35">
      <c r="A2328" t="s">
        <v>3683</v>
      </c>
      <c r="B2328" t="s">
        <v>118</v>
      </c>
      <c r="C2328" t="s">
        <v>119</v>
      </c>
      <c r="D2328" t="s">
        <v>23</v>
      </c>
      <c r="E2328" t="s">
        <v>338</v>
      </c>
      <c r="F2328" t="s">
        <v>16</v>
      </c>
      <c r="G2328" t="s">
        <v>230</v>
      </c>
      <c r="H2328">
        <v>5</v>
      </c>
      <c r="I2328">
        <v>627.34</v>
      </c>
      <c r="J2328">
        <v>3136.7</v>
      </c>
      <c r="K2328" t="s">
        <v>2260</v>
      </c>
      <c r="L2328" t="s">
        <v>19</v>
      </c>
    </row>
    <row r="2329" spans="1:12" x14ac:dyDescent="0.35">
      <c r="A2329" t="s">
        <v>3684</v>
      </c>
      <c r="B2329" t="s">
        <v>137</v>
      </c>
      <c r="C2329" t="s">
        <v>138</v>
      </c>
      <c r="D2329" t="s">
        <v>14</v>
      </c>
      <c r="E2329" t="s">
        <v>15</v>
      </c>
      <c r="F2329" t="s">
        <v>25</v>
      </c>
      <c r="G2329" t="s">
        <v>139</v>
      </c>
      <c r="H2329">
        <v>1</v>
      </c>
      <c r="I2329">
        <v>803.96</v>
      </c>
      <c r="J2329">
        <v>803.96</v>
      </c>
      <c r="K2329" t="s">
        <v>490</v>
      </c>
      <c r="L2329" t="s">
        <v>45</v>
      </c>
    </row>
    <row r="2330" spans="1:12" x14ac:dyDescent="0.35">
      <c r="A2330" t="s">
        <v>3685</v>
      </c>
      <c r="B2330" t="s">
        <v>820</v>
      </c>
      <c r="C2330" t="s">
        <v>821</v>
      </c>
      <c r="D2330" t="s">
        <v>23</v>
      </c>
      <c r="E2330" t="s">
        <v>338</v>
      </c>
      <c r="F2330" t="s">
        <v>101</v>
      </c>
      <c r="G2330" t="s">
        <v>649</v>
      </c>
      <c r="H2330">
        <v>5</v>
      </c>
      <c r="I2330">
        <v>721.61</v>
      </c>
      <c r="J2330">
        <v>3608.05</v>
      </c>
      <c r="K2330" t="s">
        <v>1062</v>
      </c>
      <c r="L2330" t="s">
        <v>19</v>
      </c>
    </row>
    <row r="2331" spans="1:12" x14ac:dyDescent="0.35">
      <c r="A2331" t="s">
        <v>3686</v>
      </c>
      <c r="B2331" t="s">
        <v>348</v>
      </c>
      <c r="C2331" t="s">
        <v>349</v>
      </c>
      <c r="D2331" t="s">
        <v>32</v>
      </c>
      <c r="E2331" t="s">
        <v>33</v>
      </c>
      <c r="F2331" t="s">
        <v>16</v>
      </c>
      <c r="G2331" t="s">
        <v>177</v>
      </c>
      <c r="H2331">
        <v>4</v>
      </c>
      <c r="I2331">
        <v>279.22000000000003</v>
      </c>
      <c r="J2331">
        <v>1116.8800000000001</v>
      </c>
      <c r="K2331" t="s">
        <v>942</v>
      </c>
      <c r="L2331" t="s">
        <v>45</v>
      </c>
    </row>
    <row r="2332" spans="1:12" x14ac:dyDescent="0.35">
      <c r="A2332" t="s">
        <v>3687</v>
      </c>
      <c r="B2332" t="s">
        <v>269</v>
      </c>
      <c r="C2332" t="s">
        <v>270</v>
      </c>
      <c r="D2332" t="s">
        <v>67</v>
      </c>
      <c r="E2332" t="s">
        <v>115</v>
      </c>
      <c r="F2332" t="s">
        <v>25</v>
      </c>
      <c r="G2332" t="s">
        <v>139</v>
      </c>
      <c r="H2332">
        <v>4</v>
      </c>
      <c r="I2332">
        <v>1158.48</v>
      </c>
      <c r="J2332">
        <v>4633.92</v>
      </c>
      <c r="K2332" t="s">
        <v>2568</v>
      </c>
      <c r="L2332" t="s">
        <v>91</v>
      </c>
    </row>
    <row r="2333" spans="1:12" x14ac:dyDescent="0.35">
      <c r="A2333" t="s">
        <v>3688</v>
      </c>
      <c r="B2333" t="s">
        <v>146</v>
      </c>
      <c r="C2333" t="s">
        <v>147</v>
      </c>
      <c r="D2333" t="s">
        <v>23</v>
      </c>
      <c r="E2333" t="s">
        <v>338</v>
      </c>
      <c r="F2333" t="s">
        <v>42</v>
      </c>
      <c r="G2333" t="s">
        <v>89</v>
      </c>
      <c r="H2333">
        <v>5</v>
      </c>
      <c r="I2333">
        <v>884.64</v>
      </c>
      <c r="J2333">
        <v>4423.2</v>
      </c>
      <c r="K2333" t="s">
        <v>1558</v>
      </c>
      <c r="L2333" t="s">
        <v>45</v>
      </c>
    </row>
    <row r="2334" spans="1:12" x14ac:dyDescent="0.35">
      <c r="A2334" t="s">
        <v>3689</v>
      </c>
      <c r="B2334" t="s">
        <v>1137</v>
      </c>
      <c r="C2334" t="s">
        <v>1138</v>
      </c>
      <c r="D2334" t="s">
        <v>14</v>
      </c>
      <c r="E2334" t="s">
        <v>100</v>
      </c>
      <c r="F2334" t="s">
        <v>16</v>
      </c>
      <c r="G2334" t="s">
        <v>182</v>
      </c>
      <c r="H2334">
        <v>3</v>
      </c>
      <c r="I2334">
        <v>721.16</v>
      </c>
      <c r="J2334">
        <v>2163.48</v>
      </c>
      <c r="K2334" t="s">
        <v>2994</v>
      </c>
      <c r="L2334" t="s">
        <v>19</v>
      </c>
    </row>
    <row r="2335" spans="1:12" x14ac:dyDescent="0.35">
      <c r="A2335" t="s">
        <v>3690</v>
      </c>
      <c r="B2335" t="s">
        <v>901</v>
      </c>
      <c r="C2335" t="s">
        <v>902</v>
      </c>
      <c r="D2335" t="s">
        <v>14</v>
      </c>
      <c r="E2335" t="s">
        <v>266</v>
      </c>
      <c r="F2335" t="s">
        <v>16</v>
      </c>
      <c r="G2335" t="s">
        <v>177</v>
      </c>
      <c r="H2335">
        <v>2</v>
      </c>
      <c r="I2335">
        <v>838.88</v>
      </c>
      <c r="J2335">
        <v>1677.76</v>
      </c>
      <c r="K2335" t="s">
        <v>2248</v>
      </c>
      <c r="L2335" t="s">
        <v>28</v>
      </c>
    </row>
    <row r="2336" spans="1:12" x14ac:dyDescent="0.35">
      <c r="A2336" t="s">
        <v>3691</v>
      </c>
      <c r="B2336" t="s">
        <v>168</v>
      </c>
      <c r="C2336" t="s">
        <v>169</v>
      </c>
      <c r="D2336" t="s">
        <v>32</v>
      </c>
      <c r="E2336" t="s">
        <v>33</v>
      </c>
      <c r="F2336" t="s">
        <v>101</v>
      </c>
      <c r="G2336" t="s">
        <v>373</v>
      </c>
      <c r="H2336">
        <v>3</v>
      </c>
      <c r="I2336">
        <v>958.32</v>
      </c>
      <c r="J2336">
        <v>2874.96</v>
      </c>
      <c r="K2336" t="s">
        <v>1391</v>
      </c>
      <c r="L2336" t="s">
        <v>91</v>
      </c>
    </row>
    <row r="2337" spans="1:12" x14ac:dyDescent="0.35">
      <c r="A2337" t="s">
        <v>3692</v>
      </c>
      <c r="B2337" t="s">
        <v>1496</v>
      </c>
      <c r="C2337" t="s">
        <v>1497</v>
      </c>
      <c r="D2337" t="s">
        <v>14</v>
      </c>
      <c r="E2337" t="s">
        <v>95</v>
      </c>
      <c r="F2337" t="s">
        <v>16</v>
      </c>
      <c r="G2337" t="s">
        <v>148</v>
      </c>
      <c r="H2337">
        <v>4</v>
      </c>
      <c r="I2337">
        <v>1198.71</v>
      </c>
      <c r="J2337">
        <v>4794.84</v>
      </c>
      <c r="K2337" t="s">
        <v>1754</v>
      </c>
      <c r="L2337" t="s">
        <v>19</v>
      </c>
    </row>
    <row r="2338" spans="1:12" x14ac:dyDescent="0.35">
      <c r="A2338" t="s">
        <v>3693</v>
      </c>
      <c r="B2338" t="s">
        <v>2157</v>
      </c>
      <c r="C2338" t="s">
        <v>2158</v>
      </c>
      <c r="D2338" t="s">
        <v>67</v>
      </c>
      <c r="E2338" t="s">
        <v>115</v>
      </c>
      <c r="F2338" t="s">
        <v>25</v>
      </c>
      <c r="G2338" t="s">
        <v>26</v>
      </c>
      <c r="H2338">
        <v>5</v>
      </c>
      <c r="I2338">
        <v>560.21</v>
      </c>
      <c r="J2338">
        <v>2801.05</v>
      </c>
      <c r="K2338" t="s">
        <v>799</v>
      </c>
      <c r="L2338" t="s">
        <v>45</v>
      </c>
    </row>
    <row r="2339" spans="1:12" x14ac:dyDescent="0.35">
      <c r="A2339" t="s">
        <v>3694</v>
      </c>
      <c r="B2339" t="s">
        <v>1369</v>
      </c>
      <c r="C2339" t="s">
        <v>1370</v>
      </c>
      <c r="D2339" t="s">
        <v>23</v>
      </c>
      <c r="E2339" t="s">
        <v>24</v>
      </c>
      <c r="F2339" t="s">
        <v>16</v>
      </c>
      <c r="G2339" t="s">
        <v>230</v>
      </c>
      <c r="H2339">
        <v>1</v>
      </c>
      <c r="I2339">
        <v>910.02</v>
      </c>
      <c r="J2339">
        <v>910.02</v>
      </c>
      <c r="K2339" t="s">
        <v>3064</v>
      </c>
      <c r="L2339" t="s">
        <v>19</v>
      </c>
    </row>
    <row r="2340" spans="1:12" x14ac:dyDescent="0.35">
      <c r="A2340" t="s">
        <v>3695</v>
      </c>
      <c r="B2340" t="s">
        <v>658</v>
      </c>
      <c r="C2340" t="s">
        <v>659</v>
      </c>
      <c r="D2340" t="s">
        <v>23</v>
      </c>
      <c r="E2340" t="s">
        <v>24</v>
      </c>
      <c r="F2340" t="s">
        <v>50</v>
      </c>
      <c r="G2340" t="s">
        <v>170</v>
      </c>
      <c r="H2340">
        <v>1</v>
      </c>
      <c r="I2340">
        <v>1029.55</v>
      </c>
      <c r="J2340">
        <v>1029.55</v>
      </c>
      <c r="K2340" t="s">
        <v>995</v>
      </c>
      <c r="L2340" t="s">
        <v>36</v>
      </c>
    </row>
    <row r="2341" spans="1:12" x14ac:dyDescent="0.35">
      <c r="A2341" t="s">
        <v>3696</v>
      </c>
      <c r="B2341" t="s">
        <v>1532</v>
      </c>
      <c r="C2341" t="s">
        <v>1533</v>
      </c>
      <c r="D2341" t="s">
        <v>14</v>
      </c>
      <c r="E2341" t="s">
        <v>266</v>
      </c>
      <c r="F2341" t="s">
        <v>25</v>
      </c>
      <c r="G2341" t="s">
        <v>34</v>
      </c>
      <c r="H2341">
        <v>1</v>
      </c>
      <c r="I2341">
        <v>1430.63</v>
      </c>
      <c r="J2341">
        <v>1430.63</v>
      </c>
      <c r="K2341" t="s">
        <v>3697</v>
      </c>
      <c r="L2341" t="s">
        <v>45</v>
      </c>
    </row>
    <row r="2342" spans="1:12" x14ac:dyDescent="0.35">
      <c r="A2342" t="s">
        <v>3698</v>
      </c>
      <c r="B2342" t="s">
        <v>652</v>
      </c>
      <c r="C2342" t="s">
        <v>653</v>
      </c>
      <c r="D2342" t="s">
        <v>40</v>
      </c>
      <c r="E2342" t="s">
        <v>120</v>
      </c>
      <c r="F2342" t="s">
        <v>16</v>
      </c>
      <c r="G2342" t="s">
        <v>177</v>
      </c>
      <c r="H2342">
        <v>5</v>
      </c>
      <c r="I2342">
        <v>1012.23</v>
      </c>
      <c r="J2342">
        <v>5061.1499999999996</v>
      </c>
      <c r="K2342" t="s">
        <v>1413</v>
      </c>
      <c r="L2342" t="s">
        <v>36</v>
      </c>
    </row>
    <row r="2343" spans="1:12" x14ac:dyDescent="0.35">
      <c r="A2343" t="s">
        <v>3699</v>
      </c>
      <c r="B2343" t="s">
        <v>763</v>
      </c>
      <c r="C2343" t="s">
        <v>764</v>
      </c>
      <c r="D2343" t="s">
        <v>32</v>
      </c>
      <c r="E2343" t="s">
        <v>203</v>
      </c>
      <c r="F2343" t="s">
        <v>101</v>
      </c>
      <c r="G2343" t="s">
        <v>165</v>
      </c>
      <c r="H2343">
        <v>2</v>
      </c>
      <c r="I2343">
        <v>443.96</v>
      </c>
      <c r="J2343">
        <v>887.92</v>
      </c>
      <c r="K2343" t="s">
        <v>479</v>
      </c>
      <c r="L2343" t="s">
        <v>19</v>
      </c>
    </row>
    <row r="2344" spans="1:12" x14ac:dyDescent="0.35">
      <c r="A2344" t="s">
        <v>3700</v>
      </c>
      <c r="B2344" t="s">
        <v>506</v>
      </c>
      <c r="C2344" t="s">
        <v>507</v>
      </c>
      <c r="D2344" t="s">
        <v>23</v>
      </c>
      <c r="E2344" t="s">
        <v>24</v>
      </c>
      <c r="F2344" t="s">
        <v>50</v>
      </c>
      <c r="G2344" t="s">
        <v>170</v>
      </c>
      <c r="H2344">
        <v>1</v>
      </c>
      <c r="I2344">
        <v>601.42999999999995</v>
      </c>
      <c r="J2344">
        <v>601.42999999999995</v>
      </c>
      <c r="K2344" t="s">
        <v>1098</v>
      </c>
      <c r="L2344" t="s">
        <v>19</v>
      </c>
    </row>
    <row r="2345" spans="1:12" x14ac:dyDescent="0.35">
      <c r="A2345" t="s">
        <v>3701</v>
      </c>
      <c r="B2345" t="s">
        <v>406</v>
      </c>
      <c r="C2345" t="s">
        <v>407</v>
      </c>
      <c r="D2345" t="s">
        <v>14</v>
      </c>
      <c r="E2345" t="s">
        <v>266</v>
      </c>
      <c r="F2345" t="s">
        <v>42</v>
      </c>
      <c r="G2345" t="s">
        <v>89</v>
      </c>
      <c r="H2345">
        <v>3</v>
      </c>
      <c r="I2345">
        <v>207.72</v>
      </c>
      <c r="J2345">
        <v>623.16</v>
      </c>
      <c r="K2345" t="s">
        <v>884</v>
      </c>
      <c r="L2345" t="s">
        <v>91</v>
      </c>
    </row>
    <row r="2346" spans="1:12" x14ac:dyDescent="0.35">
      <c r="A2346" t="s">
        <v>3702</v>
      </c>
      <c r="B2346" t="s">
        <v>446</v>
      </c>
      <c r="C2346" t="s">
        <v>447</v>
      </c>
      <c r="D2346" t="s">
        <v>67</v>
      </c>
      <c r="E2346" t="s">
        <v>68</v>
      </c>
      <c r="F2346" t="s">
        <v>42</v>
      </c>
      <c r="G2346" t="s">
        <v>80</v>
      </c>
      <c r="H2346">
        <v>3</v>
      </c>
      <c r="I2346">
        <v>824.82</v>
      </c>
      <c r="J2346">
        <v>2474.46</v>
      </c>
      <c r="K2346" t="s">
        <v>1081</v>
      </c>
      <c r="L2346" t="s">
        <v>91</v>
      </c>
    </row>
    <row r="2347" spans="1:12" x14ac:dyDescent="0.35">
      <c r="A2347" t="s">
        <v>3703</v>
      </c>
      <c r="B2347" t="s">
        <v>2348</v>
      </c>
      <c r="C2347" t="s">
        <v>2349</v>
      </c>
      <c r="D2347" t="s">
        <v>67</v>
      </c>
      <c r="E2347" t="s">
        <v>68</v>
      </c>
      <c r="F2347" t="s">
        <v>25</v>
      </c>
      <c r="G2347" t="s">
        <v>139</v>
      </c>
      <c r="H2347">
        <v>1</v>
      </c>
      <c r="I2347">
        <v>6.2</v>
      </c>
      <c r="J2347">
        <v>6.2</v>
      </c>
      <c r="K2347" t="s">
        <v>2100</v>
      </c>
      <c r="L2347" t="s">
        <v>36</v>
      </c>
    </row>
    <row r="2348" spans="1:12" x14ac:dyDescent="0.35">
      <c r="A2348" t="s">
        <v>3704</v>
      </c>
      <c r="B2348" t="s">
        <v>1875</v>
      </c>
      <c r="C2348" t="s">
        <v>1876</v>
      </c>
      <c r="D2348" t="s">
        <v>32</v>
      </c>
      <c r="E2348" t="s">
        <v>33</v>
      </c>
      <c r="F2348" t="s">
        <v>50</v>
      </c>
      <c r="G2348" t="s">
        <v>51</v>
      </c>
      <c r="H2348">
        <v>4</v>
      </c>
      <c r="I2348">
        <v>186.16</v>
      </c>
      <c r="J2348">
        <v>744.64</v>
      </c>
      <c r="K2348" t="s">
        <v>1319</v>
      </c>
      <c r="L2348" t="s">
        <v>45</v>
      </c>
    </row>
    <row r="2349" spans="1:12" x14ac:dyDescent="0.35">
      <c r="A2349" t="s">
        <v>3705</v>
      </c>
      <c r="B2349" t="s">
        <v>2399</v>
      </c>
      <c r="C2349" t="s">
        <v>2400</v>
      </c>
      <c r="D2349" t="s">
        <v>40</v>
      </c>
      <c r="E2349" t="s">
        <v>120</v>
      </c>
      <c r="F2349" t="s">
        <v>16</v>
      </c>
      <c r="G2349" t="s">
        <v>182</v>
      </c>
      <c r="H2349">
        <v>3</v>
      </c>
      <c r="I2349">
        <v>11.01</v>
      </c>
      <c r="J2349">
        <v>33.03</v>
      </c>
      <c r="K2349" t="s">
        <v>1984</v>
      </c>
      <c r="L2349" t="s">
        <v>45</v>
      </c>
    </row>
    <row r="2350" spans="1:12" x14ac:dyDescent="0.35">
      <c r="A2350" t="s">
        <v>3706</v>
      </c>
      <c r="B2350" t="s">
        <v>47</v>
      </c>
      <c r="C2350" t="s">
        <v>48</v>
      </c>
      <c r="D2350" t="s">
        <v>40</v>
      </c>
      <c r="E2350" t="s">
        <v>79</v>
      </c>
      <c r="F2350" t="s">
        <v>42</v>
      </c>
      <c r="G2350" t="s">
        <v>225</v>
      </c>
      <c r="H2350">
        <v>1</v>
      </c>
      <c r="I2350">
        <v>353.82</v>
      </c>
      <c r="J2350">
        <v>353.82</v>
      </c>
      <c r="K2350" t="s">
        <v>1332</v>
      </c>
      <c r="L2350" t="s">
        <v>28</v>
      </c>
    </row>
    <row r="2351" spans="1:12" x14ac:dyDescent="0.35">
      <c r="A2351" t="s">
        <v>3707</v>
      </c>
      <c r="B2351" t="s">
        <v>133</v>
      </c>
      <c r="C2351" t="s">
        <v>134</v>
      </c>
      <c r="D2351" t="s">
        <v>23</v>
      </c>
      <c r="E2351" t="s">
        <v>49</v>
      </c>
      <c r="F2351" t="s">
        <v>101</v>
      </c>
      <c r="G2351" t="s">
        <v>237</v>
      </c>
      <c r="H2351">
        <v>5</v>
      </c>
      <c r="I2351">
        <v>1083.49</v>
      </c>
      <c r="J2351">
        <v>5417.45</v>
      </c>
      <c r="K2351" t="s">
        <v>1833</v>
      </c>
      <c r="L2351" t="s">
        <v>19</v>
      </c>
    </row>
    <row r="2352" spans="1:12" x14ac:dyDescent="0.35">
      <c r="A2352" t="s">
        <v>3708</v>
      </c>
      <c r="B2352" t="s">
        <v>133</v>
      </c>
      <c r="C2352" t="s">
        <v>134</v>
      </c>
      <c r="D2352" t="s">
        <v>32</v>
      </c>
      <c r="E2352" t="s">
        <v>61</v>
      </c>
      <c r="F2352" t="s">
        <v>16</v>
      </c>
      <c r="G2352" t="s">
        <v>17</v>
      </c>
      <c r="H2352">
        <v>3</v>
      </c>
      <c r="I2352">
        <v>652.05999999999995</v>
      </c>
      <c r="J2352">
        <v>1956.18</v>
      </c>
      <c r="K2352" t="s">
        <v>2294</v>
      </c>
      <c r="L2352" t="s">
        <v>91</v>
      </c>
    </row>
    <row r="2353" spans="1:12" x14ac:dyDescent="0.35">
      <c r="A2353" t="s">
        <v>3709</v>
      </c>
      <c r="B2353" t="s">
        <v>1312</v>
      </c>
      <c r="C2353" t="s">
        <v>1313</v>
      </c>
      <c r="D2353" t="s">
        <v>23</v>
      </c>
      <c r="E2353" t="s">
        <v>24</v>
      </c>
      <c r="F2353" t="s">
        <v>42</v>
      </c>
      <c r="G2353" t="s">
        <v>43</v>
      </c>
      <c r="H2353">
        <v>4</v>
      </c>
      <c r="I2353">
        <v>677.34</v>
      </c>
      <c r="J2353">
        <v>2709.36</v>
      </c>
      <c r="K2353" t="s">
        <v>431</v>
      </c>
      <c r="L2353" t="s">
        <v>19</v>
      </c>
    </row>
    <row r="2354" spans="1:12" x14ac:dyDescent="0.35">
      <c r="A2354" t="s">
        <v>3710</v>
      </c>
      <c r="B2354" t="s">
        <v>299</v>
      </c>
      <c r="C2354" t="s">
        <v>300</v>
      </c>
      <c r="D2354" t="s">
        <v>14</v>
      </c>
      <c r="E2354" t="s">
        <v>95</v>
      </c>
      <c r="F2354" t="s">
        <v>42</v>
      </c>
      <c r="G2354" t="s">
        <v>170</v>
      </c>
      <c r="H2354">
        <v>1</v>
      </c>
      <c r="I2354">
        <v>440.33</v>
      </c>
      <c r="J2354">
        <v>440.33</v>
      </c>
      <c r="K2354" t="s">
        <v>1873</v>
      </c>
      <c r="L2354" t="s">
        <v>36</v>
      </c>
    </row>
    <row r="2355" spans="1:12" x14ac:dyDescent="0.35">
      <c r="A2355" t="s">
        <v>3711</v>
      </c>
      <c r="B2355" t="s">
        <v>964</v>
      </c>
      <c r="C2355" t="s">
        <v>965</v>
      </c>
      <c r="D2355" t="s">
        <v>67</v>
      </c>
      <c r="E2355" t="s">
        <v>68</v>
      </c>
      <c r="F2355" t="s">
        <v>16</v>
      </c>
      <c r="G2355" t="s">
        <v>17</v>
      </c>
      <c r="H2355">
        <v>4</v>
      </c>
      <c r="I2355">
        <v>1293.03</v>
      </c>
      <c r="J2355">
        <v>5172.12</v>
      </c>
      <c r="K2355" t="s">
        <v>231</v>
      </c>
      <c r="L2355" t="s">
        <v>28</v>
      </c>
    </row>
    <row r="2356" spans="1:12" x14ac:dyDescent="0.35">
      <c r="A2356" t="s">
        <v>3712</v>
      </c>
      <c r="B2356" t="s">
        <v>590</v>
      </c>
      <c r="C2356" t="s">
        <v>591</v>
      </c>
      <c r="D2356" t="s">
        <v>23</v>
      </c>
      <c r="E2356" t="s">
        <v>24</v>
      </c>
      <c r="F2356" t="s">
        <v>25</v>
      </c>
      <c r="G2356" t="s">
        <v>139</v>
      </c>
      <c r="H2356">
        <v>3</v>
      </c>
      <c r="I2356">
        <v>1273.71</v>
      </c>
      <c r="J2356">
        <v>3821.13</v>
      </c>
      <c r="K2356" t="s">
        <v>1483</v>
      </c>
      <c r="L2356" t="s">
        <v>91</v>
      </c>
    </row>
    <row r="2357" spans="1:12" x14ac:dyDescent="0.35">
      <c r="A2357" t="s">
        <v>3713</v>
      </c>
      <c r="B2357" t="s">
        <v>562</v>
      </c>
      <c r="C2357" t="s">
        <v>563</v>
      </c>
      <c r="D2357" t="s">
        <v>23</v>
      </c>
      <c r="E2357" t="s">
        <v>24</v>
      </c>
      <c r="F2357" t="s">
        <v>101</v>
      </c>
      <c r="G2357" t="s">
        <v>237</v>
      </c>
      <c r="H2357">
        <v>1</v>
      </c>
      <c r="I2357">
        <v>933.74</v>
      </c>
      <c r="J2357">
        <v>933.74</v>
      </c>
      <c r="K2357" t="s">
        <v>3155</v>
      </c>
      <c r="L2357" t="s">
        <v>36</v>
      </c>
    </row>
    <row r="2358" spans="1:12" x14ac:dyDescent="0.35">
      <c r="A2358" t="s">
        <v>3714</v>
      </c>
      <c r="B2358" t="s">
        <v>1028</v>
      </c>
      <c r="C2358" t="s">
        <v>1029</v>
      </c>
      <c r="D2358" t="s">
        <v>23</v>
      </c>
      <c r="E2358" t="s">
        <v>338</v>
      </c>
      <c r="F2358" t="s">
        <v>16</v>
      </c>
      <c r="G2358" t="s">
        <v>230</v>
      </c>
      <c r="H2358">
        <v>2</v>
      </c>
      <c r="I2358">
        <v>1220.53</v>
      </c>
      <c r="J2358">
        <v>2441.06</v>
      </c>
      <c r="K2358" t="s">
        <v>2667</v>
      </c>
      <c r="L2358" t="s">
        <v>45</v>
      </c>
    </row>
    <row r="2359" spans="1:12" x14ac:dyDescent="0.35">
      <c r="A2359" t="s">
        <v>3715</v>
      </c>
      <c r="B2359" t="s">
        <v>287</v>
      </c>
      <c r="C2359" t="s">
        <v>288</v>
      </c>
      <c r="D2359" t="s">
        <v>40</v>
      </c>
      <c r="E2359" t="s">
        <v>120</v>
      </c>
      <c r="F2359" t="s">
        <v>42</v>
      </c>
      <c r="G2359" t="s">
        <v>43</v>
      </c>
      <c r="H2359">
        <v>5</v>
      </c>
      <c r="I2359">
        <v>1142.33</v>
      </c>
      <c r="J2359">
        <v>5711.65</v>
      </c>
      <c r="K2359" t="s">
        <v>3716</v>
      </c>
      <c r="L2359" t="s">
        <v>45</v>
      </c>
    </row>
    <row r="2360" spans="1:12" x14ac:dyDescent="0.35">
      <c r="A2360" t="s">
        <v>3717</v>
      </c>
      <c r="B2360" t="s">
        <v>605</v>
      </c>
      <c r="C2360" t="s">
        <v>606</v>
      </c>
      <c r="D2360" t="s">
        <v>67</v>
      </c>
      <c r="E2360" t="s">
        <v>130</v>
      </c>
      <c r="F2360" t="s">
        <v>50</v>
      </c>
      <c r="G2360" t="s">
        <v>216</v>
      </c>
      <c r="H2360">
        <v>1</v>
      </c>
      <c r="I2360">
        <v>792.35</v>
      </c>
      <c r="J2360">
        <v>792.35</v>
      </c>
      <c r="K2360" t="s">
        <v>1850</v>
      </c>
      <c r="L2360" t="s">
        <v>19</v>
      </c>
    </row>
    <row r="2361" spans="1:12" x14ac:dyDescent="0.35">
      <c r="A2361" t="s">
        <v>3718</v>
      </c>
      <c r="B2361" t="s">
        <v>622</v>
      </c>
      <c r="C2361" t="s">
        <v>623</v>
      </c>
      <c r="D2361" t="s">
        <v>14</v>
      </c>
      <c r="E2361" t="s">
        <v>125</v>
      </c>
      <c r="F2361" t="s">
        <v>50</v>
      </c>
      <c r="G2361" t="s">
        <v>51</v>
      </c>
      <c r="H2361">
        <v>2</v>
      </c>
      <c r="I2361">
        <v>1060.76</v>
      </c>
      <c r="J2361">
        <v>2121.52</v>
      </c>
      <c r="K2361" t="s">
        <v>2046</v>
      </c>
      <c r="L2361" t="s">
        <v>36</v>
      </c>
    </row>
    <row r="2362" spans="1:12" x14ac:dyDescent="0.35">
      <c r="A2362" t="s">
        <v>3719</v>
      </c>
      <c r="B2362" t="s">
        <v>264</v>
      </c>
      <c r="C2362" t="s">
        <v>265</v>
      </c>
      <c r="D2362" t="s">
        <v>32</v>
      </c>
      <c r="E2362" t="s">
        <v>33</v>
      </c>
      <c r="F2362" t="s">
        <v>25</v>
      </c>
      <c r="G2362" t="s">
        <v>34</v>
      </c>
      <c r="H2362">
        <v>5</v>
      </c>
      <c r="I2362">
        <v>1166.78</v>
      </c>
      <c r="J2362">
        <v>5833.9</v>
      </c>
      <c r="K2362" t="s">
        <v>1397</v>
      </c>
      <c r="L2362" t="s">
        <v>36</v>
      </c>
    </row>
    <row r="2363" spans="1:12" x14ac:dyDescent="0.35">
      <c r="A2363" t="s">
        <v>3720</v>
      </c>
      <c r="B2363" t="s">
        <v>388</v>
      </c>
      <c r="C2363" t="s">
        <v>389</v>
      </c>
      <c r="D2363" t="s">
        <v>67</v>
      </c>
      <c r="E2363" t="s">
        <v>115</v>
      </c>
      <c r="F2363" t="s">
        <v>25</v>
      </c>
      <c r="G2363" t="s">
        <v>34</v>
      </c>
      <c r="H2363">
        <v>1</v>
      </c>
      <c r="I2363">
        <v>59.63</v>
      </c>
      <c r="J2363">
        <v>59.63</v>
      </c>
      <c r="K2363" t="s">
        <v>1165</v>
      </c>
      <c r="L2363" t="s">
        <v>28</v>
      </c>
    </row>
    <row r="2364" spans="1:12" x14ac:dyDescent="0.35">
      <c r="A2364" t="s">
        <v>3721</v>
      </c>
      <c r="B2364" t="s">
        <v>123</v>
      </c>
      <c r="C2364" t="s">
        <v>124</v>
      </c>
      <c r="D2364" t="s">
        <v>40</v>
      </c>
      <c r="E2364" t="s">
        <v>120</v>
      </c>
      <c r="F2364" t="s">
        <v>25</v>
      </c>
      <c r="G2364" t="s">
        <v>62</v>
      </c>
      <c r="H2364">
        <v>4</v>
      </c>
      <c r="I2364">
        <v>316.77</v>
      </c>
      <c r="J2364">
        <v>1267.08</v>
      </c>
      <c r="K2364" t="s">
        <v>2518</v>
      </c>
      <c r="L2364" t="s">
        <v>45</v>
      </c>
    </row>
    <row r="2365" spans="1:12" x14ac:dyDescent="0.35">
      <c r="A2365" t="s">
        <v>3722</v>
      </c>
      <c r="B2365" t="s">
        <v>206</v>
      </c>
      <c r="C2365" t="s">
        <v>207</v>
      </c>
      <c r="D2365" t="s">
        <v>40</v>
      </c>
      <c r="E2365" t="s">
        <v>120</v>
      </c>
      <c r="F2365" t="s">
        <v>16</v>
      </c>
      <c r="G2365" t="s">
        <v>230</v>
      </c>
      <c r="H2365">
        <v>2</v>
      </c>
      <c r="I2365">
        <v>905.23</v>
      </c>
      <c r="J2365">
        <v>1810.46</v>
      </c>
      <c r="K2365" t="s">
        <v>3723</v>
      </c>
      <c r="L2365" t="s">
        <v>91</v>
      </c>
    </row>
    <row r="2366" spans="1:12" x14ac:dyDescent="0.35">
      <c r="A2366" t="s">
        <v>3724</v>
      </c>
      <c r="B2366" t="s">
        <v>759</v>
      </c>
      <c r="C2366" t="s">
        <v>760</v>
      </c>
      <c r="D2366" t="s">
        <v>23</v>
      </c>
      <c r="E2366" t="s">
        <v>338</v>
      </c>
      <c r="F2366" t="s">
        <v>16</v>
      </c>
      <c r="G2366" t="s">
        <v>17</v>
      </c>
      <c r="H2366">
        <v>1</v>
      </c>
      <c r="I2366">
        <v>1153.3499999999999</v>
      </c>
      <c r="J2366">
        <v>1153.3499999999999</v>
      </c>
      <c r="K2366" t="s">
        <v>2167</v>
      </c>
      <c r="L2366" t="s">
        <v>36</v>
      </c>
    </row>
    <row r="2367" spans="1:12" x14ac:dyDescent="0.35">
      <c r="A2367" t="s">
        <v>3725</v>
      </c>
      <c r="B2367" t="s">
        <v>1464</v>
      </c>
      <c r="C2367" t="s">
        <v>1465</v>
      </c>
      <c r="D2367" t="s">
        <v>23</v>
      </c>
      <c r="E2367" t="s">
        <v>49</v>
      </c>
      <c r="F2367" t="s">
        <v>42</v>
      </c>
      <c r="G2367" t="s">
        <v>80</v>
      </c>
      <c r="H2367">
        <v>5</v>
      </c>
      <c r="I2367">
        <v>784.86</v>
      </c>
      <c r="J2367">
        <v>3924.3</v>
      </c>
      <c r="K2367" t="s">
        <v>684</v>
      </c>
      <c r="L2367" t="s">
        <v>19</v>
      </c>
    </row>
    <row r="2368" spans="1:12" x14ac:dyDescent="0.35">
      <c r="A2368" t="s">
        <v>3726</v>
      </c>
      <c r="B2368" t="s">
        <v>1170</v>
      </c>
      <c r="C2368" t="s">
        <v>1171</v>
      </c>
      <c r="D2368" t="s">
        <v>23</v>
      </c>
      <c r="E2368" t="s">
        <v>338</v>
      </c>
      <c r="F2368" t="s">
        <v>42</v>
      </c>
      <c r="G2368" t="s">
        <v>89</v>
      </c>
      <c r="H2368">
        <v>5</v>
      </c>
      <c r="I2368">
        <v>221.87</v>
      </c>
      <c r="J2368">
        <v>1109.3499999999999</v>
      </c>
      <c r="K2368" t="s">
        <v>386</v>
      </c>
      <c r="L2368" t="s">
        <v>19</v>
      </c>
    </row>
    <row r="2369" spans="1:12" x14ac:dyDescent="0.35">
      <c r="A2369" t="s">
        <v>3727</v>
      </c>
      <c r="B2369" t="s">
        <v>611</v>
      </c>
      <c r="C2369" t="s">
        <v>612</v>
      </c>
      <c r="D2369" t="s">
        <v>40</v>
      </c>
      <c r="E2369" t="s">
        <v>79</v>
      </c>
      <c r="F2369" t="s">
        <v>25</v>
      </c>
      <c r="G2369" t="s">
        <v>26</v>
      </c>
      <c r="H2369">
        <v>3</v>
      </c>
      <c r="I2369">
        <v>704.43</v>
      </c>
      <c r="J2369">
        <v>2113.29</v>
      </c>
      <c r="K2369" t="s">
        <v>498</v>
      </c>
      <c r="L2369" t="s">
        <v>28</v>
      </c>
    </row>
    <row r="2370" spans="1:12" x14ac:dyDescent="0.35">
      <c r="A2370" t="s">
        <v>3728</v>
      </c>
      <c r="B2370" t="s">
        <v>137</v>
      </c>
      <c r="C2370" t="s">
        <v>138</v>
      </c>
      <c r="D2370" t="s">
        <v>32</v>
      </c>
      <c r="E2370" t="s">
        <v>61</v>
      </c>
      <c r="F2370" t="s">
        <v>25</v>
      </c>
      <c r="G2370" t="s">
        <v>139</v>
      </c>
      <c r="H2370">
        <v>2</v>
      </c>
      <c r="I2370">
        <v>1276.94</v>
      </c>
      <c r="J2370">
        <v>2553.88</v>
      </c>
      <c r="K2370" t="s">
        <v>1468</v>
      </c>
      <c r="L2370" t="s">
        <v>28</v>
      </c>
    </row>
    <row r="2371" spans="1:12" x14ac:dyDescent="0.35">
      <c r="A2371" t="s">
        <v>3729</v>
      </c>
      <c r="B2371" t="s">
        <v>1301</v>
      </c>
      <c r="C2371" t="s">
        <v>1302</v>
      </c>
      <c r="D2371" t="s">
        <v>40</v>
      </c>
      <c r="E2371" t="s">
        <v>120</v>
      </c>
      <c r="F2371" t="s">
        <v>42</v>
      </c>
      <c r="G2371" t="s">
        <v>43</v>
      </c>
      <c r="H2371">
        <v>3</v>
      </c>
      <c r="I2371">
        <v>12.48</v>
      </c>
      <c r="J2371">
        <v>37.44</v>
      </c>
      <c r="K2371" t="s">
        <v>2232</v>
      </c>
      <c r="L2371" t="s">
        <v>36</v>
      </c>
    </row>
    <row r="2372" spans="1:12" x14ac:dyDescent="0.35">
      <c r="A2372" t="s">
        <v>3730</v>
      </c>
      <c r="B2372" t="s">
        <v>1137</v>
      </c>
      <c r="C2372" t="s">
        <v>1138</v>
      </c>
      <c r="D2372" t="s">
        <v>14</v>
      </c>
      <c r="E2372" t="s">
        <v>95</v>
      </c>
      <c r="F2372" t="s">
        <v>50</v>
      </c>
      <c r="G2372" t="s">
        <v>51</v>
      </c>
      <c r="H2372">
        <v>2</v>
      </c>
      <c r="I2372">
        <v>1350.68</v>
      </c>
      <c r="J2372">
        <v>2701.36</v>
      </c>
      <c r="K2372" t="s">
        <v>3524</v>
      </c>
      <c r="L2372" t="s">
        <v>19</v>
      </c>
    </row>
    <row r="2373" spans="1:12" x14ac:dyDescent="0.35">
      <c r="A2373" t="s">
        <v>3731</v>
      </c>
      <c r="B2373" t="s">
        <v>163</v>
      </c>
      <c r="C2373" t="s">
        <v>164</v>
      </c>
      <c r="D2373" t="s">
        <v>14</v>
      </c>
      <c r="E2373" t="s">
        <v>95</v>
      </c>
      <c r="F2373" t="s">
        <v>42</v>
      </c>
      <c r="G2373" t="s">
        <v>89</v>
      </c>
      <c r="H2373">
        <v>4</v>
      </c>
      <c r="I2373">
        <v>827.33</v>
      </c>
      <c r="J2373">
        <v>3309.32</v>
      </c>
      <c r="K2373" t="s">
        <v>3054</v>
      </c>
      <c r="L2373" t="s">
        <v>36</v>
      </c>
    </row>
    <row r="2374" spans="1:12" x14ac:dyDescent="0.35">
      <c r="A2374" t="s">
        <v>3732</v>
      </c>
      <c r="B2374" t="s">
        <v>1707</v>
      </c>
      <c r="C2374" t="s">
        <v>1708</v>
      </c>
      <c r="D2374" t="s">
        <v>14</v>
      </c>
      <c r="E2374" t="s">
        <v>95</v>
      </c>
      <c r="F2374" t="s">
        <v>101</v>
      </c>
      <c r="G2374" t="s">
        <v>373</v>
      </c>
      <c r="H2374">
        <v>4</v>
      </c>
      <c r="I2374">
        <v>671</v>
      </c>
      <c r="J2374">
        <v>2684</v>
      </c>
      <c r="K2374" t="s">
        <v>378</v>
      </c>
      <c r="L2374" t="s">
        <v>19</v>
      </c>
    </row>
    <row r="2375" spans="1:12" x14ac:dyDescent="0.35">
      <c r="A2375" t="s">
        <v>3733</v>
      </c>
      <c r="B2375" t="s">
        <v>2399</v>
      </c>
      <c r="C2375" t="s">
        <v>2400</v>
      </c>
      <c r="D2375" t="s">
        <v>40</v>
      </c>
      <c r="E2375" t="s">
        <v>120</v>
      </c>
      <c r="F2375" t="s">
        <v>101</v>
      </c>
      <c r="G2375" t="s">
        <v>649</v>
      </c>
      <c r="H2375">
        <v>1</v>
      </c>
      <c r="I2375">
        <v>678</v>
      </c>
      <c r="J2375">
        <v>678</v>
      </c>
      <c r="K2375" t="s">
        <v>204</v>
      </c>
      <c r="L2375" t="s">
        <v>91</v>
      </c>
    </row>
    <row r="2376" spans="1:12" x14ac:dyDescent="0.35">
      <c r="A2376" t="s">
        <v>3734</v>
      </c>
      <c r="B2376" t="s">
        <v>325</v>
      </c>
      <c r="C2376" t="s">
        <v>326</v>
      </c>
      <c r="D2376" t="s">
        <v>40</v>
      </c>
      <c r="E2376" t="s">
        <v>120</v>
      </c>
      <c r="F2376" t="s">
        <v>25</v>
      </c>
      <c r="G2376" t="s">
        <v>34</v>
      </c>
      <c r="H2376">
        <v>2</v>
      </c>
      <c r="I2376">
        <v>390.34</v>
      </c>
      <c r="J2376">
        <v>780.68</v>
      </c>
      <c r="K2376" t="s">
        <v>3471</v>
      </c>
      <c r="L2376" t="s">
        <v>45</v>
      </c>
    </row>
    <row r="2377" spans="1:12" x14ac:dyDescent="0.35">
      <c r="A2377" t="s">
        <v>3735</v>
      </c>
      <c r="B2377" t="s">
        <v>325</v>
      </c>
      <c r="C2377" t="s">
        <v>326</v>
      </c>
      <c r="D2377" t="s">
        <v>67</v>
      </c>
      <c r="E2377" t="s">
        <v>130</v>
      </c>
      <c r="F2377" t="s">
        <v>101</v>
      </c>
      <c r="G2377" t="s">
        <v>373</v>
      </c>
      <c r="H2377">
        <v>4</v>
      </c>
      <c r="I2377">
        <v>609.53</v>
      </c>
      <c r="J2377">
        <v>2438.12</v>
      </c>
      <c r="K2377" t="s">
        <v>1665</v>
      </c>
      <c r="L2377" t="s">
        <v>91</v>
      </c>
    </row>
    <row r="2378" spans="1:12" x14ac:dyDescent="0.35">
      <c r="A2378" t="s">
        <v>3736</v>
      </c>
      <c r="B2378" t="s">
        <v>1793</v>
      </c>
      <c r="C2378" t="s">
        <v>1794</v>
      </c>
      <c r="D2378" t="s">
        <v>23</v>
      </c>
      <c r="E2378" t="s">
        <v>49</v>
      </c>
      <c r="F2378" t="s">
        <v>25</v>
      </c>
      <c r="G2378" t="s">
        <v>34</v>
      </c>
      <c r="H2378">
        <v>2</v>
      </c>
      <c r="I2378">
        <v>776.82</v>
      </c>
      <c r="J2378">
        <v>1553.64</v>
      </c>
      <c r="K2378" t="s">
        <v>90</v>
      </c>
      <c r="L2378" t="s">
        <v>28</v>
      </c>
    </row>
    <row r="2379" spans="1:12" x14ac:dyDescent="0.35">
      <c r="A2379" t="s">
        <v>3737</v>
      </c>
      <c r="B2379" t="s">
        <v>1170</v>
      </c>
      <c r="C2379" t="s">
        <v>1171</v>
      </c>
      <c r="D2379" t="s">
        <v>67</v>
      </c>
      <c r="E2379" t="s">
        <v>68</v>
      </c>
      <c r="F2379" t="s">
        <v>50</v>
      </c>
      <c r="G2379" t="s">
        <v>56</v>
      </c>
      <c r="H2379">
        <v>5</v>
      </c>
      <c r="I2379">
        <v>445.85</v>
      </c>
      <c r="J2379">
        <v>2229.25</v>
      </c>
      <c r="K2379" t="s">
        <v>2926</v>
      </c>
      <c r="L2379" t="s">
        <v>91</v>
      </c>
    </row>
    <row r="2380" spans="1:12" x14ac:dyDescent="0.35">
      <c r="A2380" t="s">
        <v>3738</v>
      </c>
      <c r="B2380" t="s">
        <v>1018</v>
      </c>
      <c r="C2380" t="s">
        <v>1019</v>
      </c>
      <c r="D2380" t="s">
        <v>14</v>
      </c>
      <c r="E2380" t="s">
        <v>100</v>
      </c>
      <c r="F2380" t="s">
        <v>42</v>
      </c>
      <c r="G2380" t="s">
        <v>170</v>
      </c>
      <c r="H2380">
        <v>5</v>
      </c>
      <c r="I2380">
        <v>1419.94</v>
      </c>
      <c r="J2380">
        <v>7099.7</v>
      </c>
      <c r="K2380" t="s">
        <v>954</v>
      </c>
      <c r="L2380" t="s">
        <v>45</v>
      </c>
    </row>
    <row r="2381" spans="1:12" x14ac:dyDescent="0.35">
      <c r="A2381" t="s">
        <v>3739</v>
      </c>
      <c r="B2381" t="s">
        <v>594</v>
      </c>
      <c r="C2381" t="s">
        <v>595</v>
      </c>
      <c r="D2381" t="s">
        <v>40</v>
      </c>
      <c r="E2381" t="s">
        <v>79</v>
      </c>
      <c r="F2381" t="s">
        <v>25</v>
      </c>
      <c r="G2381" t="s">
        <v>139</v>
      </c>
      <c r="H2381">
        <v>2</v>
      </c>
      <c r="I2381">
        <v>694.15</v>
      </c>
      <c r="J2381">
        <v>1388.3</v>
      </c>
      <c r="K2381" t="s">
        <v>2898</v>
      </c>
      <c r="L2381" t="s">
        <v>45</v>
      </c>
    </row>
    <row r="2382" spans="1:12" x14ac:dyDescent="0.35">
      <c r="A2382" t="s">
        <v>3740</v>
      </c>
      <c r="B2382" t="s">
        <v>1464</v>
      </c>
      <c r="C2382" t="s">
        <v>1465</v>
      </c>
      <c r="D2382" t="s">
        <v>67</v>
      </c>
      <c r="E2382" t="s">
        <v>130</v>
      </c>
      <c r="F2382" t="s">
        <v>42</v>
      </c>
      <c r="G2382" t="s">
        <v>225</v>
      </c>
      <c r="H2382">
        <v>3</v>
      </c>
      <c r="I2382">
        <v>321.77999999999997</v>
      </c>
      <c r="J2382">
        <v>965.34</v>
      </c>
      <c r="K2382" t="s">
        <v>2304</v>
      </c>
      <c r="L2382" t="s">
        <v>91</v>
      </c>
    </row>
    <row r="2383" spans="1:12" x14ac:dyDescent="0.35">
      <c r="A2383" t="s">
        <v>3741</v>
      </c>
      <c r="B2383" t="s">
        <v>454</v>
      </c>
      <c r="C2383" t="s">
        <v>455</v>
      </c>
      <c r="D2383" t="s">
        <v>67</v>
      </c>
      <c r="E2383" t="s">
        <v>68</v>
      </c>
      <c r="F2383" t="s">
        <v>50</v>
      </c>
      <c r="G2383" t="s">
        <v>170</v>
      </c>
      <c r="H2383">
        <v>1</v>
      </c>
      <c r="I2383">
        <v>143.26</v>
      </c>
      <c r="J2383">
        <v>143.26</v>
      </c>
      <c r="K2383" t="s">
        <v>912</v>
      </c>
      <c r="L2383" t="s">
        <v>36</v>
      </c>
    </row>
    <row r="2384" spans="1:12" x14ac:dyDescent="0.35">
      <c r="A2384" t="s">
        <v>3742</v>
      </c>
      <c r="B2384" t="s">
        <v>418</v>
      </c>
      <c r="C2384" t="s">
        <v>419</v>
      </c>
      <c r="D2384" t="s">
        <v>32</v>
      </c>
      <c r="E2384" t="s">
        <v>33</v>
      </c>
      <c r="F2384" t="s">
        <v>101</v>
      </c>
      <c r="G2384" t="s">
        <v>373</v>
      </c>
      <c r="H2384">
        <v>5</v>
      </c>
      <c r="I2384">
        <v>1393.36</v>
      </c>
      <c r="J2384">
        <v>6966.8</v>
      </c>
      <c r="K2384" t="s">
        <v>631</v>
      </c>
      <c r="L2384" t="s">
        <v>36</v>
      </c>
    </row>
    <row r="2385" spans="1:12" x14ac:dyDescent="0.35">
      <c r="A2385" t="s">
        <v>3743</v>
      </c>
      <c r="B2385" t="s">
        <v>206</v>
      </c>
      <c r="C2385" t="s">
        <v>207</v>
      </c>
      <c r="D2385" t="s">
        <v>67</v>
      </c>
      <c r="E2385" t="s">
        <v>115</v>
      </c>
      <c r="F2385" t="s">
        <v>42</v>
      </c>
      <c r="G2385" t="s">
        <v>89</v>
      </c>
      <c r="H2385">
        <v>5</v>
      </c>
      <c r="I2385">
        <v>746.12</v>
      </c>
      <c r="J2385">
        <v>3730.6</v>
      </c>
      <c r="K2385" t="s">
        <v>508</v>
      </c>
      <c r="L2385" t="s">
        <v>19</v>
      </c>
    </row>
    <row r="2386" spans="1:12" x14ac:dyDescent="0.35">
      <c r="A2386" t="s">
        <v>3744</v>
      </c>
      <c r="B2386" t="s">
        <v>904</v>
      </c>
      <c r="C2386" t="s">
        <v>905</v>
      </c>
      <c r="D2386" t="s">
        <v>40</v>
      </c>
      <c r="E2386" t="s">
        <v>79</v>
      </c>
      <c r="F2386" t="s">
        <v>16</v>
      </c>
      <c r="G2386" t="s">
        <v>17</v>
      </c>
      <c r="H2386">
        <v>1</v>
      </c>
      <c r="I2386">
        <v>43.94</v>
      </c>
      <c r="J2386">
        <v>43.94</v>
      </c>
      <c r="K2386" t="s">
        <v>1408</v>
      </c>
      <c r="L2386" t="s">
        <v>28</v>
      </c>
    </row>
    <row r="2387" spans="1:12" x14ac:dyDescent="0.35">
      <c r="A2387" t="s">
        <v>3745</v>
      </c>
      <c r="B2387" t="s">
        <v>658</v>
      </c>
      <c r="C2387" t="s">
        <v>659</v>
      </c>
      <c r="D2387" t="s">
        <v>67</v>
      </c>
      <c r="E2387" t="s">
        <v>115</v>
      </c>
      <c r="F2387" t="s">
        <v>101</v>
      </c>
      <c r="G2387" t="s">
        <v>649</v>
      </c>
      <c r="H2387">
        <v>2</v>
      </c>
      <c r="I2387">
        <v>49.64</v>
      </c>
      <c r="J2387">
        <v>99.28</v>
      </c>
      <c r="K2387" t="s">
        <v>3064</v>
      </c>
      <c r="L2387" t="s">
        <v>28</v>
      </c>
    </row>
    <row r="2388" spans="1:12" x14ac:dyDescent="0.35">
      <c r="A2388" t="s">
        <v>3746</v>
      </c>
      <c r="B2388" t="s">
        <v>868</v>
      </c>
      <c r="C2388" t="s">
        <v>869</v>
      </c>
      <c r="D2388" t="s">
        <v>32</v>
      </c>
      <c r="E2388" t="s">
        <v>61</v>
      </c>
      <c r="F2388" t="s">
        <v>50</v>
      </c>
      <c r="G2388" t="s">
        <v>51</v>
      </c>
      <c r="H2388">
        <v>3</v>
      </c>
      <c r="I2388">
        <v>1316.73</v>
      </c>
      <c r="J2388">
        <v>3950.19</v>
      </c>
      <c r="K2388" t="s">
        <v>1608</v>
      </c>
      <c r="L2388" t="s">
        <v>36</v>
      </c>
    </row>
    <row r="2389" spans="1:12" x14ac:dyDescent="0.35">
      <c r="A2389" t="s">
        <v>3747</v>
      </c>
      <c r="B2389" t="s">
        <v>1246</v>
      </c>
      <c r="C2389" t="s">
        <v>1247</v>
      </c>
      <c r="D2389" t="s">
        <v>67</v>
      </c>
      <c r="E2389" t="s">
        <v>68</v>
      </c>
      <c r="F2389" t="s">
        <v>101</v>
      </c>
      <c r="G2389" t="s">
        <v>649</v>
      </c>
      <c r="H2389">
        <v>1</v>
      </c>
      <c r="I2389">
        <v>1319.13</v>
      </c>
      <c r="J2389">
        <v>1319.13</v>
      </c>
      <c r="K2389" t="s">
        <v>3748</v>
      </c>
      <c r="L2389" t="s">
        <v>28</v>
      </c>
    </row>
    <row r="2390" spans="1:12" x14ac:dyDescent="0.35">
      <c r="A2390" t="s">
        <v>3749</v>
      </c>
      <c r="B2390" t="s">
        <v>568</v>
      </c>
      <c r="C2390" t="s">
        <v>569</v>
      </c>
      <c r="D2390" t="s">
        <v>40</v>
      </c>
      <c r="E2390" t="s">
        <v>79</v>
      </c>
      <c r="F2390" t="s">
        <v>16</v>
      </c>
      <c r="G2390" t="s">
        <v>17</v>
      </c>
      <c r="H2390">
        <v>3</v>
      </c>
      <c r="I2390">
        <v>552.23</v>
      </c>
      <c r="J2390">
        <v>1656.69</v>
      </c>
      <c r="K2390" t="s">
        <v>1822</v>
      </c>
      <c r="L2390" t="s">
        <v>36</v>
      </c>
    </row>
    <row r="2391" spans="1:12" x14ac:dyDescent="0.35">
      <c r="A2391" t="s">
        <v>3750</v>
      </c>
      <c r="B2391" t="s">
        <v>842</v>
      </c>
      <c r="C2391" t="s">
        <v>843</v>
      </c>
      <c r="D2391" t="s">
        <v>40</v>
      </c>
      <c r="E2391" t="s">
        <v>41</v>
      </c>
      <c r="F2391" t="s">
        <v>50</v>
      </c>
      <c r="G2391" t="s">
        <v>69</v>
      </c>
      <c r="H2391">
        <v>2</v>
      </c>
      <c r="I2391">
        <v>435.51</v>
      </c>
      <c r="J2391">
        <v>871.02</v>
      </c>
      <c r="K2391" t="s">
        <v>2841</v>
      </c>
      <c r="L2391" t="s">
        <v>28</v>
      </c>
    </row>
    <row r="2392" spans="1:12" x14ac:dyDescent="0.35">
      <c r="A2392" t="s">
        <v>3751</v>
      </c>
      <c r="B2392" t="s">
        <v>751</v>
      </c>
      <c r="C2392" t="s">
        <v>752</v>
      </c>
      <c r="D2392" t="s">
        <v>23</v>
      </c>
      <c r="E2392" t="s">
        <v>49</v>
      </c>
      <c r="F2392" t="s">
        <v>42</v>
      </c>
      <c r="G2392" t="s">
        <v>43</v>
      </c>
      <c r="H2392">
        <v>2</v>
      </c>
      <c r="I2392">
        <v>738.97</v>
      </c>
      <c r="J2392">
        <v>1477.94</v>
      </c>
      <c r="K2392" t="s">
        <v>1610</v>
      </c>
      <c r="L2392" t="s">
        <v>91</v>
      </c>
    </row>
    <row r="2393" spans="1:12" x14ac:dyDescent="0.35">
      <c r="A2393" t="s">
        <v>3752</v>
      </c>
      <c r="B2393" t="s">
        <v>791</v>
      </c>
      <c r="C2393" t="s">
        <v>792</v>
      </c>
      <c r="D2393" t="s">
        <v>23</v>
      </c>
      <c r="E2393" t="s">
        <v>49</v>
      </c>
      <c r="F2393" t="s">
        <v>42</v>
      </c>
      <c r="G2393" t="s">
        <v>43</v>
      </c>
      <c r="H2393">
        <v>3</v>
      </c>
      <c r="I2393">
        <v>623.07000000000005</v>
      </c>
      <c r="J2393">
        <v>1869.21</v>
      </c>
      <c r="K2393" t="s">
        <v>2841</v>
      </c>
      <c r="L2393" t="s">
        <v>19</v>
      </c>
    </row>
    <row r="2394" spans="1:12" x14ac:dyDescent="0.35">
      <c r="A2394" t="s">
        <v>3753</v>
      </c>
      <c r="B2394" t="s">
        <v>727</v>
      </c>
      <c r="C2394" t="s">
        <v>728</v>
      </c>
      <c r="D2394" t="s">
        <v>14</v>
      </c>
      <c r="E2394" t="s">
        <v>95</v>
      </c>
      <c r="F2394" t="s">
        <v>101</v>
      </c>
      <c r="G2394" t="s">
        <v>237</v>
      </c>
      <c r="H2394">
        <v>5</v>
      </c>
      <c r="I2394">
        <v>408.79</v>
      </c>
      <c r="J2394">
        <v>2043.95</v>
      </c>
      <c r="K2394" t="s">
        <v>1905</v>
      </c>
      <c r="L2394" t="s">
        <v>28</v>
      </c>
    </row>
    <row r="2395" spans="1:12" x14ac:dyDescent="0.35">
      <c r="A2395" t="s">
        <v>3754</v>
      </c>
      <c r="B2395" t="s">
        <v>273</v>
      </c>
      <c r="C2395" t="s">
        <v>274</v>
      </c>
      <c r="D2395" t="s">
        <v>40</v>
      </c>
      <c r="E2395" t="s">
        <v>41</v>
      </c>
      <c r="F2395" t="s">
        <v>101</v>
      </c>
      <c r="G2395" t="s">
        <v>102</v>
      </c>
      <c r="H2395">
        <v>1</v>
      </c>
      <c r="I2395">
        <v>50.83</v>
      </c>
      <c r="J2395">
        <v>50.83</v>
      </c>
      <c r="K2395" t="s">
        <v>1961</v>
      </c>
      <c r="L2395" t="s">
        <v>91</v>
      </c>
    </row>
    <row r="2396" spans="1:12" x14ac:dyDescent="0.35">
      <c r="A2396" t="s">
        <v>3755</v>
      </c>
      <c r="B2396" t="s">
        <v>189</v>
      </c>
      <c r="C2396" t="s">
        <v>190</v>
      </c>
      <c r="D2396" t="s">
        <v>67</v>
      </c>
      <c r="E2396" t="s">
        <v>68</v>
      </c>
      <c r="F2396" t="s">
        <v>16</v>
      </c>
      <c r="G2396" t="s">
        <v>177</v>
      </c>
      <c r="H2396">
        <v>1</v>
      </c>
      <c r="I2396">
        <v>219.71</v>
      </c>
      <c r="J2396">
        <v>219.71</v>
      </c>
      <c r="K2396" t="s">
        <v>1022</v>
      </c>
      <c r="L2396" t="s">
        <v>36</v>
      </c>
    </row>
    <row r="2397" spans="1:12" x14ac:dyDescent="0.35">
      <c r="A2397" t="s">
        <v>3756</v>
      </c>
      <c r="B2397" t="s">
        <v>12</v>
      </c>
      <c r="C2397" t="s">
        <v>13</v>
      </c>
      <c r="D2397" t="s">
        <v>67</v>
      </c>
      <c r="E2397" t="s">
        <v>68</v>
      </c>
      <c r="F2397" t="s">
        <v>50</v>
      </c>
      <c r="G2397" t="s">
        <v>51</v>
      </c>
      <c r="H2397">
        <v>4</v>
      </c>
      <c r="I2397">
        <v>1139.92</v>
      </c>
      <c r="J2397">
        <v>4559.68</v>
      </c>
      <c r="K2397" t="s">
        <v>386</v>
      </c>
      <c r="L2397" t="s">
        <v>36</v>
      </c>
    </row>
    <row r="2398" spans="1:12" x14ac:dyDescent="0.35">
      <c r="A2398" t="s">
        <v>3757</v>
      </c>
      <c r="B2398" t="s">
        <v>1464</v>
      </c>
      <c r="C2398" t="s">
        <v>1465</v>
      </c>
      <c r="D2398" t="s">
        <v>67</v>
      </c>
      <c r="E2398" t="s">
        <v>115</v>
      </c>
      <c r="F2398" t="s">
        <v>101</v>
      </c>
      <c r="G2398" t="s">
        <v>237</v>
      </c>
      <c r="H2398">
        <v>3</v>
      </c>
      <c r="I2398">
        <v>961.45</v>
      </c>
      <c r="J2398">
        <v>2884.35</v>
      </c>
      <c r="K2398" t="s">
        <v>1319</v>
      </c>
      <c r="L2398" t="s">
        <v>28</v>
      </c>
    </row>
    <row r="2399" spans="1:12" x14ac:dyDescent="0.35">
      <c r="A2399" t="s">
        <v>3758</v>
      </c>
      <c r="B2399" t="s">
        <v>303</v>
      </c>
      <c r="C2399" t="s">
        <v>304</v>
      </c>
      <c r="D2399" t="s">
        <v>23</v>
      </c>
      <c r="E2399" t="s">
        <v>49</v>
      </c>
      <c r="F2399" t="s">
        <v>42</v>
      </c>
      <c r="G2399" t="s">
        <v>80</v>
      </c>
      <c r="H2399">
        <v>1</v>
      </c>
      <c r="I2399">
        <v>822.48</v>
      </c>
      <c r="J2399">
        <v>822.48</v>
      </c>
      <c r="K2399" t="s">
        <v>1363</v>
      </c>
      <c r="L2399" t="s">
        <v>45</v>
      </c>
    </row>
    <row r="2400" spans="1:12" x14ac:dyDescent="0.35">
      <c r="A2400" t="s">
        <v>3759</v>
      </c>
      <c r="B2400" t="s">
        <v>1743</v>
      </c>
      <c r="C2400" t="s">
        <v>1744</v>
      </c>
      <c r="D2400" t="s">
        <v>40</v>
      </c>
      <c r="E2400" t="s">
        <v>79</v>
      </c>
      <c r="F2400" t="s">
        <v>16</v>
      </c>
      <c r="G2400" t="s">
        <v>230</v>
      </c>
      <c r="H2400">
        <v>1</v>
      </c>
      <c r="I2400">
        <v>381.55</v>
      </c>
      <c r="J2400">
        <v>381.55</v>
      </c>
      <c r="K2400" t="s">
        <v>2311</v>
      </c>
      <c r="L2400" t="s">
        <v>36</v>
      </c>
    </row>
    <row r="2401" spans="1:12" x14ac:dyDescent="0.35">
      <c r="A2401" t="s">
        <v>3760</v>
      </c>
      <c r="B2401" t="s">
        <v>363</v>
      </c>
      <c r="C2401" t="s">
        <v>364</v>
      </c>
      <c r="D2401" t="s">
        <v>23</v>
      </c>
      <c r="E2401" t="s">
        <v>338</v>
      </c>
      <c r="F2401" t="s">
        <v>16</v>
      </c>
      <c r="G2401" t="s">
        <v>182</v>
      </c>
      <c r="H2401">
        <v>2</v>
      </c>
      <c r="I2401">
        <v>209.24</v>
      </c>
      <c r="J2401">
        <v>418.48</v>
      </c>
      <c r="K2401" t="s">
        <v>799</v>
      </c>
      <c r="L2401" t="s">
        <v>91</v>
      </c>
    </row>
    <row r="2402" spans="1:12" x14ac:dyDescent="0.35">
      <c r="A2402" t="s">
        <v>3761</v>
      </c>
      <c r="B2402" t="s">
        <v>1681</v>
      </c>
      <c r="C2402" t="s">
        <v>1682</v>
      </c>
      <c r="D2402" t="s">
        <v>23</v>
      </c>
      <c r="E2402" t="s">
        <v>49</v>
      </c>
      <c r="F2402" t="s">
        <v>101</v>
      </c>
      <c r="G2402" t="s">
        <v>373</v>
      </c>
      <c r="H2402">
        <v>2</v>
      </c>
      <c r="I2402">
        <v>1235.8399999999999</v>
      </c>
      <c r="J2402">
        <v>2471.6799999999998</v>
      </c>
      <c r="K2402" t="s">
        <v>560</v>
      </c>
      <c r="L2402" t="s">
        <v>91</v>
      </c>
    </row>
    <row r="2403" spans="1:12" x14ac:dyDescent="0.35">
      <c r="A2403" t="s">
        <v>3762</v>
      </c>
      <c r="B2403" t="s">
        <v>711</v>
      </c>
      <c r="C2403" t="s">
        <v>712</v>
      </c>
      <c r="D2403" t="s">
        <v>40</v>
      </c>
      <c r="E2403" t="s">
        <v>120</v>
      </c>
      <c r="F2403" t="s">
        <v>16</v>
      </c>
      <c r="G2403" t="s">
        <v>182</v>
      </c>
      <c r="H2403">
        <v>3</v>
      </c>
      <c r="I2403">
        <v>239.11</v>
      </c>
      <c r="J2403">
        <v>717.33</v>
      </c>
      <c r="K2403" t="s">
        <v>1421</v>
      </c>
      <c r="L2403" t="s">
        <v>36</v>
      </c>
    </row>
    <row r="2404" spans="1:12" x14ac:dyDescent="0.35">
      <c r="A2404" t="s">
        <v>3763</v>
      </c>
      <c r="B2404" t="s">
        <v>336</v>
      </c>
      <c r="C2404" t="s">
        <v>337</v>
      </c>
      <c r="D2404" t="s">
        <v>23</v>
      </c>
      <c r="E2404" t="s">
        <v>49</v>
      </c>
      <c r="F2404" t="s">
        <v>16</v>
      </c>
      <c r="G2404" t="s">
        <v>177</v>
      </c>
      <c r="H2404">
        <v>3</v>
      </c>
      <c r="I2404">
        <v>753.11</v>
      </c>
      <c r="J2404">
        <v>2259.33</v>
      </c>
      <c r="K2404" t="s">
        <v>246</v>
      </c>
      <c r="L2404" t="s">
        <v>19</v>
      </c>
    </row>
    <row r="2405" spans="1:12" x14ac:dyDescent="0.35">
      <c r="A2405" t="s">
        <v>3764</v>
      </c>
      <c r="B2405" t="s">
        <v>189</v>
      </c>
      <c r="C2405" t="s">
        <v>190</v>
      </c>
      <c r="D2405" t="s">
        <v>14</v>
      </c>
      <c r="E2405" t="s">
        <v>100</v>
      </c>
      <c r="F2405" t="s">
        <v>101</v>
      </c>
      <c r="G2405" t="s">
        <v>102</v>
      </c>
      <c r="H2405">
        <v>5</v>
      </c>
      <c r="I2405">
        <v>1059.44</v>
      </c>
      <c r="J2405">
        <v>5297.2</v>
      </c>
      <c r="K2405" t="s">
        <v>1756</v>
      </c>
      <c r="L2405" t="s">
        <v>45</v>
      </c>
    </row>
    <row r="2406" spans="1:12" x14ac:dyDescent="0.35">
      <c r="A2406" t="s">
        <v>3765</v>
      </c>
      <c r="B2406" t="s">
        <v>2245</v>
      </c>
      <c r="C2406" t="s">
        <v>2246</v>
      </c>
      <c r="D2406" t="s">
        <v>67</v>
      </c>
      <c r="E2406" t="s">
        <v>130</v>
      </c>
      <c r="F2406" t="s">
        <v>16</v>
      </c>
      <c r="G2406" t="s">
        <v>230</v>
      </c>
      <c r="H2406">
        <v>3</v>
      </c>
      <c r="I2406">
        <v>416.81</v>
      </c>
      <c r="J2406">
        <v>1250.43</v>
      </c>
      <c r="K2406" t="s">
        <v>3697</v>
      </c>
      <c r="L2406" t="s">
        <v>36</v>
      </c>
    </row>
    <row r="2407" spans="1:12" x14ac:dyDescent="0.35">
      <c r="A2407" t="s">
        <v>3766</v>
      </c>
      <c r="B2407" t="s">
        <v>363</v>
      </c>
      <c r="C2407" t="s">
        <v>364</v>
      </c>
      <c r="D2407" t="s">
        <v>32</v>
      </c>
      <c r="E2407" t="s">
        <v>203</v>
      </c>
      <c r="F2407" t="s">
        <v>101</v>
      </c>
      <c r="G2407" t="s">
        <v>237</v>
      </c>
      <c r="H2407">
        <v>3</v>
      </c>
      <c r="I2407">
        <v>387.31</v>
      </c>
      <c r="J2407">
        <v>1161.93</v>
      </c>
      <c r="K2407" t="s">
        <v>404</v>
      </c>
      <c r="L2407" t="s">
        <v>91</v>
      </c>
    </row>
    <row r="2408" spans="1:12" x14ac:dyDescent="0.35">
      <c r="A2408" t="s">
        <v>3767</v>
      </c>
      <c r="B2408" t="s">
        <v>626</v>
      </c>
      <c r="C2408" t="s">
        <v>627</v>
      </c>
      <c r="D2408" t="s">
        <v>32</v>
      </c>
      <c r="E2408" t="s">
        <v>203</v>
      </c>
      <c r="F2408" t="s">
        <v>16</v>
      </c>
      <c r="G2408" t="s">
        <v>17</v>
      </c>
      <c r="H2408">
        <v>2</v>
      </c>
      <c r="I2408">
        <v>778.71</v>
      </c>
      <c r="J2408">
        <v>1557.42</v>
      </c>
      <c r="K2408" t="s">
        <v>1363</v>
      </c>
      <c r="L2408" t="s">
        <v>45</v>
      </c>
    </row>
    <row r="2409" spans="1:12" x14ac:dyDescent="0.35">
      <c r="A2409" t="s">
        <v>3768</v>
      </c>
      <c r="B2409" t="s">
        <v>598</v>
      </c>
      <c r="C2409" t="s">
        <v>599</v>
      </c>
      <c r="D2409" t="s">
        <v>32</v>
      </c>
      <c r="E2409" t="s">
        <v>61</v>
      </c>
      <c r="F2409" t="s">
        <v>50</v>
      </c>
      <c r="G2409" t="s">
        <v>170</v>
      </c>
      <c r="H2409">
        <v>1</v>
      </c>
      <c r="I2409">
        <v>589.24</v>
      </c>
      <c r="J2409">
        <v>589.24</v>
      </c>
      <c r="K2409" t="s">
        <v>3144</v>
      </c>
      <c r="L2409" t="s">
        <v>19</v>
      </c>
    </row>
    <row r="2410" spans="1:12" x14ac:dyDescent="0.35">
      <c r="A2410" t="s">
        <v>3769</v>
      </c>
      <c r="B2410" t="s">
        <v>189</v>
      </c>
      <c r="C2410" t="s">
        <v>190</v>
      </c>
      <c r="D2410" t="s">
        <v>14</v>
      </c>
      <c r="E2410" t="s">
        <v>95</v>
      </c>
      <c r="F2410" t="s">
        <v>25</v>
      </c>
      <c r="G2410" t="s">
        <v>139</v>
      </c>
      <c r="H2410">
        <v>3</v>
      </c>
      <c r="I2410">
        <v>956.96</v>
      </c>
      <c r="J2410">
        <v>2870.88</v>
      </c>
      <c r="K2410" t="s">
        <v>550</v>
      </c>
      <c r="L2410" t="s">
        <v>91</v>
      </c>
    </row>
    <row r="2411" spans="1:12" x14ac:dyDescent="0.35">
      <c r="A2411" t="s">
        <v>3770</v>
      </c>
      <c r="B2411" t="s">
        <v>827</v>
      </c>
      <c r="C2411" t="s">
        <v>828</v>
      </c>
      <c r="D2411" t="s">
        <v>14</v>
      </c>
      <c r="E2411" t="s">
        <v>125</v>
      </c>
      <c r="F2411" t="s">
        <v>16</v>
      </c>
      <c r="G2411" t="s">
        <v>17</v>
      </c>
      <c r="H2411">
        <v>4</v>
      </c>
      <c r="I2411">
        <v>1127.21</v>
      </c>
      <c r="J2411">
        <v>4508.84</v>
      </c>
      <c r="K2411" t="s">
        <v>1536</v>
      </c>
      <c r="L2411" t="s">
        <v>19</v>
      </c>
    </row>
    <row r="2412" spans="1:12" x14ac:dyDescent="0.35">
      <c r="A2412" t="s">
        <v>3771</v>
      </c>
      <c r="B2412" t="s">
        <v>392</v>
      </c>
      <c r="C2412" t="s">
        <v>393</v>
      </c>
      <c r="D2412" t="s">
        <v>14</v>
      </c>
      <c r="E2412" t="s">
        <v>15</v>
      </c>
      <c r="F2412" t="s">
        <v>101</v>
      </c>
      <c r="G2412" t="s">
        <v>102</v>
      </c>
      <c r="H2412">
        <v>4</v>
      </c>
      <c r="I2412">
        <v>1296.17</v>
      </c>
      <c r="J2412">
        <v>5184.68</v>
      </c>
      <c r="K2412" t="s">
        <v>635</v>
      </c>
      <c r="L2412" t="s">
        <v>91</v>
      </c>
    </row>
    <row r="2413" spans="1:12" x14ac:dyDescent="0.35">
      <c r="A2413" t="s">
        <v>3772</v>
      </c>
      <c r="B2413" t="s">
        <v>142</v>
      </c>
      <c r="C2413" t="s">
        <v>143</v>
      </c>
      <c r="D2413" t="s">
        <v>67</v>
      </c>
      <c r="E2413" t="s">
        <v>68</v>
      </c>
      <c r="F2413" t="s">
        <v>25</v>
      </c>
      <c r="G2413" t="s">
        <v>139</v>
      </c>
      <c r="H2413">
        <v>4</v>
      </c>
      <c r="I2413">
        <v>697.28</v>
      </c>
      <c r="J2413">
        <v>2789.12</v>
      </c>
      <c r="K2413" t="s">
        <v>3773</v>
      </c>
      <c r="L2413" t="s">
        <v>91</v>
      </c>
    </row>
    <row r="2414" spans="1:12" x14ac:dyDescent="0.35">
      <c r="A2414" t="s">
        <v>3774</v>
      </c>
      <c r="B2414" t="s">
        <v>98</v>
      </c>
      <c r="C2414" t="s">
        <v>99</v>
      </c>
      <c r="D2414" t="s">
        <v>40</v>
      </c>
      <c r="E2414" t="s">
        <v>79</v>
      </c>
      <c r="F2414" t="s">
        <v>16</v>
      </c>
      <c r="G2414" t="s">
        <v>182</v>
      </c>
      <c r="H2414">
        <v>4</v>
      </c>
      <c r="I2414">
        <v>755.08</v>
      </c>
      <c r="J2414">
        <v>3020.32</v>
      </c>
      <c r="K2414" t="s">
        <v>2298</v>
      </c>
      <c r="L2414" t="s">
        <v>45</v>
      </c>
    </row>
    <row r="2415" spans="1:12" x14ac:dyDescent="0.35">
      <c r="A2415" t="s">
        <v>3775</v>
      </c>
      <c r="B2415" t="s">
        <v>1163</v>
      </c>
      <c r="C2415" t="s">
        <v>1164</v>
      </c>
      <c r="D2415" t="s">
        <v>23</v>
      </c>
      <c r="E2415" t="s">
        <v>24</v>
      </c>
      <c r="F2415" t="s">
        <v>42</v>
      </c>
      <c r="G2415" t="s">
        <v>43</v>
      </c>
      <c r="H2415">
        <v>4</v>
      </c>
      <c r="I2415">
        <v>1429.44</v>
      </c>
      <c r="J2415">
        <v>5717.76</v>
      </c>
      <c r="K2415" t="s">
        <v>2223</v>
      </c>
      <c r="L2415" t="s">
        <v>28</v>
      </c>
    </row>
    <row r="2416" spans="1:12" x14ac:dyDescent="0.35">
      <c r="A2416" t="s">
        <v>3776</v>
      </c>
      <c r="B2416" t="s">
        <v>1428</v>
      </c>
      <c r="C2416" t="s">
        <v>1429</v>
      </c>
      <c r="D2416" t="s">
        <v>14</v>
      </c>
      <c r="E2416" t="s">
        <v>125</v>
      </c>
      <c r="F2416" t="s">
        <v>42</v>
      </c>
      <c r="G2416" t="s">
        <v>43</v>
      </c>
      <c r="H2416">
        <v>1</v>
      </c>
      <c r="I2416">
        <v>851.78</v>
      </c>
      <c r="J2416">
        <v>851.78</v>
      </c>
      <c r="K2416" t="s">
        <v>1336</v>
      </c>
      <c r="L2416" t="s">
        <v>19</v>
      </c>
    </row>
    <row r="2417" spans="1:12" x14ac:dyDescent="0.35">
      <c r="A2417" t="s">
        <v>3777</v>
      </c>
      <c r="B2417" t="s">
        <v>1438</v>
      </c>
      <c r="C2417" t="s">
        <v>1439</v>
      </c>
      <c r="D2417" t="s">
        <v>14</v>
      </c>
      <c r="E2417" t="s">
        <v>266</v>
      </c>
      <c r="F2417" t="s">
        <v>42</v>
      </c>
      <c r="G2417" t="s">
        <v>89</v>
      </c>
      <c r="H2417">
        <v>1</v>
      </c>
      <c r="I2417">
        <v>1006.28</v>
      </c>
      <c r="J2417">
        <v>1006.28</v>
      </c>
      <c r="K2417" t="s">
        <v>2872</v>
      </c>
      <c r="L2417" t="s">
        <v>45</v>
      </c>
    </row>
    <row r="2418" spans="1:12" x14ac:dyDescent="0.35">
      <c r="A2418" t="s">
        <v>3778</v>
      </c>
      <c r="B2418" t="s">
        <v>65</v>
      </c>
      <c r="C2418" t="s">
        <v>66</v>
      </c>
      <c r="D2418" t="s">
        <v>14</v>
      </c>
      <c r="E2418" t="s">
        <v>100</v>
      </c>
      <c r="F2418" t="s">
        <v>42</v>
      </c>
      <c r="G2418" t="s">
        <v>225</v>
      </c>
      <c r="H2418">
        <v>2</v>
      </c>
      <c r="I2418">
        <v>897.59</v>
      </c>
      <c r="J2418">
        <v>1795.18</v>
      </c>
      <c r="K2418" t="s">
        <v>2884</v>
      </c>
      <c r="L2418" t="s">
        <v>19</v>
      </c>
    </row>
    <row r="2419" spans="1:12" x14ac:dyDescent="0.35">
      <c r="A2419" t="s">
        <v>3779</v>
      </c>
      <c r="B2419" t="s">
        <v>723</v>
      </c>
      <c r="C2419" t="s">
        <v>724</v>
      </c>
      <c r="D2419" t="s">
        <v>23</v>
      </c>
      <c r="E2419" t="s">
        <v>338</v>
      </c>
      <c r="F2419" t="s">
        <v>50</v>
      </c>
      <c r="G2419" t="s">
        <v>69</v>
      </c>
      <c r="H2419">
        <v>5</v>
      </c>
      <c r="I2419">
        <v>362.77</v>
      </c>
      <c r="J2419">
        <v>1813.85</v>
      </c>
      <c r="K2419" t="s">
        <v>1654</v>
      </c>
      <c r="L2419" t="s">
        <v>19</v>
      </c>
    </row>
    <row r="2420" spans="1:12" x14ac:dyDescent="0.35">
      <c r="A2420" t="s">
        <v>3780</v>
      </c>
      <c r="B2420" t="s">
        <v>1159</v>
      </c>
      <c r="C2420" t="s">
        <v>1160</v>
      </c>
      <c r="D2420" t="s">
        <v>14</v>
      </c>
      <c r="E2420" t="s">
        <v>95</v>
      </c>
      <c r="F2420" t="s">
        <v>50</v>
      </c>
      <c r="G2420" t="s">
        <v>56</v>
      </c>
      <c r="H2420">
        <v>3</v>
      </c>
      <c r="I2420">
        <v>1190.1199999999999</v>
      </c>
      <c r="J2420">
        <v>3570.36</v>
      </c>
      <c r="K2420" t="s">
        <v>987</v>
      </c>
      <c r="L2420" t="s">
        <v>36</v>
      </c>
    </row>
    <row r="2421" spans="1:12" x14ac:dyDescent="0.35">
      <c r="A2421" t="s">
        <v>3781</v>
      </c>
      <c r="B2421" t="s">
        <v>418</v>
      </c>
      <c r="C2421" t="s">
        <v>419</v>
      </c>
      <c r="D2421" t="s">
        <v>32</v>
      </c>
      <c r="E2421" t="s">
        <v>203</v>
      </c>
      <c r="F2421" t="s">
        <v>101</v>
      </c>
      <c r="G2421" t="s">
        <v>165</v>
      </c>
      <c r="H2421">
        <v>4</v>
      </c>
      <c r="I2421">
        <v>529.71</v>
      </c>
      <c r="J2421">
        <v>2118.84</v>
      </c>
      <c r="K2421" t="s">
        <v>410</v>
      </c>
      <c r="L2421" t="s">
        <v>45</v>
      </c>
    </row>
    <row r="2422" spans="1:12" x14ac:dyDescent="0.35">
      <c r="A2422" t="s">
        <v>3782</v>
      </c>
      <c r="B2422" t="s">
        <v>785</v>
      </c>
      <c r="C2422" t="s">
        <v>786</v>
      </c>
      <c r="D2422" t="s">
        <v>67</v>
      </c>
      <c r="E2422" t="s">
        <v>115</v>
      </c>
      <c r="F2422" t="s">
        <v>25</v>
      </c>
      <c r="G2422" t="s">
        <v>62</v>
      </c>
      <c r="H2422">
        <v>4</v>
      </c>
      <c r="I2422">
        <v>578.64</v>
      </c>
      <c r="J2422">
        <v>2314.56</v>
      </c>
      <c r="K2422" t="s">
        <v>1110</v>
      </c>
      <c r="L2422" t="s">
        <v>91</v>
      </c>
    </row>
    <row r="2423" spans="1:12" x14ac:dyDescent="0.35">
      <c r="A2423" t="s">
        <v>3783</v>
      </c>
      <c r="B2423" t="s">
        <v>287</v>
      </c>
      <c r="C2423" t="s">
        <v>288</v>
      </c>
      <c r="D2423" t="s">
        <v>32</v>
      </c>
      <c r="E2423" t="s">
        <v>33</v>
      </c>
      <c r="F2423" t="s">
        <v>101</v>
      </c>
      <c r="G2423" t="s">
        <v>649</v>
      </c>
      <c r="H2423">
        <v>4</v>
      </c>
      <c r="I2423">
        <v>1441.21</v>
      </c>
      <c r="J2423">
        <v>5764.84</v>
      </c>
      <c r="K2423" t="s">
        <v>283</v>
      </c>
      <c r="L2423" t="s">
        <v>19</v>
      </c>
    </row>
    <row r="2424" spans="1:12" x14ac:dyDescent="0.35">
      <c r="A2424" t="s">
        <v>3784</v>
      </c>
      <c r="B2424" t="s">
        <v>470</v>
      </c>
      <c r="C2424" t="s">
        <v>471</v>
      </c>
      <c r="D2424" t="s">
        <v>14</v>
      </c>
      <c r="E2424" t="s">
        <v>100</v>
      </c>
      <c r="F2424" t="s">
        <v>42</v>
      </c>
      <c r="G2424" t="s">
        <v>225</v>
      </c>
      <c r="H2424">
        <v>4</v>
      </c>
      <c r="I2424">
        <v>860.49</v>
      </c>
      <c r="J2424">
        <v>3441.96</v>
      </c>
      <c r="K2424" t="s">
        <v>3200</v>
      </c>
      <c r="L2424" t="s">
        <v>91</v>
      </c>
    </row>
    <row r="2425" spans="1:12" x14ac:dyDescent="0.35">
      <c r="A2425" t="s">
        <v>3785</v>
      </c>
      <c r="B2425" t="s">
        <v>536</v>
      </c>
      <c r="C2425" t="s">
        <v>537</v>
      </c>
      <c r="D2425" t="s">
        <v>67</v>
      </c>
      <c r="E2425" t="s">
        <v>130</v>
      </c>
      <c r="F2425" t="s">
        <v>16</v>
      </c>
      <c r="G2425" t="s">
        <v>17</v>
      </c>
      <c r="H2425">
        <v>1</v>
      </c>
      <c r="I2425">
        <v>1043.31</v>
      </c>
      <c r="J2425">
        <v>1043.31</v>
      </c>
      <c r="K2425" t="s">
        <v>906</v>
      </c>
      <c r="L2425" t="s">
        <v>19</v>
      </c>
    </row>
    <row r="2426" spans="1:12" x14ac:dyDescent="0.35">
      <c r="A2426" t="s">
        <v>3786</v>
      </c>
      <c r="B2426" t="s">
        <v>594</v>
      </c>
      <c r="C2426" t="s">
        <v>595</v>
      </c>
      <c r="D2426" t="s">
        <v>40</v>
      </c>
      <c r="E2426" t="s">
        <v>120</v>
      </c>
      <c r="F2426" t="s">
        <v>50</v>
      </c>
      <c r="G2426" t="s">
        <v>170</v>
      </c>
      <c r="H2426">
        <v>1</v>
      </c>
      <c r="I2426">
        <v>103.63</v>
      </c>
      <c r="J2426">
        <v>103.63</v>
      </c>
      <c r="K2426" t="s">
        <v>1124</v>
      </c>
      <c r="L2426" t="s">
        <v>45</v>
      </c>
    </row>
    <row r="2427" spans="1:12" x14ac:dyDescent="0.35">
      <c r="A2427" t="s">
        <v>3787</v>
      </c>
      <c r="B2427" t="s">
        <v>450</v>
      </c>
      <c r="C2427" t="s">
        <v>451</v>
      </c>
      <c r="D2427" t="s">
        <v>23</v>
      </c>
      <c r="E2427" t="s">
        <v>338</v>
      </c>
      <c r="F2427" t="s">
        <v>50</v>
      </c>
      <c r="G2427" t="s">
        <v>51</v>
      </c>
      <c r="H2427">
        <v>5</v>
      </c>
      <c r="I2427">
        <v>1240.3</v>
      </c>
      <c r="J2427">
        <v>6201.5</v>
      </c>
      <c r="K2427" t="s">
        <v>103</v>
      </c>
      <c r="L2427" t="s">
        <v>28</v>
      </c>
    </row>
    <row r="2428" spans="1:12" x14ac:dyDescent="0.35">
      <c r="A2428" t="s">
        <v>3788</v>
      </c>
      <c r="B2428" t="s">
        <v>325</v>
      </c>
      <c r="C2428" t="s">
        <v>326</v>
      </c>
      <c r="D2428" t="s">
        <v>23</v>
      </c>
      <c r="E2428" t="s">
        <v>24</v>
      </c>
      <c r="F2428" t="s">
        <v>42</v>
      </c>
      <c r="G2428" t="s">
        <v>80</v>
      </c>
      <c r="H2428">
        <v>4</v>
      </c>
      <c r="I2428">
        <v>648.53</v>
      </c>
      <c r="J2428">
        <v>2594.12</v>
      </c>
      <c r="K2428" t="s">
        <v>692</v>
      </c>
      <c r="L2428" t="s">
        <v>28</v>
      </c>
    </row>
    <row r="2429" spans="1:12" x14ac:dyDescent="0.35">
      <c r="A2429" t="s">
        <v>3789</v>
      </c>
      <c r="B2429" t="s">
        <v>590</v>
      </c>
      <c r="C2429" t="s">
        <v>591</v>
      </c>
      <c r="D2429" t="s">
        <v>67</v>
      </c>
      <c r="E2429" t="s">
        <v>115</v>
      </c>
      <c r="F2429" t="s">
        <v>16</v>
      </c>
      <c r="G2429" t="s">
        <v>177</v>
      </c>
      <c r="H2429">
        <v>5</v>
      </c>
      <c r="I2429">
        <v>1053.6500000000001</v>
      </c>
      <c r="J2429">
        <v>5268.25</v>
      </c>
      <c r="K2429" t="s">
        <v>3790</v>
      </c>
      <c r="L2429" t="s">
        <v>91</v>
      </c>
    </row>
    <row r="2430" spans="1:12" x14ac:dyDescent="0.35">
      <c r="A2430" t="s">
        <v>3791</v>
      </c>
      <c r="B2430" t="s">
        <v>155</v>
      </c>
      <c r="C2430" t="s">
        <v>156</v>
      </c>
      <c r="D2430" t="s">
        <v>40</v>
      </c>
      <c r="E2430" t="s">
        <v>120</v>
      </c>
      <c r="F2430" t="s">
        <v>42</v>
      </c>
      <c r="G2430" t="s">
        <v>170</v>
      </c>
      <c r="H2430">
        <v>1</v>
      </c>
      <c r="I2430">
        <v>632.86</v>
      </c>
      <c r="J2430">
        <v>632.86</v>
      </c>
      <c r="K2430" t="s">
        <v>305</v>
      </c>
      <c r="L2430" t="s">
        <v>19</v>
      </c>
    </row>
    <row r="2431" spans="1:12" x14ac:dyDescent="0.35">
      <c r="A2431" t="s">
        <v>3792</v>
      </c>
      <c r="B2431" t="s">
        <v>185</v>
      </c>
      <c r="C2431" t="s">
        <v>186</v>
      </c>
      <c r="D2431" t="s">
        <v>14</v>
      </c>
      <c r="E2431" t="s">
        <v>266</v>
      </c>
      <c r="F2431" t="s">
        <v>42</v>
      </c>
      <c r="G2431" t="s">
        <v>43</v>
      </c>
      <c r="H2431">
        <v>1</v>
      </c>
      <c r="I2431">
        <v>1322.52</v>
      </c>
      <c r="J2431">
        <v>1322.52</v>
      </c>
      <c r="K2431" t="s">
        <v>262</v>
      </c>
      <c r="L2431" t="s">
        <v>36</v>
      </c>
    </row>
    <row r="2432" spans="1:12" x14ac:dyDescent="0.35">
      <c r="A2432" t="s">
        <v>3793</v>
      </c>
      <c r="B2432" t="s">
        <v>611</v>
      </c>
      <c r="C2432" t="s">
        <v>612</v>
      </c>
      <c r="D2432" t="s">
        <v>67</v>
      </c>
      <c r="E2432" t="s">
        <v>130</v>
      </c>
      <c r="F2432" t="s">
        <v>16</v>
      </c>
      <c r="G2432" t="s">
        <v>230</v>
      </c>
      <c r="H2432">
        <v>4</v>
      </c>
      <c r="I2432">
        <v>1003.53</v>
      </c>
      <c r="J2432">
        <v>4014.12</v>
      </c>
      <c r="K2432" t="s">
        <v>416</v>
      </c>
      <c r="L2432" t="s">
        <v>28</v>
      </c>
    </row>
    <row r="2433" spans="1:12" x14ac:dyDescent="0.35">
      <c r="A2433" t="s">
        <v>3794</v>
      </c>
      <c r="B2433" t="s">
        <v>325</v>
      </c>
      <c r="C2433" t="s">
        <v>326</v>
      </c>
      <c r="D2433" t="s">
        <v>32</v>
      </c>
      <c r="E2433" t="s">
        <v>203</v>
      </c>
      <c r="F2433" t="s">
        <v>25</v>
      </c>
      <c r="G2433" t="s">
        <v>34</v>
      </c>
      <c r="H2433">
        <v>1</v>
      </c>
      <c r="I2433">
        <v>883.17</v>
      </c>
      <c r="J2433">
        <v>883.17</v>
      </c>
      <c r="K2433" t="s">
        <v>3064</v>
      </c>
      <c r="L2433" t="s">
        <v>28</v>
      </c>
    </row>
    <row r="2434" spans="1:12" x14ac:dyDescent="0.35">
      <c r="A2434" t="s">
        <v>3795</v>
      </c>
      <c r="B2434" t="s">
        <v>1246</v>
      </c>
      <c r="C2434" t="s">
        <v>1247</v>
      </c>
      <c r="D2434" t="s">
        <v>67</v>
      </c>
      <c r="E2434" t="s">
        <v>68</v>
      </c>
      <c r="F2434" t="s">
        <v>42</v>
      </c>
      <c r="G2434" t="s">
        <v>170</v>
      </c>
      <c r="H2434">
        <v>2</v>
      </c>
      <c r="I2434">
        <v>395.68</v>
      </c>
      <c r="J2434">
        <v>791.36</v>
      </c>
      <c r="K2434" t="s">
        <v>1147</v>
      </c>
      <c r="L2434" t="s">
        <v>28</v>
      </c>
    </row>
    <row r="2435" spans="1:12" x14ac:dyDescent="0.35">
      <c r="A2435" t="s">
        <v>3796</v>
      </c>
      <c r="B2435" t="s">
        <v>555</v>
      </c>
      <c r="C2435" t="s">
        <v>556</v>
      </c>
      <c r="D2435" t="s">
        <v>14</v>
      </c>
      <c r="E2435" t="s">
        <v>15</v>
      </c>
      <c r="F2435" t="s">
        <v>101</v>
      </c>
      <c r="G2435" t="s">
        <v>649</v>
      </c>
      <c r="H2435">
        <v>5</v>
      </c>
      <c r="I2435">
        <v>768.44</v>
      </c>
      <c r="J2435">
        <v>3842.2</v>
      </c>
      <c r="K2435" t="s">
        <v>1103</v>
      </c>
      <c r="L2435" t="s">
        <v>19</v>
      </c>
    </row>
    <row r="2436" spans="1:12" x14ac:dyDescent="0.35">
      <c r="A2436" t="s">
        <v>3797</v>
      </c>
      <c r="B2436" t="s">
        <v>1001</v>
      </c>
      <c r="C2436" t="s">
        <v>1002</v>
      </c>
      <c r="D2436" t="s">
        <v>32</v>
      </c>
      <c r="E2436" t="s">
        <v>61</v>
      </c>
      <c r="F2436" t="s">
        <v>25</v>
      </c>
      <c r="G2436" t="s">
        <v>34</v>
      </c>
      <c r="H2436">
        <v>5</v>
      </c>
      <c r="I2436">
        <v>56.12</v>
      </c>
      <c r="J2436">
        <v>280.60000000000002</v>
      </c>
      <c r="K2436" t="s">
        <v>468</v>
      </c>
      <c r="L2436" t="s">
        <v>28</v>
      </c>
    </row>
    <row r="2437" spans="1:12" x14ac:dyDescent="0.35">
      <c r="A2437" t="s">
        <v>3798</v>
      </c>
      <c r="B2437" t="s">
        <v>392</v>
      </c>
      <c r="C2437" t="s">
        <v>393</v>
      </c>
      <c r="D2437" t="s">
        <v>14</v>
      </c>
      <c r="E2437" t="s">
        <v>95</v>
      </c>
      <c r="F2437" t="s">
        <v>42</v>
      </c>
      <c r="G2437" t="s">
        <v>80</v>
      </c>
      <c r="H2437">
        <v>5</v>
      </c>
      <c r="I2437">
        <v>1065.9100000000001</v>
      </c>
      <c r="J2437">
        <v>5329.55</v>
      </c>
      <c r="K2437" t="s">
        <v>1560</v>
      </c>
      <c r="L2437" t="s">
        <v>91</v>
      </c>
    </row>
    <row r="2438" spans="1:12" x14ac:dyDescent="0.35">
      <c r="A2438" t="s">
        <v>3799</v>
      </c>
      <c r="B2438" t="s">
        <v>315</v>
      </c>
      <c r="C2438" t="s">
        <v>316</v>
      </c>
      <c r="D2438" t="s">
        <v>32</v>
      </c>
      <c r="E2438" t="s">
        <v>33</v>
      </c>
      <c r="F2438" t="s">
        <v>101</v>
      </c>
      <c r="G2438" t="s">
        <v>373</v>
      </c>
      <c r="H2438">
        <v>5</v>
      </c>
      <c r="I2438">
        <v>337.32</v>
      </c>
      <c r="J2438">
        <v>1686.6</v>
      </c>
      <c r="K2438" t="s">
        <v>309</v>
      </c>
      <c r="L2438" t="s">
        <v>36</v>
      </c>
    </row>
    <row r="2439" spans="1:12" x14ac:dyDescent="0.35">
      <c r="A2439" t="s">
        <v>3800</v>
      </c>
      <c r="B2439" t="s">
        <v>718</v>
      </c>
      <c r="C2439" t="s">
        <v>719</v>
      </c>
      <c r="D2439" t="s">
        <v>40</v>
      </c>
      <c r="E2439" t="s">
        <v>120</v>
      </c>
      <c r="F2439" t="s">
        <v>42</v>
      </c>
      <c r="G2439" t="s">
        <v>80</v>
      </c>
      <c r="H2439">
        <v>4</v>
      </c>
      <c r="I2439">
        <v>59.19</v>
      </c>
      <c r="J2439">
        <v>236.76</v>
      </c>
      <c r="K2439" t="s">
        <v>1547</v>
      </c>
      <c r="L2439" t="s">
        <v>91</v>
      </c>
    </row>
    <row r="2440" spans="1:12" x14ac:dyDescent="0.35">
      <c r="A2440" t="s">
        <v>3801</v>
      </c>
      <c r="B2440" t="s">
        <v>1307</v>
      </c>
      <c r="C2440" t="s">
        <v>1308</v>
      </c>
      <c r="D2440" t="s">
        <v>23</v>
      </c>
      <c r="E2440" t="s">
        <v>49</v>
      </c>
      <c r="F2440" t="s">
        <v>50</v>
      </c>
      <c r="G2440" t="s">
        <v>69</v>
      </c>
      <c r="H2440">
        <v>4</v>
      </c>
      <c r="I2440">
        <v>1090.3</v>
      </c>
      <c r="J2440">
        <v>4361.2</v>
      </c>
      <c r="K2440" t="s">
        <v>713</v>
      </c>
      <c r="L2440" t="s">
        <v>45</v>
      </c>
    </row>
    <row r="2441" spans="1:12" x14ac:dyDescent="0.35">
      <c r="A2441" t="s">
        <v>3802</v>
      </c>
      <c r="B2441" t="s">
        <v>1354</v>
      </c>
      <c r="C2441" t="s">
        <v>1355</v>
      </c>
      <c r="D2441" t="s">
        <v>40</v>
      </c>
      <c r="E2441" t="s">
        <v>41</v>
      </c>
      <c r="F2441" t="s">
        <v>101</v>
      </c>
      <c r="G2441" t="s">
        <v>102</v>
      </c>
      <c r="H2441">
        <v>5</v>
      </c>
      <c r="I2441">
        <v>1046.8599999999999</v>
      </c>
      <c r="J2441">
        <v>5234.3</v>
      </c>
      <c r="K2441" t="s">
        <v>187</v>
      </c>
      <c r="L2441" t="s">
        <v>36</v>
      </c>
    </row>
    <row r="2442" spans="1:12" x14ac:dyDescent="0.35">
      <c r="A2442" t="s">
        <v>3803</v>
      </c>
      <c r="B2442" t="s">
        <v>904</v>
      </c>
      <c r="C2442" t="s">
        <v>905</v>
      </c>
      <c r="D2442" t="s">
        <v>14</v>
      </c>
      <c r="E2442" t="s">
        <v>266</v>
      </c>
      <c r="F2442" t="s">
        <v>16</v>
      </c>
      <c r="G2442" t="s">
        <v>230</v>
      </c>
      <c r="H2442">
        <v>1</v>
      </c>
      <c r="I2442">
        <v>1484.92</v>
      </c>
      <c r="J2442">
        <v>1484.92</v>
      </c>
      <c r="K2442" t="s">
        <v>1612</v>
      </c>
      <c r="L2442" t="s">
        <v>28</v>
      </c>
    </row>
    <row r="2443" spans="1:12" x14ac:dyDescent="0.35">
      <c r="A2443" t="s">
        <v>3804</v>
      </c>
      <c r="B2443" t="s">
        <v>367</v>
      </c>
      <c r="C2443" t="s">
        <v>368</v>
      </c>
      <c r="D2443" t="s">
        <v>14</v>
      </c>
      <c r="E2443" t="s">
        <v>100</v>
      </c>
      <c r="F2443" t="s">
        <v>42</v>
      </c>
      <c r="G2443" t="s">
        <v>43</v>
      </c>
      <c r="H2443">
        <v>4</v>
      </c>
      <c r="I2443">
        <v>1359.17</v>
      </c>
      <c r="J2443">
        <v>5436.68</v>
      </c>
      <c r="K2443" t="s">
        <v>271</v>
      </c>
      <c r="L2443" t="s">
        <v>36</v>
      </c>
    </row>
    <row r="2444" spans="1:12" x14ac:dyDescent="0.35">
      <c r="A2444" t="s">
        <v>3805</v>
      </c>
      <c r="B2444" t="s">
        <v>155</v>
      </c>
      <c r="C2444" t="s">
        <v>156</v>
      </c>
      <c r="D2444" t="s">
        <v>32</v>
      </c>
      <c r="E2444" t="s">
        <v>203</v>
      </c>
      <c r="F2444" t="s">
        <v>16</v>
      </c>
      <c r="G2444" t="s">
        <v>177</v>
      </c>
      <c r="H2444">
        <v>1</v>
      </c>
      <c r="I2444">
        <v>1360.81</v>
      </c>
      <c r="J2444">
        <v>1360.81</v>
      </c>
      <c r="K2444" t="s">
        <v>1649</v>
      </c>
      <c r="L2444" t="s">
        <v>28</v>
      </c>
    </row>
    <row r="2445" spans="1:12" x14ac:dyDescent="0.35">
      <c r="A2445" t="s">
        <v>3806</v>
      </c>
      <c r="B2445" t="s">
        <v>359</v>
      </c>
      <c r="C2445" t="s">
        <v>360</v>
      </c>
      <c r="D2445" t="s">
        <v>32</v>
      </c>
      <c r="E2445" t="s">
        <v>61</v>
      </c>
      <c r="F2445" t="s">
        <v>25</v>
      </c>
      <c r="G2445" t="s">
        <v>34</v>
      </c>
      <c r="H2445">
        <v>3</v>
      </c>
      <c r="I2445">
        <v>434.92</v>
      </c>
      <c r="J2445">
        <v>1304.76</v>
      </c>
      <c r="K2445" t="s">
        <v>1691</v>
      </c>
      <c r="L2445" t="s">
        <v>36</v>
      </c>
    </row>
    <row r="2446" spans="1:12" x14ac:dyDescent="0.35">
      <c r="A2446" t="s">
        <v>3807</v>
      </c>
      <c r="B2446" t="s">
        <v>384</v>
      </c>
      <c r="C2446" t="s">
        <v>385</v>
      </c>
      <c r="D2446" t="s">
        <v>67</v>
      </c>
      <c r="E2446" t="s">
        <v>68</v>
      </c>
      <c r="F2446" t="s">
        <v>50</v>
      </c>
      <c r="G2446" t="s">
        <v>69</v>
      </c>
      <c r="H2446">
        <v>5</v>
      </c>
      <c r="I2446">
        <v>42.02</v>
      </c>
      <c r="J2446">
        <v>210.1</v>
      </c>
      <c r="K2446" t="s">
        <v>1562</v>
      </c>
      <c r="L2446" t="s">
        <v>91</v>
      </c>
    </row>
    <row r="2447" spans="1:12" x14ac:dyDescent="0.35">
      <c r="A2447" t="s">
        <v>3808</v>
      </c>
      <c r="B2447" t="s">
        <v>868</v>
      </c>
      <c r="C2447" t="s">
        <v>869</v>
      </c>
      <c r="D2447" t="s">
        <v>14</v>
      </c>
      <c r="E2447" t="s">
        <v>95</v>
      </c>
      <c r="F2447" t="s">
        <v>42</v>
      </c>
      <c r="G2447" t="s">
        <v>225</v>
      </c>
      <c r="H2447">
        <v>2</v>
      </c>
      <c r="I2447">
        <v>595.33000000000004</v>
      </c>
      <c r="J2447">
        <v>1190.6600000000001</v>
      </c>
      <c r="K2447" t="s">
        <v>149</v>
      </c>
      <c r="L2447" t="s">
        <v>28</v>
      </c>
    </row>
    <row r="2448" spans="1:12" x14ac:dyDescent="0.35">
      <c r="A2448" t="s">
        <v>3809</v>
      </c>
      <c r="B2448" t="s">
        <v>1144</v>
      </c>
      <c r="C2448" t="s">
        <v>1145</v>
      </c>
      <c r="D2448" t="s">
        <v>32</v>
      </c>
      <c r="E2448" t="s">
        <v>61</v>
      </c>
      <c r="F2448" t="s">
        <v>25</v>
      </c>
      <c r="G2448" t="s">
        <v>62</v>
      </c>
      <c r="H2448">
        <v>1</v>
      </c>
      <c r="I2448">
        <v>332.71</v>
      </c>
      <c r="J2448">
        <v>332.71</v>
      </c>
      <c r="K2448" t="s">
        <v>1787</v>
      </c>
      <c r="L2448" t="s">
        <v>36</v>
      </c>
    </row>
    <row r="2449" spans="1:12" x14ac:dyDescent="0.35">
      <c r="A2449" t="s">
        <v>3810</v>
      </c>
      <c r="B2449" t="s">
        <v>947</v>
      </c>
      <c r="C2449" t="s">
        <v>948</v>
      </c>
      <c r="D2449" t="s">
        <v>14</v>
      </c>
      <c r="E2449" t="s">
        <v>95</v>
      </c>
      <c r="F2449" t="s">
        <v>25</v>
      </c>
      <c r="G2449" t="s">
        <v>34</v>
      </c>
      <c r="H2449">
        <v>2</v>
      </c>
      <c r="I2449">
        <v>1472.61</v>
      </c>
      <c r="J2449">
        <v>2945.22</v>
      </c>
      <c r="K2449" t="s">
        <v>3425</v>
      </c>
      <c r="L2449" t="s">
        <v>19</v>
      </c>
    </row>
    <row r="2450" spans="1:12" x14ac:dyDescent="0.35">
      <c r="A2450" t="s">
        <v>3811</v>
      </c>
      <c r="B2450" t="s">
        <v>1179</v>
      </c>
      <c r="C2450" t="s">
        <v>1180</v>
      </c>
      <c r="D2450" t="s">
        <v>23</v>
      </c>
      <c r="E2450" t="s">
        <v>338</v>
      </c>
      <c r="F2450" t="s">
        <v>101</v>
      </c>
      <c r="G2450" t="s">
        <v>373</v>
      </c>
      <c r="H2450">
        <v>4</v>
      </c>
      <c r="I2450">
        <v>498.3</v>
      </c>
      <c r="J2450">
        <v>1993.2</v>
      </c>
      <c r="K2450" t="s">
        <v>204</v>
      </c>
      <c r="L2450" t="s">
        <v>45</v>
      </c>
    </row>
    <row r="2451" spans="1:12" x14ac:dyDescent="0.35">
      <c r="A2451" t="s">
        <v>3812</v>
      </c>
      <c r="B2451" t="s">
        <v>367</v>
      </c>
      <c r="C2451" t="s">
        <v>368</v>
      </c>
      <c r="D2451" t="s">
        <v>67</v>
      </c>
      <c r="E2451" t="s">
        <v>68</v>
      </c>
      <c r="F2451" t="s">
        <v>101</v>
      </c>
      <c r="G2451" t="s">
        <v>373</v>
      </c>
      <c r="H2451">
        <v>4</v>
      </c>
      <c r="I2451">
        <v>731.14</v>
      </c>
      <c r="J2451">
        <v>2924.56</v>
      </c>
      <c r="K2451" t="s">
        <v>1503</v>
      </c>
      <c r="L2451" t="s">
        <v>19</v>
      </c>
    </row>
    <row r="2452" spans="1:12" x14ac:dyDescent="0.35">
      <c r="A2452" t="s">
        <v>3813</v>
      </c>
      <c r="B2452" t="s">
        <v>1369</v>
      </c>
      <c r="C2452" t="s">
        <v>1370</v>
      </c>
      <c r="D2452" t="s">
        <v>40</v>
      </c>
      <c r="E2452" t="s">
        <v>79</v>
      </c>
      <c r="F2452" t="s">
        <v>16</v>
      </c>
      <c r="G2452" t="s">
        <v>148</v>
      </c>
      <c r="H2452">
        <v>2</v>
      </c>
      <c r="I2452">
        <v>1397.24</v>
      </c>
      <c r="J2452">
        <v>2794.48</v>
      </c>
      <c r="K2452" t="s">
        <v>1327</v>
      </c>
      <c r="L2452" t="s">
        <v>28</v>
      </c>
    </row>
    <row r="2453" spans="1:12" x14ac:dyDescent="0.35">
      <c r="A2453" t="s">
        <v>3814</v>
      </c>
      <c r="B2453" t="s">
        <v>151</v>
      </c>
      <c r="C2453" t="s">
        <v>152</v>
      </c>
      <c r="D2453" t="s">
        <v>14</v>
      </c>
      <c r="E2453" t="s">
        <v>266</v>
      </c>
      <c r="F2453" t="s">
        <v>42</v>
      </c>
      <c r="G2453" t="s">
        <v>89</v>
      </c>
      <c r="H2453">
        <v>2</v>
      </c>
      <c r="I2453">
        <v>825.84</v>
      </c>
      <c r="J2453">
        <v>1651.68</v>
      </c>
      <c r="K2453" t="s">
        <v>90</v>
      </c>
      <c r="L2453" t="s">
        <v>45</v>
      </c>
    </row>
    <row r="2454" spans="1:12" x14ac:dyDescent="0.35">
      <c r="A2454" t="s">
        <v>3815</v>
      </c>
      <c r="B2454" t="s">
        <v>1203</v>
      </c>
      <c r="C2454" t="s">
        <v>1204</v>
      </c>
      <c r="D2454" t="s">
        <v>32</v>
      </c>
      <c r="E2454" t="s">
        <v>203</v>
      </c>
      <c r="F2454" t="s">
        <v>50</v>
      </c>
      <c r="G2454" t="s">
        <v>170</v>
      </c>
      <c r="H2454">
        <v>3</v>
      </c>
      <c r="I2454">
        <v>1439.32</v>
      </c>
      <c r="J2454">
        <v>4317.96</v>
      </c>
      <c r="K2454" t="s">
        <v>3524</v>
      </c>
      <c r="L2454" t="s">
        <v>19</v>
      </c>
    </row>
    <row r="2455" spans="1:12" x14ac:dyDescent="0.35">
      <c r="A2455" t="s">
        <v>3816</v>
      </c>
      <c r="B2455" t="s">
        <v>1018</v>
      </c>
      <c r="C2455" t="s">
        <v>1019</v>
      </c>
      <c r="D2455" t="s">
        <v>67</v>
      </c>
      <c r="E2455" t="s">
        <v>115</v>
      </c>
      <c r="F2455" t="s">
        <v>42</v>
      </c>
      <c r="G2455" t="s">
        <v>225</v>
      </c>
      <c r="H2455">
        <v>5</v>
      </c>
      <c r="I2455">
        <v>1109.3900000000001</v>
      </c>
      <c r="J2455">
        <v>5546.95</v>
      </c>
      <c r="K2455" t="s">
        <v>416</v>
      </c>
      <c r="L2455" t="s">
        <v>28</v>
      </c>
    </row>
    <row r="2456" spans="1:12" x14ac:dyDescent="0.35">
      <c r="A2456" t="s">
        <v>3817</v>
      </c>
      <c r="B2456" t="s">
        <v>137</v>
      </c>
      <c r="C2456" t="s">
        <v>138</v>
      </c>
      <c r="D2456" t="s">
        <v>14</v>
      </c>
      <c r="E2456" t="s">
        <v>15</v>
      </c>
      <c r="F2456" t="s">
        <v>16</v>
      </c>
      <c r="G2456" t="s">
        <v>177</v>
      </c>
      <c r="H2456">
        <v>1</v>
      </c>
      <c r="I2456">
        <v>244.96</v>
      </c>
      <c r="J2456">
        <v>244.96</v>
      </c>
      <c r="K2456" t="s">
        <v>1395</v>
      </c>
      <c r="L2456" t="s">
        <v>91</v>
      </c>
    </row>
    <row r="2457" spans="1:12" x14ac:dyDescent="0.35">
      <c r="A2457" t="s">
        <v>3818</v>
      </c>
      <c r="B2457" t="s">
        <v>264</v>
      </c>
      <c r="C2457" t="s">
        <v>265</v>
      </c>
      <c r="D2457" t="s">
        <v>14</v>
      </c>
      <c r="E2457" t="s">
        <v>125</v>
      </c>
      <c r="F2457" t="s">
        <v>101</v>
      </c>
      <c r="G2457" t="s">
        <v>165</v>
      </c>
      <c r="H2457">
        <v>3</v>
      </c>
      <c r="I2457">
        <v>1186.57</v>
      </c>
      <c r="J2457">
        <v>3559.71</v>
      </c>
      <c r="K2457" t="s">
        <v>2193</v>
      </c>
      <c r="L2457" t="s">
        <v>91</v>
      </c>
    </row>
    <row r="2458" spans="1:12" x14ac:dyDescent="0.35">
      <c r="A2458" t="s">
        <v>3819</v>
      </c>
      <c r="B2458" t="s">
        <v>235</v>
      </c>
      <c r="C2458" t="s">
        <v>236</v>
      </c>
      <c r="D2458" t="s">
        <v>14</v>
      </c>
      <c r="E2458" t="s">
        <v>266</v>
      </c>
      <c r="F2458" t="s">
        <v>16</v>
      </c>
      <c r="G2458" t="s">
        <v>230</v>
      </c>
      <c r="H2458">
        <v>4</v>
      </c>
      <c r="I2458">
        <v>1416.94</v>
      </c>
      <c r="J2458">
        <v>5667.76</v>
      </c>
      <c r="K2458" t="s">
        <v>1927</v>
      </c>
      <c r="L2458" t="s">
        <v>45</v>
      </c>
    </row>
    <row r="2459" spans="1:12" x14ac:dyDescent="0.35">
      <c r="A2459" t="s">
        <v>3820</v>
      </c>
      <c r="B2459" t="s">
        <v>1246</v>
      </c>
      <c r="C2459" t="s">
        <v>1247</v>
      </c>
      <c r="D2459" t="s">
        <v>14</v>
      </c>
      <c r="E2459" t="s">
        <v>125</v>
      </c>
      <c r="F2459" t="s">
        <v>16</v>
      </c>
      <c r="G2459" t="s">
        <v>177</v>
      </c>
      <c r="H2459">
        <v>5</v>
      </c>
      <c r="I2459">
        <v>137.96</v>
      </c>
      <c r="J2459">
        <v>689.8</v>
      </c>
      <c r="K2459" t="s">
        <v>27</v>
      </c>
      <c r="L2459" t="s">
        <v>36</v>
      </c>
    </row>
    <row r="2460" spans="1:12" x14ac:dyDescent="0.35">
      <c r="A2460" t="s">
        <v>3821</v>
      </c>
      <c r="B2460" t="s">
        <v>492</v>
      </c>
      <c r="C2460" t="s">
        <v>493</v>
      </c>
      <c r="D2460" t="s">
        <v>67</v>
      </c>
      <c r="E2460" t="s">
        <v>115</v>
      </c>
      <c r="F2460" t="s">
        <v>42</v>
      </c>
      <c r="G2460" t="s">
        <v>225</v>
      </c>
      <c r="H2460">
        <v>4</v>
      </c>
      <c r="I2460">
        <v>1059.1300000000001</v>
      </c>
      <c r="J2460">
        <v>4236.5200000000004</v>
      </c>
      <c r="K2460" t="s">
        <v>2076</v>
      </c>
      <c r="L2460" t="s">
        <v>28</v>
      </c>
    </row>
    <row r="2461" spans="1:12" x14ac:dyDescent="0.35">
      <c r="A2461" t="s">
        <v>3822</v>
      </c>
      <c r="B2461" t="s">
        <v>348</v>
      </c>
      <c r="C2461" t="s">
        <v>349</v>
      </c>
      <c r="D2461" t="s">
        <v>14</v>
      </c>
      <c r="E2461" t="s">
        <v>266</v>
      </c>
      <c r="F2461" t="s">
        <v>25</v>
      </c>
      <c r="G2461" t="s">
        <v>62</v>
      </c>
      <c r="H2461">
        <v>3</v>
      </c>
      <c r="I2461">
        <v>888.54</v>
      </c>
      <c r="J2461">
        <v>2665.62</v>
      </c>
      <c r="K2461" t="s">
        <v>761</v>
      </c>
      <c r="L2461" t="s">
        <v>91</v>
      </c>
    </row>
    <row r="2462" spans="1:12" x14ac:dyDescent="0.35">
      <c r="A2462" t="s">
        <v>3823</v>
      </c>
      <c r="B2462" t="s">
        <v>1707</v>
      </c>
      <c r="C2462" t="s">
        <v>1708</v>
      </c>
      <c r="D2462" t="s">
        <v>40</v>
      </c>
      <c r="E2462" t="s">
        <v>79</v>
      </c>
      <c r="F2462" t="s">
        <v>101</v>
      </c>
      <c r="G2462" t="s">
        <v>237</v>
      </c>
      <c r="H2462">
        <v>1</v>
      </c>
      <c r="I2462">
        <v>808.99</v>
      </c>
      <c r="J2462">
        <v>808.99</v>
      </c>
      <c r="K2462" t="s">
        <v>3017</v>
      </c>
      <c r="L2462" t="s">
        <v>91</v>
      </c>
    </row>
    <row r="2463" spans="1:12" x14ac:dyDescent="0.35">
      <c r="A2463" t="s">
        <v>3824</v>
      </c>
      <c r="B2463" t="s">
        <v>1423</v>
      </c>
      <c r="C2463" t="s">
        <v>1424</v>
      </c>
      <c r="D2463" t="s">
        <v>32</v>
      </c>
      <c r="E2463" t="s">
        <v>33</v>
      </c>
      <c r="F2463" t="s">
        <v>42</v>
      </c>
      <c r="G2463" t="s">
        <v>170</v>
      </c>
      <c r="H2463">
        <v>3</v>
      </c>
      <c r="I2463">
        <v>307.83</v>
      </c>
      <c r="J2463">
        <v>923.49</v>
      </c>
      <c r="K2463" t="s">
        <v>313</v>
      </c>
      <c r="L2463" t="s">
        <v>91</v>
      </c>
    </row>
    <row r="2464" spans="1:12" x14ac:dyDescent="0.35">
      <c r="A2464" t="s">
        <v>3825</v>
      </c>
      <c r="B2464" t="s">
        <v>256</v>
      </c>
      <c r="C2464" t="s">
        <v>257</v>
      </c>
      <c r="D2464" t="s">
        <v>67</v>
      </c>
      <c r="E2464" t="s">
        <v>115</v>
      </c>
      <c r="F2464" t="s">
        <v>25</v>
      </c>
      <c r="G2464" t="s">
        <v>34</v>
      </c>
      <c r="H2464">
        <v>2</v>
      </c>
      <c r="I2464">
        <v>504.21</v>
      </c>
      <c r="J2464">
        <v>1008.42</v>
      </c>
      <c r="K2464" t="s">
        <v>3826</v>
      </c>
      <c r="L2464" t="s">
        <v>28</v>
      </c>
    </row>
    <row r="2465" spans="1:12" x14ac:dyDescent="0.35">
      <c r="A2465" t="s">
        <v>3827</v>
      </c>
      <c r="B2465" t="s">
        <v>384</v>
      </c>
      <c r="C2465" t="s">
        <v>385</v>
      </c>
      <c r="D2465" t="s">
        <v>32</v>
      </c>
      <c r="E2465" t="s">
        <v>61</v>
      </c>
      <c r="F2465" t="s">
        <v>42</v>
      </c>
      <c r="G2465" t="s">
        <v>89</v>
      </c>
      <c r="H2465">
        <v>1</v>
      </c>
      <c r="I2465">
        <v>391.15</v>
      </c>
      <c r="J2465">
        <v>391.15</v>
      </c>
      <c r="K2465" t="s">
        <v>1701</v>
      </c>
      <c r="L2465" t="s">
        <v>28</v>
      </c>
    </row>
    <row r="2466" spans="1:12" x14ac:dyDescent="0.35">
      <c r="A2466" t="s">
        <v>3828</v>
      </c>
      <c r="B2466" t="s">
        <v>291</v>
      </c>
      <c r="C2466" t="s">
        <v>292</v>
      </c>
      <c r="D2466" t="s">
        <v>40</v>
      </c>
      <c r="E2466" t="s">
        <v>41</v>
      </c>
      <c r="F2466" t="s">
        <v>25</v>
      </c>
      <c r="G2466" t="s">
        <v>26</v>
      </c>
      <c r="H2466">
        <v>4</v>
      </c>
      <c r="I2466">
        <v>372.68</v>
      </c>
      <c r="J2466">
        <v>1490.72</v>
      </c>
      <c r="K2466" t="s">
        <v>2623</v>
      </c>
      <c r="L2466" t="s">
        <v>28</v>
      </c>
    </row>
    <row r="2467" spans="1:12" x14ac:dyDescent="0.35">
      <c r="A2467" t="s">
        <v>3829</v>
      </c>
      <c r="B2467" t="s">
        <v>454</v>
      </c>
      <c r="C2467" t="s">
        <v>455</v>
      </c>
      <c r="D2467" t="s">
        <v>23</v>
      </c>
      <c r="E2467" t="s">
        <v>24</v>
      </c>
      <c r="F2467" t="s">
        <v>16</v>
      </c>
      <c r="G2467" t="s">
        <v>230</v>
      </c>
      <c r="H2467">
        <v>2</v>
      </c>
      <c r="I2467">
        <v>1290.22</v>
      </c>
      <c r="J2467">
        <v>2580.44</v>
      </c>
      <c r="K2467" t="s">
        <v>3830</v>
      </c>
      <c r="L2467" t="s">
        <v>19</v>
      </c>
    </row>
    <row r="2468" spans="1:12" x14ac:dyDescent="0.35">
      <c r="A2468" t="s">
        <v>3831</v>
      </c>
      <c r="B2468" t="s">
        <v>189</v>
      </c>
      <c r="C2468" t="s">
        <v>190</v>
      </c>
      <c r="D2468" t="s">
        <v>23</v>
      </c>
      <c r="E2468" t="s">
        <v>24</v>
      </c>
      <c r="F2468" t="s">
        <v>25</v>
      </c>
      <c r="G2468" t="s">
        <v>74</v>
      </c>
      <c r="H2468">
        <v>2</v>
      </c>
      <c r="I2468">
        <v>1221.07</v>
      </c>
      <c r="J2468">
        <v>2442.14</v>
      </c>
      <c r="K2468" t="s">
        <v>3043</v>
      </c>
      <c r="L2468" t="s">
        <v>28</v>
      </c>
    </row>
    <row r="2469" spans="1:12" x14ac:dyDescent="0.35">
      <c r="A2469" t="s">
        <v>3832</v>
      </c>
      <c r="B2469" t="s">
        <v>59</v>
      </c>
      <c r="C2469" t="s">
        <v>60</v>
      </c>
      <c r="D2469" t="s">
        <v>14</v>
      </c>
      <c r="E2469" t="s">
        <v>95</v>
      </c>
      <c r="F2469" t="s">
        <v>16</v>
      </c>
      <c r="G2469" t="s">
        <v>17</v>
      </c>
      <c r="H2469">
        <v>5</v>
      </c>
      <c r="I2469">
        <v>1040.22</v>
      </c>
      <c r="J2469">
        <v>5201.1000000000004</v>
      </c>
      <c r="K2469" t="s">
        <v>2136</v>
      </c>
      <c r="L2469" t="s">
        <v>28</v>
      </c>
    </row>
    <row r="2470" spans="1:12" x14ac:dyDescent="0.35">
      <c r="A2470" t="s">
        <v>3833</v>
      </c>
      <c r="B2470" t="s">
        <v>201</v>
      </c>
      <c r="C2470" t="s">
        <v>202</v>
      </c>
      <c r="D2470" t="s">
        <v>32</v>
      </c>
      <c r="E2470" t="s">
        <v>33</v>
      </c>
      <c r="F2470" t="s">
        <v>42</v>
      </c>
      <c r="G2470" t="s">
        <v>80</v>
      </c>
      <c r="H2470">
        <v>4</v>
      </c>
      <c r="I2470">
        <v>227.48</v>
      </c>
      <c r="J2470">
        <v>909.92</v>
      </c>
      <c r="K2470" t="s">
        <v>3398</v>
      </c>
      <c r="L2470" t="s">
        <v>19</v>
      </c>
    </row>
    <row r="2471" spans="1:12" x14ac:dyDescent="0.35">
      <c r="A2471" t="s">
        <v>3834</v>
      </c>
      <c r="B2471" t="s">
        <v>918</v>
      </c>
      <c r="C2471" t="s">
        <v>919</v>
      </c>
      <c r="D2471" t="s">
        <v>23</v>
      </c>
      <c r="E2471" t="s">
        <v>49</v>
      </c>
      <c r="F2471" t="s">
        <v>25</v>
      </c>
      <c r="G2471" t="s">
        <v>139</v>
      </c>
      <c r="H2471">
        <v>5</v>
      </c>
      <c r="I2471">
        <v>627.26</v>
      </c>
      <c r="J2471">
        <v>3136.3</v>
      </c>
      <c r="K2471" t="s">
        <v>75</v>
      </c>
      <c r="L2471" t="s">
        <v>19</v>
      </c>
    </row>
    <row r="2472" spans="1:12" x14ac:dyDescent="0.35">
      <c r="A2472" t="s">
        <v>3835</v>
      </c>
      <c r="B2472" t="s">
        <v>299</v>
      </c>
      <c r="C2472" t="s">
        <v>300</v>
      </c>
      <c r="D2472" t="s">
        <v>67</v>
      </c>
      <c r="E2472" t="s">
        <v>130</v>
      </c>
      <c r="F2472" t="s">
        <v>101</v>
      </c>
      <c r="G2472" t="s">
        <v>373</v>
      </c>
      <c r="H2472">
        <v>1</v>
      </c>
      <c r="I2472">
        <v>110.68</v>
      </c>
      <c r="J2472">
        <v>110.68</v>
      </c>
      <c r="K2472" t="s">
        <v>2057</v>
      </c>
      <c r="L2472" t="s">
        <v>91</v>
      </c>
    </row>
    <row r="2473" spans="1:12" x14ac:dyDescent="0.35">
      <c r="A2473" t="s">
        <v>3836</v>
      </c>
      <c r="B2473" t="s">
        <v>248</v>
      </c>
      <c r="C2473" t="s">
        <v>249</v>
      </c>
      <c r="D2473" t="s">
        <v>14</v>
      </c>
      <c r="E2473" t="s">
        <v>125</v>
      </c>
      <c r="F2473" t="s">
        <v>25</v>
      </c>
      <c r="G2473" t="s">
        <v>74</v>
      </c>
      <c r="H2473">
        <v>2</v>
      </c>
      <c r="I2473">
        <v>122.06</v>
      </c>
      <c r="J2473">
        <v>244.12</v>
      </c>
      <c r="K2473" t="s">
        <v>1727</v>
      </c>
      <c r="L2473" t="s">
        <v>19</v>
      </c>
    </row>
    <row r="2474" spans="1:12" x14ac:dyDescent="0.35">
      <c r="A2474" t="s">
        <v>3837</v>
      </c>
      <c r="B2474" t="s">
        <v>947</v>
      </c>
      <c r="C2474" t="s">
        <v>948</v>
      </c>
      <c r="D2474" t="s">
        <v>40</v>
      </c>
      <c r="E2474" t="s">
        <v>79</v>
      </c>
      <c r="F2474" t="s">
        <v>101</v>
      </c>
      <c r="G2474" t="s">
        <v>102</v>
      </c>
      <c r="H2474">
        <v>1</v>
      </c>
      <c r="I2474">
        <v>808.47</v>
      </c>
      <c r="J2474">
        <v>808.47</v>
      </c>
      <c r="K2474" t="s">
        <v>1691</v>
      </c>
      <c r="L2474" t="s">
        <v>45</v>
      </c>
    </row>
    <row r="2475" spans="1:12" x14ac:dyDescent="0.35">
      <c r="A2475" t="s">
        <v>3838</v>
      </c>
      <c r="B2475" t="s">
        <v>521</v>
      </c>
      <c r="C2475" t="s">
        <v>522</v>
      </c>
      <c r="D2475" t="s">
        <v>23</v>
      </c>
      <c r="E2475" t="s">
        <v>338</v>
      </c>
      <c r="F2475" t="s">
        <v>16</v>
      </c>
      <c r="G2475" t="s">
        <v>17</v>
      </c>
      <c r="H2475">
        <v>3</v>
      </c>
      <c r="I2475">
        <v>431.31</v>
      </c>
      <c r="J2475">
        <v>1293.93</v>
      </c>
      <c r="K2475" t="s">
        <v>1669</v>
      </c>
      <c r="L2475" t="s">
        <v>91</v>
      </c>
    </row>
    <row r="2476" spans="1:12" x14ac:dyDescent="0.35">
      <c r="A2476" t="s">
        <v>3839</v>
      </c>
      <c r="B2476" t="s">
        <v>1419</v>
      </c>
      <c r="C2476" t="s">
        <v>1420</v>
      </c>
      <c r="D2476" t="s">
        <v>40</v>
      </c>
      <c r="E2476" t="s">
        <v>120</v>
      </c>
      <c r="F2476" t="s">
        <v>25</v>
      </c>
      <c r="G2476" t="s">
        <v>74</v>
      </c>
      <c r="H2476">
        <v>3</v>
      </c>
      <c r="I2476">
        <v>457.58</v>
      </c>
      <c r="J2476">
        <v>1372.74</v>
      </c>
      <c r="K2476" t="s">
        <v>1735</v>
      </c>
      <c r="L2476" t="s">
        <v>28</v>
      </c>
    </row>
    <row r="2477" spans="1:12" x14ac:dyDescent="0.35">
      <c r="A2477" t="s">
        <v>3840</v>
      </c>
      <c r="B2477" t="s">
        <v>443</v>
      </c>
      <c r="C2477" t="s">
        <v>444</v>
      </c>
      <c r="D2477" t="s">
        <v>23</v>
      </c>
      <c r="E2477" t="s">
        <v>24</v>
      </c>
      <c r="F2477" t="s">
        <v>25</v>
      </c>
      <c r="G2477" t="s">
        <v>62</v>
      </c>
      <c r="H2477">
        <v>4</v>
      </c>
      <c r="I2477">
        <v>86.76</v>
      </c>
      <c r="J2477">
        <v>347.04</v>
      </c>
      <c r="K2477" t="s">
        <v>2320</v>
      </c>
      <c r="L2477" t="s">
        <v>45</v>
      </c>
    </row>
    <row r="2478" spans="1:12" x14ac:dyDescent="0.35">
      <c r="A2478" t="s">
        <v>3841</v>
      </c>
      <c r="B2478" t="s">
        <v>264</v>
      </c>
      <c r="C2478" t="s">
        <v>265</v>
      </c>
      <c r="D2478" t="s">
        <v>23</v>
      </c>
      <c r="E2478" t="s">
        <v>338</v>
      </c>
      <c r="F2478" t="s">
        <v>101</v>
      </c>
      <c r="G2478" t="s">
        <v>165</v>
      </c>
      <c r="H2478">
        <v>5</v>
      </c>
      <c r="I2478">
        <v>372.42</v>
      </c>
      <c r="J2478">
        <v>1862.1</v>
      </c>
      <c r="K2478" t="s">
        <v>144</v>
      </c>
      <c r="L2478" t="s">
        <v>28</v>
      </c>
    </row>
    <row r="2479" spans="1:12" x14ac:dyDescent="0.35">
      <c r="A2479" t="s">
        <v>3842</v>
      </c>
      <c r="B2479" t="s">
        <v>341</v>
      </c>
      <c r="C2479" t="s">
        <v>342</v>
      </c>
      <c r="D2479" t="s">
        <v>14</v>
      </c>
      <c r="E2479" t="s">
        <v>95</v>
      </c>
      <c r="F2479" t="s">
        <v>16</v>
      </c>
      <c r="G2479" t="s">
        <v>230</v>
      </c>
      <c r="H2479">
        <v>5</v>
      </c>
      <c r="I2479">
        <v>1448.68</v>
      </c>
      <c r="J2479">
        <v>7243.4</v>
      </c>
      <c r="K2479" t="s">
        <v>2423</v>
      </c>
      <c r="L2479" t="s">
        <v>45</v>
      </c>
    </row>
    <row r="2480" spans="1:12" x14ac:dyDescent="0.35">
      <c r="A2480" t="s">
        <v>3843</v>
      </c>
      <c r="B2480" t="s">
        <v>759</v>
      </c>
      <c r="C2480" t="s">
        <v>760</v>
      </c>
      <c r="D2480" t="s">
        <v>23</v>
      </c>
      <c r="E2480" t="s">
        <v>49</v>
      </c>
      <c r="F2480" t="s">
        <v>25</v>
      </c>
      <c r="G2480" t="s">
        <v>62</v>
      </c>
      <c r="H2480">
        <v>2</v>
      </c>
      <c r="I2480">
        <v>1367.57</v>
      </c>
      <c r="J2480">
        <v>2735.14</v>
      </c>
      <c r="K2480" t="s">
        <v>588</v>
      </c>
      <c r="L2480" t="s">
        <v>91</v>
      </c>
    </row>
    <row r="2481" spans="1:12" x14ac:dyDescent="0.35">
      <c r="A2481" t="s">
        <v>3844</v>
      </c>
      <c r="B2481" t="s">
        <v>681</v>
      </c>
      <c r="C2481" t="s">
        <v>682</v>
      </c>
      <c r="D2481" t="s">
        <v>32</v>
      </c>
      <c r="E2481" t="s">
        <v>61</v>
      </c>
      <c r="F2481" t="s">
        <v>25</v>
      </c>
      <c r="G2481" t="s">
        <v>62</v>
      </c>
      <c r="H2481">
        <v>1</v>
      </c>
      <c r="I2481">
        <v>1066.4000000000001</v>
      </c>
      <c r="J2481">
        <v>1066.4000000000001</v>
      </c>
      <c r="K2481" t="s">
        <v>1440</v>
      </c>
      <c r="L2481" t="s">
        <v>91</v>
      </c>
    </row>
    <row r="2482" spans="1:12" x14ac:dyDescent="0.35">
      <c r="A2482" t="s">
        <v>3845</v>
      </c>
      <c r="B2482" t="s">
        <v>223</v>
      </c>
      <c r="C2482" t="s">
        <v>224</v>
      </c>
      <c r="D2482" t="s">
        <v>14</v>
      </c>
      <c r="E2482" t="s">
        <v>95</v>
      </c>
      <c r="F2482" t="s">
        <v>50</v>
      </c>
      <c r="G2482" t="s">
        <v>51</v>
      </c>
      <c r="H2482">
        <v>5</v>
      </c>
      <c r="I2482">
        <v>469.66</v>
      </c>
      <c r="J2482">
        <v>2348.3000000000002</v>
      </c>
      <c r="K2482" t="s">
        <v>1056</v>
      </c>
      <c r="L2482" t="s">
        <v>91</v>
      </c>
    </row>
    <row r="2483" spans="1:12" x14ac:dyDescent="0.35">
      <c r="A2483" t="s">
        <v>3846</v>
      </c>
      <c r="B2483" t="s">
        <v>1167</v>
      </c>
      <c r="C2483" t="s">
        <v>1168</v>
      </c>
      <c r="D2483" t="s">
        <v>14</v>
      </c>
      <c r="E2483" t="s">
        <v>15</v>
      </c>
      <c r="F2483" t="s">
        <v>50</v>
      </c>
      <c r="G2483" t="s">
        <v>69</v>
      </c>
      <c r="H2483">
        <v>1</v>
      </c>
      <c r="I2483">
        <v>907.19</v>
      </c>
      <c r="J2483">
        <v>907.19</v>
      </c>
      <c r="K2483" t="s">
        <v>1882</v>
      </c>
      <c r="L2483" t="s">
        <v>45</v>
      </c>
    </row>
    <row r="2484" spans="1:12" x14ac:dyDescent="0.35">
      <c r="A2484" t="s">
        <v>3847</v>
      </c>
      <c r="B2484" t="s">
        <v>481</v>
      </c>
      <c r="C2484" t="s">
        <v>482</v>
      </c>
      <c r="D2484" t="s">
        <v>23</v>
      </c>
      <c r="E2484" t="s">
        <v>24</v>
      </c>
      <c r="F2484" t="s">
        <v>16</v>
      </c>
      <c r="G2484" t="s">
        <v>182</v>
      </c>
      <c r="H2484">
        <v>2</v>
      </c>
      <c r="I2484">
        <v>1484.54</v>
      </c>
      <c r="J2484">
        <v>2969.08</v>
      </c>
      <c r="K2484" t="s">
        <v>523</v>
      </c>
      <c r="L2484" t="s">
        <v>36</v>
      </c>
    </row>
    <row r="2485" spans="1:12" x14ac:dyDescent="0.35">
      <c r="A2485" t="s">
        <v>3848</v>
      </c>
      <c r="B2485" t="s">
        <v>990</v>
      </c>
      <c r="C2485" t="s">
        <v>991</v>
      </c>
      <c r="D2485" t="s">
        <v>40</v>
      </c>
      <c r="E2485" t="s">
        <v>79</v>
      </c>
      <c r="F2485" t="s">
        <v>42</v>
      </c>
      <c r="G2485" t="s">
        <v>89</v>
      </c>
      <c r="H2485">
        <v>1</v>
      </c>
      <c r="I2485">
        <v>1402.81</v>
      </c>
      <c r="J2485">
        <v>1402.81</v>
      </c>
      <c r="K2485" t="s">
        <v>3849</v>
      </c>
      <c r="L2485" t="s">
        <v>28</v>
      </c>
    </row>
    <row r="2486" spans="1:12" x14ac:dyDescent="0.35">
      <c r="A2486" t="s">
        <v>3850</v>
      </c>
      <c r="B2486" t="s">
        <v>223</v>
      </c>
      <c r="C2486" t="s">
        <v>224</v>
      </c>
      <c r="D2486" t="s">
        <v>40</v>
      </c>
      <c r="E2486" t="s">
        <v>41</v>
      </c>
      <c r="F2486" t="s">
        <v>101</v>
      </c>
      <c r="G2486" t="s">
        <v>102</v>
      </c>
      <c r="H2486">
        <v>4</v>
      </c>
      <c r="I2486">
        <v>45.63</v>
      </c>
      <c r="J2486">
        <v>182.52</v>
      </c>
      <c r="K2486" t="s">
        <v>950</v>
      </c>
      <c r="L2486" t="s">
        <v>91</v>
      </c>
    </row>
    <row r="2487" spans="1:12" x14ac:dyDescent="0.35">
      <c r="A2487" t="s">
        <v>3851</v>
      </c>
      <c r="B2487" t="s">
        <v>1087</v>
      </c>
      <c r="C2487" t="s">
        <v>1088</v>
      </c>
      <c r="D2487" t="s">
        <v>32</v>
      </c>
      <c r="E2487" t="s">
        <v>203</v>
      </c>
      <c r="F2487" t="s">
        <v>50</v>
      </c>
      <c r="G2487" t="s">
        <v>56</v>
      </c>
      <c r="H2487">
        <v>1</v>
      </c>
      <c r="I2487">
        <v>1097.79</v>
      </c>
      <c r="J2487">
        <v>1097.79</v>
      </c>
      <c r="K2487" t="s">
        <v>1562</v>
      </c>
      <c r="L2487" t="s">
        <v>36</v>
      </c>
    </row>
    <row r="2488" spans="1:12" x14ac:dyDescent="0.35">
      <c r="A2488" t="s">
        <v>3852</v>
      </c>
      <c r="B2488" t="s">
        <v>1285</v>
      </c>
      <c r="C2488" t="s">
        <v>1286</v>
      </c>
      <c r="D2488" t="s">
        <v>14</v>
      </c>
      <c r="E2488" t="s">
        <v>266</v>
      </c>
      <c r="F2488" t="s">
        <v>50</v>
      </c>
      <c r="G2488" t="s">
        <v>51</v>
      </c>
      <c r="H2488">
        <v>4</v>
      </c>
      <c r="I2488">
        <v>1424.4</v>
      </c>
      <c r="J2488">
        <v>5697.6</v>
      </c>
      <c r="K2488" t="s">
        <v>1380</v>
      </c>
      <c r="L2488" t="s">
        <v>36</v>
      </c>
    </row>
    <row r="2489" spans="1:12" x14ac:dyDescent="0.35">
      <c r="A2489" t="s">
        <v>3853</v>
      </c>
      <c r="B2489" t="s">
        <v>918</v>
      </c>
      <c r="C2489" t="s">
        <v>919</v>
      </c>
      <c r="D2489" t="s">
        <v>14</v>
      </c>
      <c r="E2489" t="s">
        <v>100</v>
      </c>
      <c r="F2489" t="s">
        <v>16</v>
      </c>
      <c r="G2489" t="s">
        <v>177</v>
      </c>
      <c r="H2489">
        <v>3</v>
      </c>
      <c r="I2489">
        <v>699.86</v>
      </c>
      <c r="J2489">
        <v>2099.58</v>
      </c>
      <c r="K2489" t="s">
        <v>1248</v>
      </c>
      <c r="L2489" t="s">
        <v>19</v>
      </c>
    </row>
    <row r="2490" spans="1:12" x14ac:dyDescent="0.35">
      <c r="A2490" t="s">
        <v>3854</v>
      </c>
      <c r="B2490" t="s">
        <v>755</v>
      </c>
      <c r="C2490" t="s">
        <v>756</v>
      </c>
      <c r="D2490" t="s">
        <v>40</v>
      </c>
      <c r="E2490" t="s">
        <v>41</v>
      </c>
      <c r="F2490" t="s">
        <v>42</v>
      </c>
      <c r="G2490" t="s">
        <v>170</v>
      </c>
      <c r="H2490">
        <v>1</v>
      </c>
      <c r="I2490">
        <v>1112.95</v>
      </c>
      <c r="J2490">
        <v>1112.95</v>
      </c>
      <c r="K2490" t="s">
        <v>662</v>
      </c>
      <c r="L2490" t="s">
        <v>28</v>
      </c>
    </row>
    <row r="2491" spans="1:12" x14ac:dyDescent="0.35">
      <c r="A2491" t="s">
        <v>3855</v>
      </c>
      <c r="B2491" t="s">
        <v>969</v>
      </c>
      <c r="C2491" t="s">
        <v>970</v>
      </c>
      <c r="D2491" t="s">
        <v>14</v>
      </c>
      <c r="E2491" t="s">
        <v>15</v>
      </c>
      <c r="F2491" t="s">
        <v>42</v>
      </c>
      <c r="G2491" t="s">
        <v>225</v>
      </c>
      <c r="H2491">
        <v>4</v>
      </c>
      <c r="I2491">
        <v>1316.65</v>
      </c>
      <c r="J2491">
        <v>5266.6</v>
      </c>
      <c r="K2491" t="s">
        <v>1470</v>
      </c>
      <c r="L2491" t="s">
        <v>45</v>
      </c>
    </row>
    <row r="2492" spans="1:12" x14ac:dyDescent="0.35">
      <c r="A2492" t="s">
        <v>3856</v>
      </c>
      <c r="B2492" t="s">
        <v>681</v>
      </c>
      <c r="C2492" t="s">
        <v>682</v>
      </c>
      <c r="D2492" t="s">
        <v>67</v>
      </c>
      <c r="E2492" t="s">
        <v>130</v>
      </c>
      <c r="F2492" t="s">
        <v>25</v>
      </c>
      <c r="G2492" t="s">
        <v>34</v>
      </c>
      <c r="H2492">
        <v>4</v>
      </c>
      <c r="I2492">
        <v>1187.08</v>
      </c>
      <c r="J2492">
        <v>4748.32</v>
      </c>
      <c r="K2492" t="s">
        <v>3857</v>
      </c>
      <c r="L2492" t="s">
        <v>45</v>
      </c>
    </row>
    <row r="2493" spans="1:12" x14ac:dyDescent="0.35">
      <c r="A2493" t="s">
        <v>3858</v>
      </c>
      <c r="B2493" t="s">
        <v>180</v>
      </c>
      <c r="C2493" t="s">
        <v>181</v>
      </c>
      <c r="D2493" t="s">
        <v>14</v>
      </c>
      <c r="E2493" t="s">
        <v>266</v>
      </c>
      <c r="F2493" t="s">
        <v>101</v>
      </c>
      <c r="G2493" t="s">
        <v>237</v>
      </c>
      <c r="H2493">
        <v>5</v>
      </c>
      <c r="I2493">
        <v>82.48</v>
      </c>
      <c r="J2493">
        <v>412.4</v>
      </c>
      <c r="K2493" t="s">
        <v>1498</v>
      </c>
      <c r="L2493" t="s">
        <v>91</v>
      </c>
    </row>
    <row r="2494" spans="1:12" x14ac:dyDescent="0.35">
      <c r="A2494" t="s">
        <v>3859</v>
      </c>
      <c r="B2494" t="s">
        <v>464</v>
      </c>
      <c r="C2494" t="s">
        <v>465</v>
      </c>
      <c r="D2494" t="s">
        <v>67</v>
      </c>
      <c r="E2494" t="s">
        <v>115</v>
      </c>
      <c r="F2494" t="s">
        <v>50</v>
      </c>
      <c r="G2494" t="s">
        <v>216</v>
      </c>
      <c r="H2494">
        <v>1</v>
      </c>
      <c r="I2494">
        <v>119.78</v>
      </c>
      <c r="J2494">
        <v>119.78</v>
      </c>
      <c r="K2494" t="s">
        <v>242</v>
      </c>
      <c r="L2494" t="s">
        <v>36</v>
      </c>
    </row>
    <row r="2495" spans="1:12" x14ac:dyDescent="0.35">
      <c r="A2495" t="s">
        <v>3860</v>
      </c>
      <c r="B2495" t="s">
        <v>273</v>
      </c>
      <c r="C2495" t="s">
        <v>274</v>
      </c>
      <c r="D2495" t="s">
        <v>14</v>
      </c>
      <c r="E2495" t="s">
        <v>125</v>
      </c>
      <c r="F2495" t="s">
        <v>16</v>
      </c>
      <c r="G2495" t="s">
        <v>148</v>
      </c>
      <c r="H2495">
        <v>3</v>
      </c>
      <c r="I2495">
        <v>694.7</v>
      </c>
      <c r="J2495">
        <v>2084.1</v>
      </c>
      <c r="K2495" t="s">
        <v>1534</v>
      </c>
      <c r="L2495" t="s">
        <v>28</v>
      </c>
    </row>
    <row r="2496" spans="1:12" x14ac:dyDescent="0.35">
      <c r="A2496" t="s">
        <v>3861</v>
      </c>
      <c r="B2496" t="s">
        <v>464</v>
      </c>
      <c r="C2496" t="s">
        <v>465</v>
      </c>
      <c r="D2496" t="s">
        <v>23</v>
      </c>
      <c r="E2496" t="s">
        <v>338</v>
      </c>
      <c r="F2496" t="s">
        <v>101</v>
      </c>
      <c r="G2496" t="s">
        <v>237</v>
      </c>
      <c r="H2496">
        <v>4</v>
      </c>
      <c r="I2496">
        <v>1052.6199999999999</v>
      </c>
      <c r="J2496">
        <v>4210.4799999999996</v>
      </c>
      <c r="K2496" t="s">
        <v>1505</v>
      </c>
      <c r="L2496" t="s">
        <v>91</v>
      </c>
    </row>
    <row r="2497" spans="1:12" x14ac:dyDescent="0.35">
      <c r="A2497" t="s">
        <v>3862</v>
      </c>
      <c r="B2497" t="s">
        <v>785</v>
      </c>
      <c r="C2497" t="s">
        <v>786</v>
      </c>
      <c r="D2497" t="s">
        <v>40</v>
      </c>
      <c r="E2497" t="s">
        <v>41</v>
      </c>
      <c r="F2497" t="s">
        <v>25</v>
      </c>
      <c r="G2497" t="s">
        <v>34</v>
      </c>
      <c r="H2497">
        <v>4</v>
      </c>
      <c r="I2497">
        <v>769.93</v>
      </c>
      <c r="J2497">
        <v>3079.72</v>
      </c>
      <c r="K2497" t="s">
        <v>656</v>
      </c>
      <c r="L2497" t="s">
        <v>36</v>
      </c>
    </row>
    <row r="2498" spans="1:12" x14ac:dyDescent="0.35">
      <c r="A2498" t="s">
        <v>3863</v>
      </c>
      <c r="B2498" t="s">
        <v>598</v>
      </c>
      <c r="C2498" t="s">
        <v>599</v>
      </c>
      <c r="D2498" t="s">
        <v>32</v>
      </c>
      <c r="E2498" t="s">
        <v>61</v>
      </c>
      <c r="F2498" t="s">
        <v>16</v>
      </c>
      <c r="G2498" t="s">
        <v>182</v>
      </c>
      <c r="H2498">
        <v>2</v>
      </c>
      <c r="I2498">
        <v>1348.11</v>
      </c>
      <c r="J2498">
        <v>2696.22</v>
      </c>
      <c r="K2498" t="s">
        <v>2729</v>
      </c>
      <c r="L2498" t="s">
        <v>45</v>
      </c>
    </row>
    <row r="2499" spans="1:12" x14ac:dyDescent="0.35">
      <c r="A2499" t="s">
        <v>3864</v>
      </c>
      <c r="B2499" t="s">
        <v>1662</v>
      </c>
      <c r="C2499" t="s">
        <v>1663</v>
      </c>
      <c r="D2499" t="s">
        <v>14</v>
      </c>
      <c r="E2499" t="s">
        <v>100</v>
      </c>
      <c r="F2499" t="s">
        <v>42</v>
      </c>
      <c r="G2499" t="s">
        <v>43</v>
      </c>
      <c r="H2499">
        <v>1</v>
      </c>
      <c r="I2499">
        <v>814.06</v>
      </c>
      <c r="J2499">
        <v>814.06</v>
      </c>
      <c r="K2499" t="s">
        <v>1254</v>
      </c>
      <c r="L2499" t="s">
        <v>36</v>
      </c>
    </row>
    <row r="2500" spans="1:12" x14ac:dyDescent="0.35">
      <c r="A2500" t="s">
        <v>3865</v>
      </c>
      <c r="B2500" t="s">
        <v>2157</v>
      </c>
      <c r="C2500" t="s">
        <v>2158</v>
      </c>
      <c r="D2500" t="s">
        <v>32</v>
      </c>
      <c r="E2500" t="s">
        <v>61</v>
      </c>
      <c r="F2500" t="s">
        <v>25</v>
      </c>
      <c r="G2500" t="s">
        <v>74</v>
      </c>
      <c r="H2500">
        <v>4</v>
      </c>
      <c r="I2500">
        <v>1478</v>
      </c>
      <c r="J2500">
        <v>5912</v>
      </c>
      <c r="K2500" t="s">
        <v>665</v>
      </c>
      <c r="L2500" t="s">
        <v>36</v>
      </c>
    </row>
    <row r="2501" spans="1:12" x14ac:dyDescent="0.35">
      <c r="A2501" t="s">
        <v>3866</v>
      </c>
      <c r="B2501" t="s">
        <v>558</v>
      </c>
      <c r="C2501" t="s">
        <v>559</v>
      </c>
      <c r="D2501" t="s">
        <v>67</v>
      </c>
      <c r="E2501" t="s">
        <v>68</v>
      </c>
      <c r="F2501" t="s">
        <v>25</v>
      </c>
      <c r="G2501" t="s">
        <v>74</v>
      </c>
      <c r="H2501">
        <v>2</v>
      </c>
      <c r="I2501">
        <v>1092.1199999999999</v>
      </c>
      <c r="J2501">
        <v>2184.2399999999998</v>
      </c>
      <c r="K2501" t="s">
        <v>246</v>
      </c>
      <c r="L2501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2501"/>
  <sheetViews>
    <sheetView workbookViewId="0">
      <selection sqref="A1:N1048576"/>
    </sheetView>
  </sheetViews>
  <sheetFormatPr baseColWidth="10" defaultColWidth="8.7265625" defaultRowHeight="14.5" x14ac:dyDescent="0.35"/>
  <cols>
    <col min="1" max="1" width="9.54296875" style="7" customWidth="1"/>
    <col min="2" max="2" width="15.81640625" style="7" customWidth="1"/>
    <col min="3" max="3" width="8.7265625" style="7"/>
    <col min="4" max="4" width="9.453125" style="7" customWidth="1"/>
    <col min="5" max="5" width="8.7265625" style="7"/>
    <col min="6" max="6" width="16.6328125" style="7" customWidth="1"/>
    <col min="7" max="7" width="14.1796875" style="7" customWidth="1"/>
    <col min="8" max="8" width="10.6328125" style="7" bestFit="1" customWidth="1"/>
    <col min="9" max="10" width="10.26953125" style="7" customWidth="1"/>
    <col min="11" max="11" width="10.26953125" style="9" customWidth="1"/>
    <col min="12" max="12" width="10.26953125" style="7" customWidth="1"/>
    <col min="13" max="13" width="11.6328125" style="7" customWidth="1"/>
    <col min="14" max="14" width="12.81640625" style="7" customWidth="1"/>
  </cols>
  <sheetData>
    <row r="1" spans="1:14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3867</v>
      </c>
      <c r="K1" s="9" t="s">
        <v>3875</v>
      </c>
      <c r="L1" s="7" t="s">
        <v>3876</v>
      </c>
      <c r="M1" s="7" t="s">
        <v>9</v>
      </c>
      <c r="N1" s="7" t="s">
        <v>10</v>
      </c>
    </row>
    <row r="2" spans="1:14" x14ac:dyDescent="0.35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>
        <v>2</v>
      </c>
      <c r="I2" s="2">
        <v>1218.21</v>
      </c>
      <c r="J2" s="2">
        <f>Tabla2[[#This Row],[Quantity]]*I2</f>
        <v>2436.42</v>
      </c>
      <c r="K2" s="6">
        <f>MONTH(Tabla2[[#This Row],[OrderDate]])</f>
        <v>11</v>
      </c>
      <c r="L2" s="7">
        <f>YEAR(Tabla2[[#This Row],[OrderDate]])</f>
        <v>2025</v>
      </c>
      <c r="M2" s="7" t="s">
        <v>18</v>
      </c>
      <c r="N2" s="7" t="s">
        <v>19</v>
      </c>
    </row>
    <row r="3" spans="1:14" x14ac:dyDescent="0.35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>
        <v>1</v>
      </c>
      <c r="I3" s="2">
        <v>1208.83</v>
      </c>
      <c r="J3" s="2">
        <f>Tabla2[[#This Row],[Quantity]]*I3</f>
        <v>1208.83</v>
      </c>
      <c r="K3" s="6">
        <f>MONTH(Tabla2[[#This Row],[OrderDate]])</f>
        <v>12</v>
      </c>
      <c r="L3" s="6">
        <f>YEAR(Tabla2[[#This Row],[OrderDate]])</f>
        <v>2024</v>
      </c>
      <c r="M3" s="7" t="s">
        <v>27</v>
      </c>
      <c r="N3" s="7" t="s">
        <v>28</v>
      </c>
    </row>
    <row r="4" spans="1:14" x14ac:dyDescent="0.35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25</v>
      </c>
      <c r="G4" s="7" t="s">
        <v>34</v>
      </c>
      <c r="H4" s="7">
        <v>4</v>
      </c>
      <c r="I4" s="2">
        <v>447.32</v>
      </c>
      <c r="J4" s="2">
        <f>Tabla2[[#This Row],[Quantity]]*I4</f>
        <v>1789.28</v>
      </c>
      <c r="K4" s="6">
        <f>MONTH(Tabla2[[#This Row],[OrderDate]])</f>
        <v>2</v>
      </c>
      <c r="L4" s="6">
        <f>YEAR(Tabla2[[#This Row],[OrderDate]])</f>
        <v>2026</v>
      </c>
      <c r="M4" s="7" t="s">
        <v>35</v>
      </c>
      <c r="N4" s="7" t="s">
        <v>36</v>
      </c>
    </row>
    <row r="5" spans="1:14" x14ac:dyDescent="0.35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7">
        <v>1</v>
      </c>
      <c r="I5" s="2">
        <v>1499.74</v>
      </c>
      <c r="J5" s="2">
        <f>Tabla2[[#This Row],[Quantity]]*I5</f>
        <v>1499.74</v>
      </c>
      <c r="K5" s="6">
        <f>MONTH(Tabla2[[#This Row],[OrderDate]])</f>
        <v>7</v>
      </c>
      <c r="L5" s="6">
        <f>YEAR(Tabla2[[#This Row],[OrderDate]])</f>
        <v>2025</v>
      </c>
      <c r="M5" s="7" t="s">
        <v>44</v>
      </c>
      <c r="N5" s="7" t="s">
        <v>45</v>
      </c>
    </row>
    <row r="6" spans="1:14" x14ac:dyDescent="0.35">
      <c r="A6" s="7" t="s">
        <v>46</v>
      </c>
      <c r="B6" s="7" t="s">
        <v>47</v>
      </c>
      <c r="C6" s="7" t="s">
        <v>48</v>
      </c>
      <c r="D6" s="7" t="s">
        <v>23</v>
      </c>
      <c r="E6" s="7" t="s">
        <v>49</v>
      </c>
      <c r="F6" s="7" t="s">
        <v>50</v>
      </c>
      <c r="G6" s="7" t="s">
        <v>51</v>
      </c>
      <c r="H6" s="7">
        <v>2</v>
      </c>
      <c r="I6" s="2">
        <v>1394.85</v>
      </c>
      <c r="J6" s="2">
        <f>Tabla2[[#This Row],[Quantity]]*I6</f>
        <v>2789.7</v>
      </c>
      <c r="K6" s="6">
        <f>MONTH(Tabla2[[#This Row],[OrderDate]])</f>
        <v>2</v>
      </c>
      <c r="L6" s="6">
        <f>YEAR(Tabla2[[#This Row],[OrderDate]])</f>
        <v>2024</v>
      </c>
      <c r="M6" s="7" t="s">
        <v>52</v>
      </c>
      <c r="N6" s="7" t="s">
        <v>19</v>
      </c>
    </row>
    <row r="7" spans="1:14" x14ac:dyDescent="0.35">
      <c r="A7" s="7" t="s">
        <v>53</v>
      </c>
      <c r="B7" s="7" t="s">
        <v>54</v>
      </c>
      <c r="C7" s="7" t="s">
        <v>55</v>
      </c>
      <c r="D7" s="7" t="s">
        <v>32</v>
      </c>
      <c r="E7" s="7" t="s">
        <v>33</v>
      </c>
      <c r="F7" s="7" t="s">
        <v>50</v>
      </c>
      <c r="G7" s="7" t="s">
        <v>56</v>
      </c>
      <c r="H7" s="7">
        <v>4</v>
      </c>
      <c r="I7" s="2">
        <v>882.18</v>
      </c>
      <c r="J7" s="2">
        <f>Tabla2[[#This Row],[Quantity]]*I7</f>
        <v>3528.72</v>
      </c>
      <c r="K7" s="6">
        <f>MONTH(Tabla2[[#This Row],[OrderDate]])</f>
        <v>2</v>
      </c>
      <c r="L7" s="6">
        <f>YEAR(Tabla2[[#This Row],[OrderDate]])</f>
        <v>2025</v>
      </c>
      <c r="M7" s="7" t="s">
        <v>57</v>
      </c>
      <c r="N7" s="7" t="s">
        <v>28</v>
      </c>
    </row>
    <row r="8" spans="1:14" x14ac:dyDescent="0.35">
      <c r="A8" s="7" t="s">
        <v>58</v>
      </c>
      <c r="B8" s="7" t="s">
        <v>59</v>
      </c>
      <c r="C8" s="7" t="s">
        <v>60</v>
      </c>
      <c r="D8" s="7" t="s">
        <v>32</v>
      </c>
      <c r="E8" s="7" t="s">
        <v>61</v>
      </c>
      <c r="F8" s="7" t="s">
        <v>25</v>
      </c>
      <c r="G8" s="7" t="s">
        <v>62</v>
      </c>
      <c r="H8" s="7">
        <v>4</v>
      </c>
      <c r="I8" s="2">
        <v>1374.2</v>
      </c>
      <c r="J8" s="2">
        <f>Tabla2[[#This Row],[Quantity]]*I8</f>
        <v>5496.8</v>
      </c>
      <c r="K8" s="6">
        <f>MONTH(Tabla2[[#This Row],[OrderDate]])</f>
        <v>11</v>
      </c>
      <c r="L8" s="6">
        <f>YEAR(Tabla2[[#This Row],[OrderDate]])</f>
        <v>2025</v>
      </c>
      <c r="M8" s="7" t="s">
        <v>63</v>
      </c>
      <c r="N8" s="7" t="s">
        <v>36</v>
      </c>
    </row>
    <row r="9" spans="1:14" x14ac:dyDescent="0.35">
      <c r="A9" s="7" t="s">
        <v>64</v>
      </c>
      <c r="B9" s="7" t="s">
        <v>65</v>
      </c>
      <c r="C9" s="7" t="s">
        <v>66</v>
      </c>
      <c r="D9" s="7" t="s">
        <v>67</v>
      </c>
      <c r="E9" s="7" t="s">
        <v>68</v>
      </c>
      <c r="F9" s="7" t="s">
        <v>50</v>
      </c>
      <c r="G9" s="7" t="s">
        <v>69</v>
      </c>
      <c r="H9" s="7">
        <v>4</v>
      </c>
      <c r="I9" s="2">
        <v>181.01</v>
      </c>
      <c r="J9" s="2">
        <f>Tabla2[[#This Row],[Quantity]]*I9</f>
        <v>724.04</v>
      </c>
      <c r="K9" s="6">
        <f>MONTH(Tabla2[[#This Row],[OrderDate]])</f>
        <v>9</v>
      </c>
      <c r="L9" s="6">
        <f>YEAR(Tabla2[[#This Row],[OrderDate]])</f>
        <v>2024</v>
      </c>
      <c r="M9" s="7" t="s">
        <v>70</v>
      </c>
      <c r="N9" s="7" t="s">
        <v>19</v>
      </c>
    </row>
    <row r="10" spans="1:14" x14ac:dyDescent="0.35">
      <c r="A10" s="7" t="s">
        <v>71</v>
      </c>
      <c r="B10" s="7" t="s">
        <v>72</v>
      </c>
      <c r="C10" s="7" t="s">
        <v>73</v>
      </c>
      <c r="D10" s="7" t="s">
        <v>23</v>
      </c>
      <c r="E10" s="7" t="s">
        <v>49</v>
      </c>
      <c r="F10" s="7" t="s">
        <v>25</v>
      </c>
      <c r="G10" s="7" t="s">
        <v>74</v>
      </c>
      <c r="H10" s="7">
        <v>1</v>
      </c>
      <c r="I10" s="2">
        <v>494.54</v>
      </c>
      <c r="J10" s="2">
        <f>Tabla2[[#This Row],[Quantity]]*I10</f>
        <v>494.54</v>
      </c>
      <c r="K10" s="6">
        <f>MONTH(Tabla2[[#This Row],[OrderDate]])</f>
        <v>1</v>
      </c>
      <c r="L10" s="6">
        <f>YEAR(Tabla2[[#This Row],[OrderDate]])</f>
        <v>2024</v>
      </c>
      <c r="M10" s="7" t="s">
        <v>75</v>
      </c>
      <c r="N10" s="7" t="s">
        <v>45</v>
      </c>
    </row>
    <row r="11" spans="1:14" x14ac:dyDescent="0.35">
      <c r="A11" s="7" t="s">
        <v>76</v>
      </c>
      <c r="B11" s="7" t="s">
        <v>77</v>
      </c>
      <c r="C11" s="7" t="s">
        <v>78</v>
      </c>
      <c r="D11" s="7" t="s">
        <v>40</v>
      </c>
      <c r="E11" s="7" t="s">
        <v>79</v>
      </c>
      <c r="F11" s="7" t="s">
        <v>42</v>
      </c>
      <c r="G11" s="7" t="s">
        <v>80</v>
      </c>
      <c r="H11" s="7">
        <v>2</v>
      </c>
      <c r="I11" s="2">
        <v>994.81</v>
      </c>
      <c r="J11" s="2">
        <f>Tabla2[[#This Row],[Quantity]]*I11</f>
        <v>1989.62</v>
      </c>
      <c r="K11" s="6">
        <f>MONTH(Tabla2[[#This Row],[OrderDate]])</f>
        <v>11</v>
      </c>
      <c r="L11" s="6">
        <f>YEAR(Tabla2[[#This Row],[OrderDate]])</f>
        <v>2024</v>
      </c>
      <c r="M11" s="7" t="s">
        <v>81</v>
      </c>
      <c r="N11" s="7" t="s">
        <v>36</v>
      </c>
    </row>
    <row r="12" spans="1:14" x14ac:dyDescent="0.35">
      <c r="A12" s="7" t="s">
        <v>82</v>
      </c>
      <c r="B12" s="7" t="s">
        <v>83</v>
      </c>
      <c r="C12" s="7" t="s">
        <v>84</v>
      </c>
      <c r="D12" s="7" t="s">
        <v>40</v>
      </c>
      <c r="E12" s="7" t="s">
        <v>41</v>
      </c>
      <c r="F12" s="7" t="s">
        <v>25</v>
      </c>
      <c r="G12" s="7" t="s">
        <v>34</v>
      </c>
      <c r="H12" s="7">
        <v>5</v>
      </c>
      <c r="I12" s="2">
        <v>663.8</v>
      </c>
      <c r="J12" s="2">
        <f>Tabla2[[#This Row],[Quantity]]*I12</f>
        <v>3319</v>
      </c>
      <c r="K12" s="6">
        <f>MONTH(Tabla2[[#This Row],[OrderDate]])</f>
        <v>10</v>
      </c>
      <c r="L12" s="6">
        <f>YEAR(Tabla2[[#This Row],[OrderDate]])</f>
        <v>2024</v>
      </c>
      <c r="M12" s="7" t="s">
        <v>85</v>
      </c>
      <c r="N12" s="7" t="s">
        <v>28</v>
      </c>
    </row>
    <row r="13" spans="1:14" x14ac:dyDescent="0.35">
      <c r="A13" s="7" t="s">
        <v>86</v>
      </c>
      <c r="B13" s="7" t="s">
        <v>87</v>
      </c>
      <c r="C13" s="7" t="s">
        <v>88</v>
      </c>
      <c r="D13" s="7" t="s">
        <v>32</v>
      </c>
      <c r="E13" s="7" t="s">
        <v>61</v>
      </c>
      <c r="F13" s="7" t="s">
        <v>42</v>
      </c>
      <c r="G13" s="7" t="s">
        <v>89</v>
      </c>
      <c r="H13" s="7">
        <v>3</v>
      </c>
      <c r="I13" s="2">
        <v>451.42</v>
      </c>
      <c r="J13" s="2">
        <f>Tabla2[[#This Row],[Quantity]]*I13</f>
        <v>1354.26</v>
      </c>
      <c r="K13" s="6">
        <f>MONTH(Tabla2[[#This Row],[OrderDate]])</f>
        <v>6</v>
      </c>
      <c r="L13" s="6">
        <f>YEAR(Tabla2[[#This Row],[OrderDate]])</f>
        <v>2024</v>
      </c>
      <c r="M13" s="7" t="s">
        <v>90</v>
      </c>
      <c r="N13" s="7" t="s">
        <v>91</v>
      </c>
    </row>
    <row r="14" spans="1:14" x14ac:dyDescent="0.35">
      <c r="A14" s="7" t="s">
        <v>92</v>
      </c>
      <c r="B14" s="7" t="s">
        <v>93</v>
      </c>
      <c r="C14" s="7" t="s">
        <v>94</v>
      </c>
      <c r="D14" s="7" t="s">
        <v>14</v>
      </c>
      <c r="E14" s="7" t="s">
        <v>95</v>
      </c>
      <c r="F14" s="7" t="s">
        <v>16</v>
      </c>
      <c r="G14" s="7" t="s">
        <v>17</v>
      </c>
      <c r="H14" s="7">
        <v>3</v>
      </c>
      <c r="I14" s="2">
        <v>413.31</v>
      </c>
      <c r="J14" s="2">
        <f>Tabla2[[#This Row],[Quantity]]*I14</f>
        <v>1239.93</v>
      </c>
      <c r="K14" s="6">
        <f>MONTH(Tabla2[[#This Row],[OrderDate]])</f>
        <v>5</v>
      </c>
      <c r="L14" s="6">
        <f>YEAR(Tabla2[[#This Row],[OrderDate]])</f>
        <v>2024</v>
      </c>
      <c r="M14" s="7" t="s">
        <v>96</v>
      </c>
      <c r="N14" s="7" t="s">
        <v>91</v>
      </c>
    </row>
    <row r="15" spans="1:14" x14ac:dyDescent="0.35">
      <c r="A15" s="7" t="s">
        <v>97</v>
      </c>
      <c r="B15" s="7" t="s">
        <v>98</v>
      </c>
      <c r="C15" s="7" t="s">
        <v>99</v>
      </c>
      <c r="D15" s="7" t="s">
        <v>14</v>
      </c>
      <c r="E15" s="7" t="s">
        <v>100</v>
      </c>
      <c r="F15" s="7" t="s">
        <v>101</v>
      </c>
      <c r="G15" s="7" t="s">
        <v>102</v>
      </c>
      <c r="H15" s="7">
        <v>3</v>
      </c>
      <c r="I15" s="2">
        <v>1454.38</v>
      </c>
      <c r="J15" s="2">
        <f>Tabla2[[#This Row],[Quantity]]*I15</f>
        <v>4363.1400000000003</v>
      </c>
      <c r="K15" s="6">
        <f>MONTH(Tabla2[[#This Row],[OrderDate]])</f>
        <v>2</v>
      </c>
      <c r="L15" s="6">
        <f>YEAR(Tabla2[[#This Row],[OrderDate]])</f>
        <v>2025</v>
      </c>
      <c r="M15" s="7" t="s">
        <v>103</v>
      </c>
      <c r="N15" s="7" t="s">
        <v>36</v>
      </c>
    </row>
    <row r="16" spans="1:14" x14ac:dyDescent="0.35">
      <c r="A16" s="7" t="s">
        <v>104</v>
      </c>
      <c r="B16" s="7" t="s">
        <v>105</v>
      </c>
      <c r="C16" s="7" t="s">
        <v>106</v>
      </c>
      <c r="D16" s="7" t="s">
        <v>14</v>
      </c>
      <c r="E16" s="7" t="s">
        <v>100</v>
      </c>
      <c r="F16" s="7" t="s">
        <v>25</v>
      </c>
      <c r="G16" s="7" t="s">
        <v>62</v>
      </c>
      <c r="H16" s="7">
        <v>2</v>
      </c>
      <c r="I16" s="2">
        <v>390.62</v>
      </c>
      <c r="J16" s="2">
        <f>Tabla2[[#This Row],[Quantity]]*I16</f>
        <v>781.24</v>
      </c>
      <c r="K16" s="6">
        <f>MONTH(Tabla2[[#This Row],[OrderDate]])</f>
        <v>2</v>
      </c>
      <c r="L16" s="6">
        <f>YEAR(Tabla2[[#This Row],[OrderDate]])</f>
        <v>2024</v>
      </c>
      <c r="M16" s="7" t="s">
        <v>107</v>
      </c>
      <c r="N16" s="7" t="s">
        <v>19</v>
      </c>
    </row>
    <row r="17" spans="1:14" x14ac:dyDescent="0.35">
      <c r="A17" s="7" t="s">
        <v>108</v>
      </c>
      <c r="B17" s="7" t="s">
        <v>109</v>
      </c>
      <c r="C17" s="7" t="s">
        <v>110</v>
      </c>
      <c r="D17" s="7" t="s">
        <v>23</v>
      </c>
      <c r="E17" s="7" t="s">
        <v>49</v>
      </c>
      <c r="F17" s="7" t="s">
        <v>42</v>
      </c>
      <c r="G17" s="7" t="s">
        <v>80</v>
      </c>
      <c r="H17" s="7">
        <v>4</v>
      </c>
      <c r="I17" s="2">
        <v>993.68</v>
      </c>
      <c r="J17" s="2">
        <f>Tabla2[[#This Row],[Quantity]]*I17</f>
        <v>3974.72</v>
      </c>
      <c r="K17" s="6">
        <f>MONTH(Tabla2[[#This Row],[OrderDate]])</f>
        <v>2</v>
      </c>
      <c r="L17" s="6">
        <f>YEAR(Tabla2[[#This Row],[OrderDate]])</f>
        <v>2025</v>
      </c>
      <c r="M17" s="7" t="s">
        <v>111</v>
      </c>
      <c r="N17" s="7" t="s">
        <v>36</v>
      </c>
    </row>
    <row r="18" spans="1:14" x14ac:dyDescent="0.35">
      <c r="A18" s="7" t="s">
        <v>112</v>
      </c>
      <c r="B18" s="7" t="s">
        <v>113</v>
      </c>
      <c r="C18" s="7" t="s">
        <v>114</v>
      </c>
      <c r="D18" s="7" t="s">
        <v>67</v>
      </c>
      <c r="E18" s="7" t="s">
        <v>115</v>
      </c>
      <c r="F18" s="7" t="s">
        <v>16</v>
      </c>
      <c r="G18" s="7" t="s">
        <v>17</v>
      </c>
      <c r="H18" s="7">
        <v>3</v>
      </c>
      <c r="I18" s="2">
        <v>585.51</v>
      </c>
      <c r="J18" s="2">
        <f>Tabla2[[#This Row],[Quantity]]*I18</f>
        <v>1756.53</v>
      </c>
      <c r="K18" s="6">
        <f>MONTH(Tabla2[[#This Row],[OrderDate]])</f>
        <v>2</v>
      </c>
      <c r="L18" s="6">
        <f>YEAR(Tabla2[[#This Row],[OrderDate]])</f>
        <v>2025</v>
      </c>
      <c r="M18" s="7" t="s">
        <v>116</v>
      </c>
      <c r="N18" s="7" t="s">
        <v>36</v>
      </c>
    </row>
    <row r="19" spans="1:14" x14ac:dyDescent="0.35">
      <c r="A19" s="7" t="s">
        <v>117</v>
      </c>
      <c r="B19" s="7" t="s">
        <v>118</v>
      </c>
      <c r="C19" s="7" t="s">
        <v>119</v>
      </c>
      <c r="D19" s="7" t="s">
        <v>40</v>
      </c>
      <c r="E19" s="7" t="s">
        <v>120</v>
      </c>
      <c r="F19" s="7" t="s">
        <v>25</v>
      </c>
      <c r="G19" s="7" t="s">
        <v>34</v>
      </c>
      <c r="H19" s="7">
        <v>5</v>
      </c>
      <c r="I19" s="2">
        <v>159.43</v>
      </c>
      <c r="J19" s="2">
        <f>Tabla2[[#This Row],[Quantity]]*I19</f>
        <v>797.15000000000009</v>
      </c>
      <c r="K19" s="6">
        <f>MONTH(Tabla2[[#This Row],[OrderDate]])</f>
        <v>2</v>
      </c>
      <c r="L19" s="6">
        <f>YEAR(Tabla2[[#This Row],[OrderDate]])</f>
        <v>2024</v>
      </c>
      <c r="M19" s="7" t="s">
        <v>121</v>
      </c>
      <c r="N19" s="7" t="s">
        <v>91</v>
      </c>
    </row>
    <row r="20" spans="1:14" x14ac:dyDescent="0.35">
      <c r="A20" s="7" t="s">
        <v>122</v>
      </c>
      <c r="B20" s="7" t="s">
        <v>123</v>
      </c>
      <c r="C20" s="7" t="s">
        <v>124</v>
      </c>
      <c r="D20" s="7" t="s">
        <v>14</v>
      </c>
      <c r="E20" s="7" t="s">
        <v>125</v>
      </c>
      <c r="F20" s="7" t="s">
        <v>42</v>
      </c>
      <c r="G20" s="7" t="s">
        <v>80</v>
      </c>
      <c r="H20" s="7">
        <v>1</v>
      </c>
      <c r="I20" s="2">
        <v>809.41</v>
      </c>
      <c r="J20" s="2">
        <f>Tabla2[[#This Row],[Quantity]]*I20</f>
        <v>809.41</v>
      </c>
      <c r="K20" s="6">
        <f>MONTH(Tabla2[[#This Row],[OrderDate]])</f>
        <v>1</v>
      </c>
      <c r="L20" s="6">
        <f>YEAR(Tabla2[[#This Row],[OrderDate]])</f>
        <v>2026</v>
      </c>
      <c r="M20" s="7" t="s">
        <v>126</v>
      </c>
      <c r="N20" s="7" t="s">
        <v>36</v>
      </c>
    </row>
    <row r="21" spans="1:14" x14ac:dyDescent="0.35">
      <c r="A21" s="7" t="s">
        <v>127</v>
      </c>
      <c r="B21" s="7" t="s">
        <v>128</v>
      </c>
      <c r="C21" s="7" t="s">
        <v>129</v>
      </c>
      <c r="D21" s="7" t="s">
        <v>67</v>
      </c>
      <c r="E21" s="7" t="s">
        <v>130</v>
      </c>
      <c r="F21" s="7" t="s">
        <v>25</v>
      </c>
      <c r="G21" s="7" t="s">
        <v>62</v>
      </c>
      <c r="H21" s="7">
        <v>4</v>
      </c>
      <c r="I21" s="2">
        <v>1454.96</v>
      </c>
      <c r="J21" s="2">
        <f>Tabla2[[#This Row],[Quantity]]*I21</f>
        <v>5819.84</v>
      </c>
      <c r="K21" s="6">
        <f>MONTH(Tabla2[[#This Row],[OrderDate]])</f>
        <v>12</v>
      </c>
      <c r="L21" s="6">
        <f>YEAR(Tabla2[[#This Row],[OrderDate]])</f>
        <v>2025</v>
      </c>
      <c r="M21" s="7" t="s">
        <v>131</v>
      </c>
      <c r="N21" s="7" t="s">
        <v>19</v>
      </c>
    </row>
    <row r="22" spans="1:14" x14ac:dyDescent="0.35">
      <c r="A22" s="7" t="s">
        <v>132</v>
      </c>
      <c r="B22" s="7" t="s">
        <v>133</v>
      </c>
      <c r="C22" s="7" t="s">
        <v>134</v>
      </c>
      <c r="D22" s="7" t="s">
        <v>23</v>
      </c>
      <c r="E22" s="7" t="s">
        <v>49</v>
      </c>
      <c r="F22" s="7" t="s">
        <v>42</v>
      </c>
      <c r="G22" s="7" t="s">
        <v>89</v>
      </c>
      <c r="H22" s="7">
        <v>2</v>
      </c>
      <c r="I22" s="2">
        <v>784</v>
      </c>
      <c r="J22" s="2">
        <f>Tabla2[[#This Row],[Quantity]]*I22</f>
        <v>1568</v>
      </c>
      <c r="K22" s="6">
        <f>MONTH(Tabla2[[#This Row],[OrderDate]])</f>
        <v>8</v>
      </c>
      <c r="L22" s="6">
        <f>YEAR(Tabla2[[#This Row],[OrderDate]])</f>
        <v>2024</v>
      </c>
      <c r="M22" s="7" t="s">
        <v>135</v>
      </c>
      <c r="N22" s="7" t="s">
        <v>36</v>
      </c>
    </row>
    <row r="23" spans="1:14" x14ac:dyDescent="0.35">
      <c r="A23" s="7" t="s">
        <v>136</v>
      </c>
      <c r="B23" s="7" t="s">
        <v>137</v>
      </c>
      <c r="C23" s="7" t="s">
        <v>138</v>
      </c>
      <c r="D23" s="7" t="s">
        <v>32</v>
      </c>
      <c r="E23" s="7" t="s">
        <v>33</v>
      </c>
      <c r="F23" s="7" t="s">
        <v>25</v>
      </c>
      <c r="G23" s="7" t="s">
        <v>139</v>
      </c>
      <c r="H23" s="7">
        <v>2</v>
      </c>
      <c r="I23" s="2">
        <v>187.52</v>
      </c>
      <c r="J23" s="2">
        <f>Tabla2[[#This Row],[Quantity]]*I23</f>
        <v>375.04</v>
      </c>
      <c r="K23" s="6">
        <f>MONTH(Tabla2[[#This Row],[OrderDate]])</f>
        <v>1</v>
      </c>
      <c r="L23" s="6">
        <f>YEAR(Tabla2[[#This Row],[OrderDate]])</f>
        <v>2025</v>
      </c>
      <c r="M23" s="7" t="s">
        <v>140</v>
      </c>
      <c r="N23" s="7" t="s">
        <v>45</v>
      </c>
    </row>
    <row r="24" spans="1:14" x14ac:dyDescent="0.35">
      <c r="A24" s="7" t="s">
        <v>141</v>
      </c>
      <c r="B24" s="7" t="s">
        <v>142</v>
      </c>
      <c r="C24" s="7" t="s">
        <v>143</v>
      </c>
      <c r="D24" s="7" t="s">
        <v>14</v>
      </c>
      <c r="E24" s="7" t="s">
        <v>15</v>
      </c>
      <c r="F24" s="7" t="s">
        <v>42</v>
      </c>
      <c r="G24" s="7" t="s">
        <v>43</v>
      </c>
      <c r="H24" s="7">
        <v>5</v>
      </c>
      <c r="I24" s="2">
        <v>673.27</v>
      </c>
      <c r="J24" s="2">
        <f>Tabla2[[#This Row],[Quantity]]*I24</f>
        <v>3366.35</v>
      </c>
      <c r="K24" s="6">
        <f>MONTH(Tabla2[[#This Row],[OrderDate]])</f>
        <v>2</v>
      </c>
      <c r="L24" s="6">
        <f>YEAR(Tabla2[[#This Row],[OrderDate]])</f>
        <v>2024</v>
      </c>
      <c r="M24" s="7" t="s">
        <v>144</v>
      </c>
      <c r="N24" s="7" t="s">
        <v>45</v>
      </c>
    </row>
    <row r="25" spans="1:14" x14ac:dyDescent="0.35">
      <c r="A25" s="7" t="s">
        <v>145</v>
      </c>
      <c r="B25" s="7" t="s">
        <v>146</v>
      </c>
      <c r="C25" s="7" t="s">
        <v>147</v>
      </c>
      <c r="D25" s="7" t="s">
        <v>40</v>
      </c>
      <c r="E25" s="7" t="s">
        <v>120</v>
      </c>
      <c r="F25" s="7" t="s">
        <v>16</v>
      </c>
      <c r="G25" s="7" t="s">
        <v>148</v>
      </c>
      <c r="H25" s="7">
        <v>5</v>
      </c>
      <c r="I25" s="2">
        <v>931.88</v>
      </c>
      <c r="J25" s="2">
        <f>Tabla2[[#This Row],[Quantity]]*I25</f>
        <v>4659.3999999999996</v>
      </c>
      <c r="K25" s="6">
        <f>MONTH(Tabla2[[#This Row],[OrderDate]])</f>
        <v>6</v>
      </c>
      <c r="L25" s="6">
        <f>YEAR(Tabla2[[#This Row],[OrderDate]])</f>
        <v>2024</v>
      </c>
      <c r="M25" s="7" t="s">
        <v>149</v>
      </c>
      <c r="N25" s="7" t="s">
        <v>91</v>
      </c>
    </row>
    <row r="26" spans="1:14" x14ac:dyDescent="0.35">
      <c r="A26" s="7" t="s">
        <v>150</v>
      </c>
      <c r="B26" s="7" t="s">
        <v>151</v>
      </c>
      <c r="C26" s="7" t="s">
        <v>152</v>
      </c>
      <c r="D26" s="7" t="s">
        <v>32</v>
      </c>
      <c r="E26" s="7" t="s">
        <v>61</v>
      </c>
      <c r="F26" s="7" t="s">
        <v>42</v>
      </c>
      <c r="G26" s="7" t="s">
        <v>80</v>
      </c>
      <c r="H26" s="7">
        <v>4</v>
      </c>
      <c r="I26" s="2">
        <v>579.27</v>
      </c>
      <c r="J26" s="2">
        <f>Tabla2[[#This Row],[Quantity]]*I26</f>
        <v>2317.08</v>
      </c>
      <c r="K26" s="6">
        <f>MONTH(Tabla2[[#This Row],[OrderDate]])</f>
        <v>9</v>
      </c>
      <c r="L26" s="6">
        <f>YEAR(Tabla2[[#This Row],[OrderDate]])</f>
        <v>2025</v>
      </c>
      <c r="M26" s="7" t="s">
        <v>153</v>
      </c>
      <c r="N26" s="7" t="s">
        <v>28</v>
      </c>
    </row>
    <row r="27" spans="1:14" x14ac:dyDescent="0.35">
      <c r="A27" s="7" t="s">
        <v>154</v>
      </c>
      <c r="B27" s="7" t="s">
        <v>155</v>
      </c>
      <c r="C27" s="7" t="s">
        <v>156</v>
      </c>
      <c r="D27" s="7" t="s">
        <v>67</v>
      </c>
      <c r="E27" s="7" t="s">
        <v>130</v>
      </c>
      <c r="F27" s="7" t="s">
        <v>50</v>
      </c>
      <c r="G27" s="7" t="s">
        <v>51</v>
      </c>
      <c r="H27" s="7">
        <v>3</v>
      </c>
      <c r="I27" s="2">
        <v>1023.82</v>
      </c>
      <c r="J27" s="2">
        <f>Tabla2[[#This Row],[Quantity]]*I27</f>
        <v>3071.46</v>
      </c>
      <c r="K27" s="6">
        <f>MONTH(Tabla2[[#This Row],[OrderDate]])</f>
        <v>9</v>
      </c>
      <c r="L27" s="6">
        <f>YEAR(Tabla2[[#This Row],[OrderDate]])</f>
        <v>2025</v>
      </c>
      <c r="M27" s="7" t="s">
        <v>157</v>
      </c>
      <c r="N27" s="7" t="s">
        <v>91</v>
      </c>
    </row>
    <row r="28" spans="1:14" x14ac:dyDescent="0.35">
      <c r="A28" s="7" t="s">
        <v>158</v>
      </c>
      <c r="B28" s="7" t="s">
        <v>159</v>
      </c>
      <c r="C28" s="7" t="s">
        <v>160</v>
      </c>
      <c r="D28" s="7" t="s">
        <v>23</v>
      </c>
      <c r="E28" s="7" t="s">
        <v>49</v>
      </c>
      <c r="F28" s="7" t="s">
        <v>42</v>
      </c>
      <c r="G28" s="7" t="s">
        <v>89</v>
      </c>
      <c r="H28" s="7">
        <v>4</v>
      </c>
      <c r="I28" s="2">
        <v>1008.23</v>
      </c>
      <c r="J28" s="2">
        <f>Tabla2[[#This Row],[Quantity]]*I28</f>
        <v>4032.92</v>
      </c>
      <c r="K28" s="6">
        <f>MONTH(Tabla2[[#This Row],[OrderDate]])</f>
        <v>10</v>
      </c>
      <c r="L28" s="6">
        <f>YEAR(Tabla2[[#This Row],[OrderDate]])</f>
        <v>2025</v>
      </c>
      <c r="M28" s="7" t="s">
        <v>161</v>
      </c>
      <c r="N28" s="7" t="s">
        <v>91</v>
      </c>
    </row>
    <row r="29" spans="1:14" x14ac:dyDescent="0.35">
      <c r="A29" s="7" t="s">
        <v>162</v>
      </c>
      <c r="B29" s="7" t="s">
        <v>163</v>
      </c>
      <c r="C29" s="7" t="s">
        <v>164</v>
      </c>
      <c r="D29" s="7" t="s">
        <v>67</v>
      </c>
      <c r="E29" s="7" t="s">
        <v>115</v>
      </c>
      <c r="F29" s="7" t="s">
        <v>101</v>
      </c>
      <c r="G29" s="7" t="s">
        <v>165</v>
      </c>
      <c r="H29" s="7">
        <v>5</v>
      </c>
      <c r="I29" s="2">
        <v>149.41999999999999</v>
      </c>
      <c r="J29" s="2">
        <f>Tabla2[[#This Row],[Quantity]]*I29</f>
        <v>747.09999999999991</v>
      </c>
      <c r="K29" s="6">
        <f>MONTH(Tabla2[[#This Row],[OrderDate]])</f>
        <v>10</v>
      </c>
      <c r="L29" s="6">
        <f>YEAR(Tabla2[[#This Row],[OrderDate]])</f>
        <v>2024</v>
      </c>
      <c r="M29" s="7" t="s">
        <v>166</v>
      </c>
      <c r="N29" s="7" t="s">
        <v>28</v>
      </c>
    </row>
    <row r="30" spans="1:14" x14ac:dyDescent="0.35">
      <c r="A30" s="7" t="s">
        <v>167</v>
      </c>
      <c r="B30" s="7" t="s">
        <v>168</v>
      </c>
      <c r="C30" s="7" t="s">
        <v>169</v>
      </c>
      <c r="D30" s="7" t="s">
        <v>23</v>
      </c>
      <c r="E30" s="7" t="s">
        <v>24</v>
      </c>
      <c r="F30" s="7" t="s">
        <v>42</v>
      </c>
      <c r="G30" s="7" t="s">
        <v>170</v>
      </c>
      <c r="H30" s="7">
        <v>5</v>
      </c>
      <c r="I30" s="2">
        <v>189.09</v>
      </c>
      <c r="J30" s="2">
        <f>Tabla2[[#This Row],[Quantity]]*I30</f>
        <v>945.45</v>
      </c>
      <c r="K30" s="6">
        <f>MONTH(Tabla2[[#This Row],[OrderDate]])</f>
        <v>2</v>
      </c>
      <c r="L30" s="6">
        <f>YEAR(Tabla2[[#This Row],[OrderDate]])</f>
        <v>2024</v>
      </c>
      <c r="M30" s="7" t="s">
        <v>171</v>
      </c>
      <c r="N30" s="7" t="s">
        <v>19</v>
      </c>
    </row>
    <row r="31" spans="1:14" x14ac:dyDescent="0.35">
      <c r="A31" s="7" t="s">
        <v>172</v>
      </c>
      <c r="B31" s="7" t="s">
        <v>173</v>
      </c>
      <c r="C31" s="7" t="s">
        <v>174</v>
      </c>
      <c r="D31" s="7" t="s">
        <v>32</v>
      </c>
      <c r="E31" s="7" t="s">
        <v>33</v>
      </c>
      <c r="F31" s="7" t="s">
        <v>25</v>
      </c>
      <c r="G31" s="7" t="s">
        <v>139</v>
      </c>
      <c r="H31" s="7">
        <v>4</v>
      </c>
      <c r="I31" s="2">
        <v>996.49</v>
      </c>
      <c r="J31" s="2">
        <f>Tabla2[[#This Row],[Quantity]]*I31</f>
        <v>3985.96</v>
      </c>
      <c r="K31" s="6">
        <f>MONTH(Tabla2[[#This Row],[OrderDate]])</f>
        <v>11</v>
      </c>
      <c r="L31" s="6">
        <f>YEAR(Tabla2[[#This Row],[OrderDate]])</f>
        <v>2025</v>
      </c>
      <c r="M31" s="7" t="s">
        <v>175</v>
      </c>
      <c r="N31" s="7" t="s">
        <v>19</v>
      </c>
    </row>
    <row r="32" spans="1:14" x14ac:dyDescent="0.35">
      <c r="A32" s="7" t="s">
        <v>176</v>
      </c>
      <c r="B32" s="7" t="s">
        <v>105</v>
      </c>
      <c r="C32" s="7" t="s">
        <v>106</v>
      </c>
      <c r="D32" s="7" t="s">
        <v>14</v>
      </c>
      <c r="E32" s="7" t="s">
        <v>95</v>
      </c>
      <c r="F32" s="7" t="s">
        <v>16</v>
      </c>
      <c r="G32" s="7" t="s">
        <v>177</v>
      </c>
      <c r="H32" s="7">
        <v>3</v>
      </c>
      <c r="I32" s="2">
        <v>185.92</v>
      </c>
      <c r="J32" s="2">
        <f>Tabla2[[#This Row],[Quantity]]*I32</f>
        <v>557.76</v>
      </c>
      <c r="K32" s="6">
        <f>MONTH(Tabla2[[#This Row],[OrderDate]])</f>
        <v>6</v>
      </c>
      <c r="L32" s="6">
        <f>YEAR(Tabla2[[#This Row],[OrderDate]])</f>
        <v>2024</v>
      </c>
      <c r="M32" s="7" t="s">
        <v>178</v>
      </c>
      <c r="N32" s="7" t="s">
        <v>45</v>
      </c>
    </row>
    <row r="33" spans="1:14" x14ac:dyDescent="0.35">
      <c r="A33" s="7" t="s">
        <v>179</v>
      </c>
      <c r="B33" s="7" t="s">
        <v>180</v>
      </c>
      <c r="C33" s="7" t="s">
        <v>181</v>
      </c>
      <c r="D33" s="7" t="s">
        <v>40</v>
      </c>
      <c r="E33" s="7" t="s">
        <v>41</v>
      </c>
      <c r="F33" s="7" t="s">
        <v>16</v>
      </c>
      <c r="G33" s="7" t="s">
        <v>182</v>
      </c>
      <c r="H33" s="7">
        <v>3</v>
      </c>
      <c r="I33" s="2">
        <v>401.14</v>
      </c>
      <c r="J33" s="2">
        <f>Tabla2[[#This Row],[Quantity]]*I33</f>
        <v>1203.42</v>
      </c>
      <c r="K33" s="6">
        <f>MONTH(Tabla2[[#This Row],[OrderDate]])</f>
        <v>7</v>
      </c>
      <c r="L33" s="6">
        <f>YEAR(Tabla2[[#This Row],[OrderDate]])</f>
        <v>2025</v>
      </c>
      <c r="M33" s="7" t="s">
        <v>183</v>
      </c>
      <c r="N33" s="7" t="s">
        <v>28</v>
      </c>
    </row>
    <row r="34" spans="1:14" x14ac:dyDescent="0.35">
      <c r="A34" s="7" t="s">
        <v>184</v>
      </c>
      <c r="B34" s="7" t="s">
        <v>185</v>
      </c>
      <c r="C34" s="7" t="s">
        <v>186</v>
      </c>
      <c r="D34" s="7" t="s">
        <v>14</v>
      </c>
      <c r="E34" s="7" t="s">
        <v>15</v>
      </c>
      <c r="F34" s="7" t="s">
        <v>50</v>
      </c>
      <c r="G34" s="7" t="s">
        <v>69</v>
      </c>
      <c r="H34" s="7">
        <v>3</v>
      </c>
      <c r="I34" s="2">
        <v>710.34</v>
      </c>
      <c r="J34" s="2">
        <f>Tabla2[[#This Row],[Quantity]]*I34</f>
        <v>2131.02</v>
      </c>
      <c r="K34" s="6">
        <f>MONTH(Tabla2[[#This Row],[OrderDate]])</f>
        <v>2</v>
      </c>
      <c r="L34" s="6">
        <f>YEAR(Tabla2[[#This Row],[OrderDate]])</f>
        <v>2024</v>
      </c>
      <c r="M34" s="7" t="s">
        <v>187</v>
      </c>
      <c r="N34" s="7" t="s">
        <v>28</v>
      </c>
    </row>
    <row r="35" spans="1:14" x14ac:dyDescent="0.35">
      <c r="A35" s="7" t="s">
        <v>188</v>
      </c>
      <c r="B35" s="7" t="s">
        <v>189</v>
      </c>
      <c r="C35" s="7" t="s">
        <v>190</v>
      </c>
      <c r="D35" s="7" t="s">
        <v>14</v>
      </c>
      <c r="E35" s="7" t="s">
        <v>15</v>
      </c>
      <c r="F35" s="7" t="s">
        <v>101</v>
      </c>
      <c r="G35" s="7" t="s">
        <v>102</v>
      </c>
      <c r="H35" s="7">
        <v>4</v>
      </c>
      <c r="I35" s="2">
        <v>1225.6600000000001</v>
      </c>
      <c r="J35" s="2">
        <f>Tabla2[[#This Row],[Quantity]]*I35</f>
        <v>4902.6400000000003</v>
      </c>
      <c r="K35" s="6">
        <f>MONTH(Tabla2[[#This Row],[OrderDate]])</f>
        <v>12</v>
      </c>
      <c r="L35" s="6">
        <f>YEAR(Tabla2[[#This Row],[OrderDate]])</f>
        <v>2025</v>
      </c>
      <c r="M35" s="7" t="s">
        <v>191</v>
      </c>
      <c r="N35" s="7" t="s">
        <v>19</v>
      </c>
    </row>
    <row r="36" spans="1:14" x14ac:dyDescent="0.35">
      <c r="A36" s="7" t="s">
        <v>192</v>
      </c>
      <c r="B36" s="7" t="s">
        <v>193</v>
      </c>
      <c r="C36" s="7" t="s">
        <v>194</v>
      </c>
      <c r="D36" s="7" t="s">
        <v>67</v>
      </c>
      <c r="E36" s="7" t="s">
        <v>130</v>
      </c>
      <c r="F36" s="7" t="s">
        <v>50</v>
      </c>
      <c r="G36" s="7" t="s">
        <v>56</v>
      </c>
      <c r="H36" s="7">
        <v>2</v>
      </c>
      <c r="I36" s="2">
        <v>71.900000000000006</v>
      </c>
      <c r="J36" s="2">
        <f>Tabla2[[#This Row],[Quantity]]*I36</f>
        <v>143.80000000000001</v>
      </c>
      <c r="K36" s="6">
        <f>MONTH(Tabla2[[#This Row],[OrderDate]])</f>
        <v>12</v>
      </c>
      <c r="L36" s="6">
        <f>YEAR(Tabla2[[#This Row],[OrderDate]])</f>
        <v>2025</v>
      </c>
      <c r="M36" s="7" t="s">
        <v>195</v>
      </c>
      <c r="N36" s="7" t="s">
        <v>36</v>
      </c>
    </row>
    <row r="37" spans="1:14" x14ac:dyDescent="0.35">
      <c r="A37" s="7" t="s">
        <v>196</v>
      </c>
      <c r="B37" s="7" t="s">
        <v>197</v>
      </c>
      <c r="C37" s="7" t="s">
        <v>198</v>
      </c>
      <c r="D37" s="7" t="s">
        <v>67</v>
      </c>
      <c r="E37" s="7" t="s">
        <v>130</v>
      </c>
      <c r="F37" s="7" t="s">
        <v>42</v>
      </c>
      <c r="G37" s="7" t="s">
        <v>43</v>
      </c>
      <c r="H37" s="7">
        <v>3</v>
      </c>
      <c r="I37" s="2">
        <v>1299.6300000000001</v>
      </c>
      <c r="J37" s="2">
        <f>Tabla2[[#This Row],[Quantity]]*I37</f>
        <v>3898.8900000000003</v>
      </c>
      <c r="K37" s="6">
        <f>MONTH(Tabla2[[#This Row],[OrderDate]])</f>
        <v>6</v>
      </c>
      <c r="L37" s="6">
        <f>YEAR(Tabla2[[#This Row],[OrderDate]])</f>
        <v>2025</v>
      </c>
      <c r="M37" s="7" t="s">
        <v>199</v>
      </c>
      <c r="N37" s="7" t="s">
        <v>36</v>
      </c>
    </row>
    <row r="38" spans="1:14" x14ac:dyDescent="0.35">
      <c r="A38" s="7" t="s">
        <v>200</v>
      </c>
      <c r="B38" s="7" t="s">
        <v>201</v>
      </c>
      <c r="C38" s="7" t="s">
        <v>202</v>
      </c>
      <c r="D38" s="7" t="s">
        <v>32</v>
      </c>
      <c r="E38" s="7" t="s">
        <v>203</v>
      </c>
      <c r="F38" s="7" t="s">
        <v>42</v>
      </c>
      <c r="G38" s="7" t="s">
        <v>89</v>
      </c>
      <c r="H38" s="7">
        <v>3</v>
      </c>
      <c r="I38" s="2">
        <v>1481.8</v>
      </c>
      <c r="J38" s="2">
        <f>Tabla2[[#This Row],[Quantity]]*I38</f>
        <v>4445.3999999999996</v>
      </c>
      <c r="K38" s="6">
        <f>MONTH(Tabla2[[#This Row],[OrderDate]])</f>
        <v>7</v>
      </c>
      <c r="L38" s="6">
        <f>YEAR(Tabla2[[#This Row],[OrderDate]])</f>
        <v>2024</v>
      </c>
      <c r="M38" s="7" t="s">
        <v>204</v>
      </c>
      <c r="N38" s="7" t="s">
        <v>19</v>
      </c>
    </row>
    <row r="39" spans="1:14" x14ac:dyDescent="0.35">
      <c r="A39" s="7" t="s">
        <v>205</v>
      </c>
      <c r="B39" s="7" t="s">
        <v>206</v>
      </c>
      <c r="C39" s="7" t="s">
        <v>207</v>
      </c>
      <c r="D39" s="7" t="s">
        <v>14</v>
      </c>
      <c r="E39" s="7" t="s">
        <v>100</v>
      </c>
      <c r="F39" s="7" t="s">
        <v>42</v>
      </c>
      <c r="G39" s="7" t="s">
        <v>43</v>
      </c>
      <c r="H39" s="7">
        <v>1</v>
      </c>
      <c r="I39" s="2">
        <v>1030.6300000000001</v>
      </c>
      <c r="J39" s="2">
        <f>Tabla2[[#This Row],[Quantity]]*I39</f>
        <v>1030.6300000000001</v>
      </c>
      <c r="K39" s="6">
        <f>MONTH(Tabla2[[#This Row],[OrderDate]])</f>
        <v>3</v>
      </c>
      <c r="L39" s="6">
        <f>YEAR(Tabla2[[#This Row],[OrderDate]])</f>
        <v>2025</v>
      </c>
      <c r="M39" s="7" t="s">
        <v>208</v>
      </c>
      <c r="N39" s="7" t="s">
        <v>28</v>
      </c>
    </row>
    <row r="40" spans="1:14" x14ac:dyDescent="0.35">
      <c r="A40" s="7" t="s">
        <v>209</v>
      </c>
      <c r="B40" s="7" t="s">
        <v>210</v>
      </c>
      <c r="C40" s="7" t="s">
        <v>211</v>
      </c>
      <c r="D40" s="7" t="s">
        <v>40</v>
      </c>
      <c r="E40" s="7" t="s">
        <v>79</v>
      </c>
      <c r="F40" s="7" t="s">
        <v>42</v>
      </c>
      <c r="G40" s="7" t="s">
        <v>170</v>
      </c>
      <c r="H40" s="7">
        <v>5</v>
      </c>
      <c r="I40" s="2">
        <v>1247.46</v>
      </c>
      <c r="J40" s="2">
        <f>Tabla2[[#This Row],[Quantity]]*I40</f>
        <v>6237.3</v>
      </c>
      <c r="K40" s="6">
        <f>MONTH(Tabla2[[#This Row],[OrderDate]])</f>
        <v>5</v>
      </c>
      <c r="L40" s="6">
        <f>YEAR(Tabla2[[#This Row],[OrderDate]])</f>
        <v>2024</v>
      </c>
      <c r="M40" s="7" t="s">
        <v>212</v>
      </c>
      <c r="N40" s="7" t="s">
        <v>45</v>
      </c>
    </row>
    <row r="41" spans="1:14" x14ac:dyDescent="0.35">
      <c r="A41" s="7" t="s">
        <v>213</v>
      </c>
      <c r="B41" s="7" t="s">
        <v>214</v>
      </c>
      <c r="C41" s="7" t="s">
        <v>215</v>
      </c>
      <c r="D41" s="7" t="s">
        <v>40</v>
      </c>
      <c r="E41" s="7" t="s">
        <v>41</v>
      </c>
      <c r="F41" s="7" t="s">
        <v>50</v>
      </c>
      <c r="G41" s="7" t="s">
        <v>216</v>
      </c>
      <c r="H41" s="7">
        <v>4</v>
      </c>
      <c r="I41" s="2">
        <v>221.55</v>
      </c>
      <c r="J41" s="2">
        <f>Tabla2[[#This Row],[Quantity]]*I41</f>
        <v>886.2</v>
      </c>
      <c r="K41" s="6">
        <f>MONTH(Tabla2[[#This Row],[OrderDate]])</f>
        <v>11</v>
      </c>
      <c r="L41" s="6">
        <f>YEAR(Tabla2[[#This Row],[OrderDate]])</f>
        <v>2024</v>
      </c>
      <c r="M41" s="7" t="s">
        <v>217</v>
      </c>
      <c r="N41" s="7" t="s">
        <v>19</v>
      </c>
    </row>
    <row r="42" spans="1:14" x14ac:dyDescent="0.35">
      <c r="A42" s="7" t="s">
        <v>218</v>
      </c>
      <c r="B42" s="7" t="s">
        <v>219</v>
      </c>
      <c r="C42" s="7" t="s">
        <v>220</v>
      </c>
      <c r="D42" s="7" t="s">
        <v>67</v>
      </c>
      <c r="E42" s="7" t="s">
        <v>130</v>
      </c>
      <c r="F42" s="7" t="s">
        <v>42</v>
      </c>
      <c r="G42" s="7" t="s">
        <v>43</v>
      </c>
      <c r="H42" s="7">
        <v>5</v>
      </c>
      <c r="I42" s="2">
        <v>836.2</v>
      </c>
      <c r="J42" s="2">
        <f>Tabla2[[#This Row],[Quantity]]*I42</f>
        <v>4181</v>
      </c>
      <c r="K42" s="6">
        <f>MONTH(Tabla2[[#This Row],[OrderDate]])</f>
        <v>7</v>
      </c>
      <c r="L42" s="6">
        <f>YEAR(Tabla2[[#This Row],[OrderDate]])</f>
        <v>2024</v>
      </c>
      <c r="M42" s="7" t="s">
        <v>221</v>
      </c>
      <c r="N42" s="7" t="s">
        <v>91</v>
      </c>
    </row>
    <row r="43" spans="1:14" x14ac:dyDescent="0.35">
      <c r="A43" s="7" t="s">
        <v>222</v>
      </c>
      <c r="B43" s="7" t="s">
        <v>223</v>
      </c>
      <c r="C43" s="7" t="s">
        <v>224</v>
      </c>
      <c r="D43" s="7" t="s">
        <v>40</v>
      </c>
      <c r="E43" s="7" t="s">
        <v>79</v>
      </c>
      <c r="F43" s="7" t="s">
        <v>42</v>
      </c>
      <c r="G43" s="7" t="s">
        <v>225</v>
      </c>
      <c r="H43" s="7">
        <v>3</v>
      </c>
      <c r="I43" s="2">
        <v>1037.21</v>
      </c>
      <c r="J43" s="2">
        <f>Tabla2[[#This Row],[Quantity]]*I43</f>
        <v>3111.63</v>
      </c>
      <c r="K43" s="6">
        <f>MONTH(Tabla2[[#This Row],[OrderDate]])</f>
        <v>4</v>
      </c>
      <c r="L43" s="6">
        <f>YEAR(Tabla2[[#This Row],[OrderDate]])</f>
        <v>2024</v>
      </c>
      <c r="M43" s="7" t="s">
        <v>226</v>
      </c>
      <c r="N43" s="7" t="s">
        <v>45</v>
      </c>
    </row>
    <row r="44" spans="1:14" x14ac:dyDescent="0.35">
      <c r="A44" s="7" t="s">
        <v>227</v>
      </c>
      <c r="B44" s="7" t="s">
        <v>228</v>
      </c>
      <c r="C44" s="7" t="s">
        <v>229</v>
      </c>
      <c r="D44" s="7" t="s">
        <v>67</v>
      </c>
      <c r="E44" s="7" t="s">
        <v>130</v>
      </c>
      <c r="F44" s="7" t="s">
        <v>16</v>
      </c>
      <c r="G44" s="7" t="s">
        <v>230</v>
      </c>
      <c r="H44" s="7">
        <v>3</v>
      </c>
      <c r="I44" s="2">
        <v>1101.03</v>
      </c>
      <c r="J44" s="2">
        <f>Tabla2[[#This Row],[Quantity]]*I44</f>
        <v>3303.09</v>
      </c>
      <c r="K44" s="6">
        <f>MONTH(Tabla2[[#This Row],[OrderDate]])</f>
        <v>8</v>
      </c>
      <c r="L44" s="6">
        <f>YEAR(Tabla2[[#This Row],[OrderDate]])</f>
        <v>2025</v>
      </c>
      <c r="M44" s="7" t="s">
        <v>231</v>
      </c>
      <c r="N44" s="7" t="s">
        <v>91</v>
      </c>
    </row>
    <row r="45" spans="1:14" x14ac:dyDescent="0.35">
      <c r="A45" s="7" t="s">
        <v>232</v>
      </c>
      <c r="B45" s="7" t="s">
        <v>173</v>
      </c>
      <c r="C45" s="7" t="s">
        <v>174</v>
      </c>
      <c r="D45" s="7" t="s">
        <v>32</v>
      </c>
      <c r="E45" s="7" t="s">
        <v>33</v>
      </c>
      <c r="F45" s="7" t="s">
        <v>50</v>
      </c>
      <c r="G45" s="7" t="s">
        <v>216</v>
      </c>
      <c r="H45" s="7">
        <v>2</v>
      </c>
      <c r="I45" s="2">
        <v>518.76</v>
      </c>
      <c r="J45" s="2">
        <f>Tabla2[[#This Row],[Quantity]]*I45</f>
        <v>1037.52</v>
      </c>
      <c r="K45" s="6">
        <f>MONTH(Tabla2[[#This Row],[OrderDate]])</f>
        <v>10</v>
      </c>
      <c r="L45" s="6">
        <f>YEAR(Tabla2[[#This Row],[OrderDate]])</f>
        <v>2025</v>
      </c>
      <c r="M45" s="7" t="s">
        <v>233</v>
      </c>
      <c r="N45" s="7" t="s">
        <v>28</v>
      </c>
    </row>
    <row r="46" spans="1:14" x14ac:dyDescent="0.35">
      <c r="A46" s="7" t="s">
        <v>234</v>
      </c>
      <c r="B46" s="7" t="s">
        <v>235</v>
      </c>
      <c r="C46" s="7" t="s">
        <v>236</v>
      </c>
      <c r="D46" s="7" t="s">
        <v>40</v>
      </c>
      <c r="E46" s="7" t="s">
        <v>79</v>
      </c>
      <c r="F46" s="7" t="s">
        <v>101</v>
      </c>
      <c r="G46" s="7" t="s">
        <v>237</v>
      </c>
      <c r="H46" s="7">
        <v>4</v>
      </c>
      <c r="I46" s="2">
        <v>441.18</v>
      </c>
      <c r="J46" s="2">
        <f>Tabla2[[#This Row],[Quantity]]*I46</f>
        <v>1764.72</v>
      </c>
      <c r="K46" s="6">
        <f>MONTH(Tabla2[[#This Row],[OrderDate]])</f>
        <v>8</v>
      </c>
      <c r="L46" s="6">
        <f>YEAR(Tabla2[[#This Row],[OrderDate]])</f>
        <v>2025</v>
      </c>
      <c r="M46" s="7" t="s">
        <v>238</v>
      </c>
      <c r="N46" s="7" t="s">
        <v>45</v>
      </c>
    </row>
    <row r="47" spans="1:14" x14ac:dyDescent="0.35">
      <c r="A47" s="7" t="s">
        <v>239</v>
      </c>
      <c r="B47" s="7" t="s">
        <v>240</v>
      </c>
      <c r="C47" s="7" t="s">
        <v>241</v>
      </c>
      <c r="D47" s="7" t="s">
        <v>32</v>
      </c>
      <c r="E47" s="7" t="s">
        <v>61</v>
      </c>
      <c r="F47" s="7" t="s">
        <v>25</v>
      </c>
      <c r="G47" s="7" t="s">
        <v>139</v>
      </c>
      <c r="H47" s="7">
        <v>4</v>
      </c>
      <c r="I47" s="2">
        <v>124.29</v>
      </c>
      <c r="J47" s="2">
        <f>Tabla2[[#This Row],[Quantity]]*I47</f>
        <v>497.16</v>
      </c>
      <c r="K47" s="6">
        <f>MONTH(Tabla2[[#This Row],[OrderDate]])</f>
        <v>1</v>
      </c>
      <c r="L47" s="6">
        <f>YEAR(Tabla2[[#This Row],[OrderDate]])</f>
        <v>2026</v>
      </c>
      <c r="M47" s="7" t="s">
        <v>242</v>
      </c>
      <c r="N47" s="7" t="s">
        <v>45</v>
      </c>
    </row>
    <row r="48" spans="1:14" x14ac:dyDescent="0.35">
      <c r="A48" s="7" t="s">
        <v>243</v>
      </c>
      <c r="B48" s="7" t="s">
        <v>244</v>
      </c>
      <c r="C48" s="7" t="s">
        <v>245</v>
      </c>
      <c r="D48" s="7" t="s">
        <v>32</v>
      </c>
      <c r="E48" s="7" t="s">
        <v>203</v>
      </c>
      <c r="F48" s="7" t="s">
        <v>16</v>
      </c>
      <c r="G48" s="7" t="s">
        <v>230</v>
      </c>
      <c r="H48" s="7">
        <v>5</v>
      </c>
      <c r="I48" s="2">
        <v>775.51</v>
      </c>
      <c r="J48" s="2">
        <f>Tabla2[[#This Row],[Quantity]]*I48</f>
        <v>3877.55</v>
      </c>
      <c r="K48" s="6">
        <f>MONTH(Tabla2[[#This Row],[OrderDate]])</f>
        <v>5</v>
      </c>
      <c r="L48" s="6">
        <f>YEAR(Tabla2[[#This Row],[OrderDate]])</f>
        <v>2025</v>
      </c>
      <c r="M48" s="7" t="s">
        <v>246</v>
      </c>
      <c r="N48" s="7" t="s">
        <v>36</v>
      </c>
    </row>
    <row r="49" spans="1:14" x14ac:dyDescent="0.35">
      <c r="A49" s="7" t="s">
        <v>247</v>
      </c>
      <c r="B49" s="7" t="s">
        <v>248</v>
      </c>
      <c r="C49" s="7" t="s">
        <v>249</v>
      </c>
      <c r="D49" s="7" t="s">
        <v>40</v>
      </c>
      <c r="E49" s="7" t="s">
        <v>120</v>
      </c>
      <c r="F49" s="7" t="s">
        <v>101</v>
      </c>
      <c r="G49" s="7" t="s">
        <v>102</v>
      </c>
      <c r="H49" s="7">
        <v>4</v>
      </c>
      <c r="I49" s="2">
        <v>26.43</v>
      </c>
      <c r="J49" s="2">
        <f>Tabla2[[#This Row],[Quantity]]*I49</f>
        <v>105.72</v>
      </c>
      <c r="K49" s="6">
        <f>MONTH(Tabla2[[#This Row],[OrderDate]])</f>
        <v>5</v>
      </c>
      <c r="L49" s="6">
        <f>YEAR(Tabla2[[#This Row],[OrderDate]])</f>
        <v>2025</v>
      </c>
      <c r="M49" s="7" t="s">
        <v>250</v>
      </c>
      <c r="N49" s="7" t="s">
        <v>36</v>
      </c>
    </row>
    <row r="50" spans="1:14" x14ac:dyDescent="0.35">
      <c r="A50" s="7" t="s">
        <v>251</v>
      </c>
      <c r="B50" s="7" t="s">
        <v>252</v>
      </c>
      <c r="C50" s="7" t="s">
        <v>253</v>
      </c>
      <c r="D50" s="7" t="s">
        <v>67</v>
      </c>
      <c r="E50" s="7" t="s">
        <v>115</v>
      </c>
      <c r="F50" s="7" t="s">
        <v>16</v>
      </c>
      <c r="G50" s="7" t="s">
        <v>182</v>
      </c>
      <c r="H50" s="7">
        <v>1</v>
      </c>
      <c r="I50" s="2">
        <v>1338.55</v>
      </c>
      <c r="J50" s="2">
        <f>Tabla2[[#This Row],[Quantity]]*I50</f>
        <v>1338.55</v>
      </c>
      <c r="K50" s="6">
        <f>MONTH(Tabla2[[#This Row],[OrderDate]])</f>
        <v>3</v>
      </c>
      <c r="L50" s="6">
        <f>YEAR(Tabla2[[#This Row],[OrderDate]])</f>
        <v>2024</v>
      </c>
      <c r="M50" s="7" t="s">
        <v>254</v>
      </c>
      <c r="N50" s="7" t="s">
        <v>19</v>
      </c>
    </row>
    <row r="51" spans="1:14" x14ac:dyDescent="0.35">
      <c r="A51" s="7" t="s">
        <v>255</v>
      </c>
      <c r="B51" s="7" t="s">
        <v>256</v>
      </c>
      <c r="C51" s="7" t="s">
        <v>257</v>
      </c>
      <c r="D51" s="7" t="s">
        <v>14</v>
      </c>
      <c r="E51" s="7" t="s">
        <v>95</v>
      </c>
      <c r="F51" s="7" t="s">
        <v>25</v>
      </c>
      <c r="G51" s="7" t="s">
        <v>62</v>
      </c>
      <c r="H51" s="7">
        <v>1</v>
      </c>
      <c r="I51" s="2">
        <v>407.18</v>
      </c>
      <c r="J51" s="2">
        <f>Tabla2[[#This Row],[Quantity]]*I51</f>
        <v>407.18</v>
      </c>
      <c r="K51" s="6">
        <f>MONTH(Tabla2[[#This Row],[OrderDate]])</f>
        <v>8</v>
      </c>
      <c r="L51" s="6">
        <f>YEAR(Tabla2[[#This Row],[OrderDate]])</f>
        <v>2025</v>
      </c>
      <c r="M51" s="7" t="s">
        <v>258</v>
      </c>
      <c r="N51" s="7" t="s">
        <v>91</v>
      </c>
    </row>
    <row r="52" spans="1:14" x14ac:dyDescent="0.35">
      <c r="A52" s="7" t="s">
        <v>259</v>
      </c>
      <c r="B52" s="7" t="s">
        <v>260</v>
      </c>
      <c r="C52" s="7" t="s">
        <v>261</v>
      </c>
      <c r="D52" s="7" t="s">
        <v>23</v>
      </c>
      <c r="E52" s="7" t="s">
        <v>24</v>
      </c>
      <c r="F52" s="7" t="s">
        <v>42</v>
      </c>
      <c r="G52" s="7" t="s">
        <v>80</v>
      </c>
      <c r="H52" s="7">
        <v>2</v>
      </c>
      <c r="I52" s="2">
        <v>871.92</v>
      </c>
      <c r="J52" s="2">
        <f>Tabla2[[#This Row],[Quantity]]*I52</f>
        <v>1743.84</v>
      </c>
      <c r="K52" s="6">
        <f>MONTH(Tabla2[[#This Row],[OrderDate]])</f>
        <v>7</v>
      </c>
      <c r="L52" s="6">
        <f>YEAR(Tabla2[[#This Row],[OrderDate]])</f>
        <v>2025</v>
      </c>
      <c r="M52" s="7" t="s">
        <v>262</v>
      </c>
      <c r="N52" s="7" t="s">
        <v>45</v>
      </c>
    </row>
    <row r="53" spans="1:14" x14ac:dyDescent="0.35">
      <c r="A53" s="7" t="s">
        <v>263</v>
      </c>
      <c r="B53" s="7" t="s">
        <v>264</v>
      </c>
      <c r="C53" s="7" t="s">
        <v>265</v>
      </c>
      <c r="D53" s="7" t="s">
        <v>14</v>
      </c>
      <c r="E53" s="7" t="s">
        <v>266</v>
      </c>
      <c r="F53" s="7" t="s">
        <v>25</v>
      </c>
      <c r="G53" s="7" t="s">
        <v>62</v>
      </c>
      <c r="H53" s="7">
        <v>5</v>
      </c>
      <c r="I53" s="2">
        <v>1131.8800000000001</v>
      </c>
      <c r="J53" s="2">
        <f>Tabla2[[#This Row],[Quantity]]*I53</f>
        <v>5659.4000000000005</v>
      </c>
      <c r="K53" s="6">
        <f>MONTH(Tabla2[[#This Row],[OrderDate]])</f>
        <v>10</v>
      </c>
      <c r="L53" s="6">
        <f>YEAR(Tabla2[[#This Row],[OrderDate]])</f>
        <v>2025</v>
      </c>
      <c r="M53" s="7" t="s">
        <v>267</v>
      </c>
      <c r="N53" s="7" t="s">
        <v>45</v>
      </c>
    </row>
    <row r="54" spans="1:14" x14ac:dyDescent="0.35">
      <c r="A54" s="7" t="s">
        <v>268</v>
      </c>
      <c r="B54" s="7" t="s">
        <v>269</v>
      </c>
      <c r="C54" s="7" t="s">
        <v>270</v>
      </c>
      <c r="D54" s="7" t="s">
        <v>14</v>
      </c>
      <c r="E54" s="7" t="s">
        <v>100</v>
      </c>
      <c r="F54" s="7" t="s">
        <v>16</v>
      </c>
      <c r="G54" s="7" t="s">
        <v>182</v>
      </c>
      <c r="H54" s="7">
        <v>1</v>
      </c>
      <c r="I54" s="2">
        <v>1484.1</v>
      </c>
      <c r="J54" s="2">
        <f>Tabla2[[#This Row],[Quantity]]*I54</f>
        <v>1484.1</v>
      </c>
      <c r="K54" s="6">
        <f>MONTH(Tabla2[[#This Row],[OrderDate]])</f>
        <v>1</v>
      </c>
      <c r="L54" s="6">
        <f>YEAR(Tabla2[[#This Row],[OrderDate]])</f>
        <v>2024</v>
      </c>
      <c r="M54" s="7" t="s">
        <v>271</v>
      </c>
      <c r="N54" s="7" t="s">
        <v>45</v>
      </c>
    </row>
    <row r="55" spans="1:14" x14ac:dyDescent="0.35">
      <c r="A55" s="7" t="s">
        <v>272</v>
      </c>
      <c r="B55" s="7" t="s">
        <v>273</v>
      </c>
      <c r="C55" s="7" t="s">
        <v>274</v>
      </c>
      <c r="D55" s="7" t="s">
        <v>32</v>
      </c>
      <c r="E55" s="7" t="s">
        <v>61</v>
      </c>
      <c r="F55" s="7" t="s">
        <v>16</v>
      </c>
      <c r="G55" s="7" t="s">
        <v>17</v>
      </c>
      <c r="H55" s="7">
        <v>3</v>
      </c>
      <c r="I55" s="2">
        <v>255.97</v>
      </c>
      <c r="J55" s="2">
        <f>Tabla2[[#This Row],[Quantity]]*I55</f>
        <v>767.91</v>
      </c>
      <c r="K55" s="6">
        <f>MONTH(Tabla2[[#This Row],[OrderDate]])</f>
        <v>10</v>
      </c>
      <c r="L55" s="6">
        <f>YEAR(Tabla2[[#This Row],[OrderDate]])</f>
        <v>2024</v>
      </c>
      <c r="M55" s="7" t="s">
        <v>275</v>
      </c>
      <c r="N55" s="7" t="s">
        <v>19</v>
      </c>
    </row>
    <row r="56" spans="1:14" x14ac:dyDescent="0.35">
      <c r="A56" s="7" t="s">
        <v>276</v>
      </c>
      <c r="B56" s="7" t="s">
        <v>128</v>
      </c>
      <c r="C56" s="7" t="s">
        <v>129</v>
      </c>
      <c r="D56" s="7" t="s">
        <v>32</v>
      </c>
      <c r="E56" s="7" t="s">
        <v>61</v>
      </c>
      <c r="F56" s="7" t="s">
        <v>50</v>
      </c>
      <c r="G56" s="7" t="s">
        <v>69</v>
      </c>
      <c r="H56" s="7">
        <v>1</v>
      </c>
      <c r="I56" s="2">
        <v>1373.33</v>
      </c>
      <c r="J56" s="2">
        <f>Tabla2[[#This Row],[Quantity]]*I56</f>
        <v>1373.33</v>
      </c>
      <c r="K56" s="6">
        <f>MONTH(Tabla2[[#This Row],[OrderDate]])</f>
        <v>12</v>
      </c>
      <c r="L56" s="6">
        <f>YEAR(Tabla2[[#This Row],[OrderDate]])</f>
        <v>2024</v>
      </c>
      <c r="M56" s="7" t="s">
        <v>277</v>
      </c>
      <c r="N56" s="7" t="s">
        <v>45</v>
      </c>
    </row>
    <row r="57" spans="1:14" x14ac:dyDescent="0.35">
      <c r="A57" s="7" t="s">
        <v>278</v>
      </c>
      <c r="B57" s="7" t="s">
        <v>12</v>
      </c>
      <c r="C57" s="7" t="s">
        <v>13</v>
      </c>
      <c r="D57" s="7" t="s">
        <v>40</v>
      </c>
      <c r="E57" s="7" t="s">
        <v>79</v>
      </c>
      <c r="F57" s="7" t="s">
        <v>16</v>
      </c>
      <c r="G57" s="7" t="s">
        <v>148</v>
      </c>
      <c r="H57" s="7">
        <v>3</v>
      </c>
      <c r="I57" s="2">
        <v>1229.5999999999999</v>
      </c>
      <c r="J57" s="2">
        <f>Tabla2[[#This Row],[Quantity]]*I57</f>
        <v>3688.7999999999997</v>
      </c>
      <c r="K57" s="6">
        <f>MONTH(Tabla2[[#This Row],[OrderDate]])</f>
        <v>3</v>
      </c>
      <c r="L57" s="6">
        <f>YEAR(Tabla2[[#This Row],[OrderDate]])</f>
        <v>2025</v>
      </c>
      <c r="M57" s="7" t="s">
        <v>279</v>
      </c>
      <c r="N57" s="7" t="s">
        <v>19</v>
      </c>
    </row>
    <row r="58" spans="1:14" x14ac:dyDescent="0.35">
      <c r="A58" s="7" t="s">
        <v>280</v>
      </c>
      <c r="B58" s="7" t="s">
        <v>281</v>
      </c>
      <c r="C58" s="7" t="s">
        <v>282</v>
      </c>
      <c r="D58" s="7" t="s">
        <v>14</v>
      </c>
      <c r="E58" s="7" t="s">
        <v>15</v>
      </c>
      <c r="F58" s="7" t="s">
        <v>25</v>
      </c>
      <c r="G58" s="7" t="s">
        <v>62</v>
      </c>
      <c r="H58" s="7">
        <v>1</v>
      </c>
      <c r="I58" s="2">
        <v>227.18</v>
      </c>
      <c r="J58" s="2">
        <f>Tabla2[[#This Row],[Quantity]]*I58</f>
        <v>227.18</v>
      </c>
      <c r="K58" s="6">
        <f>MONTH(Tabla2[[#This Row],[OrderDate]])</f>
        <v>6</v>
      </c>
      <c r="L58" s="6">
        <f>YEAR(Tabla2[[#This Row],[OrderDate]])</f>
        <v>2024</v>
      </c>
      <c r="M58" s="7" t="s">
        <v>283</v>
      </c>
      <c r="N58" s="7" t="s">
        <v>19</v>
      </c>
    </row>
    <row r="59" spans="1:14" x14ac:dyDescent="0.35">
      <c r="A59" s="7" t="s">
        <v>284</v>
      </c>
      <c r="B59" s="7" t="s">
        <v>264</v>
      </c>
      <c r="C59" s="7" t="s">
        <v>265</v>
      </c>
      <c r="D59" s="7" t="s">
        <v>67</v>
      </c>
      <c r="E59" s="7" t="s">
        <v>130</v>
      </c>
      <c r="F59" s="7" t="s">
        <v>50</v>
      </c>
      <c r="G59" s="7" t="s">
        <v>51</v>
      </c>
      <c r="H59" s="7">
        <v>4</v>
      </c>
      <c r="I59" s="2">
        <v>903.08</v>
      </c>
      <c r="J59" s="2">
        <f>Tabla2[[#This Row],[Quantity]]*I59</f>
        <v>3612.32</v>
      </c>
      <c r="K59" s="6">
        <f>MONTH(Tabla2[[#This Row],[OrderDate]])</f>
        <v>8</v>
      </c>
      <c r="L59" s="6">
        <f>YEAR(Tabla2[[#This Row],[OrderDate]])</f>
        <v>2025</v>
      </c>
      <c r="M59" s="7" t="s">
        <v>285</v>
      </c>
      <c r="N59" s="7" t="s">
        <v>19</v>
      </c>
    </row>
    <row r="60" spans="1:14" x14ac:dyDescent="0.35">
      <c r="A60" s="7" t="s">
        <v>286</v>
      </c>
      <c r="B60" s="7" t="s">
        <v>287</v>
      </c>
      <c r="C60" s="7" t="s">
        <v>288</v>
      </c>
      <c r="D60" s="7" t="s">
        <v>32</v>
      </c>
      <c r="E60" s="7" t="s">
        <v>203</v>
      </c>
      <c r="F60" s="7" t="s">
        <v>50</v>
      </c>
      <c r="G60" s="7" t="s">
        <v>170</v>
      </c>
      <c r="H60" s="7">
        <v>4</v>
      </c>
      <c r="I60" s="2">
        <v>1119.1400000000001</v>
      </c>
      <c r="J60" s="2">
        <f>Tabla2[[#This Row],[Quantity]]*I60</f>
        <v>4476.5600000000004</v>
      </c>
      <c r="K60" s="6">
        <f>MONTH(Tabla2[[#This Row],[OrderDate]])</f>
        <v>9</v>
      </c>
      <c r="L60" s="6">
        <f>YEAR(Tabla2[[#This Row],[OrderDate]])</f>
        <v>2024</v>
      </c>
      <c r="M60" s="7" t="s">
        <v>289</v>
      </c>
      <c r="N60" s="7" t="s">
        <v>19</v>
      </c>
    </row>
    <row r="61" spans="1:14" x14ac:dyDescent="0.35">
      <c r="A61" s="7" t="s">
        <v>290</v>
      </c>
      <c r="B61" s="7" t="s">
        <v>291</v>
      </c>
      <c r="C61" s="7" t="s">
        <v>292</v>
      </c>
      <c r="D61" s="7" t="s">
        <v>40</v>
      </c>
      <c r="E61" s="7" t="s">
        <v>79</v>
      </c>
      <c r="F61" s="7" t="s">
        <v>16</v>
      </c>
      <c r="G61" s="7" t="s">
        <v>17</v>
      </c>
      <c r="H61" s="7">
        <v>2</v>
      </c>
      <c r="I61" s="2">
        <v>1318.75</v>
      </c>
      <c r="J61" s="2">
        <f>Tabla2[[#This Row],[Quantity]]*I61</f>
        <v>2637.5</v>
      </c>
      <c r="K61" s="6">
        <f>MONTH(Tabla2[[#This Row],[OrderDate]])</f>
        <v>3</v>
      </c>
      <c r="L61" s="6">
        <f>YEAR(Tabla2[[#This Row],[OrderDate]])</f>
        <v>2025</v>
      </c>
      <c r="M61" s="7" t="s">
        <v>293</v>
      </c>
      <c r="N61" s="7" t="s">
        <v>91</v>
      </c>
    </row>
    <row r="62" spans="1:14" x14ac:dyDescent="0.35">
      <c r="A62" s="7" t="s">
        <v>294</v>
      </c>
      <c r="B62" s="7" t="s">
        <v>295</v>
      </c>
      <c r="C62" s="7" t="s">
        <v>296</v>
      </c>
      <c r="D62" s="7" t="s">
        <v>32</v>
      </c>
      <c r="E62" s="7" t="s">
        <v>203</v>
      </c>
      <c r="F62" s="7" t="s">
        <v>50</v>
      </c>
      <c r="G62" s="7" t="s">
        <v>170</v>
      </c>
      <c r="H62" s="7">
        <v>1</v>
      </c>
      <c r="I62" s="2">
        <v>629.77</v>
      </c>
      <c r="J62" s="2">
        <f>Tabla2[[#This Row],[Quantity]]*I62</f>
        <v>629.77</v>
      </c>
      <c r="K62" s="6">
        <f>MONTH(Tabla2[[#This Row],[OrderDate]])</f>
        <v>7</v>
      </c>
      <c r="L62" s="6">
        <f>YEAR(Tabla2[[#This Row],[OrderDate]])</f>
        <v>2024</v>
      </c>
      <c r="M62" s="7" t="s">
        <v>297</v>
      </c>
      <c r="N62" s="7" t="s">
        <v>36</v>
      </c>
    </row>
    <row r="63" spans="1:14" x14ac:dyDescent="0.35">
      <c r="A63" s="7" t="s">
        <v>298</v>
      </c>
      <c r="B63" s="7" t="s">
        <v>299</v>
      </c>
      <c r="C63" s="7" t="s">
        <v>300</v>
      </c>
      <c r="D63" s="7" t="s">
        <v>14</v>
      </c>
      <c r="E63" s="7" t="s">
        <v>15</v>
      </c>
      <c r="F63" s="7" t="s">
        <v>25</v>
      </c>
      <c r="G63" s="7" t="s">
        <v>62</v>
      </c>
      <c r="H63" s="7">
        <v>4</v>
      </c>
      <c r="I63" s="2">
        <v>194.98</v>
      </c>
      <c r="J63" s="2">
        <f>Tabla2[[#This Row],[Quantity]]*I63</f>
        <v>779.92</v>
      </c>
      <c r="K63" s="6">
        <f>MONTH(Tabla2[[#This Row],[OrderDate]])</f>
        <v>5</v>
      </c>
      <c r="L63" s="6">
        <f>YEAR(Tabla2[[#This Row],[OrderDate]])</f>
        <v>2025</v>
      </c>
      <c r="M63" s="7" t="s">
        <v>301</v>
      </c>
      <c r="N63" s="7" t="s">
        <v>36</v>
      </c>
    </row>
    <row r="64" spans="1:14" x14ac:dyDescent="0.35">
      <c r="A64" s="7" t="s">
        <v>302</v>
      </c>
      <c r="B64" s="7" t="s">
        <v>303</v>
      </c>
      <c r="C64" s="7" t="s">
        <v>304</v>
      </c>
      <c r="D64" s="7" t="s">
        <v>32</v>
      </c>
      <c r="E64" s="7" t="s">
        <v>61</v>
      </c>
      <c r="F64" s="7" t="s">
        <v>50</v>
      </c>
      <c r="G64" s="7" t="s">
        <v>51</v>
      </c>
      <c r="H64" s="7">
        <v>1</v>
      </c>
      <c r="I64" s="2">
        <v>643.64</v>
      </c>
      <c r="J64" s="2">
        <f>Tabla2[[#This Row],[Quantity]]*I64</f>
        <v>643.64</v>
      </c>
      <c r="K64" s="6">
        <f>MONTH(Tabla2[[#This Row],[OrderDate]])</f>
        <v>6</v>
      </c>
      <c r="L64" s="6">
        <f>YEAR(Tabla2[[#This Row],[OrderDate]])</f>
        <v>2025</v>
      </c>
      <c r="M64" s="7" t="s">
        <v>305</v>
      </c>
      <c r="N64" s="7" t="s">
        <v>45</v>
      </c>
    </row>
    <row r="65" spans="1:14" x14ac:dyDescent="0.35">
      <c r="A65" s="7" t="s">
        <v>306</v>
      </c>
      <c r="B65" s="7" t="s">
        <v>307</v>
      </c>
      <c r="C65" s="7" t="s">
        <v>308</v>
      </c>
      <c r="D65" s="7" t="s">
        <v>23</v>
      </c>
      <c r="E65" s="7" t="s">
        <v>49</v>
      </c>
      <c r="F65" s="7" t="s">
        <v>50</v>
      </c>
      <c r="G65" s="7" t="s">
        <v>170</v>
      </c>
      <c r="H65" s="7">
        <v>1</v>
      </c>
      <c r="I65" s="2">
        <v>601.29999999999995</v>
      </c>
      <c r="J65" s="2">
        <f>Tabla2[[#This Row],[Quantity]]*I65</f>
        <v>601.29999999999995</v>
      </c>
      <c r="K65" s="6">
        <f>MONTH(Tabla2[[#This Row],[OrderDate]])</f>
        <v>2</v>
      </c>
      <c r="L65" s="6">
        <f>YEAR(Tabla2[[#This Row],[OrderDate]])</f>
        <v>2025</v>
      </c>
      <c r="M65" s="7" t="s">
        <v>309</v>
      </c>
      <c r="N65" s="7" t="s">
        <v>91</v>
      </c>
    </row>
    <row r="66" spans="1:14" x14ac:dyDescent="0.35">
      <c r="A66" s="7" t="s">
        <v>310</v>
      </c>
      <c r="B66" s="7" t="s">
        <v>311</v>
      </c>
      <c r="C66" s="7" t="s">
        <v>312</v>
      </c>
      <c r="D66" s="7" t="s">
        <v>40</v>
      </c>
      <c r="E66" s="7" t="s">
        <v>79</v>
      </c>
      <c r="F66" s="7" t="s">
        <v>25</v>
      </c>
      <c r="G66" s="7" t="s">
        <v>26</v>
      </c>
      <c r="H66" s="7">
        <v>2</v>
      </c>
      <c r="I66" s="2">
        <v>236.03</v>
      </c>
      <c r="J66" s="2">
        <f>Tabla2[[#This Row],[Quantity]]*I66</f>
        <v>472.06</v>
      </c>
      <c r="K66" s="6">
        <f>MONTH(Tabla2[[#This Row],[OrderDate]])</f>
        <v>6</v>
      </c>
      <c r="L66" s="6">
        <f>YEAR(Tabla2[[#This Row],[OrderDate]])</f>
        <v>2024</v>
      </c>
      <c r="M66" s="7" t="s">
        <v>313</v>
      </c>
      <c r="N66" s="7" t="s">
        <v>36</v>
      </c>
    </row>
    <row r="67" spans="1:14" x14ac:dyDescent="0.35">
      <c r="A67" s="7" t="s">
        <v>314</v>
      </c>
      <c r="B67" s="7" t="s">
        <v>315</v>
      </c>
      <c r="C67" s="7" t="s">
        <v>316</v>
      </c>
      <c r="D67" s="7" t="s">
        <v>32</v>
      </c>
      <c r="E67" s="7" t="s">
        <v>33</v>
      </c>
      <c r="F67" s="7" t="s">
        <v>101</v>
      </c>
      <c r="G67" s="7" t="s">
        <v>237</v>
      </c>
      <c r="H67" s="7">
        <v>3</v>
      </c>
      <c r="I67" s="2">
        <v>425.78</v>
      </c>
      <c r="J67" s="2">
        <f>Tabla2[[#This Row],[Quantity]]*I67</f>
        <v>1277.3399999999999</v>
      </c>
      <c r="K67" s="6">
        <f>MONTH(Tabla2[[#This Row],[OrderDate]])</f>
        <v>5</v>
      </c>
      <c r="L67" s="6">
        <f>YEAR(Tabla2[[#This Row],[OrderDate]])</f>
        <v>2024</v>
      </c>
      <c r="M67" s="7" t="s">
        <v>317</v>
      </c>
      <c r="N67" s="7" t="s">
        <v>45</v>
      </c>
    </row>
    <row r="68" spans="1:14" x14ac:dyDescent="0.35">
      <c r="A68" s="7" t="s">
        <v>318</v>
      </c>
      <c r="B68" s="7" t="s">
        <v>128</v>
      </c>
      <c r="C68" s="7" t="s">
        <v>129</v>
      </c>
      <c r="D68" s="7" t="s">
        <v>14</v>
      </c>
      <c r="E68" s="7" t="s">
        <v>100</v>
      </c>
      <c r="F68" s="7" t="s">
        <v>42</v>
      </c>
      <c r="G68" s="7" t="s">
        <v>89</v>
      </c>
      <c r="H68" s="7">
        <v>1</v>
      </c>
      <c r="I68" s="2">
        <v>1161.6099999999999</v>
      </c>
      <c r="J68" s="2">
        <f>Tabla2[[#This Row],[Quantity]]*I68</f>
        <v>1161.6099999999999</v>
      </c>
      <c r="K68" s="6">
        <f>MONTH(Tabla2[[#This Row],[OrderDate]])</f>
        <v>5</v>
      </c>
      <c r="L68" s="6">
        <f>YEAR(Tabla2[[#This Row],[OrderDate]])</f>
        <v>2025</v>
      </c>
      <c r="M68" s="7" t="s">
        <v>319</v>
      </c>
      <c r="N68" s="7" t="s">
        <v>45</v>
      </c>
    </row>
    <row r="69" spans="1:14" x14ac:dyDescent="0.35">
      <c r="A69" s="7" t="s">
        <v>320</v>
      </c>
      <c r="B69" s="7" t="s">
        <v>321</v>
      </c>
      <c r="C69" s="7" t="s">
        <v>322</v>
      </c>
      <c r="D69" s="7" t="s">
        <v>32</v>
      </c>
      <c r="E69" s="7" t="s">
        <v>203</v>
      </c>
      <c r="F69" s="7" t="s">
        <v>16</v>
      </c>
      <c r="G69" s="7" t="s">
        <v>182</v>
      </c>
      <c r="H69" s="7">
        <v>3</v>
      </c>
      <c r="I69" s="2">
        <v>1151.94</v>
      </c>
      <c r="J69" s="2">
        <f>Tabla2[[#This Row],[Quantity]]*I69</f>
        <v>3455.82</v>
      </c>
      <c r="K69" s="6">
        <f>MONTH(Tabla2[[#This Row],[OrderDate]])</f>
        <v>10</v>
      </c>
      <c r="L69" s="6">
        <f>YEAR(Tabla2[[#This Row],[OrderDate]])</f>
        <v>2025</v>
      </c>
      <c r="M69" s="7" t="s">
        <v>323</v>
      </c>
      <c r="N69" s="7" t="s">
        <v>36</v>
      </c>
    </row>
    <row r="70" spans="1:14" x14ac:dyDescent="0.35">
      <c r="A70" s="7" t="s">
        <v>324</v>
      </c>
      <c r="B70" s="7" t="s">
        <v>325</v>
      </c>
      <c r="C70" s="7" t="s">
        <v>326</v>
      </c>
      <c r="D70" s="7" t="s">
        <v>23</v>
      </c>
      <c r="E70" s="7" t="s">
        <v>24</v>
      </c>
      <c r="F70" s="7" t="s">
        <v>101</v>
      </c>
      <c r="G70" s="7" t="s">
        <v>237</v>
      </c>
      <c r="H70" s="7">
        <v>3</v>
      </c>
      <c r="I70" s="2">
        <v>373.06</v>
      </c>
      <c r="J70" s="2">
        <f>Tabla2[[#This Row],[Quantity]]*I70</f>
        <v>1119.18</v>
      </c>
      <c r="K70" s="6">
        <f>MONTH(Tabla2[[#This Row],[OrderDate]])</f>
        <v>4</v>
      </c>
      <c r="L70" s="6">
        <f>YEAR(Tabla2[[#This Row],[OrderDate]])</f>
        <v>2024</v>
      </c>
      <c r="M70" s="7" t="s">
        <v>327</v>
      </c>
      <c r="N70" s="7" t="s">
        <v>36</v>
      </c>
    </row>
    <row r="71" spans="1:14" x14ac:dyDescent="0.35">
      <c r="A71" s="7" t="s">
        <v>328</v>
      </c>
      <c r="B71" s="7" t="s">
        <v>12</v>
      </c>
      <c r="C71" s="7" t="s">
        <v>13</v>
      </c>
      <c r="D71" s="7" t="s">
        <v>14</v>
      </c>
      <c r="E71" s="7" t="s">
        <v>125</v>
      </c>
      <c r="F71" s="7" t="s">
        <v>50</v>
      </c>
      <c r="G71" s="7" t="s">
        <v>170</v>
      </c>
      <c r="H71" s="7">
        <v>2</v>
      </c>
      <c r="I71" s="2">
        <v>1419.18</v>
      </c>
      <c r="J71" s="2">
        <f>Tabla2[[#This Row],[Quantity]]*I71</f>
        <v>2838.36</v>
      </c>
      <c r="K71" s="6">
        <f>MONTH(Tabla2[[#This Row],[OrderDate]])</f>
        <v>2</v>
      </c>
      <c r="L71" s="6">
        <f>YEAR(Tabla2[[#This Row],[OrderDate]])</f>
        <v>2025</v>
      </c>
      <c r="M71" s="7" t="s">
        <v>329</v>
      </c>
      <c r="N71" s="7" t="s">
        <v>91</v>
      </c>
    </row>
    <row r="72" spans="1:14" x14ac:dyDescent="0.35">
      <c r="A72" s="7" t="s">
        <v>330</v>
      </c>
      <c r="B72" s="7" t="s">
        <v>252</v>
      </c>
      <c r="C72" s="7" t="s">
        <v>253</v>
      </c>
      <c r="D72" s="7" t="s">
        <v>67</v>
      </c>
      <c r="E72" s="7" t="s">
        <v>115</v>
      </c>
      <c r="F72" s="7" t="s">
        <v>25</v>
      </c>
      <c r="G72" s="7" t="s">
        <v>62</v>
      </c>
      <c r="H72" s="7">
        <v>4</v>
      </c>
      <c r="I72" s="2">
        <v>1059.96</v>
      </c>
      <c r="J72" s="2">
        <f>Tabla2[[#This Row],[Quantity]]*I72</f>
        <v>4239.84</v>
      </c>
      <c r="K72" s="6">
        <f>MONTH(Tabla2[[#This Row],[OrderDate]])</f>
        <v>8</v>
      </c>
      <c r="L72" s="6">
        <f>YEAR(Tabla2[[#This Row],[OrderDate]])</f>
        <v>2025</v>
      </c>
      <c r="M72" s="7" t="s">
        <v>331</v>
      </c>
      <c r="N72" s="7" t="s">
        <v>19</v>
      </c>
    </row>
    <row r="73" spans="1:14" x14ac:dyDescent="0.35">
      <c r="A73" s="7" t="s">
        <v>332</v>
      </c>
      <c r="B73" s="7" t="s">
        <v>333</v>
      </c>
      <c r="C73" s="7" t="s">
        <v>334</v>
      </c>
      <c r="D73" s="7" t="s">
        <v>67</v>
      </c>
      <c r="E73" s="7" t="s">
        <v>130</v>
      </c>
      <c r="F73" s="7" t="s">
        <v>42</v>
      </c>
      <c r="G73" s="7" t="s">
        <v>225</v>
      </c>
      <c r="H73" s="7">
        <v>5</v>
      </c>
      <c r="I73" s="2">
        <v>848.14</v>
      </c>
      <c r="J73" s="2">
        <f>Tabla2[[#This Row],[Quantity]]*I73</f>
        <v>4240.7</v>
      </c>
      <c r="K73" s="6">
        <f>MONTH(Tabla2[[#This Row],[OrderDate]])</f>
        <v>2</v>
      </c>
      <c r="L73" s="6">
        <f>YEAR(Tabla2[[#This Row],[OrderDate]])</f>
        <v>2024</v>
      </c>
      <c r="M73" s="7" t="s">
        <v>107</v>
      </c>
      <c r="N73" s="7" t="s">
        <v>45</v>
      </c>
    </row>
    <row r="74" spans="1:14" x14ac:dyDescent="0.35">
      <c r="A74" s="7" t="s">
        <v>335</v>
      </c>
      <c r="B74" s="7" t="s">
        <v>336</v>
      </c>
      <c r="C74" s="7" t="s">
        <v>337</v>
      </c>
      <c r="D74" s="7" t="s">
        <v>23</v>
      </c>
      <c r="E74" s="7" t="s">
        <v>338</v>
      </c>
      <c r="F74" s="7" t="s">
        <v>25</v>
      </c>
      <c r="G74" s="7" t="s">
        <v>139</v>
      </c>
      <c r="H74" s="7">
        <v>5</v>
      </c>
      <c r="I74" s="2">
        <v>658.67</v>
      </c>
      <c r="J74" s="2">
        <f>Tabla2[[#This Row],[Quantity]]*I74</f>
        <v>3293.35</v>
      </c>
      <c r="K74" s="6">
        <f>MONTH(Tabla2[[#This Row],[OrderDate]])</f>
        <v>6</v>
      </c>
      <c r="L74" s="6">
        <f>YEAR(Tabla2[[#This Row],[OrderDate]])</f>
        <v>2024</v>
      </c>
      <c r="M74" s="7" t="s">
        <v>339</v>
      </c>
      <c r="N74" s="7" t="s">
        <v>91</v>
      </c>
    </row>
    <row r="75" spans="1:14" x14ac:dyDescent="0.35">
      <c r="A75" s="7" t="s">
        <v>340</v>
      </c>
      <c r="B75" s="7" t="s">
        <v>341</v>
      </c>
      <c r="C75" s="7" t="s">
        <v>342</v>
      </c>
      <c r="D75" s="7" t="s">
        <v>14</v>
      </c>
      <c r="E75" s="7" t="s">
        <v>95</v>
      </c>
      <c r="F75" s="7" t="s">
        <v>50</v>
      </c>
      <c r="G75" s="7" t="s">
        <v>69</v>
      </c>
      <c r="H75" s="7">
        <v>2</v>
      </c>
      <c r="I75" s="2">
        <v>1384.79</v>
      </c>
      <c r="J75" s="2">
        <f>Tabla2[[#This Row],[Quantity]]*I75</f>
        <v>2769.58</v>
      </c>
      <c r="K75" s="6">
        <f>MONTH(Tabla2[[#This Row],[OrderDate]])</f>
        <v>3</v>
      </c>
      <c r="L75" s="6">
        <f>YEAR(Tabla2[[#This Row],[OrderDate]])</f>
        <v>2025</v>
      </c>
      <c r="M75" s="7" t="s">
        <v>343</v>
      </c>
      <c r="N75" s="7" t="s">
        <v>45</v>
      </c>
    </row>
    <row r="76" spans="1:14" x14ac:dyDescent="0.35">
      <c r="A76" s="7" t="s">
        <v>344</v>
      </c>
      <c r="B76" s="7" t="s">
        <v>345</v>
      </c>
      <c r="C76" s="7" t="s">
        <v>346</v>
      </c>
      <c r="D76" s="7" t="s">
        <v>14</v>
      </c>
      <c r="E76" s="7" t="s">
        <v>100</v>
      </c>
      <c r="F76" s="7" t="s">
        <v>25</v>
      </c>
      <c r="G76" s="7" t="s">
        <v>26</v>
      </c>
      <c r="H76" s="7">
        <v>3</v>
      </c>
      <c r="I76" s="2">
        <v>384.24</v>
      </c>
      <c r="J76" s="2">
        <f>Tabla2[[#This Row],[Quantity]]*I76</f>
        <v>1152.72</v>
      </c>
      <c r="K76" s="6">
        <f>MONTH(Tabla2[[#This Row],[OrderDate]])</f>
        <v>5</v>
      </c>
      <c r="L76" s="6">
        <f>YEAR(Tabla2[[#This Row],[OrderDate]])</f>
        <v>2025</v>
      </c>
      <c r="M76" s="7" t="s">
        <v>250</v>
      </c>
      <c r="N76" s="7" t="s">
        <v>19</v>
      </c>
    </row>
    <row r="77" spans="1:14" x14ac:dyDescent="0.35">
      <c r="A77" s="7" t="s">
        <v>347</v>
      </c>
      <c r="B77" s="7" t="s">
        <v>348</v>
      </c>
      <c r="C77" s="7" t="s">
        <v>349</v>
      </c>
      <c r="D77" s="7" t="s">
        <v>32</v>
      </c>
      <c r="E77" s="7" t="s">
        <v>61</v>
      </c>
      <c r="F77" s="7" t="s">
        <v>42</v>
      </c>
      <c r="G77" s="7" t="s">
        <v>80</v>
      </c>
      <c r="H77" s="7">
        <v>3</v>
      </c>
      <c r="I77" s="2">
        <v>1350.86</v>
      </c>
      <c r="J77" s="2">
        <f>Tabla2[[#This Row],[Quantity]]*I77</f>
        <v>4052.58</v>
      </c>
      <c r="K77" s="6">
        <f>MONTH(Tabla2[[#This Row],[OrderDate]])</f>
        <v>5</v>
      </c>
      <c r="L77" s="6">
        <f>YEAR(Tabla2[[#This Row],[OrderDate]])</f>
        <v>2024</v>
      </c>
      <c r="M77" s="7" t="s">
        <v>350</v>
      </c>
      <c r="N77" s="7" t="s">
        <v>45</v>
      </c>
    </row>
    <row r="78" spans="1:14" x14ac:dyDescent="0.35">
      <c r="A78" s="7" t="s">
        <v>351</v>
      </c>
      <c r="B78" s="7" t="s">
        <v>352</v>
      </c>
      <c r="C78" s="7" t="s">
        <v>353</v>
      </c>
      <c r="D78" s="7" t="s">
        <v>40</v>
      </c>
      <c r="E78" s="7" t="s">
        <v>79</v>
      </c>
      <c r="F78" s="7" t="s">
        <v>16</v>
      </c>
      <c r="G78" s="7" t="s">
        <v>230</v>
      </c>
      <c r="H78" s="7">
        <v>2</v>
      </c>
      <c r="I78" s="2">
        <v>1020.73</v>
      </c>
      <c r="J78" s="2">
        <f>Tabla2[[#This Row],[Quantity]]*I78</f>
        <v>2041.46</v>
      </c>
      <c r="K78" s="6">
        <f>MONTH(Tabla2[[#This Row],[OrderDate]])</f>
        <v>7</v>
      </c>
      <c r="L78" s="6">
        <f>YEAR(Tabla2[[#This Row],[OrderDate]])</f>
        <v>2025</v>
      </c>
      <c r="M78" s="7" t="s">
        <v>183</v>
      </c>
      <c r="N78" s="7" t="s">
        <v>36</v>
      </c>
    </row>
    <row r="79" spans="1:14" x14ac:dyDescent="0.35">
      <c r="A79" s="7" t="s">
        <v>354</v>
      </c>
      <c r="B79" s="7" t="s">
        <v>355</v>
      </c>
      <c r="C79" s="7" t="s">
        <v>356</v>
      </c>
      <c r="D79" s="7" t="s">
        <v>32</v>
      </c>
      <c r="E79" s="7" t="s">
        <v>33</v>
      </c>
      <c r="F79" s="7" t="s">
        <v>25</v>
      </c>
      <c r="G79" s="7" t="s">
        <v>74</v>
      </c>
      <c r="H79" s="7">
        <v>2</v>
      </c>
      <c r="I79" s="2">
        <v>484.03</v>
      </c>
      <c r="J79" s="2">
        <f>Tabla2[[#This Row],[Quantity]]*I79</f>
        <v>968.06</v>
      </c>
      <c r="K79" s="6">
        <f>MONTH(Tabla2[[#This Row],[OrderDate]])</f>
        <v>2</v>
      </c>
      <c r="L79" s="6">
        <f>YEAR(Tabla2[[#This Row],[OrderDate]])</f>
        <v>2025</v>
      </c>
      <c r="M79" s="7" t="s">
        <v>357</v>
      </c>
      <c r="N79" s="7" t="s">
        <v>19</v>
      </c>
    </row>
    <row r="80" spans="1:14" x14ac:dyDescent="0.35">
      <c r="A80" s="7" t="s">
        <v>358</v>
      </c>
      <c r="B80" s="7" t="s">
        <v>359</v>
      </c>
      <c r="C80" s="7" t="s">
        <v>360</v>
      </c>
      <c r="D80" s="7" t="s">
        <v>23</v>
      </c>
      <c r="E80" s="7" t="s">
        <v>49</v>
      </c>
      <c r="F80" s="7" t="s">
        <v>50</v>
      </c>
      <c r="G80" s="7" t="s">
        <v>56</v>
      </c>
      <c r="H80" s="7">
        <v>4</v>
      </c>
      <c r="I80" s="2">
        <v>402.26</v>
      </c>
      <c r="J80" s="2">
        <f>Tabla2[[#This Row],[Quantity]]*I80</f>
        <v>1609.04</v>
      </c>
      <c r="K80" s="6">
        <f>MONTH(Tabla2[[#This Row],[OrderDate]])</f>
        <v>6</v>
      </c>
      <c r="L80" s="6">
        <f>YEAR(Tabla2[[#This Row],[OrderDate]])</f>
        <v>2024</v>
      </c>
      <c r="M80" s="7" t="s">
        <v>361</v>
      </c>
      <c r="N80" s="7" t="s">
        <v>45</v>
      </c>
    </row>
    <row r="81" spans="1:14" x14ac:dyDescent="0.35">
      <c r="A81" s="7" t="s">
        <v>362</v>
      </c>
      <c r="B81" s="7" t="s">
        <v>363</v>
      </c>
      <c r="C81" s="7" t="s">
        <v>364</v>
      </c>
      <c r="D81" s="7" t="s">
        <v>14</v>
      </c>
      <c r="E81" s="7" t="s">
        <v>100</v>
      </c>
      <c r="F81" s="7" t="s">
        <v>16</v>
      </c>
      <c r="G81" s="7" t="s">
        <v>17</v>
      </c>
      <c r="H81" s="7">
        <v>5</v>
      </c>
      <c r="I81" s="2">
        <v>366.34</v>
      </c>
      <c r="J81" s="2">
        <f>Tabla2[[#This Row],[Quantity]]*I81</f>
        <v>1831.6999999999998</v>
      </c>
      <c r="K81" s="6">
        <f>MONTH(Tabla2[[#This Row],[OrderDate]])</f>
        <v>4</v>
      </c>
      <c r="L81" s="6">
        <f>YEAR(Tabla2[[#This Row],[OrderDate]])</f>
        <v>2024</v>
      </c>
      <c r="M81" s="7" t="s">
        <v>365</v>
      </c>
      <c r="N81" s="7" t="s">
        <v>36</v>
      </c>
    </row>
    <row r="82" spans="1:14" x14ac:dyDescent="0.35">
      <c r="A82" s="7" t="s">
        <v>366</v>
      </c>
      <c r="B82" s="7" t="s">
        <v>367</v>
      </c>
      <c r="C82" s="7" t="s">
        <v>368</v>
      </c>
      <c r="D82" s="7" t="s">
        <v>32</v>
      </c>
      <c r="E82" s="7" t="s">
        <v>61</v>
      </c>
      <c r="F82" s="7" t="s">
        <v>16</v>
      </c>
      <c r="G82" s="7" t="s">
        <v>148</v>
      </c>
      <c r="H82" s="7">
        <v>4</v>
      </c>
      <c r="I82" s="2">
        <v>1158.5</v>
      </c>
      <c r="J82" s="2">
        <f>Tabla2[[#This Row],[Quantity]]*I82</f>
        <v>4634</v>
      </c>
      <c r="K82" s="6">
        <f>MONTH(Tabla2[[#This Row],[OrderDate]])</f>
        <v>10</v>
      </c>
      <c r="L82" s="6">
        <f>YEAR(Tabla2[[#This Row],[OrderDate]])</f>
        <v>2025</v>
      </c>
      <c r="M82" s="7" t="s">
        <v>369</v>
      </c>
      <c r="N82" s="7" t="s">
        <v>28</v>
      </c>
    </row>
    <row r="83" spans="1:14" x14ac:dyDescent="0.35">
      <c r="A83" s="7" t="s">
        <v>370</v>
      </c>
      <c r="B83" s="7" t="s">
        <v>235</v>
      </c>
      <c r="C83" s="7" t="s">
        <v>236</v>
      </c>
      <c r="D83" s="7" t="s">
        <v>23</v>
      </c>
      <c r="E83" s="7" t="s">
        <v>24</v>
      </c>
      <c r="F83" s="7" t="s">
        <v>25</v>
      </c>
      <c r="G83" s="7" t="s">
        <v>139</v>
      </c>
      <c r="H83" s="7">
        <v>4</v>
      </c>
      <c r="I83" s="2">
        <v>676.92</v>
      </c>
      <c r="J83" s="2">
        <f>Tabla2[[#This Row],[Quantity]]*I83</f>
        <v>2707.68</v>
      </c>
      <c r="K83" s="6">
        <f>MONTH(Tabla2[[#This Row],[OrderDate]])</f>
        <v>7</v>
      </c>
      <c r="L83" s="6">
        <f>YEAR(Tabla2[[#This Row],[OrderDate]])</f>
        <v>2025</v>
      </c>
      <c r="M83" s="7" t="s">
        <v>371</v>
      </c>
      <c r="N83" s="7" t="s">
        <v>45</v>
      </c>
    </row>
    <row r="84" spans="1:14" x14ac:dyDescent="0.35">
      <c r="A84" s="7" t="s">
        <v>372</v>
      </c>
      <c r="B84" s="7" t="s">
        <v>12</v>
      </c>
      <c r="C84" s="7" t="s">
        <v>13</v>
      </c>
      <c r="D84" s="7" t="s">
        <v>14</v>
      </c>
      <c r="E84" s="7" t="s">
        <v>95</v>
      </c>
      <c r="F84" s="7" t="s">
        <v>101</v>
      </c>
      <c r="G84" s="7" t="s">
        <v>373</v>
      </c>
      <c r="H84" s="7">
        <v>3</v>
      </c>
      <c r="I84" s="2">
        <v>1317.26</v>
      </c>
      <c r="J84" s="2">
        <f>Tabla2[[#This Row],[Quantity]]*I84</f>
        <v>3951.7799999999997</v>
      </c>
      <c r="K84" s="6">
        <f>MONTH(Tabla2[[#This Row],[OrderDate]])</f>
        <v>6</v>
      </c>
      <c r="L84" s="6">
        <f>YEAR(Tabla2[[#This Row],[OrderDate]])</f>
        <v>2025</v>
      </c>
      <c r="M84" s="7" t="s">
        <v>374</v>
      </c>
      <c r="N84" s="7" t="s">
        <v>28</v>
      </c>
    </row>
    <row r="85" spans="1:14" x14ac:dyDescent="0.35">
      <c r="A85" s="7" t="s">
        <v>375</v>
      </c>
      <c r="B85" s="7" t="s">
        <v>376</v>
      </c>
      <c r="C85" s="7" t="s">
        <v>377</v>
      </c>
      <c r="D85" s="7" t="s">
        <v>23</v>
      </c>
      <c r="E85" s="7" t="s">
        <v>338</v>
      </c>
      <c r="F85" s="7" t="s">
        <v>16</v>
      </c>
      <c r="G85" s="7" t="s">
        <v>182</v>
      </c>
      <c r="H85" s="7">
        <v>4</v>
      </c>
      <c r="I85" s="2">
        <v>685.52</v>
      </c>
      <c r="J85" s="2">
        <f>Tabla2[[#This Row],[Quantity]]*I85</f>
        <v>2742.08</v>
      </c>
      <c r="K85" s="6">
        <f>MONTH(Tabla2[[#This Row],[OrderDate]])</f>
        <v>11</v>
      </c>
      <c r="L85" s="6">
        <f>YEAR(Tabla2[[#This Row],[OrderDate]])</f>
        <v>2025</v>
      </c>
      <c r="M85" s="7" t="s">
        <v>378</v>
      </c>
      <c r="N85" s="7" t="s">
        <v>36</v>
      </c>
    </row>
    <row r="86" spans="1:14" x14ac:dyDescent="0.35">
      <c r="A86" s="7" t="s">
        <v>379</v>
      </c>
      <c r="B86" s="7" t="s">
        <v>380</v>
      </c>
      <c r="C86" s="7" t="s">
        <v>381</v>
      </c>
      <c r="D86" s="7" t="s">
        <v>14</v>
      </c>
      <c r="E86" s="7" t="s">
        <v>95</v>
      </c>
      <c r="F86" s="7" t="s">
        <v>25</v>
      </c>
      <c r="G86" s="7" t="s">
        <v>34</v>
      </c>
      <c r="H86" s="7">
        <v>5</v>
      </c>
      <c r="I86" s="2">
        <v>532.41</v>
      </c>
      <c r="J86" s="2">
        <f>Tabla2[[#This Row],[Quantity]]*I86</f>
        <v>2662.0499999999997</v>
      </c>
      <c r="K86" s="6">
        <f>MONTH(Tabla2[[#This Row],[OrderDate]])</f>
        <v>12</v>
      </c>
      <c r="L86" s="6">
        <f>YEAR(Tabla2[[#This Row],[OrderDate]])</f>
        <v>2025</v>
      </c>
      <c r="M86" s="7" t="s">
        <v>382</v>
      </c>
      <c r="N86" s="7" t="s">
        <v>36</v>
      </c>
    </row>
    <row r="87" spans="1:14" x14ac:dyDescent="0.35">
      <c r="A87" s="7" t="s">
        <v>383</v>
      </c>
      <c r="B87" s="7" t="s">
        <v>384</v>
      </c>
      <c r="C87" s="7" t="s">
        <v>385</v>
      </c>
      <c r="D87" s="7" t="s">
        <v>32</v>
      </c>
      <c r="E87" s="7" t="s">
        <v>33</v>
      </c>
      <c r="F87" s="7" t="s">
        <v>50</v>
      </c>
      <c r="G87" s="7" t="s">
        <v>216</v>
      </c>
      <c r="H87" s="7">
        <v>2</v>
      </c>
      <c r="I87" s="2">
        <v>221.97</v>
      </c>
      <c r="J87" s="2">
        <f>Tabla2[[#This Row],[Quantity]]*I87</f>
        <v>443.94</v>
      </c>
      <c r="K87" s="6">
        <f>MONTH(Tabla2[[#This Row],[OrderDate]])</f>
        <v>1</v>
      </c>
      <c r="L87" s="6">
        <f>YEAR(Tabla2[[#This Row],[OrderDate]])</f>
        <v>2024</v>
      </c>
      <c r="M87" s="7" t="s">
        <v>386</v>
      </c>
      <c r="N87" s="7" t="s">
        <v>45</v>
      </c>
    </row>
    <row r="88" spans="1:14" x14ac:dyDescent="0.35">
      <c r="A88" s="7" t="s">
        <v>387</v>
      </c>
      <c r="B88" s="7" t="s">
        <v>388</v>
      </c>
      <c r="C88" s="7" t="s">
        <v>389</v>
      </c>
      <c r="D88" s="7" t="s">
        <v>40</v>
      </c>
      <c r="E88" s="7" t="s">
        <v>120</v>
      </c>
      <c r="F88" s="7" t="s">
        <v>42</v>
      </c>
      <c r="G88" s="7" t="s">
        <v>170</v>
      </c>
      <c r="H88" s="7">
        <v>2</v>
      </c>
      <c r="I88" s="2">
        <v>1321.24</v>
      </c>
      <c r="J88" s="2">
        <f>Tabla2[[#This Row],[Quantity]]*I88</f>
        <v>2642.48</v>
      </c>
      <c r="K88" s="6">
        <f>MONTH(Tabla2[[#This Row],[OrderDate]])</f>
        <v>3</v>
      </c>
      <c r="L88" s="6">
        <f>YEAR(Tabla2[[#This Row],[OrderDate]])</f>
        <v>2026</v>
      </c>
      <c r="M88" s="7" t="s">
        <v>390</v>
      </c>
      <c r="N88" s="7" t="s">
        <v>28</v>
      </c>
    </row>
    <row r="89" spans="1:14" x14ac:dyDescent="0.35">
      <c r="A89" s="7" t="s">
        <v>391</v>
      </c>
      <c r="B89" s="7" t="s">
        <v>392</v>
      </c>
      <c r="C89" s="7" t="s">
        <v>393</v>
      </c>
      <c r="D89" s="7" t="s">
        <v>32</v>
      </c>
      <c r="E89" s="7" t="s">
        <v>61</v>
      </c>
      <c r="F89" s="7" t="s">
        <v>25</v>
      </c>
      <c r="G89" s="7" t="s">
        <v>34</v>
      </c>
      <c r="H89" s="7">
        <v>4</v>
      </c>
      <c r="I89" s="2">
        <v>591.25</v>
      </c>
      <c r="J89" s="2">
        <f>Tabla2[[#This Row],[Quantity]]*I89</f>
        <v>2365</v>
      </c>
      <c r="K89" s="6">
        <f>MONTH(Tabla2[[#This Row],[OrderDate]])</f>
        <v>3</v>
      </c>
      <c r="L89" s="6">
        <f>YEAR(Tabla2[[#This Row],[OrderDate]])</f>
        <v>2025</v>
      </c>
      <c r="M89" s="7" t="s">
        <v>394</v>
      </c>
      <c r="N89" s="7" t="s">
        <v>36</v>
      </c>
    </row>
    <row r="90" spans="1:14" x14ac:dyDescent="0.35">
      <c r="A90" s="7" t="s">
        <v>395</v>
      </c>
      <c r="B90" s="7" t="s">
        <v>396</v>
      </c>
      <c r="C90" s="7" t="s">
        <v>397</v>
      </c>
      <c r="D90" s="7" t="s">
        <v>67</v>
      </c>
      <c r="E90" s="7" t="s">
        <v>115</v>
      </c>
      <c r="F90" s="7" t="s">
        <v>25</v>
      </c>
      <c r="G90" s="7" t="s">
        <v>74</v>
      </c>
      <c r="H90" s="7">
        <v>4</v>
      </c>
      <c r="I90" s="2">
        <v>76.22</v>
      </c>
      <c r="J90" s="2">
        <f>Tabla2[[#This Row],[Quantity]]*I90</f>
        <v>304.88</v>
      </c>
      <c r="K90" s="6">
        <f>MONTH(Tabla2[[#This Row],[OrderDate]])</f>
        <v>12</v>
      </c>
      <c r="L90" s="6">
        <f>YEAR(Tabla2[[#This Row],[OrderDate]])</f>
        <v>2024</v>
      </c>
      <c r="M90" s="7" t="s">
        <v>398</v>
      </c>
      <c r="N90" s="7" t="s">
        <v>19</v>
      </c>
    </row>
    <row r="91" spans="1:14" x14ac:dyDescent="0.35">
      <c r="A91" s="7" t="s">
        <v>399</v>
      </c>
      <c r="B91" s="7" t="s">
        <v>83</v>
      </c>
      <c r="C91" s="7" t="s">
        <v>84</v>
      </c>
      <c r="D91" s="7" t="s">
        <v>32</v>
      </c>
      <c r="E91" s="7" t="s">
        <v>33</v>
      </c>
      <c r="F91" s="7" t="s">
        <v>16</v>
      </c>
      <c r="G91" s="7" t="s">
        <v>17</v>
      </c>
      <c r="H91" s="7">
        <v>1</v>
      </c>
      <c r="I91" s="2">
        <v>595.85</v>
      </c>
      <c r="J91" s="2">
        <f>Tabla2[[#This Row],[Quantity]]*I91</f>
        <v>595.85</v>
      </c>
      <c r="K91" s="6">
        <f>MONTH(Tabla2[[#This Row],[OrderDate]])</f>
        <v>10</v>
      </c>
      <c r="L91" s="6">
        <f>YEAR(Tabla2[[#This Row],[OrderDate]])</f>
        <v>2024</v>
      </c>
      <c r="M91" s="7" t="s">
        <v>400</v>
      </c>
      <c r="N91" s="7" t="s">
        <v>91</v>
      </c>
    </row>
    <row r="92" spans="1:14" x14ac:dyDescent="0.35">
      <c r="A92" s="7" t="s">
        <v>401</v>
      </c>
      <c r="B92" s="7" t="s">
        <v>402</v>
      </c>
      <c r="C92" s="7" t="s">
        <v>403</v>
      </c>
      <c r="D92" s="7" t="s">
        <v>40</v>
      </c>
      <c r="E92" s="7" t="s">
        <v>79</v>
      </c>
      <c r="F92" s="7" t="s">
        <v>16</v>
      </c>
      <c r="G92" s="7" t="s">
        <v>148</v>
      </c>
      <c r="H92" s="7">
        <v>2</v>
      </c>
      <c r="I92" s="2">
        <v>1397.02</v>
      </c>
      <c r="J92" s="2">
        <f>Tabla2[[#This Row],[Quantity]]*I92</f>
        <v>2794.04</v>
      </c>
      <c r="K92" s="6">
        <f>MONTH(Tabla2[[#This Row],[OrderDate]])</f>
        <v>1</v>
      </c>
      <c r="L92" s="6">
        <f>YEAR(Tabla2[[#This Row],[OrderDate]])</f>
        <v>2025</v>
      </c>
      <c r="M92" s="7" t="s">
        <v>404</v>
      </c>
      <c r="N92" s="7" t="s">
        <v>36</v>
      </c>
    </row>
    <row r="93" spans="1:14" x14ac:dyDescent="0.35">
      <c r="A93" s="7" t="s">
        <v>405</v>
      </c>
      <c r="B93" s="7" t="s">
        <v>406</v>
      </c>
      <c r="C93" s="7" t="s">
        <v>407</v>
      </c>
      <c r="D93" s="7" t="s">
        <v>32</v>
      </c>
      <c r="E93" s="7" t="s">
        <v>203</v>
      </c>
      <c r="F93" s="7" t="s">
        <v>42</v>
      </c>
      <c r="G93" s="7" t="s">
        <v>170</v>
      </c>
      <c r="H93" s="7">
        <v>2</v>
      </c>
      <c r="I93" s="2">
        <v>27.37</v>
      </c>
      <c r="J93" s="2">
        <f>Tabla2[[#This Row],[Quantity]]*I93</f>
        <v>54.74</v>
      </c>
      <c r="K93" s="6">
        <f>MONTH(Tabla2[[#This Row],[OrderDate]])</f>
        <v>5</v>
      </c>
      <c r="L93" s="6">
        <f>YEAR(Tabla2[[#This Row],[OrderDate]])</f>
        <v>2025</v>
      </c>
      <c r="M93" s="7" t="s">
        <v>408</v>
      </c>
      <c r="N93" s="7" t="s">
        <v>28</v>
      </c>
    </row>
    <row r="94" spans="1:14" x14ac:dyDescent="0.35">
      <c r="A94" s="7" t="s">
        <v>409</v>
      </c>
      <c r="B94" s="7" t="s">
        <v>142</v>
      </c>
      <c r="C94" s="7" t="s">
        <v>143</v>
      </c>
      <c r="D94" s="7" t="s">
        <v>32</v>
      </c>
      <c r="E94" s="7" t="s">
        <v>203</v>
      </c>
      <c r="F94" s="7" t="s">
        <v>16</v>
      </c>
      <c r="G94" s="7" t="s">
        <v>17</v>
      </c>
      <c r="H94" s="7">
        <v>5</v>
      </c>
      <c r="I94" s="2">
        <v>756.33</v>
      </c>
      <c r="J94" s="2">
        <f>Tabla2[[#This Row],[Quantity]]*I94</f>
        <v>3781.65</v>
      </c>
      <c r="K94" s="6">
        <f>MONTH(Tabla2[[#This Row],[OrderDate]])</f>
        <v>1</v>
      </c>
      <c r="L94" s="6">
        <f>YEAR(Tabla2[[#This Row],[OrderDate]])</f>
        <v>2024</v>
      </c>
      <c r="M94" s="7" t="s">
        <v>410</v>
      </c>
      <c r="N94" s="7" t="s">
        <v>28</v>
      </c>
    </row>
    <row r="95" spans="1:14" x14ac:dyDescent="0.35">
      <c r="A95" s="7" t="s">
        <v>411</v>
      </c>
      <c r="B95" s="7" t="s">
        <v>412</v>
      </c>
      <c r="C95" s="7" t="s">
        <v>413</v>
      </c>
      <c r="D95" s="7" t="s">
        <v>40</v>
      </c>
      <c r="E95" s="7" t="s">
        <v>41</v>
      </c>
      <c r="F95" s="7" t="s">
        <v>101</v>
      </c>
      <c r="G95" s="7" t="s">
        <v>165</v>
      </c>
      <c r="H95" s="7">
        <v>4</v>
      </c>
      <c r="I95" s="2">
        <v>1223.7</v>
      </c>
      <c r="J95" s="2">
        <f>Tabla2[[#This Row],[Quantity]]*I95</f>
        <v>4894.8</v>
      </c>
      <c r="K95" s="6">
        <f>MONTH(Tabla2[[#This Row],[OrderDate]])</f>
        <v>7</v>
      </c>
      <c r="L95" s="6">
        <f>YEAR(Tabla2[[#This Row],[OrderDate]])</f>
        <v>2024</v>
      </c>
      <c r="M95" s="7" t="s">
        <v>414</v>
      </c>
      <c r="N95" s="7" t="s">
        <v>28</v>
      </c>
    </row>
    <row r="96" spans="1:14" x14ac:dyDescent="0.35">
      <c r="A96" s="7" t="s">
        <v>415</v>
      </c>
      <c r="B96" s="7" t="s">
        <v>163</v>
      </c>
      <c r="C96" s="7" t="s">
        <v>164</v>
      </c>
      <c r="D96" s="7" t="s">
        <v>23</v>
      </c>
      <c r="E96" s="7" t="s">
        <v>338</v>
      </c>
      <c r="F96" s="7" t="s">
        <v>16</v>
      </c>
      <c r="G96" s="7" t="s">
        <v>230</v>
      </c>
      <c r="H96" s="7">
        <v>1</v>
      </c>
      <c r="I96" s="2">
        <v>136.19</v>
      </c>
      <c r="J96" s="2">
        <f>Tabla2[[#This Row],[Quantity]]*I96</f>
        <v>136.19</v>
      </c>
      <c r="K96" s="6">
        <f>MONTH(Tabla2[[#This Row],[OrderDate]])</f>
        <v>6</v>
      </c>
      <c r="L96" s="6">
        <f>YEAR(Tabla2[[#This Row],[OrderDate]])</f>
        <v>2025</v>
      </c>
      <c r="M96" s="7" t="s">
        <v>416</v>
      </c>
      <c r="N96" s="7" t="s">
        <v>28</v>
      </c>
    </row>
    <row r="97" spans="1:14" x14ac:dyDescent="0.35">
      <c r="A97" s="7" t="s">
        <v>417</v>
      </c>
      <c r="B97" s="7" t="s">
        <v>418</v>
      </c>
      <c r="C97" s="7" t="s">
        <v>419</v>
      </c>
      <c r="D97" s="7" t="s">
        <v>23</v>
      </c>
      <c r="E97" s="7" t="s">
        <v>49</v>
      </c>
      <c r="F97" s="7" t="s">
        <v>101</v>
      </c>
      <c r="G97" s="7" t="s">
        <v>165</v>
      </c>
      <c r="H97" s="7">
        <v>4</v>
      </c>
      <c r="I97" s="2">
        <v>1303.0999999999999</v>
      </c>
      <c r="J97" s="2">
        <f>Tabla2[[#This Row],[Quantity]]*I97</f>
        <v>5212.3999999999996</v>
      </c>
      <c r="K97" s="6">
        <f>MONTH(Tabla2[[#This Row],[OrderDate]])</f>
        <v>7</v>
      </c>
      <c r="L97" s="6">
        <f>YEAR(Tabla2[[#This Row],[OrderDate]])</f>
        <v>2024</v>
      </c>
      <c r="M97" s="7" t="s">
        <v>420</v>
      </c>
      <c r="N97" s="7" t="s">
        <v>28</v>
      </c>
    </row>
    <row r="98" spans="1:14" x14ac:dyDescent="0.35">
      <c r="A98" s="7" t="s">
        <v>421</v>
      </c>
      <c r="B98" s="7" t="s">
        <v>77</v>
      </c>
      <c r="C98" s="7" t="s">
        <v>78</v>
      </c>
      <c r="D98" s="7" t="s">
        <v>67</v>
      </c>
      <c r="E98" s="7" t="s">
        <v>68</v>
      </c>
      <c r="F98" s="7" t="s">
        <v>42</v>
      </c>
      <c r="G98" s="7" t="s">
        <v>89</v>
      </c>
      <c r="H98" s="7">
        <v>2</v>
      </c>
      <c r="I98" s="2">
        <v>1065.43</v>
      </c>
      <c r="J98" s="2">
        <f>Tabla2[[#This Row],[Quantity]]*I98</f>
        <v>2130.86</v>
      </c>
      <c r="K98" s="6">
        <f>MONTH(Tabla2[[#This Row],[OrderDate]])</f>
        <v>6</v>
      </c>
      <c r="L98" s="6">
        <f>YEAR(Tabla2[[#This Row],[OrderDate]])</f>
        <v>2025</v>
      </c>
      <c r="M98" s="7" t="s">
        <v>422</v>
      </c>
      <c r="N98" s="7" t="s">
        <v>91</v>
      </c>
    </row>
    <row r="99" spans="1:14" x14ac:dyDescent="0.35">
      <c r="A99" s="7" t="s">
        <v>423</v>
      </c>
      <c r="B99" s="7" t="s">
        <v>72</v>
      </c>
      <c r="C99" s="7" t="s">
        <v>73</v>
      </c>
      <c r="D99" s="7" t="s">
        <v>23</v>
      </c>
      <c r="E99" s="7" t="s">
        <v>338</v>
      </c>
      <c r="F99" s="7" t="s">
        <v>42</v>
      </c>
      <c r="G99" s="7" t="s">
        <v>225</v>
      </c>
      <c r="H99" s="7">
        <v>3</v>
      </c>
      <c r="I99" s="2">
        <v>1117.21</v>
      </c>
      <c r="J99" s="2">
        <f>Tabla2[[#This Row],[Quantity]]*I99</f>
        <v>3351.63</v>
      </c>
      <c r="K99" s="6">
        <f>MONTH(Tabla2[[#This Row],[OrderDate]])</f>
        <v>4</v>
      </c>
      <c r="L99" s="6">
        <f>YEAR(Tabla2[[#This Row],[OrderDate]])</f>
        <v>2025</v>
      </c>
      <c r="M99" s="7" t="s">
        <v>424</v>
      </c>
      <c r="N99" s="7" t="s">
        <v>91</v>
      </c>
    </row>
    <row r="100" spans="1:14" x14ac:dyDescent="0.35">
      <c r="A100" s="7" t="s">
        <v>425</v>
      </c>
      <c r="B100" s="7" t="s">
        <v>426</v>
      </c>
      <c r="C100" s="7" t="s">
        <v>427</v>
      </c>
      <c r="D100" s="7" t="s">
        <v>40</v>
      </c>
      <c r="E100" s="7" t="s">
        <v>41</v>
      </c>
      <c r="F100" s="7" t="s">
        <v>25</v>
      </c>
      <c r="G100" s="7" t="s">
        <v>139</v>
      </c>
      <c r="H100" s="7">
        <v>2</v>
      </c>
      <c r="I100" s="2">
        <v>1219.76</v>
      </c>
      <c r="J100" s="2">
        <f>Tabla2[[#This Row],[Quantity]]*I100</f>
        <v>2439.52</v>
      </c>
      <c r="K100" s="6">
        <f>MONTH(Tabla2[[#This Row],[OrderDate]])</f>
        <v>6</v>
      </c>
      <c r="L100" s="6">
        <f>YEAR(Tabla2[[#This Row],[OrderDate]])</f>
        <v>2025</v>
      </c>
      <c r="M100" s="7" t="s">
        <v>305</v>
      </c>
      <c r="N100" s="7" t="s">
        <v>28</v>
      </c>
    </row>
    <row r="101" spans="1:14" x14ac:dyDescent="0.35">
      <c r="A101" s="7" t="s">
        <v>428</v>
      </c>
      <c r="B101" s="7" t="s">
        <v>429</v>
      </c>
      <c r="C101" s="7" t="s">
        <v>430</v>
      </c>
      <c r="D101" s="7" t="s">
        <v>32</v>
      </c>
      <c r="E101" s="7" t="s">
        <v>203</v>
      </c>
      <c r="F101" s="7" t="s">
        <v>25</v>
      </c>
      <c r="G101" s="7" t="s">
        <v>34</v>
      </c>
      <c r="H101" s="7">
        <v>1</v>
      </c>
      <c r="I101" s="2">
        <v>896.06</v>
      </c>
      <c r="J101" s="2">
        <f>Tabla2[[#This Row],[Quantity]]*I101</f>
        <v>896.06</v>
      </c>
      <c r="K101" s="6">
        <f>MONTH(Tabla2[[#This Row],[OrderDate]])</f>
        <v>1</v>
      </c>
      <c r="L101" s="6">
        <f>YEAR(Tabla2[[#This Row],[OrderDate]])</f>
        <v>2025</v>
      </c>
      <c r="M101" s="7" t="s">
        <v>431</v>
      </c>
      <c r="N101" s="7" t="s">
        <v>36</v>
      </c>
    </row>
    <row r="102" spans="1:14" x14ac:dyDescent="0.35">
      <c r="A102" s="7" t="s">
        <v>432</v>
      </c>
      <c r="B102" s="7" t="s">
        <v>252</v>
      </c>
      <c r="C102" s="7" t="s">
        <v>253</v>
      </c>
      <c r="D102" s="7" t="s">
        <v>67</v>
      </c>
      <c r="E102" s="7" t="s">
        <v>130</v>
      </c>
      <c r="F102" s="7" t="s">
        <v>101</v>
      </c>
      <c r="G102" s="7" t="s">
        <v>237</v>
      </c>
      <c r="H102" s="7">
        <v>3</v>
      </c>
      <c r="I102" s="2">
        <v>738.48</v>
      </c>
      <c r="J102" s="2">
        <f>Tabla2[[#This Row],[Quantity]]*I102</f>
        <v>2215.44</v>
      </c>
      <c r="K102" s="6">
        <f>MONTH(Tabla2[[#This Row],[OrderDate]])</f>
        <v>1</v>
      </c>
      <c r="L102" s="6">
        <f>YEAR(Tabla2[[#This Row],[OrderDate]])</f>
        <v>2026</v>
      </c>
      <c r="M102" s="7" t="s">
        <v>433</v>
      </c>
      <c r="N102" s="7" t="s">
        <v>45</v>
      </c>
    </row>
    <row r="103" spans="1:14" x14ac:dyDescent="0.35">
      <c r="A103" s="7" t="s">
        <v>434</v>
      </c>
      <c r="B103" s="7" t="s">
        <v>435</v>
      </c>
      <c r="C103" s="7" t="s">
        <v>436</v>
      </c>
      <c r="D103" s="7" t="s">
        <v>14</v>
      </c>
      <c r="E103" s="7" t="s">
        <v>266</v>
      </c>
      <c r="F103" s="7" t="s">
        <v>101</v>
      </c>
      <c r="G103" s="7" t="s">
        <v>373</v>
      </c>
      <c r="H103" s="7">
        <v>5</v>
      </c>
      <c r="I103" s="2">
        <v>1099.57</v>
      </c>
      <c r="J103" s="2">
        <f>Tabla2[[#This Row],[Quantity]]*I103</f>
        <v>5497.8499999999995</v>
      </c>
      <c r="K103" s="6">
        <f>MONTH(Tabla2[[#This Row],[OrderDate]])</f>
        <v>6</v>
      </c>
      <c r="L103" s="6">
        <f>YEAR(Tabla2[[#This Row],[OrderDate]])</f>
        <v>2024</v>
      </c>
      <c r="M103" s="7" t="s">
        <v>437</v>
      </c>
      <c r="N103" s="7" t="s">
        <v>91</v>
      </c>
    </row>
    <row r="104" spans="1:14" x14ac:dyDescent="0.35">
      <c r="A104" s="7" t="s">
        <v>438</v>
      </c>
      <c r="B104" s="7" t="s">
        <v>439</v>
      </c>
      <c r="C104" s="7" t="s">
        <v>440</v>
      </c>
      <c r="D104" s="7" t="s">
        <v>14</v>
      </c>
      <c r="E104" s="7" t="s">
        <v>125</v>
      </c>
      <c r="F104" s="7" t="s">
        <v>50</v>
      </c>
      <c r="G104" s="7" t="s">
        <v>51</v>
      </c>
      <c r="H104" s="7">
        <v>4</v>
      </c>
      <c r="I104" s="2">
        <v>847.54</v>
      </c>
      <c r="J104" s="2">
        <f>Tabla2[[#This Row],[Quantity]]*I104</f>
        <v>3390.16</v>
      </c>
      <c r="K104" s="6">
        <f>MONTH(Tabla2[[#This Row],[OrderDate]])</f>
        <v>3</v>
      </c>
      <c r="L104" s="6">
        <f>YEAR(Tabla2[[#This Row],[OrderDate]])</f>
        <v>2026</v>
      </c>
      <c r="M104" s="7" t="s">
        <v>441</v>
      </c>
      <c r="N104" s="7" t="s">
        <v>91</v>
      </c>
    </row>
    <row r="105" spans="1:14" x14ac:dyDescent="0.35">
      <c r="A105" s="7" t="s">
        <v>442</v>
      </c>
      <c r="B105" s="7" t="s">
        <v>443</v>
      </c>
      <c r="C105" s="7" t="s">
        <v>444</v>
      </c>
      <c r="D105" s="7" t="s">
        <v>23</v>
      </c>
      <c r="E105" s="7" t="s">
        <v>24</v>
      </c>
      <c r="F105" s="7" t="s">
        <v>25</v>
      </c>
      <c r="G105" s="7" t="s">
        <v>139</v>
      </c>
      <c r="H105" s="7">
        <v>3</v>
      </c>
      <c r="I105" s="2">
        <v>11.59</v>
      </c>
      <c r="J105" s="2">
        <f>Tabla2[[#This Row],[Quantity]]*I105</f>
        <v>34.769999999999996</v>
      </c>
      <c r="K105" s="6">
        <f>MONTH(Tabla2[[#This Row],[OrderDate]])</f>
        <v>2</v>
      </c>
      <c r="L105" s="6">
        <f>YEAR(Tabla2[[#This Row],[OrderDate]])</f>
        <v>2025</v>
      </c>
      <c r="M105" s="7" t="s">
        <v>329</v>
      </c>
      <c r="N105" s="7" t="s">
        <v>36</v>
      </c>
    </row>
    <row r="106" spans="1:14" x14ac:dyDescent="0.35">
      <c r="A106" s="7" t="s">
        <v>445</v>
      </c>
      <c r="B106" s="7" t="s">
        <v>446</v>
      </c>
      <c r="C106" s="7" t="s">
        <v>447</v>
      </c>
      <c r="D106" s="7" t="s">
        <v>40</v>
      </c>
      <c r="E106" s="7" t="s">
        <v>41</v>
      </c>
      <c r="F106" s="7" t="s">
        <v>42</v>
      </c>
      <c r="G106" s="7" t="s">
        <v>170</v>
      </c>
      <c r="H106" s="7">
        <v>5</v>
      </c>
      <c r="I106" s="2">
        <v>164.65</v>
      </c>
      <c r="J106" s="2">
        <f>Tabla2[[#This Row],[Quantity]]*I106</f>
        <v>823.25</v>
      </c>
      <c r="K106" s="6">
        <f>MONTH(Tabla2[[#This Row],[OrderDate]])</f>
        <v>7</v>
      </c>
      <c r="L106" s="6">
        <f>YEAR(Tabla2[[#This Row],[OrderDate]])</f>
        <v>2024</v>
      </c>
      <c r="M106" s="7" t="s">
        <v>448</v>
      </c>
      <c r="N106" s="7" t="s">
        <v>45</v>
      </c>
    </row>
    <row r="107" spans="1:14" x14ac:dyDescent="0.35">
      <c r="A107" s="7" t="s">
        <v>449</v>
      </c>
      <c r="B107" s="7" t="s">
        <v>450</v>
      </c>
      <c r="C107" s="7" t="s">
        <v>451</v>
      </c>
      <c r="D107" s="7" t="s">
        <v>40</v>
      </c>
      <c r="E107" s="7" t="s">
        <v>120</v>
      </c>
      <c r="F107" s="7" t="s">
        <v>25</v>
      </c>
      <c r="G107" s="7" t="s">
        <v>139</v>
      </c>
      <c r="H107" s="7">
        <v>4</v>
      </c>
      <c r="I107" s="2">
        <v>51.36</v>
      </c>
      <c r="J107" s="2">
        <f>Tabla2[[#This Row],[Quantity]]*I107</f>
        <v>205.44</v>
      </c>
      <c r="K107" s="6">
        <f>MONTH(Tabla2[[#This Row],[OrderDate]])</f>
        <v>3</v>
      </c>
      <c r="L107" s="6">
        <f>YEAR(Tabla2[[#This Row],[OrderDate]])</f>
        <v>2024</v>
      </c>
      <c r="M107" s="7" t="s">
        <v>452</v>
      </c>
      <c r="N107" s="7" t="s">
        <v>19</v>
      </c>
    </row>
    <row r="108" spans="1:14" x14ac:dyDescent="0.35">
      <c r="A108" s="7" t="s">
        <v>453</v>
      </c>
      <c r="B108" s="7" t="s">
        <v>454</v>
      </c>
      <c r="C108" s="7" t="s">
        <v>455</v>
      </c>
      <c r="D108" s="7" t="s">
        <v>67</v>
      </c>
      <c r="E108" s="7" t="s">
        <v>68</v>
      </c>
      <c r="F108" s="7" t="s">
        <v>50</v>
      </c>
      <c r="G108" s="7" t="s">
        <v>216</v>
      </c>
      <c r="H108" s="7">
        <v>4</v>
      </c>
      <c r="I108" s="2">
        <v>1258.03</v>
      </c>
      <c r="J108" s="2">
        <f>Tabla2[[#This Row],[Quantity]]*I108</f>
        <v>5032.12</v>
      </c>
      <c r="K108" s="6">
        <f>MONTH(Tabla2[[#This Row],[OrderDate]])</f>
        <v>3</v>
      </c>
      <c r="L108" s="6">
        <f>YEAR(Tabla2[[#This Row],[OrderDate]])</f>
        <v>2026</v>
      </c>
      <c r="M108" s="7" t="s">
        <v>456</v>
      </c>
      <c r="N108" s="7" t="s">
        <v>36</v>
      </c>
    </row>
    <row r="109" spans="1:14" x14ac:dyDescent="0.35">
      <c r="A109" s="7" t="s">
        <v>457</v>
      </c>
      <c r="B109" s="7" t="s">
        <v>435</v>
      </c>
      <c r="C109" s="7" t="s">
        <v>436</v>
      </c>
      <c r="D109" s="7" t="s">
        <v>23</v>
      </c>
      <c r="E109" s="7" t="s">
        <v>338</v>
      </c>
      <c r="F109" s="7" t="s">
        <v>42</v>
      </c>
      <c r="G109" s="7" t="s">
        <v>225</v>
      </c>
      <c r="H109" s="7">
        <v>4</v>
      </c>
      <c r="I109" s="2">
        <v>1255.8699999999999</v>
      </c>
      <c r="J109" s="2">
        <f>Tabla2[[#This Row],[Quantity]]*I109</f>
        <v>5023.4799999999996</v>
      </c>
      <c r="K109" s="6">
        <f>MONTH(Tabla2[[#This Row],[OrderDate]])</f>
        <v>10</v>
      </c>
      <c r="L109" s="6">
        <f>YEAR(Tabla2[[#This Row],[OrderDate]])</f>
        <v>2024</v>
      </c>
      <c r="M109" s="7" t="s">
        <v>458</v>
      </c>
      <c r="N109" s="7" t="s">
        <v>91</v>
      </c>
    </row>
    <row r="110" spans="1:14" x14ac:dyDescent="0.35">
      <c r="A110" s="7" t="s">
        <v>459</v>
      </c>
      <c r="B110" s="7" t="s">
        <v>460</v>
      </c>
      <c r="C110" s="7" t="s">
        <v>461</v>
      </c>
      <c r="D110" s="7" t="s">
        <v>14</v>
      </c>
      <c r="E110" s="7" t="s">
        <v>95</v>
      </c>
      <c r="F110" s="7" t="s">
        <v>50</v>
      </c>
      <c r="G110" s="7" t="s">
        <v>51</v>
      </c>
      <c r="H110" s="7">
        <v>2</v>
      </c>
      <c r="I110" s="2">
        <v>896.52</v>
      </c>
      <c r="J110" s="2">
        <f>Tabla2[[#This Row],[Quantity]]*I110</f>
        <v>1793.04</v>
      </c>
      <c r="K110" s="6">
        <f>MONTH(Tabla2[[#This Row],[OrderDate]])</f>
        <v>1</v>
      </c>
      <c r="L110" s="6">
        <f>YEAR(Tabla2[[#This Row],[OrderDate]])</f>
        <v>2024</v>
      </c>
      <c r="M110" s="7" t="s">
        <v>462</v>
      </c>
      <c r="N110" s="7" t="s">
        <v>19</v>
      </c>
    </row>
    <row r="111" spans="1:14" x14ac:dyDescent="0.35">
      <c r="A111" s="7" t="s">
        <v>463</v>
      </c>
      <c r="B111" s="7" t="s">
        <v>464</v>
      </c>
      <c r="C111" s="7" t="s">
        <v>465</v>
      </c>
      <c r="D111" s="7" t="s">
        <v>40</v>
      </c>
      <c r="E111" s="7" t="s">
        <v>79</v>
      </c>
      <c r="F111" s="7" t="s">
        <v>25</v>
      </c>
      <c r="G111" s="7" t="s">
        <v>74</v>
      </c>
      <c r="H111" s="7">
        <v>2</v>
      </c>
      <c r="I111" s="2">
        <v>487.49</v>
      </c>
      <c r="J111" s="2">
        <f>Tabla2[[#This Row],[Quantity]]*I111</f>
        <v>974.98</v>
      </c>
      <c r="K111" s="6">
        <f>MONTH(Tabla2[[#This Row],[OrderDate]])</f>
        <v>8</v>
      </c>
      <c r="L111" s="6">
        <f>YEAR(Tabla2[[#This Row],[OrderDate]])</f>
        <v>2024</v>
      </c>
      <c r="M111" s="7" t="s">
        <v>466</v>
      </c>
      <c r="N111" s="7" t="s">
        <v>19</v>
      </c>
    </row>
    <row r="112" spans="1:14" x14ac:dyDescent="0.35">
      <c r="A112" s="7" t="s">
        <v>467</v>
      </c>
      <c r="B112" s="7" t="s">
        <v>303</v>
      </c>
      <c r="C112" s="7" t="s">
        <v>304</v>
      </c>
      <c r="D112" s="7" t="s">
        <v>67</v>
      </c>
      <c r="E112" s="7" t="s">
        <v>130</v>
      </c>
      <c r="F112" s="7" t="s">
        <v>25</v>
      </c>
      <c r="G112" s="7" t="s">
        <v>74</v>
      </c>
      <c r="H112" s="7">
        <v>1</v>
      </c>
      <c r="I112" s="2">
        <v>374.6</v>
      </c>
      <c r="J112" s="2">
        <f>Tabla2[[#This Row],[Quantity]]*I112</f>
        <v>374.6</v>
      </c>
      <c r="K112" s="6">
        <f>MONTH(Tabla2[[#This Row],[OrderDate]])</f>
        <v>1</v>
      </c>
      <c r="L112" s="6">
        <f>YEAR(Tabla2[[#This Row],[OrderDate]])</f>
        <v>2024</v>
      </c>
      <c r="M112" s="7" t="s">
        <v>468</v>
      </c>
      <c r="N112" s="7" t="s">
        <v>45</v>
      </c>
    </row>
    <row r="113" spans="1:14" x14ac:dyDescent="0.35">
      <c r="A113" s="7" t="s">
        <v>469</v>
      </c>
      <c r="B113" s="7" t="s">
        <v>470</v>
      </c>
      <c r="C113" s="7" t="s">
        <v>471</v>
      </c>
      <c r="D113" s="7" t="s">
        <v>32</v>
      </c>
      <c r="E113" s="7" t="s">
        <v>33</v>
      </c>
      <c r="F113" s="7" t="s">
        <v>25</v>
      </c>
      <c r="G113" s="7" t="s">
        <v>34</v>
      </c>
      <c r="H113" s="7">
        <v>4</v>
      </c>
      <c r="I113" s="2">
        <v>761.97</v>
      </c>
      <c r="J113" s="2">
        <f>Tabla2[[#This Row],[Quantity]]*I113</f>
        <v>3047.88</v>
      </c>
      <c r="K113" s="6">
        <f>MONTH(Tabla2[[#This Row],[OrderDate]])</f>
        <v>12</v>
      </c>
      <c r="L113" s="6">
        <f>YEAR(Tabla2[[#This Row],[OrderDate]])</f>
        <v>2024</v>
      </c>
      <c r="M113" s="7" t="s">
        <v>472</v>
      </c>
      <c r="N113" s="7" t="s">
        <v>45</v>
      </c>
    </row>
    <row r="114" spans="1:14" x14ac:dyDescent="0.35">
      <c r="A114" s="7" t="s">
        <v>473</v>
      </c>
      <c r="B114" s="7" t="s">
        <v>474</v>
      </c>
      <c r="C114" s="7" t="s">
        <v>475</v>
      </c>
      <c r="D114" s="7" t="s">
        <v>67</v>
      </c>
      <c r="E114" s="7" t="s">
        <v>68</v>
      </c>
      <c r="F114" s="7" t="s">
        <v>101</v>
      </c>
      <c r="G114" s="7" t="s">
        <v>237</v>
      </c>
      <c r="H114" s="7">
        <v>1</v>
      </c>
      <c r="I114" s="2">
        <v>1374.43</v>
      </c>
      <c r="J114" s="2">
        <f>Tabla2[[#This Row],[Quantity]]*I114</f>
        <v>1374.43</v>
      </c>
      <c r="K114" s="6">
        <f>MONTH(Tabla2[[#This Row],[OrderDate]])</f>
        <v>10</v>
      </c>
      <c r="L114" s="6">
        <f>YEAR(Tabla2[[#This Row],[OrderDate]])</f>
        <v>2024</v>
      </c>
      <c r="M114" s="7" t="s">
        <v>400</v>
      </c>
      <c r="N114" s="7" t="s">
        <v>36</v>
      </c>
    </row>
    <row r="115" spans="1:14" x14ac:dyDescent="0.35">
      <c r="A115" s="7" t="s">
        <v>476</v>
      </c>
      <c r="B115" s="7" t="s">
        <v>388</v>
      </c>
      <c r="C115" s="7" t="s">
        <v>389</v>
      </c>
      <c r="D115" s="7" t="s">
        <v>23</v>
      </c>
      <c r="E115" s="7" t="s">
        <v>338</v>
      </c>
      <c r="F115" s="7" t="s">
        <v>42</v>
      </c>
      <c r="G115" s="7" t="s">
        <v>225</v>
      </c>
      <c r="H115" s="7">
        <v>5</v>
      </c>
      <c r="I115" s="2">
        <v>833.26</v>
      </c>
      <c r="J115" s="2">
        <f>Tabla2[[#This Row],[Quantity]]*I115</f>
        <v>4166.3</v>
      </c>
      <c r="K115" s="6">
        <f>MONTH(Tabla2[[#This Row],[OrderDate]])</f>
        <v>5</v>
      </c>
      <c r="L115" s="6">
        <f>YEAR(Tabla2[[#This Row],[OrderDate]])</f>
        <v>2024</v>
      </c>
      <c r="M115" s="7" t="s">
        <v>477</v>
      </c>
      <c r="N115" s="7" t="s">
        <v>36</v>
      </c>
    </row>
    <row r="116" spans="1:14" x14ac:dyDescent="0.35">
      <c r="A116" s="7" t="s">
        <v>478</v>
      </c>
      <c r="B116" s="7" t="s">
        <v>341</v>
      </c>
      <c r="C116" s="7" t="s">
        <v>342</v>
      </c>
      <c r="D116" s="7" t="s">
        <v>23</v>
      </c>
      <c r="E116" s="7" t="s">
        <v>49</v>
      </c>
      <c r="F116" s="7" t="s">
        <v>25</v>
      </c>
      <c r="G116" s="7" t="s">
        <v>34</v>
      </c>
      <c r="H116" s="7">
        <v>2</v>
      </c>
      <c r="I116" s="2">
        <v>614.83000000000004</v>
      </c>
      <c r="J116" s="2">
        <f>Tabla2[[#This Row],[Quantity]]*I116</f>
        <v>1229.6600000000001</v>
      </c>
      <c r="K116" s="6">
        <f>MONTH(Tabla2[[#This Row],[OrderDate]])</f>
        <v>11</v>
      </c>
      <c r="L116" s="6">
        <f>YEAR(Tabla2[[#This Row],[OrderDate]])</f>
        <v>2025</v>
      </c>
      <c r="M116" s="7" t="s">
        <v>479</v>
      </c>
      <c r="N116" s="7" t="s">
        <v>19</v>
      </c>
    </row>
    <row r="117" spans="1:14" x14ac:dyDescent="0.35">
      <c r="A117" s="7" t="s">
        <v>480</v>
      </c>
      <c r="B117" s="7" t="s">
        <v>481</v>
      </c>
      <c r="C117" s="7" t="s">
        <v>482</v>
      </c>
      <c r="D117" s="7" t="s">
        <v>67</v>
      </c>
      <c r="E117" s="7" t="s">
        <v>115</v>
      </c>
      <c r="F117" s="7" t="s">
        <v>50</v>
      </c>
      <c r="G117" s="7" t="s">
        <v>69</v>
      </c>
      <c r="H117" s="7">
        <v>4</v>
      </c>
      <c r="I117" s="2">
        <v>1481.6</v>
      </c>
      <c r="J117" s="2">
        <f>Tabla2[[#This Row],[Quantity]]*I117</f>
        <v>5926.4</v>
      </c>
      <c r="K117" s="6">
        <f>MONTH(Tabla2[[#This Row],[OrderDate]])</f>
        <v>5</v>
      </c>
      <c r="L117" s="6">
        <f>YEAR(Tabla2[[#This Row],[OrderDate]])</f>
        <v>2025</v>
      </c>
      <c r="M117" s="7" t="s">
        <v>483</v>
      </c>
      <c r="N117" s="7" t="s">
        <v>91</v>
      </c>
    </row>
    <row r="118" spans="1:14" x14ac:dyDescent="0.35">
      <c r="A118" s="7" t="s">
        <v>484</v>
      </c>
      <c r="B118" s="7" t="s">
        <v>439</v>
      </c>
      <c r="C118" s="7" t="s">
        <v>440</v>
      </c>
      <c r="D118" s="7" t="s">
        <v>67</v>
      </c>
      <c r="E118" s="7" t="s">
        <v>130</v>
      </c>
      <c r="F118" s="7" t="s">
        <v>16</v>
      </c>
      <c r="G118" s="7" t="s">
        <v>17</v>
      </c>
      <c r="H118" s="7">
        <v>4</v>
      </c>
      <c r="I118" s="2">
        <v>95.67</v>
      </c>
      <c r="J118" s="2">
        <f>Tabla2[[#This Row],[Quantity]]*I118</f>
        <v>382.68</v>
      </c>
      <c r="K118" s="6">
        <f>MONTH(Tabla2[[#This Row],[OrderDate]])</f>
        <v>9</v>
      </c>
      <c r="L118" s="6">
        <f>YEAR(Tabla2[[#This Row],[OrderDate]])</f>
        <v>2024</v>
      </c>
      <c r="M118" s="7" t="s">
        <v>70</v>
      </c>
      <c r="N118" s="7" t="s">
        <v>19</v>
      </c>
    </row>
    <row r="119" spans="1:14" x14ac:dyDescent="0.35">
      <c r="A119" s="7" t="s">
        <v>485</v>
      </c>
      <c r="B119" s="7" t="s">
        <v>201</v>
      </c>
      <c r="C119" s="7" t="s">
        <v>202</v>
      </c>
      <c r="D119" s="7" t="s">
        <v>67</v>
      </c>
      <c r="E119" s="7" t="s">
        <v>130</v>
      </c>
      <c r="F119" s="7" t="s">
        <v>16</v>
      </c>
      <c r="G119" s="7" t="s">
        <v>230</v>
      </c>
      <c r="H119" s="7">
        <v>5</v>
      </c>
      <c r="I119" s="2">
        <v>224.04</v>
      </c>
      <c r="J119" s="2">
        <f>Tabla2[[#This Row],[Quantity]]*I119</f>
        <v>1120.2</v>
      </c>
      <c r="K119" s="6">
        <f>MONTH(Tabla2[[#This Row],[OrderDate]])</f>
        <v>7</v>
      </c>
      <c r="L119" s="6">
        <f>YEAR(Tabla2[[#This Row],[OrderDate]])</f>
        <v>2025</v>
      </c>
      <c r="M119" s="7" t="s">
        <v>486</v>
      </c>
      <c r="N119" s="7" t="s">
        <v>19</v>
      </c>
    </row>
    <row r="120" spans="1:14" x14ac:dyDescent="0.35">
      <c r="A120" s="7" t="s">
        <v>487</v>
      </c>
      <c r="B120" s="7" t="s">
        <v>281</v>
      </c>
      <c r="C120" s="7" t="s">
        <v>282</v>
      </c>
      <c r="D120" s="7" t="s">
        <v>40</v>
      </c>
      <c r="E120" s="7" t="s">
        <v>120</v>
      </c>
      <c r="F120" s="7" t="s">
        <v>101</v>
      </c>
      <c r="G120" s="7" t="s">
        <v>373</v>
      </c>
      <c r="H120" s="7">
        <v>5</v>
      </c>
      <c r="I120" s="2">
        <v>875.93</v>
      </c>
      <c r="J120" s="2">
        <f>Tabla2[[#This Row],[Quantity]]*I120</f>
        <v>4379.6499999999996</v>
      </c>
      <c r="K120" s="6">
        <f>MONTH(Tabla2[[#This Row],[OrderDate]])</f>
        <v>10</v>
      </c>
      <c r="L120" s="6">
        <f>YEAR(Tabla2[[#This Row],[OrderDate]])</f>
        <v>2025</v>
      </c>
      <c r="M120" s="7" t="s">
        <v>488</v>
      </c>
      <c r="N120" s="7" t="s">
        <v>19</v>
      </c>
    </row>
    <row r="121" spans="1:14" x14ac:dyDescent="0.35">
      <c r="A121" s="7" t="s">
        <v>489</v>
      </c>
      <c r="B121" s="7" t="s">
        <v>252</v>
      </c>
      <c r="C121" s="7" t="s">
        <v>253</v>
      </c>
      <c r="D121" s="7" t="s">
        <v>67</v>
      </c>
      <c r="E121" s="7" t="s">
        <v>68</v>
      </c>
      <c r="F121" s="7" t="s">
        <v>42</v>
      </c>
      <c r="G121" s="7" t="s">
        <v>89</v>
      </c>
      <c r="H121" s="7">
        <v>5</v>
      </c>
      <c r="I121" s="2">
        <v>368.84</v>
      </c>
      <c r="J121" s="2">
        <f>Tabla2[[#This Row],[Quantity]]*I121</f>
        <v>1844.1999999999998</v>
      </c>
      <c r="K121" s="6">
        <f>MONTH(Tabla2[[#This Row],[OrderDate]])</f>
        <v>4</v>
      </c>
      <c r="L121" s="6">
        <f>YEAR(Tabla2[[#This Row],[OrderDate]])</f>
        <v>2025</v>
      </c>
      <c r="M121" s="7" t="s">
        <v>490</v>
      </c>
      <c r="N121" s="7" t="s">
        <v>19</v>
      </c>
    </row>
    <row r="122" spans="1:14" x14ac:dyDescent="0.35">
      <c r="A122" s="7" t="s">
        <v>491</v>
      </c>
      <c r="B122" s="7" t="s">
        <v>492</v>
      </c>
      <c r="C122" s="7" t="s">
        <v>493</v>
      </c>
      <c r="D122" s="7" t="s">
        <v>67</v>
      </c>
      <c r="E122" s="7" t="s">
        <v>68</v>
      </c>
      <c r="F122" s="7" t="s">
        <v>25</v>
      </c>
      <c r="G122" s="7" t="s">
        <v>34</v>
      </c>
      <c r="H122" s="7">
        <v>2</v>
      </c>
      <c r="I122" s="2">
        <v>176.75</v>
      </c>
      <c r="J122" s="2">
        <f>Tabla2[[#This Row],[Quantity]]*I122</f>
        <v>353.5</v>
      </c>
      <c r="K122" s="6">
        <f>MONTH(Tabla2[[#This Row],[OrderDate]])</f>
        <v>3</v>
      </c>
      <c r="L122" s="6">
        <f>YEAR(Tabla2[[#This Row],[OrderDate]])</f>
        <v>2026</v>
      </c>
      <c r="M122" s="7" t="s">
        <v>494</v>
      </c>
      <c r="N122" s="7" t="s">
        <v>36</v>
      </c>
    </row>
    <row r="123" spans="1:14" x14ac:dyDescent="0.35">
      <c r="A123" s="7" t="s">
        <v>495</v>
      </c>
      <c r="B123" s="7" t="s">
        <v>496</v>
      </c>
      <c r="C123" s="7" t="s">
        <v>497</v>
      </c>
      <c r="D123" s="7" t="s">
        <v>32</v>
      </c>
      <c r="E123" s="7" t="s">
        <v>203</v>
      </c>
      <c r="F123" s="7" t="s">
        <v>101</v>
      </c>
      <c r="G123" s="7" t="s">
        <v>237</v>
      </c>
      <c r="H123" s="7">
        <v>1</v>
      </c>
      <c r="I123" s="2">
        <v>429.48</v>
      </c>
      <c r="J123" s="2">
        <f>Tabla2[[#This Row],[Quantity]]*I123</f>
        <v>429.48</v>
      </c>
      <c r="K123" s="6">
        <f>MONTH(Tabla2[[#This Row],[OrderDate]])</f>
        <v>11</v>
      </c>
      <c r="L123" s="6">
        <f>YEAR(Tabla2[[#This Row],[OrderDate]])</f>
        <v>2025</v>
      </c>
      <c r="M123" s="7" t="s">
        <v>498</v>
      </c>
      <c r="N123" s="7" t="s">
        <v>36</v>
      </c>
    </row>
    <row r="124" spans="1:14" x14ac:dyDescent="0.35">
      <c r="A124" s="7" t="s">
        <v>499</v>
      </c>
      <c r="B124" s="7" t="s">
        <v>500</v>
      </c>
      <c r="C124" s="7" t="s">
        <v>501</v>
      </c>
      <c r="D124" s="7" t="s">
        <v>32</v>
      </c>
      <c r="E124" s="7" t="s">
        <v>33</v>
      </c>
      <c r="F124" s="7" t="s">
        <v>50</v>
      </c>
      <c r="G124" s="7" t="s">
        <v>216</v>
      </c>
      <c r="H124" s="7">
        <v>4</v>
      </c>
      <c r="I124" s="2">
        <v>231.9</v>
      </c>
      <c r="J124" s="2">
        <f>Tabla2[[#This Row],[Quantity]]*I124</f>
        <v>927.6</v>
      </c>
      <c r="K124" s="6">
        <f>MONTH(Tabla2[[#This Row],[OrderDate]])</f>
        <v>1</v>
      </c>
      <c r="L124" s="6">
        <f>YEAR(Tabla2[[#This Row],[OrderDate]])</f>
        <v>2024</v>
      </c>
      <c r="M124" s="7" t="s">
        <v>502</v>
      </c>
      <c r="N124" s="7" t="s">
        <v>19</v>
      </c>
    </row>
    <row r="125" spans="1:14" x14ac:dyDescent="0.35">
      <c r="A125" s="7" t="s">
        <v>503</v>
      </c>
      <c r="B125" s="7" t="s">
        <v>388</v>
      </c>
      <c r="C125" s="7" t="s">
        <v>389</v>
      </c>
      <c r="D125" s="7" t="s">
        <v>67</v>
      </c>
      <c r="E125" s="7" t="s">
        <v>130</v>
      </c>
      <c r="F125" s="7" t="s">
        <v>101</v>
      </c>
      <c r="G125" s="7" t="s">
        <v>237</v>
      </c>
      <c r="H125" s="7">
        <v>4</v>
      </c>
      <c r="I125" s="2">
        <v>167.31</v>
      </c>
      <c r="J125" s="2">
        <f>Tabla2[[#This Row],[Quantity]]*I125</f>
        <v>669.24</v>
      </c>
      <c r="K125" s="6">
        <f>MONTH(Tabla2[[#This Row],[OrderDate]])</f>
        <v>2</v>
      </c>
      <c r="L125" s="6">
        <f>YEAR(Tabla2[[#This Row],[OrderDate]])</f>
        <v>2025</v>
      </c>
      <c r="M125" s="7" t="s">
        <v>504</v>
      </c>
      <c r="N125" s="7" t="s">
        <v>91</v>
      </c>
    </row>
    <row r="126" spans="1:14" x14ac:dyDescent="0.35">
      <c r="A126" s="7" t="s">
        <v>505</v>
      </c>
      <c r="B126" s="7" t="s">
        <v>506</v>
      </c>
      <c r="C126" s="7" t="s">
        <v>507</v>
      </c>
      <c r="D126" s="7" t="s">
        <v>32</v>
      </c>
      <c r="E126" s="7" t="s">
        <v>33</v>
      </c>
      <c r="F126" s="7" t="s">
        <v>25</v>
      </c>
      <c r="G126" s="7" t="s">
        <v>62</v>
      </c>
      <c r="H126" s="7">
        <v>5</v>
      </c>
      <c r="I126" s="2">
        <v>79.64</v>
      </c>
      <c r="J126" s="2">
        <f>Tabla2[[#This Row],[Quantity]]*I126</f>
        <v>398.2</v>
      </c>
      <c r="K126" s="6">
        <f>MONTH(Tabla2[[#This Row],[OrderDate]])</f>
        <v>2</v>
      </c>
      <c r="L126" s="6">
        <f>YEAR(Tabla2[[#This Row],[OrderDate]])</f>
        <v>2025</v>
      </c>
      <c r="M126" s="7" t="s">
        <v>508</v>
      </c>
      <c r="N126" s="7" t="s">
        <v>45</v>
      </c>
    </row>
    <row r="127" spans="1:14" x14ac:dyDescent="0.35">
      <c r="A127" s="7" t="s">
        <v>509</v>
      </c>
      <c r="B127" s="7" t="s">
        <v>273</v>
      </c>
      <c r="C127" s="7" t="s">
        <v>274</v>
      </c>
      <c r="D127" s="7" t="s">
        <v>67</v>
      </c>
      <c r="E127" s="7" t="s">
        <v>115</v>
      </c>
      <c r="F127" s="7" t="s">
        <v>16</v>
      </c>
      <c r="G127" s="7" t="s">
        <v>182</v>
      </c>
      <c r="H127" s="7">
        <v>1</v>
      </c>
      <c r="I127" s="2">
        <v>377.23</v>
      </c>
      <c r="J127" s="2">
        <f>Tabla2[[#This Row],[Quantity]]*I127</f>
        <v>377.23</v>
      </c>
      <c r="K127" s="6">
        <f>MONTH(Tabla2[[#This Row],[OrderDate]])</f>
        <v>6</v>
      </c>
      <c r="L127" s="6">
        <f>YEAR(Tabla2[[#This Row],[OrderDate]])</f>
        <v>2025</v>
      </c>
      <c r="M127" s="7" t="s">
        <v>510</v>
      </c>
      <c r="N127" s="7" t="s">
        <v>19</v>
      </c>
    </row>
    <row r="128" spans="1:14" x14ac:dyDescent="0.35">
      <c r="A128" s="7" t="s">
        <v>511</v>
      </c>
      <c r="B128" s="7" t="s">
        <v>240</v>
      </c>
      <c r="C128" s="7" t="s">
        <v>241</v>
      </c>
      <c r="D128" s="7" t="s">
        <v>40</v>
      </c>
      <c r="E128" s="7" t="s">
        <v>79</v>
      </c>
      <c r="F128" s="7" t="s">
        <v>50</v>
      </c>
      <c r="G128" s="7" t="s">
        <v>69</v>
      </c>
      <c r="H128" s="7">
        <v>2</v>
      </c>
      <c r="I128" s="2">
        <v>960.39</v>
      </c>
      <c r="J128" s="2">
        <f>Tabla2[[#This Row],[Quantity]]*I128</f>
        <v>1920.78</v>
      </c>
      <c r="K128" s="6">
        <f>MONTH(Tabla2[[#This Row],[OrderDate]])</f>
        <v>3</v>
      </c>
      <c r="L128" s="6">
        <f>YEAR(Tabla2[[#This Row],[OrderDate]])</f>
        <v>2026</v>
      </c>
      <c r="M128" s="7" t="s">
        <v>512</v>
      </c>
      <c r="N128" s="7" t="s">
        <v>28</v>
      </c>
    </row>
    <row r="129" spans="1:14" x14ac:dyDescent="0.35">
      <c r="A129" s="7" t="s">
        <v>513</v>
      </c>
      <c r="B129" s="7" t="s">
        <v>514</v>
      </c>
      <c r="C129" s="7" t="s">
        <v>515</v>
      </c>
      <c r="D129" s="7" t="s">
        <v>40</v>
      </c>
      <c r="E129" s="7" t="s">
        <v>79</v>
      </c>
      <c r="F129" s="7" t="s">
        <v>25</v>
      </c>
      <c r="G129" s="7" t="s">
        <v>139</v>
      </c>
      <c r="H129" s="7">
        <v>4</v>
      </c>
      <c r="I129" s="2">
        <v>490.83</v>
      </c>
      <c r="J129" s="2">
        <f>Tabla2[[#This Row],[Quantity]]*I129</f>
        <v>1963.32</v>
      </c>
      <c r="K129" s="6">
        <f>MONTH(Tabla2[[#This Row],[OrderDate]])</f>
        <v>4</v>
      </c>
      <c r="L129" s="6">
        <f>YEAR(Tabla2[[#This Row],[OrderDate]])</f>
        <v>2025</v>
      </c>
      <c r="M129" s="7" t="s">
        <v>516</v>
      </c>
      <c r="N129" s="7" t="s">
        <v>91</v>
      </c>
    </row>
    <row r="130" spans="1:14" x14ac:dyDescent="0.35">
      <c r="A130" s="7" t="s">
        <v>517</v>
      </c>
      <c r="B130" s="7" t="s">
        <v>518</v>
      </c>
      <c r="C130" s="7" t="s">
        <v>519</v>
      </c>
      <c r="D130" s="7" t="s">
        <v>32</v>
      </c>
      <c r="E130" s="7" t="s">
        <v>33</v>
      </c>
      <c r="F130" s="7" t="s">
        <v>101</v>
      </c>
      <c r="G130" s="7" t="s">
        <v>373</v>
      </c>
      <c r="H130" s="7">
        <v>2</v>
      </c>
      <c r="I130" s="2">
        <v>956.51</v>
      </c>
      <c r="J130" s="2">
        <f>Tabla2[[#This Row],[Quantity]]*I130</f>
        <v>1913.02</v>
      </c>
      <c r="K130" s="6">
        <f>MONTH(Tabla2[[#This Row],[OrderDate]])</f>
        <v>1</v>
      </c>
      <c r="L130" s="6">
        <f>YEAR(Tabla2[[#This Row],[OrderDate]])</f>
        <v>2025</v>
      </c>
      <c r="M130" s="7" t="s">
        <v>140</v>
      </c>
      <c r="N130" s="7" t="s">
        <v>19</v>
      </c>
    </row>
    <row r="131" spans="1:14" x14ac:dyDescent="0.35">
      <c r="A131" s="7" t="s">
        <v>520</v>
      </c>
      <c r="B131" s="7" t="s">
        <v>521</v>
      </c>
      <c r="C131" s="7" t="s">
        <v>522</v>
      </c>
      <c r="D131" s="7" t="s">
        <v>40</v>
      </c>
      <c r="E131" s="7" t="s">
        <v>79</v>
      </c>
      <c r="F131" s="7" t="s">
        <v>101</v>
      </c>
      <c r="G131" s="7" t="s">
        <v>102</v>
      </c>
      <c r="H131" s="7">
        <v>1</v>
      </c>
      <c r="I131" s="2">
        <v>319.20999999999998</v>
      </c>
      <c r="J131" s="2">
        <f>Tabla2[[#This Row],[Quantity]]*I131</f>
        <v>319.20999999999998</v>
      </c>
      <c r="K131" s="6">
        <f>MONTH(Tabla2[[#This Row],[OrderDate]])</f>
        <v>4</v>
      </c>
      <c r="L131" s="6">
        <f>YEAR(Tabla2[[#This Row],[OrderDate]])</f>
        <v>2024</v>
      </c>
      <c r="M131" s="7" t="s">
        <v>523</v>
      </c>
      <c r="N131" s="7" t="s">
        <v>36</v>
      </c>
    </row>
    <row r="132" spans="1:14" x14ac:dyDescent="0.35">
      <c r="A132" s="7" t="s">
        <v>524</v>
      </c>
      <c r="B132" s="7" t="s">
        <v>418</v>
      </c>
      <c r="C132" s="7" t="s">
        <v>419</v>
      </c>
      <c r="D132" s="7" t="s">
        <v>67</v>
      </c>
      <c r="E132" s="7" t="s">
        <v>130</v>
      </c>
      <c r="F132" s="7" t="s">
        <v>16</v>
      </c>
      <c r="G132" s="7" t="s">
        <v>230</v>
      </c>
      <c r="H132" s="7">
        <v>5</v>
      </c>
      <c r="I132" s="2">
        <v>183.49</v>
      </c>
      <c r="J132" s="2">
        <f>Tabla2[[#This Row],[Quantity]]*I132</f>
        <v>917.45</v>
      </c>
      <c r="K132" s="6">
        <f>MONTH(Tabla2[[#This Row],[OrderDate]])</f>
        <v>5</v>
      </c>
      <c r="L132" s="6">
        <f>YEAR(Tabla2[[#This Row],[OrderDate]])</f>
        <v>2025</v>
      </c>
      <c r="M132" s="7" t="s">
        <v>246</v>
      </c>
      <c r="N132" s="7" t="s">
        <v>19</v>
      </c>
    </row>
    <row r="133" spans="1:14" x14ac:dyDescent="0.35">
      <c r="A133" s="7" t="s">
        <v>525</v>
      </c>
      <c r="B133" s="7" t="s">
        <v>402</v>
      </c>
      <c r="C133" s="7" t="s">
        <v>403</v>
      </c>
      <c r="D133" s="7" t="s">
        <v>40</v>
      </c>
      <c r="E133" s="7" t="s">
        <v>120</v>
      </c>
      <c r="F133" s="7" t="s">
        <v>42</v>
      </c>
      <c r="G133" s="7" t="s">
        <v>225</v>
      </c>
      <c r="H133" s="7">
        <v>2</v>
      </c>
      <c r="I133" s="2">
        <v>418.61</v>
      </c>
      <c r="J133" s="2">
        <f>Tabla2[[#This Row],[Quantity]]*I133</f>
        <v>837.22</v>
      </c>
      <c r="K133" s="6">
        <f>MONTH(Tabla2[[#This Row],[OrderDate]])</f>
        <v>2</v>
      </c>
      <c r="L133" s="6">
        <f>YEAR(Tabla2[[#This Row],[OrderDate]])</f>
        <v>2026</v>
      </c>
      <c r="M133" s="7" t="s">
        <v>526</v>
      </c>
      <c r="N133" s="7" t="s">
        <v>19</v>
      </c>
    </row>
    <row r="134" spans="1:14" x14ac:dyDescent="0.35">
      <c r="A134" s="7" t="s">
        <v>527</v>
      </c>
      <c r="B134" s="7" t="s">
        <v>514</v>
      </c>
      <c r="C134" s="7" t="s">
        <v>515</v>
      </c>
      <c r="D134" s="7" t="s">
        <v>32</v>
      </c>
      <c r="E134" s="7" t="s">
        <v>61</v>
      </c>
      <c r="F134" s="7" t="s">
        <v>50</v>
      </c>
      <c r="G134" s="7" t="s">
        <v>56</v>
      </c>
      <c r="H134" s="7">
        <v>1</v>
      </c>
      <c r="I134" s="2">
        <v>580.89</v>
      </c>
      <c r="J134" s="2">
        <f>Tabla2[[#This Row],[Quantity]]*I134</f>
        <v>580.89</v>
      </c>
      <c r="K134" s="6">
        <f>MONTH(Tabla2[[#This Row],[OrderDate]])</f>
        <v>2</v>
      </c>
      <c r="L134" s="6">
        <f>YEAR(Tabla2[[#This Row],[OrderDate]])</f>
        <v>2024</v>
      </c>
      <c r="M134" s="7" t="s">
        <v>528</v>
      </c>
      <c r="N134" s="7" t="s">
        <v>36</v>
      </c>
    </row>
    <row r="135" spans="1:14" x14ac:dyDescent="0.35">
      <c r="A135" s="7" t="s">
        <v>529</v>
      </c>
      <c r="B135" s="7" t="s">
        <v>109</v>
      </c>
      <c r="C135" s="7" t="s">
        <v>110</v>
      </c>
      <c r="D135" s="7" t="s">
        <v>67</v>
      </c>
      <c r="E135" s="7" t="s">
        <v>115</v>
      </c>
      <c r="F135" s="7" t="s">
        <v>25</v>
      </c>
      <c r="G135" s="7" t="s">
        <v>26</v>
      </c>
      <c r="H135" s="7">
        <v>4</v>
      </c>
      <c r="I135" s="2">
        <v>1475.99</v>
      </c>
      <c r="J135" s="2">
        <f>Tabla2[[#This Row],[Quantity]]*I135</f>
        <v>5903.96</v>
      </c>
      <c r="K135" s="6">
        <f>MONTH(Tabla2[[#This Row],[OrderDate]])</f>
        <v>5</v>
      </c>
      <c r="L135" s="6">
        <f>YEAR(Tabla2[[#This Row],[OrderDate]])</f>
        <v>2024</v>
      </c>
      <c r="M135" s="7" t="s">
        <v>530</v>
      </c>
      <c r="N135" s="7" t="s">
        <v>28</v>
      </c>
    </row>
    <row r="136" spans="1:14" x14ac:dyDescent="0.35">
      <c r="A136" s="7" t="s">
        <v>531</v>
      </c>
      <c r="B136" s="7" t="s">
        <v>532</v>
      </c>
      <c r="C136" s="7" t="s">
        <v>533</v>
      </c>
      <c r="D136" s="7" t="s">
        <v>40</v>
      </c>
      <c r="E136" s="7" t="s">
        <v>120</v>
      </c>
      <c r="F136" s="7" t="s">
        <v>101</v>
      </c>
      <c r="G136" s="7" t="s">
        <v>165</v>
      </c>
      <c r="H136" s="7">
        <v>2</v>
      </c>
      <c r="I136" s="2">
        <v>703.7</v>
      </c>
      <c r="J136" s="2">
        <f>Tabla2[[#This Row],[Quantity]]*I136</f>
        <v>1407.4</v>
      </c>
      <c r="K136" s="6">
        <f>MONTH(Tabla2[[#This Row],[OrderDate]])</f>
        <v>7</v>
      </c>
      <c r="L136" s="6">
        <f>YEAR(Tabla2[[#This Row],[OrderDate]])</f>
        <v>2024</v>
      </c>
      <c r="M136" s="7" t="s">
        <v>534</v>
      </c>
      <c r="N136" s="7" t="s">
        <v>36</v>
      </c>
    </row>
    <row r="137" spans="1:14" x14ac:dyDescent="0.35">
      <c r="A137" s="7" t="s">
        <v>535</v>
      </c>
      <c r="B137" s="7" t="s">
        <v>536</v>
      </c>
      <c r="C137" s="7" t="s">
        <v>537</v>
      </c>
      <c r="D137" s="7" t="s">
        <v>23</v>
      </c>
      <c r="E137" s="7" t="s">
        <v>24</v>
      </c>
      <c r="F137" s="7" t="s">
        <v>42</v>
      </c>
      <c r="G137" s="7" t="s">
        <v>170</v>
      </c>
      <c r="H137" s="7">
        <v>5</v>
      </c>
      <c r="I137" s="2">
        <v>220.95</v>
      </c>
      <c r="J137" s="2">
        <f>Tabla2[[#This Row],[Quantity]]*I137</f>
        <v>1104.75</v>
      </c>
      <c r="K137" s="6">
        <f>MONTH(Tabla2[[#This Row],[OrderDate]])</f>
        <v>4</v>
      </c>
      <c r="L137" s="6">
        <f>YEAR(Tabla2[[#This Row],[OrderDate]])</f>
        <v>2025</v>
      </c>
      <c r="M137" s="7" t="s">
        <v>538</v>
      </c>
      <c r="N137" s="7" t="s">
        <v>45</v>
      </c>
    </row>
    <row r="138" spans="1:14" x14ac:dyDescent="0.35">
      <c r="A138" s="7" t="s">
        <v>539</v>
      </c>
      <c r="B138" s="7" t="s">
        <v>256</v>
      </c>
      <c r="C138" s="7" t="s">
        <v>257</v>
      </c>
      <c r="D138" s="7" t="s">
        <v>14</v>
      </c>
      <c r="E138" s="7" t="s">
        <v>125</v>
      </c>
      <c r="F138" s="7" t="s">
        <v>101</v>
      </c>
      <c r="G138" s="7" t="s">
        <v>237</v>
      </c>
      <c r="H138" s="7">
        <v>3</v>
      </c>
      <c r="I138" s="2">
        <v>547.20000000000005</v>
      </c>
      <c r="J138" s="2">
        <f>Tabla2[[#This Row],[Quantity]]*I138</f>
        <v>1641.6000000000001</v>
      </c>
      <c r="K138" s="6">
        <f>MONTH(Tabla2[[#This Row],[OrderDate]])</f>
        <v>2</v>
      </c>
      <c r="L138" s="6">
        <f>YEAR(Tabla2[[#This Row],[OrderDate]])</f>
        <v>2026</v>
      </c>
      <c r="M138" s="7" t="s">
        <v>540</v>
      </c>
      <c r="N138" s="7" t="s">
        <v>19</v>
      </c>
    </row>
    <row r="139" spans="1:14" x14ac:dyDescent="0.35">
      <c r="A139" s="7" t="s">
        <v>541</v>
      </c>
      <c r="B139" s="7" t="s">
        <v>59</v>
      </c>
      <c r="C139" s="7" t="s">
        <v>60</v>
      </c>
      <c r="D139" s="7" t="s">
        <v>40</v>
      </c>
      <c r="E139" s="7" t="s">
        <v>79</v>
      </c>
      <c r="F139" s="7" t="s">
        <v>16</v>
      </c>
      <c r="G139" s="7" t="s">
        <v>17</v>
      </c>
      <c r="H139" s="7">
        <v>4</v>
      </c>
      <c r="I139" s="2">
        <v>1357.34</v>
      </c>
      <c r="J139" s="2">
        <f>Tabla2[[#This Row],[Quantity]]*I139</f>
        <v>5429.36</v>
      </c>
      <c r="K139" s="6">
        <f>MONTH(Tabla2[[#This Row],[OrderDate]])</f>
        <v>3</v>
      </c>
      <c r="L139" s="6">
        <f>YEAR(Tabla2[[#This Row],[OrderDate]])</f>
        <v>2025</v>
      </c>
      <c r="M139" s="7" t="s">
        <v>542</v>
      </c>
      <c r="N139" s="7" t="s">
        <v>91</v>
      </c>
    </row>
    <row r="140" spans="1:14" x14ac:dyDescent="0.35">
      <c r="A140" s="7" t="s">
        <v>543</v>
      </c>
      <c r="B140" s="7" t="s">
        <v>544</v>
      </c>
      <c r="C140" s="7" t="s">
        <v>545</v>
      </c>
      <c r="D140" s="7" t="s">
        <v>40</v>
      </c>
      <c r="E140" s="7" t="s">
        <v>41</v>
      </c>
      <c r="F140" s="7" t="s">
        <v>25</v>
      </c>
      <c r="G140" s="7" t="s">
        <v>74</v>
      </c>
      <c r="H140" s="7">
        <v>4</v>
      </c>
      <c r="I140" s="2">
        <v>831.82</v>
      </c>
      <c r="J140" s="2">
        <f>Tabla2[[#This Row],[Quantity]]*I140</f>
        <v>3327.28</v>
      </c>
      <c r="K140" s="6">
        <f>MONTH(Tabla2[[#This Row],[OrderDate]])</f>
        <v>2</v>
      </c>
      <c r="L140" s="6">
        <f>YEAR(Tabla2[[#This Row],[OrderDate]])</f>
        <v>2024</v>
      </c>
      <c r="M140" s="7" t="s">
        <v>546</v>
      </c>
      <c r="N140" s="7" t="s">
        <v>28</v>
      </c>
    </row>
    <row r="141" spans="1:14" x14ac:dyDescent="0.35">
      <c r="A141" s="7" t="s">
        <v>547</v>
      </c>
      <c r="B141" s="7" t="s">
        <v>548</v>
      </c>
      <c r="C141" s="7" t="s">
        <v>549</v>
      </c>
      <c r="D141" s="7" t="s">
        <v>32</v>
      </c>
      <c r="E141" s="7" t="s">
        <v>61</v>
      </c>
      <c r="F141" s="7" t="s">
        <v>25</v>
      </c>
      <c r="G141" s="7" t="s">
        <v>139</v>
      </c>
      <c r="H141" s="7">
        <v>1</v>
      </c>
      <c r="I141" s="2">
        <v>1194.4000000000001</v>
      </c>
      <c r="J141" s="2">
        <f>Tabla2[[#This Row],[Quantity]]*I141</f>
        <v>1194.4000000000001</v>
      </c>
      <c r="K141" s="6">
        <f>MONTH(Tabla2[[#This Row],[OrderDate]])</f>
        <v>1</v>
      </c>
      <c r="L141" s="6">
        <f>YEAR(Tabla2[[#This Row],[OrderDate]])</f>
        <v>2024</v>
      </c>
      <c r="M141" s="7" t="s">
        <v>550</v>
      </c>
      <c r="N141" s="7" t="s">
        <v>91</v>
      </c>
    </row>
    <row r="142" spans="1:14" x14ac:dyDescent="0.35">
      <c r="A142" s="7" t="s">
        <v>551</v>
      </c>
      <c r="B142" s="7" t="s">
        <v>552</v>
      </c>
      <c r="C142" s="7" t="s">
        <v>553</v>
      </c>
      <c r="D142" s="7" t="s">
        <v>32</v>
      </c>
      <c r="E142" s="7" t="s">
        <v>61</v>
      </c>
      <c r="F142" s="7" t="s">
        <v>25</v>
      </c>
      <c r="G142" s="7" t="s">
        <v>139</v>
      </c>
      <c r="H142" s="7">
        <v>5</v>
      </c>
      <c r="I142" s="2">
        <v>1464.72</v>
      </c>
      <c r="J142" s="2">
        <f>Tabla2[[#This Row],[Quantity]]*I142</f>
        <v>7323.6</v>
      </c>
      <c r="K142" s="6">
        <f>MONTH(Tabla2[[#This Row],[OrderDate]])</f>
        <v>2</v>
      </c>
      <c r="L142" s="6">
        <f>YEAR(Tabla2[[#This Row],[OrderDate]])</f>
        <v>2024</v>
      </c>
      <c r="M142" s="7" t="s">
        <v>187</v>
      </c>
      <c r="N142" s="7" t="s">
        <v>45</v>
      </c>
    </row>
    <row r="143" spans="1:14" x14ac:dyDescent="0.35">
      <c r="A143" s="7" t="s">
        <v>554</v>
      </c>
      <c r="B143" s="7" t="s">
        <v>555</v>
      </c>
      <c r="C143" s="7" t="s">
        <v>556</v>
      </c>
      <c r="D143" s="7" t="s">
        <v>32</v>
      </c>
      <c r="E143" s="7" t="s">
        <v>61</v>
      </c>
      <c r="F143" s="7" t="s">
        <v>25</v>
      </c>
      <c r="G143" s="7" t="s">
        <v>74</v>
      </c>
      <c r="H143" s="7">
        <v>5</v>
      </c>
      <c r="I143" s="2">
        <v>93.77</v>
      </c>
      <c r="J143" s="2">
        <f>Tabla2[[#This Row],[Quantity]]*I143</f>
        <v>468.84999999999997</v>
      </c>
      <c r="K143" s="6">
        <f>MONTH(Tabla2[[#This Row],[OrderDate]])</f>
        <v>12</v>
      </c>
      <c r="L143" s="6">
        <f>YEAR(Tabla2[[#This Row],[OrderDate]])</f>
        <v>2025</v>
      </c>
      <c r="M143" s="7" t="s">
        <v>382</v>
      </c>
      <c r="N143" s="7" t="s">
        <v>45</v>
      </c>
    </row>
    <row r="144" spans="1:14" x14ac:dyDescent="0.35">
      <c r="A144" s="7" t="s">
        <v>557</v>
      </c>
      <c r="B144" s="7" t="s">
        <v>558</v>
      </c>
      <c r="C144" s="7" t="s">
        <v>559</v>
      </c>
      <c r="D144" s="7" t="s">
        <v>14</v>
      </c>
      <c r="E144" s="7" t="s">
        <v>125</v>
      </c>
      <c r="F144" s="7" t="s">
        <v>25</v>
      </c>
      <c r="G144" s="7" t="s">
        <v>62</v>
      </c>
      <c r="H144" s="7">
        <v>2</v>
      </c>
      <c r="I144" s="2">
        <v>358.01</v>
      </c>
      <c r="J144" s="2">
        <f>Tabla2[[#This Row],[Quantity]]*I144</f>
        <v>716.02</v>
      </c>
      <c r="K144" s="6">
        <f>MONTH(Tabla2[[#This Row],[OrderDate]])</f>
        <v>3</v>
      </c>
      <c r="L144" s="6">
        <f>YEAR(Tabla2[[#This Row],[OrderDate]])</f>
        <v>2025</v>
      </c>
      <c r="M144" s="7" t="s">
        <v>560</v>
      </c>
      <c r="N144" s="7" t="s">
        <v>45</v>
      </c>
    </row>
    <row r="145" spans="1:14" x14ac:dyDescent="0.35">
      <c r="A145" s="7" t="s">
        <v>561</v>
      </c>
      <c r="B145" s="7" t="s">
        <v>562</v>
      </c>
      <c r="C145" s="7" t="s">
        <v>563</v>
      </c>
      <c r="D145" s="7" t="s">
        <v>67</v>
      </c>
      <c r="E145" s="7" t="s">
        <v>130</v>
      </c>
      <c r="F145" s="7" t="s">
        <v>50</v>
      </c>
      <c r="G145" s="7" t="s">
        <v>56</v>
      </c>
      <c r="H145" s="7">
        <v>1</v>
      </c>
      <c r="I145" s="2">
        <v>244.03</v>
      </c>
      <c r="J145" s="2">
        <f>Tabla2[[#This Row],[Quantity]]*I145</f>
        <v>244.03</v>
      </c>
      <c r="K145" s="6">
        <f>MONTH(Tabla2[[#This Row],[OrderDate]])</f>
        <v>2</v>
      </c>
      <c r="L145" s="6">
        <f>YEAR(Tabla2[[#This Row],[OrderDate]])</f>
        <v>2025</v>
      </c>
      <c r="M145" s="7" t="s">
        <v>564</v>
      </c>
      <c r="N145" s="7" t="s">
        <v>45</v>
      </c>
    </row>
    <row r="146" spans="1:14" x14ac:dyDescent="0.35">
      <c r="A146" s="7" t="s">
        <v>565</v>
      </c>
      <c r="B146" s="7" t="s">
        <v>189</v>
      </c>
      <c r="C146" s="7" t="s">
        <v>190</v>
      </c>
      <c r="D146" s="7" t="s">
        <v>32</v>
      </c>
      <c r="E146" s="7" t="s">
        <v>33</v>
      </c>
      <c r="F146" s="7" t="s">
        <v>25</v>
      </c>
      <c r="G146" s="7" t="s">
        <v>74</v>
      </c>
      <c r="H146" s="7">
        <v>4</v>
      </c>
      <c r="I146" s="2">
        <v>747.78</v>
      </c>
      <c r="J146" s="2">
        <f>Tabla2[[#This Row],[Quantity]]*I146</f>
        <v>2991.12</v>
      </c>
      <c r="K146" s="6">
        <f>MONTH(Tabla2[[#This Row],[OrderDate]])</f>
        <v>9</v>
      </c>
      <c r="L146" s="6">
        <f>YEAR(Tabla2[[#This Row],[OrderDate]])</f>
        <v>2024</v>
      </c>
      <c r="M146" s="7" t="s">
        <v>566</v>
      </c>
      <c r="N146" s="7" t="s">
        <v>28</v>
      </c>
    </row>
    <row r="147" spans="1:14" x14ac:dyDescent="0.35">
      <c r="A147" s="7" t="s">
        <v>567</v>
      </c>
      <c r="B147" s="7" t="s">
        <v>568</v>
      </c>
      <c r="C147" s="7" t="s">
        <v>569</v>
      </c>
      <c r="D147" s="7" t="s">
        <v>23</v>
      </c>
      <c r="E147" s="7" t="s">
        <v>49</v>
      </c>
      <c r="F147" s="7" t="s">
        <v>25</v>
      </c>
      <c r="G147" s="7" t="s">
        <v>34</v>
      </c>
      <c r="H147" s="7">
        <v>2</v>
      </c>
      <c r="I147" s="2">
        <v>1471.58</v>
      </c>
      <c r="J147" s="2">
        <f>Tabla2[[#This Row],[Quantity]]*I147</f>
        <v>2943.16</v>
      </c>
      <c r="K147" s="6">
        <f>MONTH(Tabla2[[#This Row],[OrderDate]])</f>
        <v>5</v>
      </c>
      <c r="L147" s="6">
        <f>YEAR(Tabla2[[#This Row],[OrderDate]])</f>
        <v>2025</v>
      </c>
      <c r="M147" s="7" t="s">
        <v>570</v>
      </c>
      <c r="N147" s="7" t="s">
        <v>91</v>
      </c>
    </row>
    <row r="148" spans="1:14" x14ac:dyDescent="0.35">
      <c r="A148" s="7" t="s">
        <v>571</v>
      </c>
      <c r="B148" s="7" t="s">
        <v>359</v>
      </c>
      <c r="C148" s="7" t="s">
        <v>360</v>
      </c>
      <c r="D148" s="7" t="s">
        <v>40</v>
      </c>
      <c r="E148" s="7" t="s">
        <v>120</v>
      </c>
      <c r="F148" s="7" t="s">
        <v>42</v>
      </c>
      <c r="G148" s="7" t="s">
        <v>80</v>
      </c>
      <c r="H148" s="7">
        <v>1</v>
      </c>
      <c r="I148" s="2">
        <v>1158.81</v>
      </c>
      <c r="J148" s="2">
        <f>Tabla2[[#This Row],[Quantity]]*I148</f>
        <v>1158.81</v>
      </c>
      <c r="K148" s="6">
        <f>MONTH(Tabla2[[#This Row],[OrderDate]])</f>
        <v>7</v>
      </c>
      <c r="L148" s="6">
        <f>YEAR(Tabla2[[#This Row],[OrderDate]])</f>
        <v>2025</v>
      </c>
      <c r="M148" s="7" t="s">
        <v>572</v>
      </c>
      <c r="N148" s="7" t="s">
        <v>28</v>
      </c>
    </row>
    <row r="149" spans="1:14" x14ac:dyDescent="0.35">
      <c r="A149" s="7" t="s">
        <v>573</v>
      </c>
      <c r="B149" s="7" t="s">
        <v>574</v>
      </c>
      <c r="C149" s="7" t="s">
        <v>575</v>
      </c>
      <c r="D149" s="7" t="s">
        <v>23</v>
      </c>
      <c r="E149" s="7" t="s">
        <v>338</v>
      </c>
      <c r="F149" s="7" t="s">
        <v>42</v>
      </c>
      <c r="G149" s="7" t="s">
        <v>43</v>
      </c>
      <c r="H149" s="7">
        <v>3</v>
      </c>
      <c r="I149" s="2">
        <v>786.29</v>
      </c>
      <c r="J149" s="2">
        <f>Tabla2[[#This Row],[Quantity]]*I149</f>
        <v>2358.87</v>
      </c>
      <c r="K149" s="6">
        <f>MONTH(Tabla2[[#This Row],[OrderDate]])</f>
        <v>5</v>
      </c>
      <c r="L149" s="6">
        <f>YEAR(Tabla2[[#This Row],[OrderDate]])</f>
        <v>2025</v>
      </c>
      <c r="M149" s="7" t="s">
        <v>483</v>
      </c>
      <c r="N149" s="7" t="s">
        <v>45</v>
      </c>
    </row>
    <row r="150" spans="1:14" x14ac:dyDescent="0.35">
      <c r="A150" s="7" t="s">
        <v>576</v>
      </c>
      <c r="B150" s="7" t="s">
        <v>142</v>
      </c>
      <c r="C150" s="7" t="s">
        <v>143</v>
      </c>
      <c r="D150" s="7" t="s">
        <v>23</v>
      </c>
      <c r="E150" s="7" t="s">
        <v>24</v>
      </c>
      <c r="F150" s="7" t="s">
        <v>42</v>
      </c>
      <c r="G150" s="7" t="s">
        <v>89</v>
      </c>
      <c r="H150" s="7">
        <v>5</v>
      </c>
      <c r="I150" s="2">
        <v>242.81</v>
      </c>
      <c r="J150" s="2">
        <f>Tabla2[[#This Row],[Quantity]]*I150</f>
        <v>1214.05</v>
      </c>
      <c r="K150" s="6">
        <f>MONTH(Tabla2[[#This Row],[OrderDate]])</f>
        <v>3</v>
      </c>
      <c r="L150" s="6">
        <f>YEAR(Tabla2[[#This Row],[OrderDate]])</f>
        <v>2025</v>
      </c>
      <c r="M150" s="7" t="s">
        <v>577</v>
      </c>
      <c r="N150" s="7" t="s">
        <v>91</v>
      </c>
    </row>
    <row r="151" spans="1:14" x14ac:dyDescent="0.35">
      <c r="A151" s="7" t="s">
        <v>578</v>
      </c>
      <c r="B151" s="7" t="s">
        <v>579</v>
      </c>
      <c r="C151" s="7" t="s">
        <v>580</v>
      </c>
      <c r="D151" s="7" t="s">
        <v>67</v>
      </c>
      <c r="E151" s="7" t="s">
        <v>115</v>
      </c>
      <c r="F151" s="7" t="s">
        <v>42</v>
      </c>
      <c r="G151" s="7" t="s">
        <v>89</v>
      </c>
      <c r="H151" s="7">
        <v>5</v>
      </c>
      <c r="I151" s="2">
        <v>1342.28</v>
      </c>
      <c r="J151" s="2">
        <f>Tabla2[[#This Row],[Quantity]]*I151</f>
        <v>6711.4</v>
      </c>
      <c r="K151" s="6">
        <f>MONTH(Tabla2[[#This Row],[OrderDate]])</f>
        <v>12</v>
      </c>
      <c r="L151" s="6">
        <f>YEAR(Tabla2[[#This Row],[OrderDate]])</f>
        <v>2025</v>
      </c>
      <c r="M151" s="7" t="s">
        <v>581</v>
      </c>
      <c r="N151" s="7" t="s">
        <v>91</v>
      </c>
    </row>
    <row r="152" spans="1:14" x14ac:dyDescent="0.35">
      <c r="A152" s="7" t="s">
        <v>582</v>
      </c>
      <c r="B152" s="7" t="s">
        <v>47</v>
      </c>
      <c r="C152" s="7" t="s">
        <v>48</v>
      </c>
      <c r="D152" s="7" t="s">
        <v>40</v>
      </c>
      <c r="E152" s="7" t="s">
        <v>120</v>
      </c>
      <c r="F152" s="7" t="s">
        <v>16</v>
      </c>
      <c r="G152" s="7" t="s">
        <v>17</v>
      </c>
      <c r="H152" s="7">
        <v>4</v>
      </c>
      <c r="I152" s="2">
        <v>197.02</v>
      </c>
      <c r="J152" s="2">
        <f>Tabla2[[#This Row],[Quantity]]*I152</f>
        <v>788.08</v>
      </c>
      <c r="K152" s="6">
        <f>MONTH(Tabla2[[#This Row],[OrderDate]])</f>
        <v>9</v>
      </c>
      <c r="L152" s="6">
        <f>YEAR(Tabla2[[#This Row],[OrderDate]])</f>
        <v>2024</v>
      </c>
      <c r="M152" s="7" t="s">
        <v>583</v>
      </c>
      <c r="N152" s="7" t="s">
        <v>45</v>
      </c>
    </row>
    <row r="153" spans="1:14" x14ac:dyDescent="0.35">
      <c r="A153" s="7" t="s">
        <v>584</v>
      </c>
      <c r="B153" s="7" t="s">
        <v>252</v>
      </c>
      <c r="C153" s="7" t="s">
        <v>253</v>
      </c>
      <c r="D153" s="7" t="s">
        <v>14</v>
      </c>
      <c r="E153" s="7" t="s">
        <v>95</v>
      </c>
      <c r="F153" s="7" t="s">
        <v>16</v>
      </c>
      <c r="G153" s="7" t="s">
        <v>17</v>
      </c>
      <c r="H153" s="7">
        <v>4</v>
      </c>
      <c r="I153" s="2">
        <v>474.96</v>
      </c>
      <c r="J153" s="2">
        <f>Tabla2[[#This Row],[Quantity]]*I153</f>
        <v>1899.84</v>
      </c>
      <c r="K153" s="6">
        <f>MONTH(Tabla2[[#This Row],[OrderDate]])</f>
        <v>2</v>
      </c>
      <c r="L153" s="6">
        <f>YEAR(Tabla2[[#This Row],[OrderDate]])</f>
        <v>2025</v>
      </c>
      <c r="M153" s="7" t="s">
        <v>504</v>
      </c>
      <c r="N153" s="7" t="s">
        <v>19</v>
      </c>
    </row>
    <row r="154" spans="1:14" x14ac:dyDescent="0.35">
      <c r="A154" s="7" t="s">
        <v>585</v>
      </c>
      <c r="B154" s="7" t="s">
        <v>586</v>
      </c>
      <c r="C154" s="7" t="s">
        <v>587</v>
      </c>
      <c r="D154" s="7" t="s">
        <v>40</v>
      </c>
      <c r="E154" s="7" t="s">
        <v>79</v>
      </c>
      <c r="F154" s="7" t="s">
        <v>25</v>
      </c>
      <c r="G154" s="7" t="s">
        <v>26</v>
      </c>
      <c r="H154" s="7">
        <v>3</v>
      </c>
      <c r="I154" s="2">
        <v>1034.54</v>
      </c>
      <c r="J154" s="2">
        <f>Tabla2[[#This Row],[Quantity]]*I154</f>
        <v>3103.62</v>
      </c>
      <c r="K154" s="6">
        <f>MONTH(Tabla2[[#This Row],[OrderDate]])</f>
        <v>5</v>
      </c>
      <c r="L154" s="6">
        <f>YEAR(Tabla2[[#This Row],[OrderDate]])</f>
        <v>2025</v>
      </c>
      <c r="M154" s="7" t="s">
        <v>588</v>
      </c>
      <c r="N154" s="7" t="s">
        <v>28</v>
      </c>
    </row>
    <row r="155" spans="1:14" x14ac:dyDescent="0.35">
      <c r="A155" s="7" t="s">
        <v>589</v>
      </c>
      <c r="B155" s="7" t="s">
        <v>590</v>
      </c>
      <c r="C155" s="7" t="s">
        <v>591</v>
      </c>
      <c r="D155" s="7" t="s">
        <v>23</v>
      </c>
      <c r="E155" s="7" t="s">
        <v>24</v>
      </c>
      <c r="F155" s="7" t="s">
        <v>16</v>
      </c>
      <c r="G155" s="7" t="s">
        <v>177</v>
      </c>
      <c r="H155" s="7">
        <v>3</v>
      </c>
      <c r="I155" s="2">
        <v>1419.37</v>
      </c>
      <c r="J155" s="2">
        <f>Tabla2[[#This Row],[Quantity]]*I155</f>
        <v>4258.1099999999997</v>
      </c>
      <c r="K155" s="6">
        <f>MONTH(Tabla2[[#This Row],[OrderDate]])</f>
        <v>5</v>
      </c>
      <c r="L155" s="6">
        <f>YEAR(Tabla2[[#This Row],[OrderDate]])</f>
        <v>2024</v>
      </c>
      <c r="M155" s="7" t="s">
        <v>592</v>
      </c>
      <c r="N155" s="7" t="s">
        <v>19</v>
      </c>
    </row>
    <row r="156" spans="1:14" x14ac:dyDescent="0.35">
      <c r="A156" s="7" t="s">
        <v>593</v>
      </c>
      <c r="B156" s="7" t="s">
        <v>594</v>
      </c>
      <c r="C156" s="7" t="s">
        <v>595</v>
      </c>
      <c r="D156" s="7" t="s">
        <v>40</v>
      </c>
      <c r="E156" s="7" t="s">
        <v>79</v>
      </c>
      <c r="F156" s="7" t="s">
        <v>16</v>
      </c>
      <c r="G156" s="7" t="s">
        <v>17</v>
      </c>
      <c r="H156" s="7">
        <v>2</v>
      </c>
      <c r="I156" s="2">
        <v>1065.74</v>
      </c>
      <c r="J156" s="2">
        <f>Tabla2[[#This Row],[Quantity]]*I156</f>
        <v>2131.48</v>
      </c>
      <c r="K156" s="6">
        <f>MONTH(Tabla2[[#This Row],[OrderDate]])</f>
        <v>7</v>
      </c>
      <c r="L156" s="6">
        <f>YEAR(Tabla2[[#This Row],[OrderDate]])</f>
        <v>2024</v>
      </c>
      <c r="M156" s="7" t="s">
        <v>596</v>
      </c>
      <c r="N156" s="7" t="s">
        <v>36</v>
      </c>
    </row>
    <row r="157" spans="1:14" x14ac:dyDescent="0.35">
      <c r="A157" s="7" t="s">
        <v>597</v>
      </c>
      <c r="B157" s="7" t="s">
        <v>598</v>
      </c>
      <c r="C157" s="7" t="s">
        <v>599</v>
      </c>
      <c r="D157" s="7" t="s">
        <v>40</v>
      </c>
      <c r="E157" s="7" t="s">
        <v>79</v>
      </c>
      <c r="F157" s="7" t="s">
        <v>25</v>
      </c>
      <c r="G157" s="7" t="s">
        <v>26</v>
      </c>
      <c r="H157" s="7">
        <v>3</v>
      </c>
      <c r="I157" s="2">
        <v>908.93</v>
      </c>
      <c r="J157" s="2">
        <f>Tabla2[[#This Row],[Quantity]]*I157</f>
        <v>2726.79</v>
      </c>
      <c r="K157" s="6">
        <f>MONTH(Tabla2[[#This Row],[OrderDate]])</f>
        <v>8</v>
      </c>
      <c r="L157" s="6">
        <f>YEAR(Tabla2[[#This Row],[OrderDate]])</f>
        <v>2025</v>
      </c>
      <c r="M157" s="7" t="s">
        <v>600</v>
      </c>
      <c r="N157" s="7" t="s">
        <v>28</v>
      </c>
    </row>
    <row r="158" spans="1:14" x14ac:dyDescent="0.35">
      <c r="A158" s="7" t="s">
        <v>601</v>
      </c>
      <c r="B158" s="7" t="s">
        <v>602</v>
      </c>
      <c r="C158" s="7" t="s">
        <v>603</v>
      </c>
      <c r="D158" s="7" t="s">
        <v>14</v>
      </c>
      <c r="E158" s="7" t="s">
        <v>266</v>
      </c>
      <c r="F158" s="7" t="s">
        <v>25</v>
      </c>
      <c r="G158" s="7" t="s">
        <v>26</v>
      </c>
      <c r="H158" s="7">
        <v>2</v>
      </c>
      <c r="I158" s="2">
        <v>646.99</v>
      </c>
      <c r="J158" s="2">
        <f>Tabla2[[#This Row],[Quantity]]*I158</f>
        <v>1293.98</v>
      </c>
      <c r="K158" s="6">
        <f>MONTH(Tabla2[[#This Row],[OrderDate]])</f>
        <v>1</v>
      </c>
      <c r="L158" s="6">
        <f>YEAR(Tabla2[[#This Row],[OrderDate]])</f>
        <v>2024</v>
      </c>
      <c r="M158" s="7" t="s">
        <v>386</v>
      </c>
      <c r="N158" s="7" t="s">
        <v>91</v>
      </c>
    </row>
    <row r="159" spans="1:14" x14ac:dyDescent="0.35">
      <c r="A159" s="7" t="s">
        <v>604</v>
      </c>
      <c r="B159" s="7" t="s">
        <v>605</v>
      </c>
      <c r="C159" s="7" t="s">
        <v>606</v>
      </c>
      <c r="D159" s="7" t="s">
        <v>14</v>
      </c>
      <c r="E159" s="7" t="s">
        <v>15</v>
      </c>
      <c r="F159" s="7" t="s">
        <v>42</v>
      </c>
      <c r="G159" s="7" t="s">
        <v>225</v>
      </c>
      <c r="H159" s="7">
        <v>2</v>
      </c>
      <c r="I159" s="2">
        <v>418.16</v>
      </c>
      <c r="J159" s="2">
        <f>Tabla2[[#This Row],[Quantity]]*I159</f>
        <v>836.32</v>
      </c>
      <c r="K159" s="6">
        <f>MONTH(Tabla2[[#This Row],[OrderDate]])</f>
        <v>2</v>
      </c>
      <c r="L159" s="6">
        <f>YEAR(Tabla2[[#This Row],[OrderDate]])</f>
        <v>2025</v>
      </c>
      <c r="M159" s="7" t="s">
        <v>564</v>
      </c>
      <c r="N159" s="7" t="s">
        <v>45</v>
      </c>
    </row>
    <row r="160" spans="1:14" x14ac:dyDescent="0.35">
      <c r="A160" s="7" t="s">
        <v>607</v>
      </c>
      <c r="B160" s="7" t="s">
        <v>363</v>
      </c>
      <c r="C160" s="7" t="s">
        <v>364</v>
      </c>
      <c r="D160" s="7" t="s">
        <v>67</v>
      </c>
      <c r="E160" s="7" t="s">
        <v>130</v>
      </c>
      <c r="F160" s="7" t="s">
        <v>101</v>
      </c>
      <c r="G160" s="7" t="s">
        <v>237</v>
      </c>
      <c r="H160" s="7">
        <v>2</v>
      </c>
      <c r="I160" s="2">
        <v>996.92</v>
      </c>
      <c r="J160" s="2">
        <f>Tabla2[[#This Row],[Quantity]]*I160</f>
        <v>1993.84</v>
      </c>
      <c r="K160" s="6">
        <f>MONTH(Tabla2[[#This Row],[OrderDate]])</f>
        <v>3</v>
      </c>
      <c r="L160" s="6">
        <f>YEAR(Tabla2[[#This Row],[OrderDate]])</f>
        <v>2026</v>
      </c>
      <c r="M160" s="7" t="s">
        <v>494</v>
      </c>
      <c r="N160" s="7" t="s">
        <v>36</v>
      </c>
    </row>
    <row r="161" spans="1:14" x14ac:dyDescent="0.35">
      <c r="A161" s="7" t="s">
        <v>608</v>
      </c>
      <c r="B161" s="7" t="s">
        <v>586</v>
      </c>
      <c r="C161" s="7" t="s">
        <v>587</v>
      </c>
      <c r="D161" s="7" t="s">
        <v>14</v>
      </c>
      <c r="E161" s="7" t="s">
        <v>95</v>
      </c>
      <c r="F161" s="7" t="s">
        <v>50</v>
      </c>
      <c r="G161" s="7" t="s">
        <v>69</v>
      </c>
      <c r="H161" s="7">
        <v>3</v>
      </c>
      <c r="I161" s="2">
        <v>30.38</v>
      </c>
      <c r="J161" s="2">
        <f>Tabla2[[#This Row],[Quantity]]*I161</f>
        <v>91.14</v>
      </c>
      <c r="K161" s="6">
        <f>MONTH(Tabla2[[#This Row],[OrderDate]])</f>
        <v>7</v>
      </c>
      <c r="L161" s="6">
        <f>YEAR(Tabla2[[#This Row],[OrderDate]])</f>
        <v>2024</v>
      </c>
      <c r="M161" s="7" t="s">
        <v>414</v>
      </c>
      <c r="N161" s="7" t="s">
        <v>91</v>
      </c>
    </row>
    <row r="162" spans="1:14" x14ac:dyDescent="0.35">
      <c r="A162" s="7" t="s">
        <v>609</v>
      </c>
      <c r="B162" s="7" t="s">
        <v>109</v>
      </c>
      <c r="C162" s="7" t="s">
        <v>110</v>
      </c>
      <c r="D162" s="7" t="s">
        <v>32</v>
      </c>
      <c r="E162" s="7" t="s">
        <v>33</v>
      </c>
      <c r="F162" s="7" t="s">
        <v>16</v>
      </c>
      <c r="G162" s="7" t="s">
        <v>177</v>
      </c>
      <c r="H162" s="7">
        <v>3</v>
      </c>
      <c r="I162" s="2">
        <v>176.51</v>
      </c>
      <c r="J162" s="2">
        <f>Tabla2[[#This Row],[Quantity]]*I162</f>
        <v>529.53</v>
      </c>
      <c r="K162" s="6">
        <f>MONTH(Tabla2[[#This Row],[OrderDate]])</f>
        <v>6</v>
      </c>
      <c r="L162" s="6">
        <f>YEAR(Tabla2[[#This Row],[OrderDate]])</f>
        <v>2025</v>
      </c>
      <c r="M162" s="7" t="s">
        <v>374</v>
      </c>
      <c r="N162" s="7" t="s">
        <v>91</v>
      </c>
    </row>
    <row r="163" spans="1:14" x14ac:dyDescent="0.35">
      <c r="A163" s="7" t="s">
        <v>610</v>
      </c>
      <c r="B163" s="7" t="s">
        <v>611</v>
      </c>
      <c r="C163" s="7" t="s">
        <v>612</v>
      </c>
      <c r="D163" s="7" t="s">
        <v>40</v>
      </c>
      <c r="E163" s="7" t="s">
        <v>41</v>
      </c>
      <c r="F163" s="7" t="s">
        <v>50</v>
      </c>
      <c r="G163" s="7" t="s">
        <v>69</v>
      </c>
      <c r="H163" s="7">
        <v>2</v>
      </c>
      <c r="I163" s="2">
        <v>692.11</v>
      </c>
      <c r="J163" s="2">
        <f>Tabla2[[#This Row],[Quantity]]*I163</f>
        <v>1384.22</v>
      </c>
      <c r="K163" s="6">
        <f>MONTH(Tabla2[[#This Row],[OrderDate]])</f>
        <v>7</v>
      </c>
      <c r="L163" s="6">
        <f>YEAR(Tabla2[[#This Row],[OrderDate]])</f>
        <v>2025</v>
      </c>
      <c r="M163" s="7" t="s">
        <v>44</v>
      </c>
      <c r="N163" s="7" t="s">
        <v>36</v>
      </c>
    </row>
    <row r="164" spans="1:14" x14ac:dyDescent="0.35">
      <c r="A164" s="7" t="s">
        <v>613</v>
      </c>
      <c r="B164" s="7" t="s">
        <v>464</v>
      </c>
      <c r="C164" s="7" t="s">
        <v>465</v>
      </c>
      <c r="D164" s="7" t="s">
        <v>67</v>
      </c>
      <c r="E164" s="7" t="s">
        <v>68</v>
      </c>
      <c r="F164" s="7" t="s">
        <v>25</v>
      </c>
      <c r="G164" s="7" t="s">
        <v>34</v>
      </c>
      <c r="H164" s="7">
        <v>5</v>
      </c>
      <c r="I164" s="2">
        <v>1433.64</v>
      </c>
      <c r="J164" s="2">
        <f>Tabla2[[#This Row],[Quantity]]*I164</f>
        <v>7168.2000000000007</v>
      </c>
      <c r="K164" s="6">
        <f>MONTH(Tabla2[[#This Row],[OrderDate]])</f>
        <v>1</v>
      </c>
      <c r="L164" s="6">
        <f>YEAR(Tabla2[[#This Row],[OrderDate]])</f>
        <v>2026</v>
      </c>
      <c r="M164" s="7" t="s">
        <v>614</v>
      </c>
      <c r="N164" s="7" t="s">
        <v>91</v>
      </c>
    </row>
    <row r="165" spans="1:14" x14ac:dyDescent="0.35">
      <c r="A165" s="7" t="s">
        <v>615</v>
      </c>
      <c r="B165" s="7" t="s">
        <v>244</v>
      </c>
      <c r="C165" s="7" t="s">
        <v>245</v>
      </c>
      <c r="D165" s="7" t="s">
        <v>32</v>
      </c>
      <c r="E165" s="7" t="s">
        <v>61</v>
      </c>
      <c r="F165" s="7" t="s">
        <v>101</v>
      </c>
      <c r="G165" s="7" t="s">
        <v>237</v>
      </c>
      <c r="H165" s="7">
        <v>1</v>
      </c>
      <c r="I165" s="2">
        <v>57.71</v>
      </c>
      <c r="J165" s="2">
        <f>Tabla2[[#This Row],[Quantity]]*I165</f>
        <v>57.71</v>
      </c>
      <c r="K165" s="6">
        <f>MONTH(Tabla2[[#This Row],[OrderDate]])</f>
        <v>5</v>
      </c>
      <c r="L165" s="6">
        <f>YEAR(Tabla2[[#This Row],[OrderDate]])</f>
        <v>2024</v>
      </c>
      <c r="M165" s="7" t="s">
        <v>616</v>
      </c>
      <c r="N165" s="7" t="s">
        <v>36</v>
      </c>
    </row>
    <row r="166" spans="1:14" x14ac:dyDescent="0.35">
      <c r="A166" s="7" t="s">
        <v>617</v>
      </c>
      <c r="B166" s="7" t="s">
        <v>618</v>
      </c>
      <c r="C166" s="7" t="s">
        <v>619</v>
      </c>
      <c r="D166" s="7" t="s">
        <v>40</v>
      </c>
      <c r="E166" s="7" t="s">
        <v>120</v>
      </c>
      <c r="F166" s="7" t="s">
        <v>101</v>
      </c>
      <c r="G166" s="7" t="s">
        <v>373</v>
      </c>
      <c r="H166" s="7">
        <v>1</v>
      </c>
      <c r="I166" s="2">
        <v>1392.35</v>
      </c>
      <c r="J166" s="2">
        <f>Tabla2[[#This Row],[Quantity]]*I166</f>
        <v>1392.35</v>
      </c>
      <c r="K166" s="6">
        <f>MONTH(Tabla2[[#This Row],[OrderDate]])</f>
        <v>1</v>
      </c>
      <c r="L166" s="6">
        <f>YEAR(Tabla2[[#This Row],[OrderDate]])</f>
        <v>2026</v>
      </c>
      <c r="M166" s="7" t="s">
        <v>620</v>
      </c>
      <c r="N166" s="7" t="s">
        <v>36</v>
      </c>
    </row>
    <row r="167" spans="1:14" x14ac:dyDescent="0.35">
      <c r="A167" s="7" t="s">
        <v>621</v>
      </c>
      <c r="B167" s="7" t="s">
        <v>622</v>
      </c>
      <c r="C167" s="7" t="s">
        <v>623</v>
      </c>
      <c r="D167" s="7" t="s">
        <v>23</v>
      </c>
      <c r="E167" s="7" t="s">
        <v>338</v>
      </c>
      <c r="F167" s="7" t="s">
        <v>16</v>
      </c>
      <c r="G167" s="7" t="s">
        <v>177</v>
      </c>
      <c r="H167" s="7">
        <v>2</v>
      </c>
      <c r="I167" s="2">
        <v>539.54999999999995</v>
      </c>
      <c r="J167" s="2">
        <f>Tabla2[[#This Row],[Quantity]]*I167</f>
        <v>1079.0999999999999</v>
      </c>
      <c r="K167" s="6">
        <f>MONTH(Tabla2[[#This Row],[OrderDate]])</f>
        <v>8</v>
      </c>
      <c r="L167" s="6">
        <f>YEAR(Tabla2[[#This Row],[OrderDate]])</f>
        <v>2024</v>
      </c>
      <c r="M167" s="7" t="s">
        <v>624</v>
      </c>
      <c r="N167" s="7" t="s">
        <v>28</v>
      </c>
    </row>
    <row r="168" spans="1:14" x14ac:dyDescent="0.35">
      <c r="A168" s="7" t="s">
        <v>625</v>
      </c>
      <c r="B168" s="7" t="s">
        <v>626</v>
      </c>
      <c r="C168" s="7" t="s">
        <v>627</v>
      </c>
      <c r="D168" s="7" t="s">
        <v>32</v>
      </c>
      <c r="E168" s="7" t="s">
        <v>61</v>
      </c>
      <c r="F168" s="7" t="s">
        <v>50</v>
      </c>
      <c r="G168" s="7" t="s">
        <v>216</v>
      </c>
      <c r="H168" s="7">
        <v>2</v>
      </c>
      <c r="I168" s="2">
        <v>1162.92</v>
      </c>
      <c r="J168" s="2">
        <f>Tabla2[[#This Row],[Quantity]]*I168</f>
        <v>2325.84</v>
      </c>
      <c r="K168" s="6">
        <f>MONTH(Tabla2[[#This Row],[OrderDate]])</f>
        <v>4</v>
      </c>
      <c r="L168" s="6">
        <f>YEAR(Tabla2[[#This Row],[OrderDate]])</f>
        <v>2024</v>
      </c>
      <c r="M168" s="7" t="s">
        <v>365</v>
      </c>
      <c r="N168" s="7" t="s">
        <v>28</v>
      </c>
    </row>
    <row r="169" spans="1:14" x14ac:dyDescent="0.35">
      <c r="A169" s="7" t="s">
        <v>628</v>
      </c>
      <c r="B169" s="7" t="s">
        <v>629</v>
      </c>
      <c r="C169" s="7" t="s">
        <v>630</v>
      </c>
      <c r="D169" s="7" t="s">
        <v>67</v>
      </c>
      <c r="E169" s="7" t="s">
        <v>130</v>
      </c>
      <c r="F169" s="7" t="s">
        <v>50</v>
      </c>
      <c r="G169" s="7" t="s">
        <v>56</v>
      </c>
      <c r="H169" s="7">
        <v>4</v>
      </c>
      <c r="I169" s="2">
        <v>936.65</v>
      </c>
      <c r="J169" s="2">
        <f>Tabla2[[#This Row],[Quantity]]*I169</f>
        <v>3746.6</v>
      </c>
      <c r="K169" s="6">
        <f>MONTH(Tabla2[[#This Row],[OrderDate]])</f>
        <v>8</v>
      </c>
      <c r="L169" s="6">
        <f>YEAR(Tabla2[[#This Row],[OrderDate]])</f>
        <v>2025</v>
      </c>
      <c r="M169" s="7" t="s">
        <v>631</v>
      </c>
      <c r="N169" s="7" t="s">
        <v>28</v>
      </c>
    </row>
    <row r="170" spans="1:14" x14ac:dyDescent="0.35">
      <c r="A170" s="7" t="s">
        <v>632</v>
      </c>
      <c r="B170" s="7" t="s">
        <v>633</v>
      </c>
      <c r="C170" s="7" t="s">
        <v>634</v>
      </c>
      <c r="D170" s="7" t="s">
        <v>32</v>
      </c>
      <c r="E170" s="7" t="s">
        <v>33</v>
      </c>
      <c r="F170" s="7" t="s">
        <v>42</v>
      </c>
      <c r="G170" s="7" t="s">
        <v>170</v>
      </c>
      <c r="H170" s="7">
        <v>5</v>
      </c>
      <c r="I170" s="2">
        <v>1283.32</v>
      </c>
      <c r="J170" s="2">
        <f>Tabla2[[#This Row],[Quantity]]*I170</f>
        <v>6416.5999999999995</v>
      </c>
      <c r="K170" s="6">
        <f>MONTH(Tabla2[[#This Row],[OrderDate]])</f>
        <v>9</v>
      </c>
      <c r="L170" s="6">
        <f>YEAR(Tabla2[[#This Row],[OrderDate]])</f>
        <v>2024</v>
      </c>
      <c r="M170" s="7" t="s">
        <v>635</v>
      </c>
      <c r="N170" s="7" t="s">
        <v>45</v>
      </c>
    </row>
    <row r="171" spans="1:14" x14ac:dyDescent="0.35">
      <c r="A171" s="7" t="s">
        <v>636</v>
      </c>
      <c r="B171" s="7" t="s">
        <v>311</v>
      </c>
      <c r="C171" s="7" t="s">
        <v>312</v>
      </c>
      <c r="D171" s="7" t="s">
        <v>67</v>
      </c>
      <c r="E171" s="7" t="s">
        <v>130</v>
      </c>
      <c r="F171" s="7" t="s">
        <v>42</v>
      </c>
      <c r="G171" s="7" t="s">
        <v>80</v>
      </c>
      <c r="H171" s="7">
        <v>3</v>
      </c>
      <c r="I171" s="2">
        <v>774.27</v>
      </c>
      <c r="J171" s="2">
        <f>Tabla2[[#This Row],[Quantity]]*I171</f>
        <v>2322.81</v>
      </c>
      <c r="K171" s="6">
        <f>MONTH(Tabla2[[#This Row],[OrderDate]])</f>
        <v>3</v>
      </c>
      <c r="L171" s="6">
        <f>YEAR(Tabla2[[#This Row],[OrderDate]])</f>
        <v>2026</v>
      </c>
      <c r="M171" s="7" t="s">
        <v>637</v>
      </c>
      <c r="N171" s="7" t="s">
        <v>91</v>
      </c>
    </row>
    <row r="172" spans="1:14" x14ac:dyDescent="0.35">
      <c r="A172" s="7" t="s">
        <v>638</v>
      </c>
      <c r="B172" s="7" t="s">
        <v>639</v>
      </c>
      <c r="C172" s="7" t="s">
        <v>640</v>
      </c>
      <c r="D172" s="7" t="s">
        <v>23</v>
      </c>
      <c r="E172" s="7" t="s">
        <v>49</v>
      </c>
      <c r="F172" s="7" t="s">
        <v>16</v>
      </c>
      <c r="G172" s="7" t="s">
        <v>182</v>
      </c>
      <c r="H172" s="7">
        <v>4</v>
      </c>
      <c r="I172" s="2">
        <v>608.6</v>
      </c>
      <c r="J172" s="2">
        <f>Tabla2[[#This Row],[Quantity]]*I172</f>
        <v>2434.4</v>
      </c>
      <c r="K172" s="6">
        <f>MONTH(Tabla2[[#This Row],[OrderDate]])</f>
        <v>8</v>
      </c>
      <c r="L172" s="6">
        <f>YEAR(Tabla2[[#This Row],[OrderDate]])</f>
        <v>2025</v>
      </c>
      <c r="M172" s="7" t="s">
        <v>641</v>
      </c>
      <c r="N172" s="7" t="s">
        <v>91</v>
      </c>
    </row>
    <row r="173" spans="1:14" x14ac:dyDescent="0.35">
      <c r="A173" s="7" t="s">
        <v>642</v>
      </c>
      <c r="B173" s="7" t="s">
        <v>363</v>
      </c>
      <c r="C173" s="7" t="s">
        <v>364</v>
      </c>
      <c r="D173" s="7" t="s">
        <v>40</v>
      </c>
      <c r="E173" s="7" t="s">
        <v>41</v>
      </c>
      <c r="F173" s="7" t="s">
        <v>101</v>
      </c>
      <c r="G173" s="7" t="s">
        <v>165</v>
      </c>
      <c r="H173" s="7">
        <v>2</v>
      </c>
      <c r="I173" s="2">
        <v>831.39</v>
      </c>
      <c r="J173" s="2">
        <f>Tabla2[[#This Row],[Quantity]]*I173</f>
        <v>1662.78</v>
      </c>
      <c r="K173" s="6">
        <f>MONTH(Tabla2[[#This Row],[OrderDate]])</f>
        <v>4</v>
      </c>
      <c r="L173" s="6">
        <f>YEAR(Tabla2[[#This Row],[OrderDate]])</f>
        <v>2024</v>
      </c>
      <c r="M173" s="7" t="s">
        <v>643</v>
      </c>
      <c r="N173" s="7" t="s">
        <v>91</v>
      </c>
    </row>
    <row r="174" spans="1:14" x14ac:dyDescent="0.35">
      <c r="A174" s="7" t="s">
        <v>644</v>
      </c>
      <c r="B174" s="7" t="s">
        <v>151</v>
      </c>
      <c r="C174" s="7" t="s">
        <v>152</v>
      </c>
      <c r="D174" s="7" t="s">
        <v>40</v>
      </c>
      <c r="E174" s="7" t="s">
        <v>79</v>
      </c>
      <c r="F174" s="7" t="s">
        <v>42</v>
      </c>
      <c r="G174" s="7" t="s">
        <v>170</v>
      </c>
      <c r="H174" s="7">
        <v>4</v>
      </c>
      <c r="I174" s="2">
        <v>867.13</v>
      </c>
      <c r="J174" s="2">
        <f>Tabla2[[#This Row],[Quantity]]*I174</f>
        <v>3468.52</v>
      </c>
      <c r="K174" s="6">
        <f>MONTH(Tabla2[[#This Row],[OrderDate]])</f>
        <v>10</v>
      </c>
      <c r="L174" s="6">
        <f>YEAR(Tabla2[[#This Row],[OrderDate]])</f>
        <v>2024</v>
      </c>
      <c r="M174" s="7" t="s">
        <v>645</v>
      </c>
      <c r="N174" s="7" t="s">
        <v>28</v>
      </c>
    </row>
    <row r="175" spans="1:14" x14ac:dyDescent="0.35">
      <c r="A175" s="7" t="s">
        <v>646</v>
      </c>
      <c r="B175" s="7" t="s">
        <v>626</v>
      </c>
      <c r="C175" s="7" t="s">
        <v>627</v>
      </c>
      <c r="D175" s="7" t="s">
        <v>14</v>
      </c>
      <c r="E175" s="7" t="s">
        <v>100</v>
      </c>
      <c r="F175" s="7" t="s">
        <v>16</v>
      </c>
      <c r="G175" s="7" t="s">
        <v>177</v>
      </c>
      <c r="H175" s="7">
        <v>2</v>
      </c>
      <c r="I175" s="2">
        <v>192.39</v>
      </c>
      <c r="J175" s="2">
        <f>Tabla2[[#This Row],[Quantity]]*I175</f>
        <v>384.78</v>
      </c>
      <c r="K175" s="6">
        <f>MONTH(Tabla2[[#This Row],[OrderDate]])</f>
        <v>2</v>
      </c>
      <c r="L175" s="6">
        <f>YEAR(Tabla2[[#This Row],[OrderDate]])</f>
        <v>2026</v>
      </c>
      <c r="M175" s="7" t="s">
        <v>647</v>
      </c>
      <c r="N175" s="7" t="s">
        <v>91</v>
      </c>
    </row>
    <row r="176" spans="1:14" x14ac:dyDescent="0.35">
      <c r="A176" s="7" t="s">
        <v>648</v>
      </c>
      <c r="B176" s="7" t="s">
        <v>214</v>
      </c>
      <c r="C176" s="7" t="s">
        <v>215</v>
      </c>
      <c r="D176" s="7" t="s">
        <v>32</v>
      </c>
      <c r="E176" s="7" t="s">
        <v>203</v>
      </c>
      <c r="F176" s="7" t="s">
        <v>101</v>
      </c>
      <c r="G176" s="7" t="s">
        <v>649</v>
      </c>
      <c r="H176" s="7">
        <v>5</v>
      </c>
      <c r="I176" s="2">
        <v>343.32</v>
      </c>
      <c r="J176" s="2">
        <f>Tabla2[[#This Row],[Quantity]]*I176</f>
        <v>1716.6</v>
      </c>
      <c r="K176" s="6">
        <f>MONTH(Tabla2[[#This Row],[OrderDate]])</f>
        <v>2</v>
      </c>
      <c r="L176" s="6">
        <f>YEAR(Tabla2[[#This Row],[OrderDate]])</f>
        <v>2026</v>
      </c>
      <c r="M176" s="7" t="s">
        <v>650</v>
      </c>
      <c r="N176" s="7" t="s">
        <v>19</v>
      </c>
    </row>
    <row r="177" spans="1:14" x14ac:dyDescent="0.35">
      <c r="A177" s="7" t="s">
        <v>651</v>
      </c>
      <c r="B177" s="7" t="s">
        <v>652</v>
      </c>
      <c r="C177" s="7" t="s">
        <v>653</v>
      </c>
      <c r="D177" s="7" t="s">
        <v>14</v>
      </c>
      <c r="E177" s="7" t="s">
        <v>95</v>
      </c>
      <c r="F177" s="7" t="s">
        <v>16</v>
      </c>
      <c r="G177" s="7" t="s">
        <v>182</v>
      </c>
      <c r="H177" s="7">
        <v>2</v>
      </c>
      <c r="I177" s="2">
        <v>1217.1600000000001</v>
      </c>
      <c r="J177" s="2">
        <f>Tabla2[[#This Row],[Quantity]]*I177</f>
        <v>2434.3200000000002</v>
      </c>
      <c r="K177" s="6">
        <f>MONTH(Tabla2[[#This Row],[OrderDate]])</f>
        <v>1</v>
      </c>
      <c r="L177" s="6">
        <f>YEAR(Tabla2[[#This Row],[OrderDate]])</f>
        <v>2025</v>
      </c>
      <c r="M177" s="7" t="s">
        <v>654</v>
      </c>
      <c r="N177" s="7" t="s">
        <v>45</v>
      </c>
    </row>
    <row r="178" spans="1:14" x14ac:dyDescent="0.35">
      <c r="A178" s="7" t="s">
        <v>655</v>
      </c>
      <c r="B178" s="7" t="s">
        <v>392</v>
      </c>
      <c r="C178" s="7" t="s">
        <v>393</v>
      </c>
      <c r="D178" s="7" t="s">
        <v>14</v>
      </c>
      <c r="E178" s="7" t="s">
        <v>15</v>
      </c>
      <c r="F178" s="7" t="s">
        <v>25</v>
      </c>
      <c r="G178" s="7" t="s">
        <v>139</v>
      </c>
      <c r="H178" s="7">
        <v>4</v>
      </c>
      <c r="I178" s="2">
        <v>898.87</v>
      </c>
      <c r="J178" s="2">
        <f>Tabla2[[#This Row],[Quantity]]*I178</f>
        <v>3595.48</v>
      </c>
      <c r="K178" s="6">
        <f>MONTH(Tabla2[[#This Row],[OrderDate]])</f>
        <v>2</v>
      </c>
      <c r="L178" s="6">
        <f>YEAR(Tabla2[[#This Row],[OrderDate]])</f>
        <v>2026</v>
      </c>
      <c r="M178" s="7" t="s">
        <v>656</v>
      </c>
      <c r="N178" s="7" t="s">
        <v>91</v>
      </c>
    </row>
    <row r="179" spans="1:14" x14ac:dyDescent="0.35">
      <c r="A179" s="7" t="s">
        <v>657</v>
      </c>
      <c r="B179" s="7" t="s">
        <v>658</v>
      </c>
      <c r="C179" s="7" t="s">
        <v>659</v>
      </c>
      <c r="D179" s="7" t="s">
        <v>67</v>
      </c>
      <c r="E179" s="7" t="s">
        <v>68</v>
      </c>
      <c r="F179" s="7" t="s">
        <v>25</v>
      </c>
      <c r="G179" s="7" t="s">
        <v>26</v>
      </c>
      <c r="H179" s="7">
        <v>4</v>
      </c>
      <c r="I179" s="2">
        <v>1404.04</v>
      </c>
      <c r="J179" s="2">
        <f>Tabla2[[#This Row],[Quantity]]*I179</f>
        <v>5616.16</v>
      </c>
      <c r="K179" s="6">
        <f>MONTH(Tabla2[[#This Row],[OrderDate]])</f>
        <v>3</v>
      </c>
      <c r="L179" s="6">
        <f>YEAR(Tabla2[[#This Row],[OrderDate]])</f>
        <v>2025</v>
      </c>
      <c r="M179" s="7" t="s">
        <v>660</v>
      </c>
      <c r="N179" s="7" t="s">
        <v>28</v>
      </c>
    </row>
    <row r="180" spans="1:14" x14ac:dyDescent="0.35">
      <c r="A180" s="7" t="s">
        <v>661</v>
      </c>
      <c r="B180" s="7" t="s">
        <v>481</v>
      </c>
      <c r="C180" s="7" t="s">
        <v>482</v>
      </c>
      <c r="D180" s="7" t="s">
        <v>23</v>
      </c>
      <c r="E180" s="7" t="s">
        <v>24</v>
      </c>
      <c r="F180" s="7" t="s">
        <v>16</v>
      </c>
      <c r="G180" s="7" t="s">
        <v>230</v>
      </c>
      <c r="H180" s="7">
        <v>4</v>
      </c>
      <c r="I180" s="2">
        <v>1239.01</v>
      </c>
      <c r="J180" s="2">
        <f>Tabla2[[#This Row],[Quantity]]*I180</f>
        <v>4956.04</v>
      </c>
      <c r="K180" s="6">
        <f>MONTH(Tabla2[[#This Row],[OrderDate]])</f>
        <v>5</v>
      </c>
      <c r="L180" s="6">
        <f>YEAR(Tabla2[[#This Row],[OrderDate]])</f>
        <v>2025</v>
      </c>
      <c r="M180" s="7" t="s">
        <v>662</v>
      </c>
      <c r="N180" s="7" t="s">
        <v>19</v>
      </c>
    </row>
    <row r="181" spans="1:14" x14ac:dyDescent="0.35">
      <c r="A181" s="7" t="s">
        <v>663</v>
      </c>
      <c r="B181" s="7" t="s">
        <v>113</v>
      </c>
      <c r="C181" s="7" t="s">
        <v>114</v>
      </c>
      <c r="D181" s="7" t="s">
        <v>32</v>
      </c>
      <c r="E181" s="7" t="s">
        <v>33</v>
      </c>
      <c r="F181" s="7" t="s">
        <v>50</v>
      </c>
      <c r="G181" s="7" t="s">
        <v>51</v>
      </c>
      <c r="H181" s="7">
        <v>4</v>
      </c>
      <c r="I181" s="2">
        <v>1136.96</v>
      </c>
      <c r="J181" s="2">
        <f>Tabla2[[#This Row],[Quantity]]*I181</f>
        <v>4547.84</v>
      </c>
      <c r="K181" s="6">
        <f>MONTH(Tabla2[[#This Row],[OrderDate]])</f>
        <v>5</v>
      </c>
      <c r="L181" s="6">
        <f>YEAR(Tabla2[[#This Row],[OrderDate]])</f>
        <v>2025</v>
      </c>
      <c r="M181" s="7" t="s">
        <v>246</v>
      </c>
      <c r="N181" s="7" t="s">
        <v>45</v>
      </c>
    </row>
    <row r="182" spans="1:14" x14ac:dyDescent="0.35">
      <c r="A182" s="7" t="s">
        <v>664</v>
      </c>
      <c r="B182" s="7" t="s">
        <v>506</v>
      </c>
      <c r="C182" s="7" t="s">
        <v>507</v>
      </c>
      <c r="D182" s="7" t="s">
        <v>32</v>
      </c>
      <c r="E182" s="7" t="s">
        <v>61</v>
      </c>
      <c r="F182" s="7" t="s">
        <v>25</v>
      </c>
      <c r="G182" s="7" t="s">
        <v>139</v>
      </c>
      <c r="H182" s="7">
        <v>5</v>
      </c>
      <c r="I182" s="2">
        <v>574.95000000000005</v>
      </c>
      <c r="J182" s="2">
        <f>Tabla2[[#This Row],[Quantity]]*I182</f>
        <v>2874.75</v>
      </c>
      <c r="K182" s="6">
        <f>MONTH(Tabla2[[#This Row],[OrderDate]])</f>
        <v>9</v>
      </c>
      <c r="L182" s="6">
        <f>YEAR(Tabla2[[#This Row],[OrderDate]])</f>
        <v>2025</v>
      </c>
      <c r="M182" s="7" t="s">
        <v>665</v>
      </c>
      <c r="N182" s="7" t="s">
        <v>28</v>
      </c>
    </row>
    <row r="183" spans="1:14" x14ac:dyDescent="0.35">
      <c r="A183" s="7" t="s">
        <v>666</v>
      </c>
      <c r="B183" s="7" t="s">
        <v>396</v>
      </c>
      <c r="C183" s="7" t="s">
        <v>397</v>
      </c>
      <c r="D183" s="7" t="s">
        <v>40</v>
      </c>
      <c r="E183" s="7" t="s">
        <v>41</v>
      </c>
      <c r="F183" s="7" t="s">
        <v>50</v>
      </c>
      <c r="G183" s="7" t="s">
        <v>51</v>
      </c>
      <c r="H183" s="7">
        <v>4</v>
      </c>
      <c r="I183" s="2">
        <v>1179.8399999999999</v>
      </c>
      <c r="J183" s="2">
        <f>Tabla2[[#This Row],[Quantity]]*I183</f>
        <v>4719.3599999999997</v>
      </c>
      <c r="K183" s="6">
        <f>MONTH(Tabla2[[#This Row],[OrderDate]])</f>
        <v>10</v>
      </c>
      <c r="L183" s="6">
        <f>YEAR(Tabla2[[#This Row],[OrderDate]])</f>
        <v>2024</v>
      </c>
      <c r="M183" s="7" t="s">
        <v>667</v>
      </c>
      <c r="N183" s="7" t="s">
        <v>91</v>
      </c>
    </row>
    <row r="184" spans="1:14" x14ac:dyDescent="0.35">
      <c r="A184" s="7" t="s">
        <v>668</v>
      </c>
      <c r="B184" s="7" t="s">
        <v>598</v>
      </c>
      <c r="C184" s="7" t="s">
        <v>599</v>
      </c>
      <c r="D184" s="7" t="s">
        <v>32</v>
      </c>
      <c r="E184" s="7" t="s">
        <v>203</v>
      </c>
      <c r="F184" s="7" t="s">
        <v>101</v>
      </c>
      <c r="G184" s="7" t="s">
        <v>373</v>
      </c>
      <c r="H184" s="7">
        <v>2</v>
      </c>
      <c r="I184" s="2">
        <v>860.34</v>
      </c>
      <c r="J184" s="2">
        <f>Tabla2[[#This Row],[Quantity]]*I184</f>
        <v>1720.68</v>
      </c>
      <c r="K184" s="6">
        <f>MONTH(Tabla2[[#This Row],[OrderDate]])</f>
        <v>5</v>
      </c>
      <c r="L184" s="6">
        <f>YEAR(Tabla2[[#This Row],[OrderDate]])</f>
        <v>2025</v>
      </c>
      <c r="M184" s="7" t="s">
        <v>669</v>
      </c>
      <c r="N184" s="7" t="s">
        <v>45</v>
      </c>
    </row>
    <row r="185" spans="1:14" x14ac:dyDescent="0.35">
      <c r="A185" s="7" t="s">
        <v>670</v>
      </c>
      <c r="B185" s="7" t="s">
        <v>345</v>
      </c>
      <c r="C185" s="7" t="s">
        <v>346</v>
      </c>
      <c r="D185" s="7" t="s">
        <v>67</v>
      </c>
      <c r="E185" s="7" t="s">
        <v>130</v>
      </c>
      <c r="F185" s="7" t="s">
        <v>16</v>
      </c>
      <c r="G185" s="7" t="s">
        <v>182</v>
      </c>
      <c r="H185" s="7">
        <v>4</v>
      </c>
      <c r="I185" s="2">
        <v>190.42</v>
      </c>
      <c r="J185" s="2">
        <f>Tabla2[[#This Row],[Quantity]]*I185</f>
        <v>761.68</v>
      </c>
      <c r="K185" s="6">
        <f>MONTH(Tabla2[[#This Row],[OrderDate]])</f>
        <v>2</v>
      </c>
      <c r="L185" s="6">
        <f>YEAR(Tabla2[[#This Row],[OrderDate]])</f>
        <v>2026</v>
      </c>
      <c r="M185" s="7" t="s">
        <v>671</v>
      </c>
      <c r="N185" s="7" t="s">
        <v>45</v>
      </c>
    </row>
    <row r="186" spans="1:14" x14ac:dyDescent="0.35">
      <c r="A186" s="7" t="s">
        <v>672</v>
      </c>
      <c r="B186" s="7" t="s">
        <v>435</v>
      </c>
      <c r="C186" s="7" t="s">
        <v>436</v>
      </c>
      <c r="D186" s="7" t="s">
        <v>40</v>
      </c>
      <c r="E186" s="7" t="s">
        <v>120</v>
      </c>
      <c r="F186" s="7" t="s">
        <v>50</v>
      </c>
      <c r="G186" s="7" t="s">
        <v>69</v>
      </c>
      <c r="H186" s="7">
        <v>4</v>
      </c>
      <c r="I186" s="2">
        <v>909.52</v>
      </c>
      <c r="J186" s="2">
        <f>Tabla2[[#This Row],[Quantity]]*I186</f>
        <v>3638.08</v>
      </c>
      <c r="K186" s="6">
        <f>MONTH(Tabla2[[#This Row],[OrderDate]])</f>
        <v>5</v>
      </c>
      <c r="L186" s="6">
        <f>YEAR(Tabla2[[#This Row],[OrderDate]])</f>
        <v>2025</v>
      </c>
      <c r="M186" s="7" t="s">
        <v>673</v>
      </c>
      <c r="N186" s="7" t="s">
        <v>45</v>
      </c>
    </row>
    <row r="187" spans="1:14" x14ac:dyDescent="0.35">
      <c r="A187" s="7" t="s">
        <v>674</v>
      </c>
      <c r="B187" s="7" t="s">
        <v>105</v>
      </c>
      <c r="C187" s="7" t="s">
        <v>106</v>
      </c>
      <c r="D187" s="7" t="s">
        <v>23</v>
      </c>
      <c r="E187" s="7" t="s">
        <v>49</v>
      </c>
      <c r="F187" s="7" t="s">
        <v>50</v>
      </c>
      <c r="G187" s="7" t="s">
        <v>69</v>
      </c>
      <c r="H187" s="7">
        <v>3</v>
      </c>
      <c r="I187" s="2">
        <v>1276.6199999999999</v>
      </c>
      <c r="J187" s="2">
        <f>Tabla2[[#This Row],[Quantity]]*I187</f>
        <v>3829.8599999999997</v>
      </c>
      <c r="K187" s="6">
        <f>MONTH(Tabla2[[#This Row],[OrderDate]])</f>
        <v>3</v>
      </c>
      <c r="L187" s="6">
        <f>YEAR(Tabla2[[#This Row],[OrderDate]])</f>
        <v>2025</v>
      </c>
      <c r="M187" s="7" t="s">
        <v>675</v>
      </c>
      <c r="N187" s="7" t="s">
        <v>19</v>
      </c>
    </row>
    <row r="188" spans="1:14" x14ac:dyDescent="0.35">
      <c r="A188" s="7" t="s">
        <v>676</v>
      </c>
      <c r="B188" s="7" t="s">
        <v>677</v>
      </c>
      <c r="C188" s="7" t="s">
        <v>678</v>
      </c>
      <c r="D188" s="7" t="s">
        <v>40</v>
      </c>
      <c r="E188" s="7" t="s">
        <v>41</v>
      </c>
      <c r="F188" s="7" t="s">
        <v>42</v>
      </c>
      <c r="G188" s="7" t="s">
        <v>225</v>
      </c>
      <c r="H188" s="7">
        <v>3</v>
      </c>
      <c r="I188" s="2">
        <v>795.05</v>
      </c>
      <c r="J188" s="2">
        <f>Tabla2[[#This Row],[Quantity]]*I188</f>
        <v>2385.1499999999996</v>
      </c>
      <c r="K188" s="6">
        <f>MONTH(Tabla2[[#This Row],[OrderDate]])</f>
        <v>6</v>
      </c>
      <c r="L188" s="6">
        <f>YEAR(Tabla2[[#This Row],[OrderDate]])</f>
        <v>2025</v>
      </c>
      <c r="M188" s="7" t="s">
        <v>679</v>
      </c>
      <c r="N188" s="7" t="s">
        <v>91</v>
      </c>
    </row>
    <row r="189" spans="1:14" x14ac:dyDescent="0.35">
      <c r="A189" s="7" t="s">
        <v>680</v>
      </c>
      <c r="B189" s="7" t="s">
        <v>681</v>
      </c>
      <c r="C189" s="7" t="s">
        <v>682</v>
      </c>
      <c r="D189" s="7" t="s">
        <v>23</v>
      </c>
      <c r="E189" s="7" t="s">
        <v>338</v>
      </c>
      <c r="F189" s="7" t="s">
        <v>101</v>
      </c>
      <c r="G189" s="7" t="s">
        <v>373</v>
      </c>
      <c r="H189" s="7">
        <v>5</v>
      </c>
      <c r="I189" s="2">
        <v>442.73</v>
      </c>
      <c r="J189" s="2">
        <f>Tabla2[[#This Row],[Quantity]]*I189</f>
        <v>2213.65</v>
      </c>
      <c r="K189" s="6">
        <f>MONTH(Tabla2[[#This Row],[OrderDate]])</f>
        <v>3</v>
      </c>
      <c r="L189" s="6">
        <f>YEAR(Tabla2[[#This Row],[OrderDate]])</f>
        <v>2026</v>
      </c>
      <c r="M189" s="7" t="s">
        <v>441</v>
      </c>
      <c r="N189" s="7" t="s">
        <v>28</v>
      </c>
    </row>
    <row r="190" spans="1:14" x14ac:dyDescent="0.35">
      <c r="A190" s="7" t="s">
        <v>683</v>
      </c>
      <c r="B190" s="7" t="s">
        <v>446</v>
      </c>
      <c r="C190" s="7" t="s">
        <v>447</v>
      </c>
      <c r="D190" s="7" t="s">
        <v>67</v>
      </c>
      <c r="E190" s="7" t="s">
        <v>115</v>
      </c>
      <c r="F190" s="7" t="s">
        <v>16</v>
      </c>
      <c r="G190" s="7" t="s">
        <v>182</v>
      </c>
      <c r="H190" s="7">
        <v>5</v>
      </c>
      <c r="I190" s="2">
        <v>327.84</v>
      </c>
      <c r="J190" s="2">
        <f>Tabla2[[#This Row],[Quantity]]*I190</f>
        <v>1639.1999999999998</v>
      </c>
      <c r="K190" s="6">
        <f>MONTH(Tabla2[[#This Row],[OrderDate]])</f>
        <v>10</v>
      </c>
      <c r="L190" s="6">
        <f>YEAR(Tabla2[[#This Row],[OrderDate]])</f>
        <v>2024</v>
      </c>
      <c r="M190" s="7" t="s">
        <v>684</v>
      </c>
      <c r="N190" s="7" t="s">
        <v>45</v>
      </c>
    </row>
    <row r="191" spans="1:14" x14ac:dyDescent="0.35">
      <c r="A191" s="7" t="s">
        <v>685</v>
      </c>
      <c r="B191" s="7" t="s">
        <v>686</v>
      </c>
      <c r="C191" s="7" t="s">
        <v>687</v>
      </c>
      <c r="D191" s="7" t="s">
        <v>67</v>
      </c>
      <c r="E191" s="7" t="s">
        <v>68</v>
      </c>
      <c r="F191" s="7" t="s">
        <v>16</v>
      </c>
      <c r="G191" s="7" t="s">
        <v>148</v>
      </c>
      <c r="H191" s="7">
        <v>4</v>
      </c>
      <c r="I191" s="2">
        <v>1462.61</v>
      </c>
      <c r="J191" s="2">
        <f>Tabla2[[#This Row],[Quantity]]*I191</f>
        <v>5850.44</v>
      </c>
      <c r="K191" s="6">
        <f>MONTH(Tabla2[[#This Row],[OrderDate]])</f>
        <v>8</v>
      </c>
      <c r="L191" s="6">
        <f>YEAR(Tabla2[[#This Row],[OrderDate]])</f>
        <v>2025</v>
      </c>
      <c r="M191" s="7" t="s">
        <v>688</v>
      </c>
      <c r="N191" s="7" t="s">
        <v>19</v>
      </c>
    </row>
    <row r="192" spans="1:14" x14ac:dyDescent="0.35">
      <c r="A192" s="7" t="s">
        <v>689</v>
      </c>
      <c r="B192" s="7" t="s">
        <v>690</v>
      </c>
      <c r="C192" s="7" t="s">
        <v>691</v>
      </c>
      <c r="D192" s="7" t="s">
        <v>23</v>
      </c>
      <c r="E192" s="7" t="s">
        <v>49</v>
      </c>
      <c r="F192" s="7" t="s">
        <v>16</v>
      </c>
      <c r="G192" s="7" t="s">
        <v>230</v>
      </c>
      <c r="H192" s="7">
        <v>3</v>
      </c>
      <c r="I192" s="2">
        <v>123.81</v>
      </c>
      <c r="J192" s="2">
        <f>Tabla2[[#This Row],[Quantity]]*I192</f>
        <v>371.43</v>
      </c>
      <c r="K192" s="6">
        <f>MONTH(Tabla2[[#This Row],[OrderDate]])</f>
        <v>6</v>
      </c>
      <c r="L192" s="6">
        <f>YEAR(Tabla2[[#This Row],[OrderDate]])</f>
        <v>2025</v>
      </c>
      <c r="M192" s="7" t="s">
        <v>692</v>
      </c>
      <c r="N192" s="7" t="s">
        <v>45</v>
      </c>
    </row>
    <row r="193" spans="1:14" x14ac:dyDescent="0.35">
      <c r="A193" s="7" t="s">
        <v>693</v>
      </c>
      <c r="B193" s="7" t="s">
        <v>594</v>
      </c>
      <c r="C193" s="7" t="s">
        <v>595</v>
      </c>
      <c r="D193" s="7" t="s">
        <v>14</v>
      </c>
      <c r="E193" s="7" t="s">
        <v>266</v>
      </c>
      <c r="F193" s="7" t="s">
        <v>16</v>
      </c>
      <c r="G193" s="7" t="s">
        <v>17</v>
      </c>
      <c r="H193" s="7">
        <v>5</v>
      </c>
      <c r="I193" s="2">
        <v>149.57</v>
      </c>
      <c r="J193" s="2">
        <f>Tabla2[[#This Row],[Quantity]]*I193</f>
        <v>747.84999999999991</v>
      </c>
      <c r="K193" s="6">
        <f>MONTH(Tabla2[[#This Row],[OrderDate]])</f>
        <v>6</v>
      </c>
      <c r="L193" s="6">
        <f>YEAR(Tabla2[[#This Row],[OrderDate]])</f>
        <v>2024</v>
      </c>
      <c r="M193" s="7" t="s">
        <v>339</v>
      </c>
      <c r="N193" s="7" t="s">
        <v>28</v>
      </c>
    </row>
    <row r="194" spans="1:14" x14ac:dyDescent="0.35">
      <c r="A194" s="7" t="s">
        <v>694</v>
      </c>
      <c r="B194" s="7" t="s">
        <v>681</v>
      </c>
      <c r="C194" s="7" t="s">
        <v>682</v>
      </c>
      <c r="D194" s="7" t="s">
        <v>40</v>
      </c>
      <c r="E194" s="7" t="s">
        <v>41</v>
      </c>
      <c r="F194" s="7" t="s">
        <v>42</v>
      </c>
      <c r="G194" s="7" t="s">
        <v>80</v>
      </c>
      <c r="H194" s="7">
        <v>3</v>
      </c>
      <c r="I194" s="2">
        <v>635.16</v>
      </c>
      <c r="J194" s="2">
        <f>Tabla2[[#This Row],[Quantity]]*I194</f>
        <v>1905.48</v>
      </c>
      <c r="K194" s="6">
        <f>MONTH(Tabla2[[#This Row],[OrderDate]])</f>
        <v>2</v>
      </c>
      <c r="L194" s="6">
        <f>YEAR(Tabla2[[#This Row],[OrderDate]])</f>
        <v>2025</v>
      </c>
      <c r="M194" s="7" t="s">
        <v>695</v>
      </c>
      <c r="N194" s="7" t="s">
        <v>91</v>
      </c>
    </row>
    <row r="195" spans="1:14" x14ac:dyDescent="0.35">
      <c r="A195" s="7" t="s">
        <v>696</v>
      </c>
      <c r="B195" s="7" t="s">
        <v>681</v>
      </c>
      <c r="C195" s="7" t="s">
        <v>682</v>
      </c>
      <c r="D195" s="7" t="s">
        <v>40</v>
      </c>
      <c r="E195" s="7" t="s">
        <v>120</v>
      </c>
      <c r="F195" s="7" t="s">
        <v>101</v>
      </c>
      <c r="G195" s="7" t="s">
        <v>649</v>
      </c>
      <c r="H195" s="7">
        <v>1</v>
      </c>
      <c r="I195" s="2">
        <v>287.89999999999998</v>
      </c>
      <c r="J195" s="2">
        <f>Tabla2[[#This Row],[Quantity]]*I195</f>
        <v>287.89999999999998</v>
      </c>
      <c r="K195" s="6">
        <f>MONTH(Tabla2[[#This Row],[OrderDate]])</f>
        <v>12</v>
      </c>
      <c r="L195" s="6">
        <f>YEAR(Tabla2[[#This Row],[OrderDate]])</f>
        <v>2024</v>
      </c>
      <c r="M195" s="7" t="s">
        <v>697</v>
      </c>
      <c r="N195" s="7" t="s">
        <v>36</v>
      </c>
    </row>
    <row r="196" spans="1:14" x14ac:dyDescent="0.35">
      <c r="A196" s="7" t="s">
        <v>698</v>
      </c>
      <c r="B196" s="7" t="s">
        <v>699</v>
      </c>
      <c r="C196" s="7" t="s">
        <v>700</v>
      </c>
      <c r="D196" s="7" t="s">
        <v>67</v>
      </c>
      <c r="E196" s="7" t="s">
        <v>68</v>
      </c>
      <c r="F196" s="7" t="s">
        <v>16</v>
      </c>
      <c r="G196" s="7" t="s">
        <v>182</v>
      </c>
      <c r="H196" s="7">
        <v>5</v>
      </c>
      <c r="I196" s="2">
        <v>443.65</v>
      </c>
      <c r="J196" s="2">
        <f>Tabla2[[#This Row],[Quantity]]*I196</f>
        <v>2218.25</v>
      </c>
      <c r="K196" s="6">
        <f>MONTH(Tabla2[[#This Row],[OrderDate]])</f>
        <v>9</v>
      </c>
      <c r="L196" s="6">
        <f>YEAR(Tabla2[[#This Row],[OrderDate]])</f>
        <v>2025</v>
      </c>
      <c r="M196" s="7" t="s">
        <v>701</v>
      </c>
      <c r="N196" s="7" t="s">
        <v>19</v>
      </c>
    </row>
    <row r="197" spans="1:14" x14ac:dyDescent="0.35">
      <c r="A197" s="7" t="s">
        <v>702</v>
      </c>
      <c r="B197" s="7" t="s">
        <v>703</v>
      </c>
      <c r="C197" s="7" t="s">
        <v>704</v>
      </c>
      <c r="D197" s="7" t="s">
        <v>67</v>
      </c>
      <c r="E197" s="7" t="s">
        <v>115</v>
      </c>
      <c r="F197" s="7" t="s">
        <v>50</v>
      </c>
      <c r="G197" s="7" t="s">
        <v>216</v>
      </c>
      <c r="H197" s="7">
        <v>2</v>
      </c>
      <c r="I197" s="2">
        <v>1291.2</v>
      </c>
      <c r="J197" s="2">
        <f>Tabla2[[#This Row],[Quantity]]*I197</f>
        <v>2582.4</v>
      </c>
      <c r="K197" s="6">
        <f>MONTH(Tabla2[[#This Row],[OrderDate]])</f>
        <v>5</v>
      </c>
      <c r="L197" s="6">
        <f>YEAR(Tabla2[[#This Row],[OrderDate]])</f>
        <v>2025</v>
      </c>
      <c r="M197" s="7" t="s">
        <v>705</v>
      </c>
      <c r="N197" s="7" t="s">
        <v>19</v>
      </c>
    </row>
    <row r="198" spans="1:14" x14ac:dyDescent="0.35">
      <c r="A198" s="7" t="s">
        <v>706</v>
      </c>
      <c r="B198" s="7" t="s">
        <v>707</v>
      </c>
      <c r="C198" s="7" t="s">
        <v>708</v>
      </c>
      <c r="D198" s="7" t="s">
        <v>32</v>
      </c>
      <c r="E198" s="7" t="s">
        <v>203</v>
      </c>
      <c r="F198" s="7" t="s">
        <v>101</v>
      </c>
      <c r="G198" s="7" t="s">
        <v>165</v>
      </c>
      <c r="H198" s="7">
        <v>2</v>
      </c>
      <c r="I198" s="2">
        <v>109.01</v>
      </c>
      <c r="J198" s="2">
        <f>Tabla2[[#This Row],[Quantity]]*I198</f>
        <v>218.02</v>
      </c>
      <c r="K198" s="6">
        <f>MONTH(Tabla2[[#This Row],[OrderDate]])</f>
        <v>12</v>
      </c>
      <c r="L198" s="6">
        <f>YEAR(Tabla2[[#This Row],[OrderDate]])</f>
        <v>2025</v>
      </c>
      <c r="M198" s="7" t="s">
        <v>709</v>
      </c>
      <c r="N198" s="7" t="s">
        <v>19</v>
      </c>
    </row>
    <row r="199" spans="1:14" x14ac:dyDescent="0.35">
      <c r="A199" s="7" t="s">
        <v>710</v>
      </c>
      <c r="B199" s="7" t="s">
        <v>711</v>
      </c>
      <c r="C199" s="7" t="s">
        <v>712</v>
      </c>
      <c r="D199" s="7" t="s">
        <v>40</v>
      </c>
      <c r="E199" s="7" t="s">
        <v>79</v>
      </c>
      <c r="F199" s="7" t="s">
        <v>50</v>
      </c>
      <c r="G199" s="7" t="s">
        <v>56</v>
      </c>
      <c r="H199" s="7">
        <v>1</v>
      </c>
      <c r="I199" s="2">
        <v>1435.27</v>
      </c>
      <c r="J199" s="2">
        <f>Tabla2[[#This Row],[Quantity]]*I199</f>
        <v>1435.27</v>
      </c>
      <c r="K199" s="6">
        <f>MONTH(Tabla2[[#This Row],[OrderDate]])</f>
        <v>11</v>
      </c>
      <c r="L199" s="6">
        <f>YEAR(Tabla2[[#This Row],[OrderDate]])</f>
        <v>2025</v>
      </c>
      <c r="M199" s="7" t="s">
        <v>713</v>
      </c>
      <c r="N199" s="7" t="s">
        <v>45</v>
      </c>
    </row>
    <row r="200" spans="1:14" x14ac:dyDescent="0.35">
      <c r="A200" s="7" t="s">
        <v>714</v>
      </c>
      <c r="B200" s="7" t="s">
        <v>715</v>
      </c>
      <c r="C200" s="7" t="s">
        <v>716</v>
      </c>
      <c r="D200" s="7" t="s">
        <v>23</v>
      </c>
      <c r="E200" s="7" t="s">
        <v>49</v>
      </c>
      <c r="F200" s="7" t="s">
        <v>101</v>
      </c>
      <c r="G200" s="7" t="s">
        <v>649</v>
      </c>
      <c r="H200" s="7">
        <v>5</v>
      </c>
      <c r="I200" s="2">
        <v>943.03</v>
      </c>
      <c r="J200" s="2">
        <f>Tabla2[[#This Row],[Quantity]]*I200</f>
        <v>4715.1499999999996</v>
      </c>
      <c r="K200" s="6">
        <f>MONTH(Tabla2[[#This Row],[OrderDate]])</f>
        <v>7</v>
      </c>
      <c r="L200" s="6">
        <f>YEAR(Tabla2[[#This Row],[OrderDate]])</f>
        <v>2025</v>
      </c>
      <c r="M200" s="7" t="s">
        <v>371</v>
      </c>
      <c r="N200" s="7" t="s">
        <v>19</v>
      </c>
    </row>
    <row r="201" spans="1:14" x14ac:dyDescent="0.35">
      <c r="A201" s="7" t="s">
        <v>717</v>
      </c>
      <c r="B201" s="7" t="s">
        <v>718</v>
      </c>
      <c r="C201" s="7" t="s">
        <v>719</v>
      </c>
      <c r="D201" s="7" t="s">
        <v>67</v>
      </c>
      <c r="E201" s="7" t="s">
        <v>115</v>
      </c>
      <c r="F201" s="7" t="s">
        <v>16</v>
      </c>
      <c r="G201" s="7" t="s">
        <v>177</v>
      </c>
      <c r="H201" s="7">
        <v>2</v>
      </c>
      <c r="I201" s="2">
        <v>347.08</v>
      </c>
      <c r="J201" s="2">
        <f>Tabla2[[#This Row],[Quantity]]*I201</f>
        <v>694.16</v>
      </c>
      <c r="K201" s="6">
        <f>MONTH(Tabla2[[#This Row],[OrderDate]])</f>
        <v>1</v>
      </c>
      <c r="L201" s="6">
        <f>YEAR(Tabla2[[#This Row],[OrderDate]])</f>
        <v>2026</v>
      </c>
      <c r="M201" s="7" t="s">
        <v>720</v>
      </c>
      <c r="N201" s="7" t="s">
        <v>28</v>
      </c>
    </row>
    <row r="202" spans="1:14" x14ac:dyDescent="0.35">
      <c r="A202" s="7" t="s">
        <v>721</v>
      </c>
      <c r="B202" s="7" t="s">
        <v>363</v>
      </c>
      <c r="C202" s="7" t="s">
        <v>364</v>
      </c>
      <c r="D202" s="7" t="s">
        <v>40</v>
      </c>
      <c r="E202" s="7" t="s">
        <v>120</v>
      </c>
      <c r="F202" s="7" t="s">
        <v>101</v>
      </c>
      <c r="G202" s="7" t="s">
        <v>165</v>
      </c>
      <c r="H202" s="7">
        <v>1</v>
      </c>
      <c r="I202" s="2">
        <v>866.57</v>
      </c>
      <c r="J202" s="2">
        <f>Tabla2[[#This Row],[Quantity]]*I202</f>
        <v>866.57</v>
      </c>
      <c r="K202" s="6">
        <f>MONTH(Tabla2[[#This Row],[OrderDate]])</f>
        <v>5</v>
      </c>
      <c r="L202" s="6">
        <f>YEAR(Tabla2[[#This Row],[OrderDate]])</f>
        <v>2025</v>
      </c>
      <c r="M202" s="7" t="s">
        <v>250</v>
      </c>
      <c r="N202" s="7" t="s">
        <v>36</v>
      </c>
    </row>
    <row r="203" spans="1:14" x14ac:dyDescent="0.35">
      <c r="A203" s="7" t="s">
        <v>722</v>
      </c>
      <c r="B203" s="7" t="s">
        <v>723</v>
      </c>
      <c r="C203" s="7" t="s">
        <v>724</v>
      </c>
      <c r="D203" s="7" t="s">
        <v>32</v>
      </c>
      <c r="E203" s="7" t="s">
        <v>33</v>
      </c>
      <c r="F203" s="7" t="s">
        <v>25</v>
      </c>
      <c r="G203" s="7" t="s">
        <v>139</v>
      </c>
      <c r="H203" s="7">
        <v>3</v>
      </c>
      <c r="I203" s="2">
        <v>613.20000000000005</v>
      </c>
      <c r="J203" s="2">
        <f>Tabla2[[#This Row],[Quantity]]*I203</f>
        <v>1839.6000000000001</v>
      </c>
      <c r="K203" s="6">
        <f>MONTH(Tabla2[[#This Row],[OrderDate]])</f>
        <v>11</v>
      </c>
      <c r="L203" s="6">
        <f>YEAR(Tabla2[[#This Row],[OrderDate]])</f>
        <v>2024</v>
      </c>
      <c r="M203" s="7" t="s">
        <v>725</v>
      </c>
      <c r="N203" s="7" t="s">
        <v>28</v>
      </c>
    </row>
    <row r="204" spans="1:14" x14ac:dyDescent="0.35">
      <c r="A204" s="7" t="s">
        <v>726</v>
      </c>
      <c r="B204" s="7" t="s">
        <v>727</v>
      </c>
      <c r="C204" s="7" t="s">
        <v>728</v>
      </c>
      <c r="D204" s="7" t="s">
        <v>32</v>
      </c>
      <c r="E204" s="7" t="s">
        <v>203</v>
      </c>
      <c r="F204" s="7" t="s">
        <v>16</v>
      </c>
      <c r="G204" s="7" t="s">
        <v>230</v>
      </c>
      <c r="H204" s="7">
        <v>2</v>
      </c>
      <c r="I204" s="2">
        <v>365.29</v>
      </c>
      <c r="J204" s="2">
        <f>Tabla2[[#This Row],[Quantity]]*I204</f>
        <v>730.58</v>
      </c>
      <c r="K204" s="6">
        <f>MONTH(Tabla2[[#This Row],[OrderDate]])</f>
        <v>5</v>
      </c>
      <c r="L204" s="6">
        <f>YEAR(Tabla2[[#This Row],[OrderDate]])</f>
        <v>2024</v>
      </c>
      <c r="M204" s="7" t="s">
        <v>350</v>
      </c>
      <c r="N204" s="7" t="s">
        <v>19</v>
      </c>
    </row>
    <row r="205" spans="1:14" x14ac:dyDescent="0.35">
      <c r="A205" s="7" t="s">
        <v>729</v>
      </c>
      <c r="B205" s="7" t="s">
        <v>123</v>
      </c>
      <c r="C205" s="7" t="s">
        <v>124</v>
      </c>
      <c r="D205" s="7" t="s">
        <v>23</v>
      </c>
      <c r="E205" s="7" t="s">
        <v>49</v>
      </c>
      <c r="F205" s="7" t="s">
        <v>50</v>
      </c>
      <c r="G205" s="7" t="s">
        <v>51</v>
      </c>
      <c r="H205" s="7">
        <v>4</v>
      </c>
      <c r="I205" s="2">
        <v>378.73</v>
      </c>
      <c r="J205" s="2">
        <f>Tabla2[[#This Row],[Quantity]]*I205</f>
        <v>1514.92</v>
      </c>
      <c r="K205" s="6">
        <f>MONTH(Tabla2[[#This Row],[OrderDate]])</f>
        <v>4</v>
      </c>
      <c r="L205" s="6">
        <f>YEAR(Tabla2[[#This Row],[OrderDate]])</f>
        <v>2024</v>
      </c>
      <c r="M205" s="7" t="s">
        <v>730</v>
      </c>
      <c r="N205" s="7" t="s">
        <v>36</v>
      </c>
    </row>
    <row r="206" spans="1:14" x14ac:dyDescent="0.35">
      <c r="A206" s="7" t="s">
        <v>731</v>
      </c>
      <c r="B206" s="7" t="s">
        <v>325</v>
      </c>
      <c r="C206" s="7" t="s">
        <v>326</v>
      </c>
      <c r="D206" s="7" t="s">
        <v>67</v>
      </c>
      <c r="E206" s="7" t="s">
        <v>130</v>
      </c>
      <c r="F206" s="7" t="s">
        <v>50</v>
      </c>
      <c r="G206" s="7" t="s">
        <v>51</v>
      </c>
      <c r="H206" s="7">
        <v>5</v>
      </c>
      <c r="I206" s="2">
        <v>560.79999999999995</v>
      </c>
      <c r="J206" s="2">
        <f>Tabla2[[#This Row],[Quantity]]*I206</f>
        <v>2804</v>
      </c>
      <c r="K206" s="6">
        <f>MONTH(Tabla2[[#This Row],[OrderDate]])</f>
        <v>4</v>
      </c>
      <c r="L206" s="6">
        <f>YEAR(Tabla2[[#This Row],[OrderDate]])</f>
        <v>2024</v>
      </c>
      <c r="M206" s="7" t="s">
        <v>226</v>
      </c>
      <c r="N206" s="7" t="s">
        <v>36</v>
      </c>
    </row>
    <row r="207" spans="1:14" x14ac:dyDescent="0.35">
      <c r="A207" s="7" t="s">
        <v>732</v>
      </c>
      <c r="B207" s="7" t="s">
        <v>281</v>
      </c>
      <c r="C207" s="7" t="s">
        <v>282</v>
      </c>
      <c r="D207" s="7" t="s">
        <v>67</v>
      </c>
      <c r="E207" s="7" t="s">
        <v>68</v>
      </c>
      <c r="F207" s="7" t="s">
        <v>16</v>
      </c>
      <c r="G207" s="7" t="s">
        <v>230</v>
      </c>
      <c r="H207" s="7">
        <v>4</v>
      </c>
      <c r="I207" s="2">
        <v>685.27</v>
      </c>
      <c r="J207" s="2">
        <f>Tabla2[[#This Row],[Quantity]]*I207</f>
        <v>2741.08</v>
      </c>
      <c r="K207" s="6">
        <f>MONTH(Tabla2[[#This Row],[OrderDate]])</f>
        <v>9</v>
      </c>
      <c r="L207" s="6">
        <f>YEAR(Tabla2[[#This Row],[OrderDate]])</f>
        <v>2025</v>
      </c>
      <c r="M207" s="7" t="s">
        <v>733</v>
      </c>
      <c r="N207" s="7" t="s">
        <v>36</v>
      </c>
    </row>
    <row r="208" spans="1:14" x14ac:dyDescent="0.35">
      <c r="A208" s="7" t="s">
        <v>734</v>
      </c>
      <c r="B208" s="7" t="s">
        <v>429</v>
      </c>
      <c r="C208" s="7" t="s">
        <v>430</v>
      </c>
      <c r="D208" s="7" t="s">
        <v>14</v>
      </c>
      <c r="E208" s="7" t="s">
        <v>100</v>
      </c>
      <c r="F208" s="7" t="s">
        <v>101</v>
      </c>
      <c r="G208" s="7" t="s">
        <v>165</v>
      </c>
      <c r="H208" s="7">
        <v>3</v>
      </c>
      <c r="I208" s="2">
        <v>501.74</v>
      </c>
      <c r="J208" s="2">
        <f>Tabla2[[#This Row],[Quantity]]*I208</f>
        <v>1505.22</v>
      </c>
      <c r="K208" s="6">
        <f>MONTH(Tabla2[[#This Row],[OrderDate]])</f>
        <v>7</v>
      </c>
      <c r="L208" s="6">
        <f>YEAR(Tabla2[[#This Row],[OrderDate]])</f>
        <v>2024</v>
      </c>
      <c r="M208" s="7" t="s">
        <v>735</v>
      </c>
      <c r="N208" s="7" t="s">
        <v>36</v>
      </c>
    </row>
    <row r="209" spans="1:14" x14ac:dyDescent="0.35">
      <c r="A209" s="7" t="s">
        <v>736</v>
      </c>
      <c r="B209" s="7" t="s">
        <v>450</v>
      </c>
      <c r="C209" s="7" t="s">
        <v>451</v>
      </c>
      <c r="D209" s="7" t="s">
        <v>32</v>
      </c>
      <c r="E209" s="7" t="s">
        <v>203</v>
      </c>
      <c r="F209" s="7" t="s">
        <v>42</v>
      </c>
      <c r="G209" s="7" t="s">
        <v>43</v>
      </c>
      <c r="H209" s="7">
        <v>2</v>
      </c>
      <c r="I209" s="2">
        <v>1067.73</v>
      </c>
      <c r="J209" s="2">
        <f>Tabla2[[#This Row],[Quantity]]*I209</f>
        <v>2135.46</v>
      </c>
      <c r="K209" s="6">
        <f>MONTH(Tabla2[[#This Row],[OrderDate]])</f>
        <v>10</v>
      </c>
      <c r="L209" s="6">
        <f>YEAR(Tabla2[[#This Row],[OrderDate]])</f>
        <v>2024</v>
      </c>
      <c r="M209" s="7" t="s">
        <v>667</v>
      </c>
      <c r="N209" s="7" t="s">
        <v>91</v>
      </c>
    </row>
    <row r="210" spans="1:14" x14ac:dyDescent="0.35">
      <c r="A210" s="7" t="s">
        <v>737</v>
      </c>
      <c r="B210" s="7" t="s">
        <v>738</v>
      </c>
      <c r="C210" s="7" t="s">
        <v>739</v>
      </c>
      <c r="D210" s="7" t="s">
        <v>23</v>
      </c>
      <c r="E210" s="7" t="s">
        <v>49</v>
      </c>
      <c r="F210" s="7" t="s">
        <v>16</v>
      </c>
      <c r="G210" s="7" t="s">
        <v>230</v>
      </c>
      <c r="H210" s="7">
        <v>5</v>
      </c>
      <c r="I210" s="2">
        <v>823.23</v>
      </c>
      <c r="J210" s="2">
        <f>Tabla2[[#This Row],[Quantity]]*I210</f>
        <v>4116.1499999999996</v>
      </c>
      <c r="K210" s="6">
        <f>MONTH(Tabla2[[#This Row],[OrderDate]])</f>
        <v>3</v>
      </c>
      <c r="L210" s="6">
        <f>YEAR(Tabla2[[#This Row],[OrderDate]])</f>
        <v>2024</v>
      </c>
      <c r="M210" s="7" t="s">
        <v>740</v>
      </c>
      <c r="N210" s="7" t="s">
        <v>91</v>
      </c>
    </row>
    <row r="211" spans="1:14" x14ac:dyDescent="0.35">
      <c r="A211" s="7" t="s">
        <v>741</v>
      </c>
      <c r="B211" s="7" t="s">
        <v>742</v>
      </c>
      <c r="C211" s="7" t="s">
        <v>743</v>
      </c>
      <c r="D211" s="7" t="s">
        <v>14</v>
      </c>
      <c r="E211" s="7" t="s">
        <v>125</v>
      </c>
      <c r="F211" s="7" t="s">
        <v>101</v>
      </c>
      <c r="G211" s="7" t="s">
        <v>102</v>
      </c>
      <c r="H211" s="7">
        <v>1</v>
      </c>
      <c r="I211" s="2">
        <v>99.72</v>
      </c>
      <c r="J211" s="2">
        <f>Tabla2[[#This Row],[Quantity]]*I211</f>
        <v>99.72</v>
      </c>
      <c r="K211" s="6">
        <f>MONTH(Tabla2[[#This Row],[OrderDate]])</f>
        <v>10</v>
      </c>
      <c r="L211" s="6">
        <f>YEAR(Tabla2[[#This Row],[OrderDate]])</f>
        <v>2024</v>
      </c>
      <c r="M211" s="7" t="s">
        <v>744</v>
      </c>
      <c r="N211" s="7" t="s">
        <v>28</v>
      </c>
    </row>
    <row r="212" spans="1:14" x14ac:dyDescent="0.35">
      <c r="A212" s="7" t="s">
        <v>745</v>
      </c>
      <c r="B212" s="7" t="s">
        <v>521</v>
      </c>
      <c r="C212" s="7" t="s">
        <v>522</v>
      </c>
      <c r="D212" s="7" t="s">
        <v>67</v>
      </c>
      <c r="E212" s="7" t="s">
        <v>68</v>
      </c>
      <c r="F212" s="7" t="s">
        <v>101</v>
      </c>
      <c r="G212" s="7" t="s">
        <v>649</v>
      </c>
      <c r="H212" s="7">
        <v>2</v>
      </c>
      <c r="I212" s="2">
        <v>60.8</v>
      </c>
      <c r="J212" s="2">
        <f>Tabla2[[#This Row],[Quantity]]*I212</f>
        <v>121.6</v>
      </c>
      <c r="K212" s="6">
        <f>MONTH(Tabla2[[#This Row],[OrderDate]])</f>
        <v>10</v>
      </c>
      <c r="L212" s="6">
        <f>YEAR(Tabla2[[#This Row],[OrderDate]])</f>
        <v>2024</v>
      </c>
      <c r="M212" s="7" t="s">
        <v>645</v>
      </c>
      <c r="N212" s="7" t="s">
        <v>28</v>
      </c>
    </row>
    <row r="213" spans="1:14" x14ac:dyDescent="0.35">
      <c r="A213" s="7" t="s">
        <v>746</v>
      </c>
      <c r="B213" s="7" t="s">
        <v>388</v>
      </c>
      <c r="C213" s="7" t="s">
        <v>389</v>
      </c>
      <c r="D213" s="7" t="s">
        <v>23</v>
      </c>
      <c r="E213" s="7" t="s">
        <v>24</v>
      </c>
      <c r="F213" s="7" t="s">
        <v>101</v>
      </c>
      <c r="G213" s="7" t="s">
        <v>102</v>
      </c>
      <c r="H213" s="7">
        <v>4</v>
      </c>
      <c r="I213" s="2">
        <v>738.68</v>
      </c>
      <c r="J213" s="2">
        <f>Tabla2[[#This Row],[Quantity]]*I213</f>
        <v>2954.72</v>
      </c>
      <c r="K213" s="6">
        <f>MONTH(Tabla2[[#This Row],[OrderDate]])</f>
        <v>2</v>
      </c>
      <c r="L213" s="6">
        <f>YEAR(Tabla2[[#This Row],[OrderDate]])</f>
        <v>2024</v>
      </c>
      <c r="M213" s="7" t="s">
        <v>747</v>
      </c>
      <c r="N213" s="7" t="s">
        <v>36</v>
      </c>
    </row>
    <row r="214" spans="1:14" x14ac:dyDescent="0.35">
      <c r="A214" s="7" t="s">
        <v>748</v>
      </c>
      <c r="B214" s="7" t="s">
        <v>214</v>
      </c>
      <c r="C214" s="7" t="s">
        <v>215</v>
      </c>
      <c r="D214" s="7" t="s">
        <v>67</v>
      </c>
      <c r="E214" s="7" t="s">
        <v>130</v>
      </c>
      <c r="F214" s="7" t="s">
        <v>50</v>
      </c>
      <c r="G214" s="7" t="s">
        <v>69</v>
      </c>
      <c r="H214" s="7">
        <v>5</v>
      </c>
      <c r="I214" s="2">
        <v>1212.8499999999999</v>
      </c>
      <c r="J214" s="2">
        <f>Tabla2[[#This Row],[Quantity]]*I214</f>
        <v>6064.25</v>
      </c>
      <c r="K214" s="6">
        <f>MONTH(Tabla2[[#This Row],[OrderDate]])</f>
        <v>3</v>
      </c>
      <c r="L214" s="6">
        <f>YEAR(Tabla2[[#This Row],[OrderDate]])</f>
        <v>2026</v>
      </c>
      <c r="M214" s="7" t="s">
        <v>749</v>
      </c>
      <c r="N214" s="7" t="s">
        <v>45</v>
      </c>
    </row>
    <row r="215" spans="1:14" x14ac:dyDescent="0.35">
      <c r="A215" s="7" t="s">
        <v>750</v>
      </c>
      <c r="B215" s="7" t="s">
        <v>751</v>
      </c>
      <c r="C215" s="7" t="s">
        <v>752</v>
      </c>
      <c r="D215" s="7" t="s">
        <v>23</v>
      </c>
      <c r="E215" s="7" t="s">
        <v>49</v>
      </c>
      <c r="F215" s="7" t="s">
        <v>101</v>
      </c>
      <c r="G215" s="7" t="s">
        <v>237</v>
      </c>
      <c r="H215" s="7">
        <v>4</v>
      </c>
      <c r="I215" s="2">
        <v>1496.96</v>
      </c>
      <c r="J215" s="2">
        <f>Tabla2[[#This Row],[Quantity]]*I215</f>
        <v>5987.84</v>
      </c>
      <c r="K215" s="6">
        <f>MONTH(Tabla2[[#This Row],[OrderDate]])</f>
        <v>6</v>
      </c>
      <c r="L215" s="6">
        <f>YEAR(Tabla2[[#This Row],[OrderDate]])</f>
        <v>2024</v>
      </c>
      <c r="M215" s="7" t="s">
        <v>753</v>
      </c>
      <c r="N215" s="7" t="s">
        <v>45</v>
      </c>
    </row>
    <row r="216" spans="1:14" x14ac:dyDescent="0.35">
      <c r="A216" s="7" t="s">
        <v>754</v>
      </c>
      <c r="B216" s="7" t="s">
        <v>755</v>
      </c>
      <c r="C216" s="7" t="s">
        <v>756</v>
      </c>
      <c r="D216" s="7" t="s">
        <v>23</v>
      </c>
      <c r="E216" s="7" t="s">
        <v>338</v>
      </c>
      <c r="F216" s="7" t="s">
        <v>25</v>
      </c>
      <c r="G216" s="7" t="s">
        <v>62</v>
      </c>
      <c r="H216" s="7">
        <v>5</v>
      </c>
      <c r="I216" s="2">
        <v>979.99</v>
      </c>
      <c r="J216" s="2">
        <f>Tabla2[[#This Row],[Quantity]]*I216</f>
        <v>4899.95</v>
      </c>
      <c r="K216" s="6">
        <f>MONTH(Tabla2[[#This Row],[OrderDate]])</f>
        <v>8</v>
      </c>
      <c r="L216" s="6">
        <f>YEAR(Tabla2[[#This Row],[OrderDate]])</f>
        <v>2024</v>
      </c>
      <c r="M216" s="7" t="s">
        <v>757</v>
      </c>
      <c r="N216" s="7" t="s">
        <v>28</v>
      </c>
    </row>
    <row r="217" spans="1:14" x14ac:dyDescent="0.35">
      <c r="A217" s="7" t="s">
        <v>758</v>
      </c>
      <c r="B217" s="7" t="s">
        <v>759</v>
      </c>
      <c r="C217" s="7" t="s">
        <v>760</v>
      </c>
      <c r="D217" s="7" t="s">
        <v>14</v>
      </c>
      <c r="E217" s="7" t="s">
        <v>95</v>
      </c>
      <c r="F217" s="7" t="s">
        <v>25</v>
      </c>
      <c r="G217" s="7" t="s">
        <v>139</v>
      </c>
      <c r="H217" s="7">
        <v>1</v>
      </c>
      <c r="I217" s="2">
        <v>1262.83</v>
      </c>
      <c r="J217" s="2">
        <f>Tabla2[[#This Row],[Quantity]]*I217</f>
        <v>1262.83</v>
      </c>
      <c r="K217" s="6">
        <f>MONTH(Tabla2[[#This Row],[OrderDate]])</f>
        <v>3</v>
      </c>
      <c r="L217" s="6">
        <f>YEAR(Tabla2[[#This Row],[OrderDate]])</f>
        <v>2025</v>
      </c>
      <c r="M217" s="7" t="s">
        <v>761</v>
      </c>
      <c r="N217" s="7" t="s">
        <v>28</v>
      </c>
    </row>
    <row r="218" spans="1:14" x14ac:dyDescent="0.35">
      <c r="A218" s="7" t="s">
        <v>762</v>
      </c>
      <c r="B218" s="7" t="s">
        <v>763</v>
      </c>
      <c r="C218" s="7" t="s">
        <v>764</v>
      </c>
      <c r="D218" s="7" t="s">
        <v>67</v>
      </c>
      <c r="E218" s="7" t="s">
        <v>68</v>
      </c>
      <c r="F218" s="7" t="s">
        <v>101</v>
      </c>
      <c r="G218" s="7" t="s">
        <v>373</v>
      </c>
      <c r="H218" s="7">
        <v>3</v>
      </c>
      <c r="I218" s="2">
        <v>589.12</v>
      </c>
      <c r="J218" s="2">
        <f>Tabla2[[#This Row],[Quantity]]*I218</f>
        <v>1767.3600000000001</v>
      </c>
      <c r="K218" s="6">
        <f>MONTH(Tabla2[[#This Row],[OrderDate]])</f>
        <v>4</v>
      </c>
      <c r="L218" s="6">
        <f>YEAR(Tabla2[[#This Row],[OrderDate]])</f>
        <v>2025</v>
      </c>
      <c r="M218" s="7" t="s">
        <v>765</v>
      </c>
      <c r="N218" s="7" t="s">
        <v>45</v>
      </c>
    </row>
    <row r="219" spans="1:14" x14ac:dyDescent="0.35">
      <c r="A219" s="7" t="s">
        <v>766</v>
      </c>
      <c r="B219" s="7" t="s">
        <v>767</v>
      </c>
      <c r="C219" s="7" t="s">
        <v>768</v>
      </c>
      <c r="D219" s="7" t="s">
        <v>23</v>
      </c>
      <c r="E219" s="7" t="s">
        <v>24</v>
      </c>
      <c r="F219" s="7" t="s">
        <v>101</v>
      </c>
      <c r="G219" s="7" t="s">
        <v>165</v>
      </c>
      <c r="H219" s="7">
        <v>1</v>
      </c>
      <c r="I219" s="2">
        <v>357.53</v>
      </c>
      <c r="J219" s="2">
        <f>Tabla2[[#This Row],[Quantity]]*I219</f>
        <v>357.53</v>
      </c>
      <c r="K219" s="6">
        <f>MONTH(Tabla2[[#This Row],[OrderDate]])</f>
        <v>1</v>
      </c>
      <c r="L219" s="6">
        <f>YEAR(Tabla2[[#This Row],[OrderDate]])</f>
        <v>2026</v>
      </c>
      <c r="M219" s="7" t="s">
        <v>769</v>
      </c>
      <c r="N219" s="7" t="s">
        <v>45</v>
      </c>
    </row>
    <row r="220" spans="1:14" x14ac:dyDescent="0.35">
      <c r="A220" s="7" t="s">
        <v>770</v>
      </c>
      <c r="B220" s="7" t="s">
        <v>771</v>
      </c>
      <c r="C220" s="7" t="s">
        <v>772</v>
      </c>
      <c r="D220" s="7" t="s">
        <v>32</v>
      </c>
      <c r="E220" s="7" t="s">
        <v>33</v>
      </c>
      <c r="F220" s="7" t="s">
        <v>25</v>
      </c>
      <c r="G220" s="7" t="s">
        <v>26</v>
      </c>
      <c r="H220" s="7">
        <v>4</v>
      </c>
      <c r="I220" s="2">
        <v>351.3</v>
      </c>
      <c r="J220" s="2">
        <f>Tabla2[[#This Row],[Quantity]]*I220</f>
        <v>1405.2</v>
      </c>
      <c r="K220" s="6">
        <f>MONTH(Tabla2[[#This Row],[OrderDate]])</f>
        <v>4</v>
      </c>
      <c r="L220" s="6">
        <f>YEAR(Tabla2[[#This Row],[OrderDate]])</f>
        <v>2024</v>
      </c>
      <c r="M220" s="7" t="s">
        <v>773</v>
      </c>
      <c r="N220" s="7" t="s">
        <v>36</v>
      </c>
    </row>
    <row r="221" spans="1:14" x14ac:dyDescent="0.35">
      <c r="A221" s="7" t="s">
        <v>774</v>
      </c>
      <c r="B221" s="7" t="s">
        <v>775</v>
      </c>
      <c r="C221" s="7" t="s">
        <v>776</v>
      </c>
      <c r="D221" s="7" t="s">
        <v>23</v>
      </c>
      <c r="E221" s="7" t="s">
        <v>49</v>
      </c>
      <c r="F221" s="7" t="s">
        <v>25</v>
      </c>
      <c r="G221" s="7" t="s">
        <v>139</v>
      </c>
      <c r="H221" s="7">
        <v>5</v>
      </c>
      <c r="I221" s="2">
        <v>1450.53</v>
      </c>
      <c r="J221" s="2">
        <f>Tabla2[[#This Row],[Quantity]]*I221</f>
        <v>7252.65</v>
      </c>
      <c r="K221" s="6">
        <f>MONTH(Tabla2[[#This Row],[OrderDate]])</f>
        <v>2</v>
      </c>
      <c r="L221" s="6">
        <f>YEAR(Tabla2[[#This Row],[OrderDate]])</f>
        <v>2025</v>
      </c>
      <c r="M221" s="7" t="s">
        <v>777</v>
      </c>
      <c r="N221" s="7" t="s">
        <v>36</v>
      </c>
    </row>
    <row r="222" spans="1:14" x14ac:dyDescent="0.35">
      <c r="A222" s="7" t="s">
        <v>778</v>
      </c>
      <c r="B222" s="7" t="s">
        <v>779</v>
      </c>
      <c r="C222" s="7" t="s">
        <v>780</v>
      </c>
      <c r="D222" s="7" t="s">
        <v>14</v>
      </c>
      <c r="E222" s="7" t="s">
        <v>100</v>
      </c>
      <c r="F222" s="7" t="s">
        <v>25</v>
      </c>
      <c r="G222" s="7" t="s">
        <v>26</v>
      </c>
      <c r="H222" s="7">
        <v>4</v>
      </c>
      <c r="I222" s="2">
        <v>407.7</v>
      </c>
      <c r="J222" s="2">
        <f>Tabla2[[#This Row],[Quantity]]*I222</f>
        <v>1630.8</v>
      </c>
      <c r="K222" s="6">
        <f>MONTH(Tabla2[[#This Row],[OrderDate]])</f>
        <v>12</v>
      </c>
      <c r="L222" s="6">
        <f>YEAR(Tabla2[[#This Row],[OrderDate]])</f>
        <v>2024</v>
      </c>
      <c r="M222" s="7" t="s">
        <v>781</v>
      </c>
      <c r="N222" s="7" t="s">
        <v>91</v>
      </c>
    </row>
    <row r="223" spans="1:14" x14ac:dyDescent="0.35">
      <c r="A223" s="7" t="s">
        <v>782</v>
      </c>
      <c r="B223" s="7" t="s">
        <v>47</v>
      </c>
      <c r="C223" s="7" t="s">
        <v>48</v>
      </c>
      <c r="D223" s="7" t="s">
        <v>67</v>
      </c>
      <c r="E223" s="7" t="s">
        <v>68</v>
      </c>
      <c r="F223" s="7" t="s">
        <v>42</v>
      </c>
      <c r="G223" s="7" t="s">
        <v>170</v>
      </c>
      <c r="H223" s="7">
        <v>4</v>
      </c>
      <c r="I223" s="2">
        <v>1489.54</v>
      </c>
      <c r="J223" s="2">
        <f>Tabla2[[#This Row],[Quantity]]*I223</f>
        <v>5958.16</v>
      </c>
      <c r="K223" s="6">
        <f>MONTH(Tabla2[[#This Row],[OrderDate]])</f>
        <v>7</v>
      </c>
      <c r="L223" s="6">
        <f>YEAR(Tabla2[[#This Row],[OrderDate]])</f>
        <v>2025</v>
      </c>
      <c r="M223" s="7" t="s">
        <v>783</v>
      </c>
      <c r="N223" s="7" t="s">
        <v>19</v>
      </c>
    </row>
    <row r="224" spans="1:14" x14ac:dyDescent="0.35">
      <c r="A224" s="7" t="s">
        <v>784</v>
      </c>
      <c r="B224" s="7" t="s">
        <v>785</v>
      </c>
      <c r="C224" s="7" t="s">
        <v>786</v>
      </c>
      <c r="D224" s="7" t="s">
        <v>67</v>
      </c>
      <c r="E224" s="7" t="s">
        <v>68</v>
      </c>
      <c r="F224" s="7" t="s">
        <v>101</v>
      </c>
      <c r="G224" s="7" t="s">
        <v>102</v>
      </c>
      <c r="H224" s="7">
        <v>3</v>
      </c>
      <c r="I224" s="2">
        <v>624.17999999999995</v>
      </c>
      <c r="J224" s="2">
        <f>Tabla2[[#This Row],[Quantity]]*I224</f>
        <v>1872.54</v>
      </c>
      <c r="K224" s="6">
        <f>MONTH(Tabla2[[#This Row],[OrderDate]])</f>
        <v>7</v>
      </c>
      <c r="L224" s="6">
        <f>YEAR(Tabla2[[#This Row],[OrderDate]])</f>
        <v>2025</v>
      </c>
      <c r="M224" s="7" t="s">
        <v>787</v>
      </c>
      <c r="N224" s="7" t="s">
        <v>28</v>
      </c>
    </row>
    <row r="225" spans="1:14" x14ac:dyDescent="0.35">
      <c r="A225" s="7" t="s">
        <v>788</v>
      </c>
      <c r="B225" s="7" t="s">
        <v>521</v>
      </c>
      <c r="C225" s="7" t="s">
        <v>522</v>
      </c>
      <c r="D225" s="7" t="s">
        <v>14</v>
      </c>
      <c r="E225" s="7" t="s">
        <v>266</v>
      </c>
      <c r="F225" s="7" t="s">
        <v>50</v>
      </c>
      <c r="G225" s="7" t="s">
        <v>216</v>
      </c>
      <c r="H225" s="7">
        <v>5</v>
      </c>
      <c r="I225" s="2">
        <v>1317.44</v>
      </c>
      <c r="J225" s="2">
        <f>Tabla2[[#This Row],[Quantity]]*I225</f>
        <v>6587.2000000000007</v>
      </c>
      <c r="K225" s="6">
        <f>MONTH(Tabla2[[#This Row],[OrderDate]])</f>
        <v>11</v>
      </c>
      <c r="L225" s="6">
        <f>YEAR(Tabla2[[#This Row],[OrderDate]])</f>
        <v>2025</v>
      </c>
      <c r="M225" s="7" t="s">
        <v>789</v>
      </c>
      <c r="N225" s="7" t="s">
        <v>45</v>
      </c>
    </row>
    <row r="226" spans="1:14" x14ac:dyDescent="0.35">
      <c r="A226" s="7" t="s">
        <v>790</v>
      </c>
      <c r="B226" s="7" t="s">
        <v>791</v>
      </c>
      <c r="C226" s="7" t="s">
        <v>792</v>
      </c>
      <c r="D226" s="7" t="s">
        <v>32</v>
      </c>
      <c r="E226" s="7" t="s">
        <v>33</v>
      </c>
      <c r="F226" s="7" t="s">
        <v>16</v>
      </c>
      <c r="G226" s="7" t="s">
        <v>148</v>
      </c>
      <c r="H226" s="7">
        <v>1</v>
      </c>
      <c r="I226" s="2">
        <v>92.68</v>
      </c>
      <c r="J226" s="2">
        <f>Tabla2[[#This Row],[Quantity]]*I226</f>
        <v>92.68</v>
      </c>
      <c r="K226" s="6">
        <f>MONTH(Tabla2[[#This Row],[OrderDate]])</f>
        <v>8</v>
      </c>
      <c r="L226" s="6">
        <f>YEAR(Tabla2[[#This Row],[OrderDate]])</f>
        <v>2024</v>
      </c>
      <c r="M226" s="7" t="s">
        <v>793</v>
      </c>
      <c r="N226" s="7" t="s">
        <v>91</v>
      </c>
    </row>
    <row r="227" spans="1:14" x14ac:dyDescent="0.35">
      <c r="A227" s="7" t="s">
        <v>794</v>
      </c>
      <c r="B227" s="7" t="s">
        <v>77</v>
      </c>
      <c r="C227" s="7" t="s">
        <v>78</v>
      </c>
      <c r="D227" s="7" t="s">
        <v>14</v>
      </c>
      <c r="E227" s="7" t="s">
        <v>15</v>
      </c>
      <c r="F227" s="7" t="s">
        <v>25</v>
      </c>
      <c r="G227" s="7" t="s">
        <v>62</v>
      </c>
      <c r="H227" s="7">
        <v>3</v>
      </c>
      <c r="I227" s="2">
        <v>230.69</v>
      </c>
      <c r="J227" s="2">
        <f>Tabla2[[#This Row],[Quantity]]*I227</f>
        <v>692.06999999999994</v>
      </c>
      <c r="K227" s="6">
        <f>MONTH(Tabla2[[#This Row],[OrderDate]])</f>
        <v>2</v>
      </c>
      <c r="L227" s="6">
        <f>YEAR(Tabla2[[#This Row],[OrderDate]])</f>
        <v>2026</v>
      </c>
      <c r="M227" s="7" t="s">
        <v>795</v>
      </c>
      <c r="N227" s="7" t="s">
        <v>28</v>
      </c>
    </row>
    <row r="228" spans="1:14" x14ac:dyDescent="0.35">
      <c r="A228" s="7" t="s">
        <v>796</v>
      </c>
      <c r="B228" s="7" t="s">
        <v>797</v>
      </c>
      <c r="C228" s="7" t="s">
        <v>798</v>
      </c>
      <c r="D228" s="7" t="s">
        <v>14</v>
      </c>
      <c r="E228" s="7" t="s">
        <v>15</v>
      </c>
      <c r="F228" s="7" t="s">
        <v>16</v>
      </c>
      <c r="G228" s="7" t="s">
        <v>177</v>
      </c>
      <c r="H228" s="7">
        <v>1</v>
      </c>
      <c r="I228" s="2">
        <v>1298.94</v>
      </c>
      <c r="J228" s="2">
        <f>Tabla2[[#This Row],[Quantity]]*I228</f>
        <v>1298.94</v>
      </c>
      <c r="K228" s="6">
        <f>MONTH(Tabla2[[#This Row],[OrderDate]])</f>
        <v>9</v>
      </c>
      <c r="L228" s="6">
        <f>YEAR(Tabla2[[#This Row],[OrderDate]])</f>
        <v>2024</v>
      </c>
      <c r="M228" s="7" t="s">
        <v>799</v>
      </c>
      <c r="N228" s="7" t="s">
        <v>19</v>
      </c>
    </row>
    <row r="229" spans="1:14" x14ac:dyDescent="0.35">
      <c r="A229" s="7" t="s">
        <v>800</v>
      </c>
      <c r="B229" s="7" t="s">
        <v>801</v>
      </c>
      <c r="C229" s="7" t="s">
        <v>802</v>
      </c>
      <c r="D229" s="7" t="s">
        <v>14</v>
      </c>
      <c r="E229" s="7" t="s">
        <v>95</v>
      </c>
      <c r="F229" s="7" t="s">
        <v>25</v>
      </c>
      <c r="G229" s="7" t="s">
        <v>62</v>
      </c>
      <c r="H229" s="7">
        <v>3</v>
      </c>
      <c r="I229" s="2">
        <v>969.04</v>
      </c>
      <c r="J229" s="2">
        <f>Tabla2[[#This Row],[Quantity]]*I229</f>
        <v>2907.12</v>
      </c>
      <c r="K229" s="6">
        <f>MONTH(Tabla2[[#This Row],[OrderDate]])</f>
        <v>2</v>
      </c>
      <c r="L229" s="6">
        <f>YEAR(Tabla2[[#This Row],[OrderDate]])</f>
        <v>2025</v>
      </c>
      <c r="M229" s="7" t="s">
        <v>803</v>
      </c>
      <c r="N229" s="7" t="s">
        <v>28</v>
      </c>
    </row>
    <row r="230" spans="1:14" x14ac:dyDescent="0.35">
      <c r="A230" s="7" t="s">
        <v>804</v>
      </c>
      <c r="B230" s="7" t="s">
        <v>12</v>
      </c>
      <c r="C230" s="7" t="s">
        <v>13</v>
      </c>
      <c r="D230" s="7" t="s">
        <v>32</v>
      </c>
      <c r="E230" s="7" t="s">
        <v>203</v>
      </c>
      <c r="F230" s="7" t="s">
        <v>42</v>
      </c>
      <c r="G230" s="7" t="s">
        <v>225</v>
      </c>
      <c r="H230" s="7">
        <v>3</v>
      </c>
      <c r="I230" s="2">
        <v>571.20000000000005</v>
      </c>
      <c r="J230" s="2">
        <f>Tabla2[[#This Row],[Quantity]]*I230</f>
        <v>1713.6000000000001</v>
      </c>
      <c r="K230" s="6">
        <f>MONTH(Tabla2[[#This Row],[OrderDate]])</f>
        <v>3</v>
      </c>
      <c r="L230" s="6">
        <f>YEAR(Tabla2[[#This Row],[OrderDate]])</f>
        <v>2026</v>
      </c>
      <c r="M230" s="7" t="s">
        <v>805</v>
      </c>
      <c r="N230" s="7" t="s">
        <v>28</v>
      </c>
    </row>
    <row r="231" spans="1:14" x14ac:dyDescent="0.35">
      <c r="A231" s="7" t="s">
        <v>806</v>
      </c>
      <c r="B231" s="7" t="s">
        <v>321</v>
      </c>
      <c r="C231" s="7" t="s">
        <v>322</v>
      </c>
      <c r="D231" s="7" t="s">
        <v>23</v>
      </c>
      <c r="E231" s="7" t="s">
        <v>24</v>
      </c>
      <c r="F231" s="7" t="s">
        <v>42</v>
      </c>
      <c r="G231" s="7" t="s">
        <v>225</v>
      </c>
      <c r="H231" s="7">
        <v>4</v>
      </c>
      <c r="I231" s="2">
        <v>1084.8699999999999</v>
      </c>
      <c r="J231" s="2">
        <f>Tabla2[[#This Row],[Quantity]]*I231</f>
        <v>4339.4799999999996</v>
      </c>
      <c r="K231" s="6">
        <f>MONTH(Tabla2[[#This Row],[OrderDate]])</f>
        <v>3</v>
      </c>
      <c r="L231" s="6">
        <f>YEAR(Tabla2[[#This Row],[OrderDate]])</f>
        <v>2024</v>
      </c>
      <c r="M231" s="7" t="s">
        <v>807</v>
      </c>
      <c r="N231" s="7" t="s">
        <v>45</v>
      </c>
    </row>
    <row r="232" spans="1:14" x14ac:dyDescent="0.35">
      <c r="A232" s="7" t="s">
        <v>808</v>
      </c>
      <c r="B232" s="7" t="s">
        <v>809</v>
      </c>
      <c r="C232" s="7" t="s">
        <v>810</v>
      </c>
      <c r="D232" s="7" t="s">
        <v>32</v>
      </c>
      <c r="E232" s="7" t="s">
        <v>61</v>
      </c>
      <c r="F232" s="7" t="s">
        <v>50</v>
      </c>
      <c r="G232" s="7" t="s">
        <v>56</v>
      </c>
      <c r="H232" s="7">
        <v>4</v>
      </c>
      <c r="I232" s="2">
        <v>380.19</v>
      </c>
      <c r="J232" s="2">
        <f>Tabla2[[#This Row],[Quantity]]*I232</f>
        <v>1520.76</v>
      </c>
      <c r="K232" s="6">
        <f>MONTH(Tabla2[[#This Row],[OrderDate]])</f>
        <v>10</v>
      </c>
      <c r="L232" s="6">
        <f>YEAR(Tabla2[[#This Row],[OrderDate]])</f>
        <v>2024</v>
      </c>
      <c r="M232" s="7" t="s">
        <v>811</v>
      </c>
      <c r="N232" s="7" t="s">
        <v>28</v>
      </c>
    </row>
    <row r="233" spans="1:14" x14ac:dyDescent="0.35">
      <c r="A233" s="7" t="s">
        <v>812</v>
      </c>
      <c r="B233" s="7" t="s">
        <v>751</v>
      </c>
      <c r="C233" s="7" t="s">
        <v>752</v>
      </c>
      <c r="D233" s="7" t="s">
        <v>67</v>
      </c>
      <c r="E233" s="7" t="s">
        <v>130</v>
      </c>
      <c r="F233" s="7" t="s">
        <v>42</v>
      </c>
      <c r="G233" s="7" t="s">
        <v>43</v>
      </c>
      <c r="H233" s="7">
        <v>2</v>
      </c>
      <c r="I233" s="2">
        <v>517.69000000000005</v>
      </c>
      <c r="J233" s="2">
        <f>Tabla2[[#This Row],[Quantity]]*I233</f>
        <v>1035.3800000000001</v>
      </c>
      <c r="K233" s="6">
        <f>MONTH(Tabla2[[#This Row],[OrderDate]])</f>
        <v>5</v>
      </c>
      <c r="L233" s="6">
        <f>YEAR(Tabla2[[#This Row],[OrderDate]])</f>
        <v>2025</v>
      </c>
      <c r="M233" s="7" t="s">
        <v>813</v>
      </c>
      <c r="N233" s="7" t="s">
        <v>28</v>
      </c>
    </row>
    <row r="234" spans="1:14" x14ac:dyDescent="0.35">
      <c r="A234" s="7" t="s">
        <v>814</v>
      </c>
      <c r="B234" s="7" t="s">
        <v>439</v>
      </c>
      <c r="C234" s="7" t="s">
        <v>440</v>
      </c>
      <c r="D234" s="7" t="s">
        <v>32</v>
      </c>
      <c r="E234" s="7" t="s">
        <v>61</v>
      </c>
      <c r="F234" s="7" t="s">
        <v>50</v>
      </c>
      <c r="G234" s="7" t="s">
        <v>216</v>
      </c>
      <c r="H234" s="7">
        <v>1</v>
      </c>
      <c r="I234" s="2">
        <v>1142.4100000000001</v>
      </c>
      <c r="J234" s="2">
        <f>Tabla2[[#This Row],[Quantity]]*I234</f>
        <v>1142.4100000000001</v>
      </c>
      <c r="K234" s="6">
        <f>MONTH(Tabla2[[#This Row],[OrderDate]])</f>
        <v>1</v>
      </c>
      <c r="L234" s="6">
        <f>YEAR(Tabla2[[#This Row],[OrderDate]])</f>
        <v>2025</v>
      </c>
      <c r="M234" s="7" t="s">
        <v>815</v>
      </c>
      <c r="N234" s="7" t="s">
        <v>19</v>
      </c>
    </row>
    <row r="235" spans="1:14" x14ac:dyDescent="0.35">
      <c r="A235" s="7" t="s">
        <v>816</v>
      </c>
      <c r="B235" s="7" t="s">
        <v>817</v>
      </c>
      <c r="C235" s="7" t="s">
        <v>818</v>
      </c>
      <c r="D235" s="7" t="s">
        <v>23</v>
      </c>
      <c r="E235" s="7" t="s">
        <v>338</v>
      </c>
      <c r="F235" s="7" t="s">
        <v>25</v>
      </c>
      <c r="G235" s="7" t="s">
        <v>139</v>
      </c>
      <c r="H235" s="7">
        <v>2</v>
      </c>
      <c r="I235" s="2">
        <v>1090.96</v>
      </c>
      <c r="J235" s="2">
        <f>Tabla2[[#This Row],[Quantity]]*I235</f>
        <v>2181.92</v>
      </c>
      <c r="K235" s="6">
        <f>MONTH(Tabla2[[#This Row],[OrderDate]])</f>
        <v>3</v>
      </c>
      <c r="L235" s="6">
        <f>YEAR(Tabla2[[#This Row],[OrderDate]])</f>
        <v>2025</v>
      </c>
      <c r="M235" s="7" t="s">
        <v>542</v>
      </c>
      <c r="N235" s="7" t="s">
        <v>45</v>
      </c>
    </row>
    <row r="236" spans="1:14" x14ac:dyDescent="0.35">
      <c r="A236" s="7" t="s">
        <v>819</v>
      </c>
      <c r="B236" s="7" t="s">
        <v>820</v>
      </c>
      <c r="C236" s="7" t="s">
        <v>821</v>
      </c>
      <c r="D236" s="7" t="s">
        <v>14</v>
      </c>
      <c r="E236" s="7" t="s">
        <v>266</v>
      </c>
      <c r="F236" s="7" t="s">
        <v>25</v>
      </c>
      <c r="G236" s="7" t="s">
        <v>139</v>
      </c>
      <c r="H236" s="7">
        <v>4</v>
      </c>
      <c r="I236" s="2">
        <v>1233.48</v>
      </c>
      <c r="J236" s="2">
        <f>Tabla2[[#This Row],[Quantity]]*I236</f>
        <v>4933.92</v>
      </c>
      <c r="K236" s="6">
        <f>MONTH(Tabla2[[#This Row],[OrderDate]])</f>
        <v>8</v>
      </c>
      <c r="L236" s="6">
        <f>YEAR(Tabla2[[#This Row],[OrderDate]])</f>
        <v>2024</v>
      </c>
      <c r="M236" s="7" t="s">
        <v>822</v>
      </c>
      <c r="N236" s="7" t="s">
        <v>45</v>
      </c>
    </row>
    <row r="237" spans="1:14" x14ac:dyDescent="0.35">
      <c r="A237" s="7" t="s">
        <v>823</v>
      </c>
      <c r="B237" s="7" t="s">
        <v>771</v>
      </c>
      <c r="C237" s="7" t="s">
        <v>772</v>
      </c>
      <c r="D237" s="7" t="s">
        <v>32</v>
      </c>
      <c r="E237" s="7" t="s">
        <v>61</v>
      </c>
      <c r="F237" s="7" t="s">
        <v>50</v>
      </c>
      <c r="G237" s="7" t="s">
        <v>216</v>
      </c>
      <c r="H237" s="7">
        <v>5</v>
      </c>
      <c r="I237" s="2">
        <v>1095.7</v>
      </c>
      <c r="J237" s="2">
        <f>Tabla2[[#This Row],[Quantity]]*I237</f>
        <v>5478.5</v>
      </c>
      <c r="K237" s="6">
        <f>MONTH(Tabla2[[#This Row],[OrderDate]])</f>
        <v>7</v>
      </c>
      <c r="L237" s="6">
        <f>YEAR(Tabla2[[#This Row],[OrderDate]])</f>
        <v>2025</v>
      </c>
      <c r="M237" s="7" t="s">
        <v>486</v>
      </c>
      <c r="N237" s="7" t="s">
        <v>36</v>
      </c>
    </row>
    <row r="238" spans="1:14" x14ac:dyDescent="0.35">
      <c r="A238" s="7" t="s">
        <v>824</v>
      </c>
      <c r="B238" s="7" t="s">
        <v>797</v>
      </c>
      <c r="C238" s="7" t="s">
        <v>798</v>
      </c>
      <c r="D238" s="7" t="s">
        <v>14</v>
      </c>
      <c r="E238" s="7" t="s">
        <v>125</v>
      </c>
      <c r="F238" s="7" t="s">
        <v>101</v>
      </c>
      <c r="G238" s="7" t="s">
        <v>237</v>
      </c>
      <c r="H238" s="7">
        <v>5</v>
      </c>
      <c r="I238" s="2">
        <v>203.41</v>
      </c>
      <c r="J238" s="2">
        <f>Tabla2[[#This Row],[Quantity]]*I238</f>
        <v>1017.05</v>
      </c>
      <c r="K238" s="6">
        <f>MONTH(Tabla2[[#This Row],[OrderDate]])</f>
        <v>8</v>
      </c>
      <c r="L238" s="6">
        <f>YEAR(Tabla2[[#This Row],[OrderDate]])</f>
        <v>2025</v>
      </c>
      <c r="M238" s="7" t="s">
        <v>825</v>
      </c>
      <c r="N238" s="7" t="s">
        <v>91</v>
      </c>
    </row>
    <row r="239" spans="1:14" x14ac:dyDescent="0.35">
      <c r="A239" s="7" t="s">
        <v>826</v>
      </c>
      <c r="B239" s="7" t="s">
        <v>827</v>
      </c>
      <c r="C239" s="7" t="s">
        <v>828</v>
      </c>
      <c r="D239" s="7" t="s">
        <v>32</v>
      </c>
      <c r="E239" s="7" t="s">
        <v>61</v>
      </c>
      <c r="F239" s="7" t="s">
        <v>101</v>
      </c>
      <c r="G239" s="7" t="s">
        <v>102</v>
      </c>
      <c r="H239" s="7">
        <v>4</v>
      </c>
      <c r="I239" s="2">
        <v>347.41</v>
      </c>
      <c r="J239" s="2">
        <f>Tabla2[[#This Row],[Quantity]]*I239</f>
        <v>1389.64</v>
      </c>
      <c r="K239" s="6">
        <f>MONTH(Tabla2[[#This Row],[OrderDate]])</f>
        <v>2</v>
      </c>
      <c r="L239" s="6">
        <f>YEAR(Tabla2[[#This Row],[OrderDate]])</f>
        <v>2026</v>
      </c>
      <c r="M239" s="7" t="s">
        <v>795</v>
      </c>
      <c r="N239" s="7" t="s">
        <v>91</v>
      </c>
    </row>
    <row r="240" spans="1:14" x14ac:dyDescent="0.35">
      <c r="A240" s="7" t="s">
        <v>829</v>
      </c>
      <c r="B240" s="7" t="s">
        <v>464</v>
      </c>
      <c r="C240" s="7" t="s">
        <v>465</v>
      </c>
      <c r="D240" s="7" t="s">
        <v>32</v>
      </c>
      <c r="E240" s="7" t="s">
        <v>61</v>
      </c>
      <c r="F240" s="7" t="s">
        <v>16</v>
      </c>
      <c r="G240" s="7" t="s">
        <v>17</v>
      </c>
      <c r="H240" s="7">
        <v>2</v>
      </c>
      <c r="I240" s="2">
        <v>67.5</v>
      </c>
      <c r="J240" s="2">
        <f>Tabla2[[#This Row],[Quantity]]*I240</f>
        <v>135</v>
      </c>
      <c r="K240" s="6">
        <f>MONTH(Tabla2[[#This Row],[OrderDate]])</f>
        <v>8</v>
      </c>
      <c r="L240" s="6">
        <f>YEAR(Tabla2[[#This Row],[OrderDate]])</f>
        <v>2025</v>
      </c>
      <c r="M240" s="7" t="s">
        <v>830</v>
      </c>
      <c r="N240" s="7" t="s">
        <v>28</v>
      </c>
    </row>
    <row r="241" spans="1:14" x14ac:dyDescent="0.35">
      <c r="A241" s="7" t="s">
        <v>831</v>
      </c>
      <c r="B241" s="7" t="s">
        <v>832</v>
      </c>
      <c r="C241" s="7" t="s">
        <v>833</v>
      </c>
      <c r="D241" s="7" t="s">
        <v>67</v>
      </c>
      <c r="E241" s="7" t="s">
        <v>115</v>
      </c>
      <c r="F241" s="7" t="s">
        <v>50</v>
      </c>
      <c r="G241" s="7" t="s">
        <v>69</v>
      </c>
      <c r="H241" s="7">
        <v>4</v>
      </c>
      <c r="I241" s="2">
        <v>503.96</v>
      </c>
      <c r="J241" s="2">
        <f>Tabla2[[#This Row],[Quantity]]*I241</f>
        <v>2015.84</v>
      </c>
      <c r="K241" s="6">
        <f>MONTH(Tabla2[[#This Row],[OrderDate]])</f>
        <v>4</v>
      </c>
      <c r="L241" s="6">
        <f>YEAR(Tabla2[[#This Row],[OrderDate]])</f>
        <v>2024</v>
      </c>
      <c r="M241" s="7" t="s">
        <v>834</v>
      </c>
      <c r="N241" s="7" t="s">
        <v>28</v>
      </c>
    </row>
    <row r="242" spans="1:14" x14ac:dyDescent="0.35">
      <c r="A242" s="7" t="s">
        <v>835</v>
      </c>
      <c r="B242" s="7" t="s">
        <v>273</v>
      </c>
      <c r="C242" s="7" t="s">
        <v>274</v>
      </c>
      <c r="D242" s="7" t="s">
        <v>23</v>
      </c>
      <c r="E242" s="7" t="s">
        <v>338</v>
      </c>
      <c r="F242" s="7" t="s">
        <v>25</v>
      </c>
      <c r="G242" s="7" t="s">
        <v>74</v>
      </c>
      <c r="H242" s="7">
        <v>2</v>
      </c>
      <c r="I242" s="2">
        <v>1236.78</v>
      </c>
      <c r="J242" s="2">
        <f>Tabla2[[#This Row],[Quantity]]*I242</f>
        <v>2473.56</v>
      </c>
      <c r="K242" s="6">
        <f>MONTH(Tabla2[[#This Row],[OrderDate]])</f>
        <v>10</v>
      </c>
      <c r="L242" s="6">
        <f>YEAR(Tabla2[[#This Row],[OrderDate]])</f>
        <v>2025</v>
      </c>
      <c r="M242" s="7" t="s">
        <v>836</v>
      </c>
      <c r="N242" s="7" t="s">
        <v>91</v>
      </c>
    </row>
    <row r="243" spans="1:14" x14ac:dyDescent="0.35">
      <c r="A243" s="7" t="s">
        <v>837</v>
      </c>
      <c r="B243" s="7" t="s">
        <v>838</v>
      </c>
      <c r="C243" s="7" t="s">
        <v>839</v>
      </c>
      <c r="D243" s="7" t="s">
        <v>40</v>
      </c>
      <c r="E243" s="7" t="s">
        <v>79</v>
      </c>
      <c r="F243" s="7" t="s">
        <v>42</v>
      </c>
      <c r="G243" s="7" t="s">
        <v>225</v>
      </c>
      <c r="H243" s="7">
        <v>1</v>
      </c>
      <c r="I243" s="2">
        <v>133.47</v>
      </c>
      <c r="J243" s="2">
        <f>Tabla2[[#This Row],[Quantity]]*I243</f>
        <v>133.47</v>
      </c>
      <c r="K243" s="6">
        <f>MONTH(Tabla2[[#This Row],[OrderDate]])</f>
        <v>12</v>
      </c>
      <c r="L243" s="6">
        <f>YEAR(Tabla2[[#This Row],[OrderDate]])</f>
        <v>2024</v>
      </c>
      <c r="M243" s="7" t="s">
        <v>840</v>
      </c>
      <c r="N243" s="7" t="s">
        <v>28</v>
      </c>
    </row>
    <row r="244" spans="1:14" x14ac:dyDescent="0.35">
      <c r="A244" s="7" t="s">
        <v>841</v>
      </c>
      <c r="B244" s="7" t="s">
        <v>842</v>
      </c>
      <c r="C244" s="7" t="s">
        <v>843</v>
      </c>
      <c r="D244" s="7" t="s">
        <v>23</v>
      </c>
      <c r="E244" s="7" t="s">
        <v>338</v>
      </c>
      <c r="F244" s="7" t="s">
        <v>50</v>
      </c>
      <c r="G244" s="7" t="s">
        <v>51</v>
      </c>
      <c r="H244" s="7">
        <v>3</v>
      </c>
      <c r="I244" s="2">
        <v>1231.49</v>
      </c>
      <c r="J244" s="2">
        <f>Tabla2[[#This Row],[Quantity]]*I244</f>
        <v>3694.4700000000003</v>
      </c>
      <c r="K244" s="6">
        <f>MONTH(Tabla2[[#This Row],[OrderDate]])</f>
        <v>5</v>
      </c>
      <c r="L244" s="6">
        <f>YEAR(Tabla2[[#This Row],[OrderDate]])</f>
        <v>2024</v>
      </c>
      <c r="M244" s="7" t="s">
        <v>844</v>
      </c>
      <c r="N244" s="7" t="s">
        <v>28</v>
      </c>
    </row>
    <row r="245" spans="1:14" x14ac:dyDescent="0.35">
      <c r="A245" s="7" t="s">
        <v>845</v>
      </c>
      <c r="B245" s="7" t="s">
        <v>681</v>
      </c>
      <c r="C245" s="7" t="s">
        <v>682</v>
      </c>
      <c r="D245" s="7" t="s">
        <v>32</v>
      </c>
      <c r="E245" s="7" t="s">
        <v>203</v>
      </c>
      <c r="F245" s="7" t="s">
        <v>101</v>
      </c>
      <c r="G245" s="7" t="s">
        <v>373</v>
      </c>
      <c r="H245" s="7">
        <v>5</v>
      </c>
      <c r="I245" s="2">
        <v>1118.03</v>
      </c>
      <c r="J245" s="2">
        <f>Tabla2[[#This Row],[Quantity]]*I245</f>
        <v>5590.15</v>
      </c>
      <c r="K245" s="6">
        <f>MONTH(Tabla2[[#This Row],[OrderDate]])</f>
        <v>6</v>
      </c>
      <c r="L245" s="6">
        <f>YEAR(Tabla2[[#This Row],[OrderDate]])</f>
        <v>2024</v>
      </c>
      <c r="M245" s="7" t="s">
        <v>846</v>
      </c>
      <c r="N245" s="7" t="s">
        <v>45</v>
      </c>
    </row>
    <row r="246" spans="1:14" x14ac:dyDescent="0.35">
      <c r="A246" s="7" t="s">
        <v>847</v>
      </c>
      <c r="B246" s="7" t="s">
        <v>287</v>
      </c>
      <c r="C246" s="7" t="s">
        <v>288</v>
      </c>
      <c r="D246" s="7" t="s">
        <v>14</v>
      </c>
      <c r="E246" s="7" t="s">
        <v>125</v>
      </c>
      <c r="F246" s="7" t="s">
        <v>42</v>
      </c>
      <c r="G246" s="7" t="s">
        <v>43</v>
      </c>
      <c r="H246" s="7">
        <v>1</v>
      </c>
      <c r="I246" s="2">
        <v>215.6</v>
      </c>
      <c r="J246" s="2">
        <f>Tabla2[[#This Row],[Quantity]]*I246</f>
        <v>215.6</v>
      </c>
      <c r="K246" s="6">
        <f>MONTH(Tabla2[[#This Row],[OrderDate]])</f>
        <v>11</v>
      </c>
      <c r="L246" s="6">
        <f>YEAR(Tabla2[[#This Row],[OrderDate]])</f>
        <v>2025</v>
      </c>
      <c r="M246" s="7" t="s">
        <v>713</v>
      </c>
      <c r="N246" s="7" t="s">
        <v>36</v>
      </c>
    </row>
    <row r="247" spans="1:14" x14ac:dyDescent="0.35">
      <c r="A247" s="7" t="s">
        <v>848</v>
      </c>
      <c r="B247" s="7" t="s">
        <v>446</v>
      </c>
      <c r="C247" s="7" t="s">
        <v>447</v>
      </c>
      <c r="D247" s="7" t="s">
        <v>40</v>
      </c>
      <c r="E247" s="7" t="s">
        <v>120</v>
      </c>
      <c r="F247" s="7" t="s">
        <v>50</v>
      </c>
      <c r="G247" s="7" t="s">
        <v>170</v>
      </c>
      <c r="H247" s="7">
        <v>1</v>
      </c>
      <c r="I247" s="2">
        <v>891.28</v>
      </c>
      <c r="J247" s="2">
        <f>Tabla2[[#This Row],[Quantity]]*I247</f>
        <v>891.28</v>
      </c>
      <c r="K247" s="6">
        <f>MONTH(Tabla2[[#This Row],[OrderDate]])</f>
        <v>9</v>
      </c>
      <c r="L247" s="6">
        <f>YEAR(Tabla2[[#This Row],[OrderDate]])</f>
        <v>2025</v>
      </c>
      <c r="M247" s="7" t="s">
        <v>701</v>
      </c>
      <c r="N247" s="7" t="s">
        <v>45</v>
      </c>
    </row>
    <row r="248" spans="1:14" x14ac:dyDescent="0.35">
      <c r="A248" s="7" t="s">
        <v>849</v>
      </c>
      <c r="B248" s="7" t="s">
        <v>723</v>
      </c>
      <c r="C248" s="7" t="s">
        <v>724</v>
      </c>
      <c r="D248" s="7" t="s">
        <v>32</v>
      </c>
      <c r="E248" s="7" t="s">
        <v>203</v>
      </c>
      <c r="F248" s="7" t="s">
        <v>25</v>
      </c>
      <c r="G248" s="7" t="s">
        <v>62</v>
      </c>
      <c r="H248" s="7">
        <v>2</v>
      </c>
      <c r="I248" s="2">
        <v>342.44</v>
      </c>
      <c r="J248" s="2">
        <f>Tabla2[[#This Row],[Quantity]]*I248</f>
        <v>684.88</v>
      </c>
      <c r="K248" s="6">
        <f>MONTH(Tabla2[[#This Row],[OrderDate]])</f>
        <v>2</v>
      </c>
      <c r="L248" s="6">
        <f>YEAR(Tabla2[[#This Row],[OrderDate]])</f>
        <v>2024</v>
      </c>
      <c r="M248" s="7" t="s">
        <v>850</v>
      </c>
      <c r="N248" s="7" t="s">
        <v>45</v>
      </c>
    </row>
    <row r="249" spans="1:14" x14ac:dyDescent="0.35">
      <c r="A249" s="7" t="s">
        <v>851</v>
      </c>
      <c r="B249" s="7" t="s">
        <v>388</v>
      </c>
      <c r="C249" s="7" t="s">
        <v>389</v>
      </c>
      <c r="D249" s="7" t="s">
        <v>23</v>
      </c>
      <c r="E249" s="7" t="s">
        <v>24</v>
      </c>
      <c r="F249" s="7" t="s">
        <v>42</v>
      </c>
      <c r="G249" s="7" t="s">
        <v>89</v>
      </c>
      <c r="H249" s="7">
        <v>4</v>
      </c>
      <c r="I249" s="2">
        <v>1427.91</v>
      </c>
      <c r="J249" s="2">
        <f>Tabla2[[#This Row],[Quantity]]*I249</f>
        <v>5711.64</v>
      </c>
      <c r="K249" s="6">
        <f>MONTH(Tabla2[[#This Row],[OrderDate]])</f>
        <v>7</v>
      </c>
      <c r="L249" s="6">
        <f>YEAR(Tabla2[[#This Row],[OrderDate]])</f>
        <v>2024</v>
      </c>
      <c r="M249" s="7" t="s">
        <v>534</v>
      </c>
      <c r="N249" s="7" t="s">
        <v>28</v>
      </c>
    </row>
    <row r="250" spans="1:14" x14ac:dyDescent="0.35">
      <c r="A250" s="7" t="s">
        <v>852</v>
      </c>
      <c r="B250" s="7" t="s">
        <v>853</v>
      </c>
      <c r="C250" s="7" t="s">
        <v>854</v>
      </c>
      <c r="D250" s="7" t="s">
        <v>23</v>
      </c>
      <c r="E250" s="7" t="s">
        <v>49</v>
      </c>
      <c r="F250" s="7" t="s">
        <v>25</v>
      </c>
      <c r="G250" s="7" t="s">
        <v>26</v>
      </c>
      <c r="H250" s="7">
        <v>2</v>
      </c>
      <c r="I250" s="2">
        <v>369.14</v>
      </c>
      <c r="J250" s="2">
        <f>Tabla2[[#This Row],[Quantity]]*I250</f>
        <v>738.28</v>
      </c>
      <c r="K250" s="6">
        <f>MONTH(Tabla2[[#This Row],[OrderDate]])</f>
        <v>2</v>
      </c>
      <c r="L250" s="6">
        <f>YEAR(Tabla2[[#This Row],[OrderDate]])</f>
        <v>2024</v>
      </c>
      <c r="M250" s="7" t="s">
        <v>546</v>
      </c>
      <c r="N250" s="7" t="s">
        <v>19</v>
      </c>
    </row>
    <row r="251" spans="1:14" x14ac:dyDescent="0.35">
      <c r="A251" s="7" t="s">
        <v>855</v>
      </c>
      <c r="B251" s="7" t="s">
        <v>856</v>
      </c>
      <c r="C251" s="7" t="s">
        <v>857</v>
      </c>
      <c r="D251" s="7" t="s">
        <v>67</v>
      </c>
      <c r="E251" s="7" t="s">
        <v>115</v>
      </c>
      <c r="F251" s="7" t="s">
        <v>101</v>
      </c>
      <c r="G251" s="7" t="s">
        <v>102</v>
      </c>
      <c r="H251" s="7">
        <v>4</v>
      </c>
      <c r="I251" s="2">
        <v>309.58999999999997</v>
      </c>
      <c r="J251" s="2">
        <f>Tabla2[[#This Row],[Quantity]]*I251</f>
        <v>1238.3599999999999</v>
      </c>
      <c r="K251" s="6">
        <f>MONTH(Tabla2[[#This Row],[OrderDate]])</f>
        <v>8</v>
      </c>
      <c r="L251" s="6">
        <f>YEAR(Tabla2[[#This Row],[OrderDate]])</f>
        <v>2025</v>
      </c>
      <c r="M251" s="7" t="s">
        <v>858</v>
      </c>
      <c r="N251" s="7" t="s">
        <v>36</v>
      </c>
    </row>
    <row r="252" spans="1:14" x14ac:dyDescent="0.35">
      <c r="A252" s="7" t="s">
        <v>859</v>
      </c>
      <c r="B252" s="7" t="s">
        <v>860</v>
      </c>
      <c r="C252" s="7" t="s">
        <v>861</v>
      </c>
      <c r="D252" s="7" t="s">
        <v>40</v>
      </c>
      <c r="E252" s="7" t="s">
        <v>120</v>
      </c>
      <c r="F252" s="7" t="s">
        <v>16</v>
      </c>
      <c r="G252" s="7" t="s">
        <v>177</v>
      </c>
      <c r="H252" s="7">
        <v>2</v>
      </c>
      <c r="I252" s="2">
        <v>336.85</v>
      </c>
      <c r="J252" s="2">
        <f>Tabla2[[#This Row],[Quantity]]*I252</f>
        <v>673.7</v>
      </c>
      <c r="K252" s="6">
        <f>MONTH(Tabla2[[#This Row],[OrderDate]])</f>
        <v>4</v>
      </c>
      <c r="L252" s="6">
        <f>YEAR(Tabla2[[#This Row],[OrderDate]])</f>
        <v>2024</v>
      </c>
      <c r="M252" s="7" t="s">
        <v>862</v>
      </c>
      <c r="N252" s="7" t="s">
        <v>91</v>
      </c>
    </row>
    <row r="253" spans="1:14" x14ac:dyDescent="0.35">
      <c r="A253" s="7" t="s">
        <v>863</v>
      </c>
      <c r="B253" s="7" t="s">
        <v>864</v>
      </c>
      <c r="C253" s="7" t="s">
        <v>865</v>
      </c>
      <c r="D253" s="7" t="s">
        <v>67</v>
      </c>
      <c r="E253" s="7" t="s">
        <v>130</v>
      </c>
      <c r="F253" s="7" t="s">
        <v>101</v>
      </c>
      <c r="G253" s="7" t="s">
        <v>102</v>
      </c>
      <c r="H253" s="7">
        <v>4</v>
      </c>
      <c r="I253" s="2">
        <v>76.11</v>
      </c>
      <c r="J253" s="2">
        <f>Tabla2[[#This Row],[Quantity]]*I253</f>
        <v>304.44</v>
      </c>
      <c r="K253" s="6">
        <f>MONTH(Tabla2[[#This Row],[OrderDate]])</f>
        <v>8</v>
      </c>
      <c r="L253" s="6">
        <f>YEAR(Tabla2[[#This Row],[OrderDate]])</f>
        <v>2024</v>
      </c>
      <c r="M253" s="7" t="s">
        <v>866</v>
      </c>
      <c r="N253" s="7" t="s">
        <v>91</v>
      </c>
    </row>
    <row r="254" spans="1:14" x14ac:dyDescent="0.35">
      <c r="A254" s="7" t="s">
        <v>867</v>
      </c>
      <c r="B254" s="7" t="s">
        <v>868</v>
      </c>
      <c r="C254" s="7" t="s">
        <v>869</v>
      </c>
      <c r="D254" s="7" t="s">
        <v>14</v>
      </c>
      <c r="E254" s="7" t="s">
        <v>125</v>
      </c>
      <c r="F254" s="7" t="s">
        <v>42</v>
      </c>
      <c r="G254" s="7" t="s">
        <v>170</v>
      </c>
      <c r="H254" s="7">
        <v>5</v>
      </c>
      <c r="I254" s="2">
        <v>1185.07</v>
      </c>
      <c r="J254" s="2">
        <f>Tabla2[[#This Row],[Quantity]]*I254</f>
        <v>5925.3499999999995</v>
      </c>
      <c r="K254" s="6">
        <f>MONTH(Tabla2[[#This Row],[OrderDate]])</f>
        <v>5</v>
      </c>
      <c r="L254" s="6">
        <f>YEAR(Tabla2[[#This Row],[OrderDate]])</f>
        <v>2025</v>
      </c>
      <c r="M254" s="7" t="s">
        <v>870</v>
      </c>
      <c r="N254" s="7" t="s">
        <v>45</v>
      </c>
    </row>
    <row r="255" spans="1:14" x14ac:dyDescent="0.35">
      <c r="A255" s="7" t="s">
        <v>871</v>
      </c>
      <c r="B255" s="7" t="s">
        <v>590</v>
      </c>
      <c r="C255" s="7" t="s">
        <v>591</v>
      </c>
      <c r="D255" s="7" t="s">
        <v>67</v>
      </c>
      <c r="E255" s="7" t="s">
        <v>130</v>
      </c>
      <c r="F255" s="7" t="s">
        <v>16</v>
      </c>
      <c r="G255" s="7" t="s">
        <v>182</v>
      </c>
      <c r="H255" s="7">
        <v>5</v>
      </c>
      <c r="I255" s="2">
        <v>870.91</v>
      </c>
      <c r="J255" s="2">
        <f>Tabla2[[#This Row],[Quantity]]*I255</f>
        <v>4354.55</v>
      </c>
      <c r="K255" s="6">
        <f>MONTH(Tabla2[[#This Row],[OrderDate]])</f>
        <v>2</v>
      </c>
      <c r="L255" s="6">
        <f>YEAR(Tabla2[[#This Row],[OrderDate]])</f>
        <v>2025</v>
      </c>
      <c r="M255" s="7" t="s">
        <v>872</v>
      </c>
      <c r="N255" s="7" t="s">
        <v>28</v>
      </c>
    </row>
    <row r="256" spans="1:14" x14ac:dyDescent="0.35">
      <c r="A256" s="7" t="s">
        <v>873</v>
      </c>
      <c r="B256" s="7" t="s">
        <v>287</v>
      </c>
      <c r="C256" s="7" t="s">
        <v>288</v>
      </c>
      <c r="D256" s="7" t="s">
        <v>23</v>
      </c>
      <c r="E256" s="7" t="s">
        <v>49</v>
      </c>
      <c r="F256" s="7" t="s">
        <v>42</v>
      </c>
      <c r="G256" s="7" t="s">
        <v>43</v>
      </c>
      <c r="H256" s="7">
        <v>5</v>
      </c>
      <c r="I256" s="2">
        <v>385.79</v>
      </c>
      <c r="J256" s="2">
        <f>Tabla2[[#This Row],[Quantity]]*I256</f>
        <v>1928.95</v>
      </c>
      <c r="K256" s="6">
        <f>MONTH(Tabla2[[#This Row],[OrderDate]])</f>
        <v>5</v>
      </c>
      <c r="L256" s="6">
        <f>YEAR(Tabla2[[#This Row],[OrderDate]])</f>
        <v>2024</v>
      </c>
      <c r="M256" s="7" t="s">
        <v>874</v>
      </c>
      <c r="N256" s="7" t="s">
        <v>45</v>
      </c>
    </row>
    <row r="257" spans="1:14" x14ac:dyDescent="0.35">
      <c r="A257" s="7" t="s">
        <v>875</v>
      </c>
      <c r="B257" s="7" t="s">
        <v>817</v>
      </c>
      <c r="C257" s="7" t="s">
        <v>818</v>
      </c>
      <c r="D257" s="7" t="s">
        <v>23</v>
      </c>
      <c r="E257" s="7" t="s">
        <v>24</v>
      </c>
      <c r="F257" s="7" t="s">
        <v>25</v>
      </c>
      <c r="G257" s="7" t="s">
        <v>139</v>
      </c>
      <c r="H257" s="7">
        <v>3</v>
      </c>
      <c r="I257" s="2">
        <v>1359.96</v>
      </c>
      <c r="J257" s="2">
        <f>Tabla2[[#This Row],[Quantity]]*I257</f>
        <v>4079.88</v>
      </c>
      <c r="K257" s="6">
        <f>MONTH(Tabla2[[#This Row],[OrderDate]])</f>
        <v>1</v>
      </c>
      <c r="L257" s="6">
        <f>YEAR(Tabla2[[#This Row],[OrderDate]])</f>
        <v>2025</v>
      </c>
      <c r="M257" s="7" t="s">
        <v>876</v>
      </c>
      <c r="N257" s="7" t="s">
        <v>91</v>
      </c>
    </row>
    <row r="258" spans="1:14" x14ac:dyDescent="0.35">
      <c r="A258" s="7" t="s">
        <v>877</v>
      </c>
      <c r="B258" s="7" t="s">
        <v>878</v>
      </c>
      <c r="C258" s="7" t="s">
        <v>879</v>
      </c>
      <c r="D258" s="7" t="s">
        <v>67</v>
      </c>
      <c r="E258" s="7" t="s">
        <v>130</v>
      </c>
      <c r="F258" s="7" t="s">
        <v>101</v>
      </c>
      <c r="G258" s="7" t="s">
        <v>373</v>
      </c>
      <c r="H258" s="7">
        <v>1</v>
      </c>
      <c r="I258" s="2">
        <v>898.12</v>
      </c>
      <c r="J258" s="2">
        <f>Tabla2[[#This Row],[Quantity]]*I258</f>
        <v>898.12</v>
      </c>
      <c r="K258" s="6">
        <f>MONTH(Tabla2[[#This Row],[OrderDate]])</f>
        <v>9</v>
      </c>
      <c r="L258" s="6">
        <f>YEAR(Tabla2[[#This Row],[OrderDate]])</f>
        <v>2024</v>
      </c>
      <c r="M258" s="7" t="s">
        <v>880</v>
      </c>
      <c r="N258" s="7" t="s">
        <v>45</v>
      </c>
    </row>
    <row r="259" spans="1:14" x14ac:dyDescent="0.35">
      <c r="A259" s="7" t="s">
        <v>881</v>
      </c>
      <c r="B259" s="7" t="s">
        <v>439</v>
      </c>
      <c r="C259" s="7" t="s">
        <v>440</v>
      </c>
      <c r="D259" s="7" t="s">
        <v>23</v>
      </c>
      <c r="E259" s="7" t="s">
        <v>24</v>
      </c>
      <c r="F259" s="7" t="s">
        <v>42</v>
      </c>
      <c r="G259" s="7" t="s">
        <v>80</v>
      </c>
      <c r="H259" s="7">
        <v>1</v>
      </c>
      <c r="I259" s="2">
        <v>845.95</v>
      </c>
      <c r="J259" s="2">
        <f>Tabla2[[#This Row],[Quantity]]*I259</f>
        <v>845.95</v>
      </c>
      <c r="K259" s="6">
        <f>MONTH(Tabla2[[#This Row],[OrderDate]])</f>
        <v>7</v>
      </c>
      <c r="L259" s="6">
        <f>YEAR(Tabla2[[#This Row],[OrderDate]])</f>
        <v>2024</v>
      </c>
      <c r="M259" s="7" t="s">
        <v>882</v>
      </c>
      <c r="N259" s="7" t="s">
        <v>19</v>
      </c>
    </row>
    <row r="260" spans="1:14" x14ac:dyDescent="0.35">
      <c r="A260" s="7" t="s">
        <v>883</v>
      </c>
      <c r="B260" s="7" t="s">
        <v>123</v>
      </c>
      <c r="C260" s="7" t="s">
        <v>124</v>
      </c>
      <c r="D260" s="7" t="s">
        <v>32</v>
      </c>
      <c r="E260" s="7" t="s">
        <v>61</v>
      </c>
      <c r="F260" s="7" t="s">
        <v>16</v>
      </c>
      <c r="G260" s="7" t="s">
        <v>148</v>
      </c>
      <c r="H260" s="7">
        <v>2</v>
      </c>
      <c r="I260" s="2">
        <v>748.45</v>
      </c>
      <c r="J260" s="2">
        <f>Tabla2[[#This Row],[Quantity]]*I260</f>
        <v>1496.9</v>
      </c>
      <c r="K260" s="6">
        <f>MONTH(Tabla2[[#This Row],[OrderDate]])</f>
        <v>1</v>
      </c>
      <c r="L260" s="6">
        <f>YEAR(Tabla2[[#This Row],[OrderDate]])</f>
        <v>2026</v>
      </c>
      <c r="M260" s="7" t="s">
        <v>884</v>
      </c>
      <c r="N260" s="7" t="s">
        <v>91</v>
      </c>
    </row>
    <row r="261" spans="1:14" x14ac:dyDescent="0.35">
      <c r="A261" s="7" t="s">
        <v>885</v>
      </c>
      <c r="B261" s="7" t="s">
        <v>83</v>
      </c>
      <c r="C261" s="7" t="s">
        <v>84</v>
      </c>
      <c r="D261" s="7" t="s">
        <v>40</v>
      </c>
      <c r="E261" s="7" t="s">
        <v>41</v>
      </c>
      <c r="F261" s="7" t="s">
        <v>101</v>
      </c>
      <c r="G261" s="7" t="s">
        <v>237</v>
      </c>
      <c r="H261" s="7">
        <v>3</v>
      </c>
      <c r="I261" s="2">
        <v>872.3</v>
      </c>
      <c r="J261" s="2">
        <f>Tabla2[[#This Row],[Quantity]]*I261</f>
        <v>2616.8999999999996</v>
      </c>
      <c r="K261" s="6">
        <f>MONTH(Tabla2[[#This Row],[OrderDate]])</f>
        <v>6</v>
      </c>
      <c r="L261" s="6">
        <f>YEAR(Tabla2[[#This Row],[OrderDate]])</f>
        <v>2024</v>
      </c>
      <c r="M261" s="7" t="s">
        <v>886</v>
      </c>
      <c r="N261" s="7" t="s">
        <v>36</v>
      </c>
    </row>
    <row r="262" spans="1:14" x14ac:dyDescent="0.35">
      <c r="A262" s="7" t="s">
        <v>887</v>
      </c>
      <c r="B262" s="7" t="s">
        <v>197</v>
      </c>
      <c r="C262" s="7" t="s">
        <v>198</v>
      </c>
      <c r="D262" s="7" t="s">
        <v>40</v>
      </c>
      <c r="E262" s="7" t="s">
        <v>79</v>
      </c>
      <c r="F262" s="7" t="s">
        <v>101</v>
      </c>
      <c r="G262" s="7" t="s">
        <v>373</v>
      </c>
      <c r="H262" s="7">
        <v>3</v>
      </c>
      <c r="I262" s="2">
        <v>673.72</v>
      </c>
      <c r="J262" s="2">
        <f>Tabla2[[#This Row],[Quantity]]*I262</f>
        <v>2021.16</v>
      </c>
      <c r="K262" s="6">
        <f>MONTH(Tabla2[[#This Row],[OrderDate]])</f>
        <v>7</v>
      </c>
      <c r="L262" s="6">
        <f>YEAR(Tabla2[[#This Row],[OrderDate]])</f>
        <v>2025</v>
      </c>
      <c r="M262" s="7" t="s">
        <v>888</v>
      </c>
      <c r="N262" s="7" t="s">
        <v>19</v>
      </c>
    </row>
    <row r="263" spans="1:14" x14ac:dyDescent="0.35">
      <c r="A263" s="7" t="s">
        <v>889</v>
      </c>
      <c r="B263" s="7" t="s">
        <v>252</v>
      </c>
      <c r="C263" s="7" t="s">
        <v>253</v>
      </c>
      <c r="D263" s="7" t="s">
        <v>32</v>
      </c>
      <c r="E263" s="7" t="s">
        <v>33</v>
      </c>
      <c r="F263" s="7" t="s">
        <v>42</v>
      </c>
      <c r="G263" s="7" t="s">
        <v>170</v>
      </c>
      <c r="H263" s="7">
        <v>3</v>
      </c>
      <c r="I263" s="2">
        <v>1321.11</v>
      </c>
      <c r="J263" s="2">
        <f>Tabla2[[#This Row],[Quantity]]*I263</f>
        <v>3963.33</v>
      </c>
      <c r="K263" s="6">
        <f>MONTH(Tabla2[[#This Row],[OrderDate]])</f>
        <v>11</v>
      </c>
      <c r="L263" s="6">
        <f>YEAR(Tabla2[[#This Row],[OrderDate]])</f>
        <v>2025</v>
      </c>
      <c r="M263" s="7" t="s">
        <v>890</v>
      </c>
      <c r="N263" s="7" t="s">
        <v>36</v>
      </c>
    </row>
    <row r="264" spans="1:14" x14ac:dyDescent="0.35">
      <c r="A264" s="7" t="s">
        <v>891</v>
      </c>
      <c r="B264" s="7" t="s">
        <v>163</v>
      </c>
      <c r="C264" s="7" t="s">
        <v>164</v>
      </c>
      <c r="D264" s="7" t="s">
        <v>40</v>
      </c>
      <c r="E264" s="7" t="s">
        <v>41</v>
      </c>
      <c r="F264" s="7" t="s">
        <v>25</v>
      </c>
      <c r="G264" s="7" t="s">
        <v>34</v>
      </c>
      <c r="H264" s="7">
        <v>4</v>
      </c>
      <c r="I264" s="2">
        <v>615.25</v>
      </c>
      <c r="J264" s="2">
        <f>Tabla2[[#This Row],[Quantity]]*I264</f>
        <v>2461</v>
      </c>
      <c r="K264" s="6">
        <f>MONTH(Tabla2[[#This Row],[OrderDate]])</f>
        <v>8</v>
      </c>
      <c r="L264" s="6">
        <f>YEAR(Tabla2[[#This Row],[OrderDate]])</f>
        <v>2024</v>
      </c>
      <c r="M264" s="7" t="s">
        <v>892</v>
      </c>
      <c r="N264" s="7" t="s">
        <v>28</v>
      </c>
    </row>
    <row r="265" spans="1:14" x14ac:dyDescent="0.35">
      <c r="A265" s="7" t="s">
        <v>893</v>
      </c>
      <c r="B265" s="7" t="s">
        <v>594</v>
      </c>
      <c r="C265" s="7" t="s">
        <v>595</v>
      </c>
      <c r="D265" s="7" t="s">
        <v>23</v>
      </c>
      <c r="E265" s="7" t="s">
        <v>49</v>
      </c>
      <c r="F265" s="7" t="s">
        <v>42</v>
      </c>
      <c r="G265" s="7" t="s">
        <v>225</v>
      </c>
      <c r="H265" s="7">
        <v>4</v>
      </c>
      <c r="I265" s="2">
        <v>1216.08</v>
      </c>
      <c r="J265" s="2">
        <f>Tabla2[[#This Row],[Quantity]]*I265</f>
        <v>4864.32</v>
      </c>
      <c r="K265" s="6">
        <f>MONTH(Tabla2[[#This Row],[OrderDate]])</f>
        <v>2</v>
      </c>
      <c r="L265" s="6">
        <f>YEAR(Tabla2[[#This Row],[OrderDate]])</f>
        <v>2024</v>
      </c>
      <c r="M265" s="7" t="s">
        <v>894</v>
      </c>
      <c r="N265" s="7" t="s">
        <v>36</v>
      </c>
    </row>
    <row r="266" spans="1:14" x14ac:dyDescent="0.35">
      <c r="A266" s="7" t="s">
        <v>895</v>
      </c>
      <c r="B266" s="7" t="s">
        <v>133</v>
      </c>
      <c r="C266" s="7" t="s">
        <v>134</v>
      </c>
      <c r="D266" s="7" t="s">
        <v>32</v>
      </c>
      <c r="E266" s="7" t="s">
        <v>61</v>
      </c>
      <c r="F266" s="7" t="s">
        <v>42</v>
      </c>
      <c r="G266" s="7" t="s">
        <v>89</v>
      </c>
      <c r="H266" s="7">
        <v>2</v>
      </c>
      <c r="I266" s="2">
        <v>9.9</v>
      </c>
      <c r="J266" s="2">
        <f>Tabla2[[#This Row],[Quantity]]*I266</f>
        <v>19.8</v>
      </c>
      <c r="K266" s="6">
        <f>MONTH(Tabla2[[#This Row],[OrderDate]])</f>
        <v>6</v>
      </c>
      <c r="L266" s="6">
        <f>YEAR(Tabla2[[#This Row],[OrderDate]])</f>
        <v>2024</v>
      </c>
      <c r="M266" s="7" t="s">
        <v>896</v>
      </c>
      <c r="N266" s="7" t="s">
        <v>45</v>
      </c>
    </row>
    <row r="267" spans="1:14" x14ac:dyDescent="0.35">
      <c r="A267" s="7" t="s">
        <v>897</v>
      </c>
      <c r="B267" s="7" t="s">
        <v>817</v>
      </c>
      <c r="C267" s="7" t="s">
        <v>818</v>
      </c>
      <c r="D267" s="7" t="s">
        <v>14</v>
      </c>
      <c r="E267" s="7" t="s">
        <v>100</v>
      </c>
      <c r="F267" s="7" t="s">
        <v>16</v>
      </c>
      <c r="G267" s="7" t="s">
        <v>177</v>
      </c>
      <c r="H267" s="7">
        <v>2</v>
      </c>
      <c r="I267" s="2">
        <v>221.77</v>
      </c>
      <c r="J267" s="2">
        <f>Tabla2[[#This Row],[Quantity]]*I267</f>
        <v>443.54</v>
      </c>
      <c r="K267" s="6">
        <f>MONTH(Tabla2[[#This Row],[OrderDate]])</f>
        <v>6</v>
      </c>
      <c r="L267" s="6">
        <f>YEAR(Tabla2[[#This Row],[OrderDate]])</f>
        <v>2024</v>
      </c>
      <c r="M267" s="7" t="s">
        <v>361</v>
      </c>
      <c r="N267" s="7" t="s">
        <v>91</v>
      </c>
    </row>
    <row r="268" spans="1:14" x14ac:dyDescent="0.35">
      <c r="A268" s="7" t="s">
        <v>898</v>
      </c>
      <c r="B268" s="7" t="s">
        <v>775</v>
      </c>
      <c r="C268" s="7" t="s">
        <v>776</v>
      </c>
      <c r="D268" s="7" t="s">
        <v>23</v>
      </c>
      <c r="E268" s="7" t="s">
        <v>338</v>
      </c>
      <c r="F268" s="7" t="s">
        <v>25</v>
      </c>
      <c r="G268" s="7" t="s">
        <v>26</v>
      </c>
      <c r="H268" s="7">
        <v>1</v>
      </c>
      <c r="I268" s="2">
        <v>695</v>
      </c>
      <c r="J268" s="2">
        <f>Tabla2[[#This Row],[Quantity]]*I268</f>
        <v>695</v>
      </c>
      <c r="K268" s="6">
        <f>MONTH(Tabla2[[#This Row],[OrderDate]])</f>
        <v>11</v>
      </c>
      <c r="L268" s="6">
        <f>YEAR(Tabla2[[#This Row],[OrderDate]])</f>
        <v>2025</v>
      </c>
      <c r="M268" s="7" t="s">
        <v>479</v>
      </c>
      <c r="N268" s="7" t="s">
        <v>19</v>
      </c>
    </row>
    <row r="269" spans="1:14" x14ac:dyDescent="0.35">
      <c r="A269" s="7" t="s">
        <v>899</v>
      </c>
      <c r="B269" s="7" t="s">
        <v>273</v>
      </c>
      <c r="C269" s="7" t="s">
        <v>274</v>
      </c>
      <c r="D269" s="7" t="s">
        <v>40</v>
      </c>
      <c r="E269" s="7" t="s">
        <v>79</v>
      </c>
      <c r="F269" s="7" t="s">
        <v>25</v>
      </c>
      <c r="G269" s="7" t="s">
        <v>62</v>
      </c>
      <c r="H269" s="7">
        <v>3</v>
      </c>
      <c r="I269" s="2">
        <v>895.46</v>
      </c>
      <c r="J269" s="2">
        <f>Tabla2[[#This Row],[Quantity]]*I269</f>
        <v>2686.38</v>
      </c>
      <c r="K269" s="6">
        <f>MONTH(Tabla2[[#This Row],[OrderDate]])</f>
        <v>5</v>
      </c>
      <c r="L269" s="6">
        <f>YEAR(Tabla2[[#This Row],[OrderDate]])</f>
        <v>2025</v>
      </c>
      <c r="M269" s="7" t="s">
        <v>319</v>
      </c>
      <c r="N269" s="7" t="s">
        <v>28</v>
      </c>
    </row>
    <row r="270" spans="1:14" x14ac:dyDescent="0.35">
      <c r="A270" s="7" t="s">
        <v>900</v>
      </c>
      <c r="B270" s="7" t="s">
        <v>901</v>
      </c>
      <c r="C270" s="7" t="s">
        <v>902</v>
      </c>
      <c r="D270" s="7" t="s">
        <v>67</v>
      </c>
      <c r="E270" s="7" t="s">
        <v>68</v>
      </c>
      <c r="F270" s="7" t="s">
        <v>101</v>
      </c>
      <c r="G270" s="7" t="s">
        <v>649</v>
      </c>
      <c r="H270" s="7">
        <v>3</v>
      </c>
      <c r="I270" s="2">
        <v>99.01</v>
      </c>
      <c r="J270" s="2">
        <f>Tabla2[[#This Row],[Quantity]]*I270</f>
        <v>297.03000000000003</v>
      </c>
      <c r="K270" s="6">
        <f>MONTH(Tabla2[[#This Row],[OrderDate]])</f>
        <v>5</v>
      </c>
      <c r="L270" s="6">
        <f>YEAR(Tabla2[[#This Row],[OrderDate]])</f>
        <v>2024</v>
      </c>
      <c r="M270" s="7" t="s">
        <v>96</v>
      </c>
      <c r="N270" s="7" t="s">
        <v>45</v>
      </c>
    </row>
    <row r="271" spans="1:14" x14ac:dyDescent="0.35">
      <c r="A271" s="7" t="s">
        <v>903</v>
      </c>
      <c r="B271" s="7" t="s">
        <v>904</v>
      </c>
      <c r="C271" s="7" t="s">
        <v>905</v>
      </c>
      <c r="D271" s="7" t="s">
        <v>14</v>
      </c>
      <c r="E271" s="7" t="s">
        <v>266</v>
      </c>
      <c r="F271" s="7" t="s">
        <v>101</v>
      </c>
      <c r="G271" s="7" t="s">
        <v>237</v>
      </c>
      <c r="H271" s="7">
        <v>1</v>
      </c>
      <c r="I271" s="2">
        <v>495.86</v>
      </c>
      <c r="J271" s="2">
        <f>Tabla2[[#This Row],[Quantity]]*I271</f>
        <v>495.86</v>
      </c>
      <c r="K271" s="6">
        <f>MONTH(Tabla2[[#This Row],[OrderDate]])</f>
        <v>11</v>
      </c>
      <c r="L271" s="6">
        <f>YEAR(Tabla2[[#This Row],[OrderDate]])</f>
        <v>2024</v>
      </c>
      <c r="M271" s="7" t="s">
        <v>906</v>
      </c>
      <c r="N271" s="7" t="s">
        <v>91</v>
      </c>
    </row>
    <row r="272" spans="1:14" x14ac:dyDescent="0.35">
      <c r="A272" s="7" t="s">
        <v>907</v>
      </c>
      <c r="B272" s="7" t="s">
        <v>206</v>
      </c>
      <c r="C272" s="7" t="s">
        <v>207</v>
      </c>
      <c r="D272" s="7" t="s">
        <v>14</v>
      </c>
      <c r="E272" s="7" t="s">
        <v>100</v>
      </c>
      <c r="F272" s="7" t="s">
        <v>101</v>
      </c>
      <c r="G272" s="7" t="s">
        <v>237</v>
      </c>
      <c r="H272" s="7">
        <v>2</v>
      </c>
      <c r="I272" s="2">
        <v>714.74</v>
      </c>
      <c r="J272" s="2">
        <f>Tabla2[[#This Row],[Quantity]]*I272</f>
        <v>1429.48</v>
      </c>
      <c r="K272" s="6">
        <f>MONTH(Tabla2[[#This Row],[OrderDate]])</f>
        <v>11</v>
      </c>
      <c r="L272" s="6">
        <f>YEAR(Tabla2[[#This Row],[OrderDate]])</f>
        <v>2025</v>
      </c>
      <c r="M272" s="7" t="s">
        <v>908</v>
      </c>
      <c r="N272" s="7" t="s">
        <v>36</v>
      </c>
    </row>
    <row r="273" spans="1:14" x14ac:dyDescent="0.35">
      <c r="A273" s="7" t="s">
        <v>909</v>
      </c>
      <c r="B273" s="7" t="s">
        <v>910</v>
      </c>
      <c r="C273" s="7" t="s">
        <v>911</v>
      </c>
      <c r="D273" s="7" t="s">
        <v>40</v>
      </c>
      <c r="E273" s="7" t="s">
        <v>79</v>
      </c>
      <c r="F273" s="7" t="s">
        <v>50</v>
      </c>
      <c r="G273" s="7" t="s">
        <v>56</v>
      </c>
      <c r="H273" s="7">
        <v>3</v>
      </c>
      <c r="I273" s="2">
        <v>876.27</v>
      </c>
      <c r="J273" s="2">
        <f>Tabla2[[#This Row],[Quantity]]*I273</f>
        <v>2628.81</v>
      </c>
      <c r="K273" s="6">
        <f>MONTH(Tabla2[[#This Row],[OrderDate]])</f>
        <v>1</v>
      </c>
      <c r="L273" s="6">
        <f>YEAR(Tabla2[[#This Row],[OrderDate]])</f>
        <v>2026</v>
      </c>
      <c r="M273" s="7" t="s">
        <v>912</v>
      </c>
      <c r="N273" s="7" t="s">
        <v>91</v>
      </c>
    </row>
    <row r="274" spans="1:14" x14ac:dyDescent="0.35">
      <c r="A274" s="7" t="s">
        <v>913</v>
      </c>
      <c r="B274" s="7" t="s">
        <v>914</v>
      </c>
      <c r="C274" s="7" t="s">
        <v>915</v>
      </c>
      <c r="D274" s="7" t="s">
        <v>67</v>
      </c>
      <c r="E274" s="7" t="s">
        <v>68</v>
      </c>
      <c r="F274" s="7" t="s">
        <v>101</v>
      </c>
      <c r="G274" s="7" t="s">
        <v>165</v>
      </c>
      <c r="H274" s="7">
        <v>5</v>
      </c>
      <c r="I274" s="2">
        <v>747.7</v>
      </c>
      <c r="J274" s="2">
        <f>Tabla2[[#This Row],[Quantity]]*I274</f>
        <v>3738.5</v>
      </c>
      <c r="K274" s="6">
        <f>MONTH(Tabla2[[#This Row],[OrderDate]])</f>
        <v>11</v>
      </c>
      <c r="L274" s="6">
        <f>YEAR(Tabla2[[#This Row],[OrderDate]])</f>
        <v>2024</v>
      </c>
      <c r="M274" s="7" t="s">
        <v>916</v>
      </c>
      <c r="N274" s="7" t="s">
        <v>91</v>
      </c>
    </row>
    <row r="275" spans="1:14" x14ac:dyDescent="0.35">
      <c r="A275" s="7" t="s">
        <v>917</v>
      </c>
      <c r="B275" s="7" t="s">
        <v>918</v>
      </c>
      <c r="C275" s="7" t="s">
        <v>919</v>
      </c>
      <c r="D275" s="7" t="s">
        <v>32</v>
      </c>
      <c r="E275" s="7" t="s">
        <v>203</v>
      </c>
      <c r="F275" s="7" t="s">
        <v>42</v>
      </c>
      <c r="G275" s="7" t="s">
        <v>43</v>
      </c>
      <c r="H275" s="7">
        <v>5</v>
      </c>
      <c r="I275" s="2">
        <v>69.11</v>
      </c>
      <c r="J275" s="2">
        <f>Tabla2[[#This Row],[Quantity]]*I275</f>
        <v>345.55</v>
      </c>
      <c r="K275" s="6">
        <f>MONTH(Tabla2[[#This Row],[OrderDate]])</f>
        <v>1</v>
      </c>
      <c r="L275" s="6">
        <f>YEAR(Tabla2[[#This Row],[OrderDate]])</f>
        <v>2026</v>
      </c>
      <c r="M275" s="7" t="s">
        <v>920</v>
      </c>
      <c r="N275" s="7" t="s">
        <v>45</v>
      </c>
    </row>
    <row r="276" spans="1:14" x14ac:dyDescent="0.35">
      <c r="A276" s="7" t="s">
        <v>921</v>
      </c>
      <c r="B276" s="7" t="s">
        <v>922</v>
      </c>
      <c r="C276" s="7" t="s">
        <v>923</v>
      </c>
      <c r="D276" s="7" t="s">
        <v>40</v>
      </c>
      <c r="E276" s="7" t="s">
        <v>120</v>
      </c>
      <c r="F276" s="7" t="s">
        <v>16</v>
      </c>
      <c r="G276" s="7" t="s">
        <v>148</v>
      </c>
      <c r="H276" s="7">
        <v>1</v>
      </c>
      <c r="I276" s="2">
        <v>156.08000000000001</v>
      </c>
      <c r="J276" s="2">
        <f>Tabla2[[#This Row],[Quantity]]*I276</f>
        <v>156.08000000000001</v>
      </c>
      <c r="K276" s="6">
        <f>MONTH(Tabla2[[#This Row],[OrderDate]])</f>
        <v>6</v>
      </c>
      <c r="L276" s="6">
        <f>YEAR(Tabla2[[#This Row],[OrderDate]])</f>
        <v>2024</v>
      </c>
      <c r="M276" s="7" t="s">
        <v>896</v>
      </c>
      <c r="N276" s="7" t="s">
        <v>19</v>
      </c>
    </row>
    <row r="277" spans="1:14" x14ac:dyDescent="0.35">
      <c r="A277" s="7" t="s">
        <v>924</v>
      </c>
      <c r="B277" s="7" t="s">
        <v>925</v>
      </c>
      <c r="C277" s="7" t="s">
        <v>926</v>
      </c>
      <c r="D277" s="7" t="s">
        <v>32</v>
      </c>
      <c r="E277" s="7" t="s">
        <v>33</v>
      </c>
      <c r="F277" s="7" t="s">
        <v>42</v>
      </c>
      <c r="G277" s="7" t="s">
        <v>89</v>
      </c>
      <c r="H277" s="7">
        <v>2</v>
      </c>
      <c r="I277" s="2">
        <v>671.44</v>
      </c>
      <c r="J277" s="2">
        <f>Tabla2[[#This Row],[Quantity]]*I277</f>
        <v>1342.88</v>
      </c>
      <c r="K277" s="6">
        <f>MONTH(Tabla2[[#This Row],[OrderDate]])</f>
        <v>2</v>
      </c>
      <c r="L277" s="6">
        <f>YEAR(Tabla2[[#This Row],[OrderDate]])</f>
        <v>2025</v>
      </c>
      <c r="M277" s="7" t="s">
        <v>927</v>
      </c>
      <c r="N277" s="7" t="s">
        <v>28</v>
      </c>
    </row>
    <row r="278" spans="1:14" x14ac:dyDescent="0.35">
      <c r="A278" s="7" t="s">
        <v>928</v>
      </c>
      <c r="B278" s="7" t="s">
        <v>435</v>
      </c>
      <c r="C278" s="7" t="s">
        <v>436</v>
      </c>
      <c r="D278" s="7" t="s">
        <v>67</v>
      </c>
      <c r="E278" s="7" t="s">
        <v>130</v>
      </c>
      <c r="F278" s="7" t="s">
        <v>101</v>
      </c>
      <c r="G278" s="7" t="s">
        <v>237</v>
      </c>
      <c r="H278" s="7">
        <v>3</v>
      </c>
      <c r="I278" s="2">
        <v>171.42</v>
      </c>
      <c r="J278" s="2">
        <f>Tabla2[[#This Row],[Quantity]]*I278</f>
        <v>514.26</v>
      </c>
      <c r="K278" s="6">
        <f>MONTH(Tabla2[[#This Row],[OrderDate]])</f>
        <v>8</v>
      </c>
      <c r="L278" s="6">
        <f>YEAR(Tabla2[[#This Row],[OrderDate]])</f>
        <v>2024</v>
      </c>
      <c r="M278" s="7" t="s">
        <v>929</v>
      </c>
      <c r="N278" s="7" t="s">
        <v>36</v>
      </c>
    </row>
    <row r="279" spans="1:14" x14ac:dyDescent="0.35">
      <c r="A279" s="7" t="s">
        <v>930</v>
      </c>
      <c r="B279" s="7" t="s">
        <v>931</v>
      </c>
      <c r="C279" s="7" t="s">
        <v>932</v>
      </c>
      <c r="D279" s="7" t="s">
        <v>14</v>
      </c>
      <c r="E279" s="7" t="s">
        <v>266</v>
      </c>
      <c r="F279" s="7" t="s">
        <v>50</v>
      </c>
      <c r="G279" s="7" t="s">
        <v>170</v>
      </c>
      <c r="H279" s="7">
        <v>5</v>
      </c>
      <c r="I279" s="2">
        <v>1237.8599999999999</v>
      </c>
      <c r="J279" s="2">
        <f>Tabla2[[#This Row],[Quantity]]*I279</f>
        <v>6189.2999999999993</v>
      </c>
      <c r="K279" s="6">
        <f>MONTH(Tabla2[[#This Row],[OrderDate]])</f>
        <v>2</v>
      </c>
      <c r="L279" s="6">
        <f>YEAR(Tabla2[[#This Row],[OrderDate]])</f>
        <v>2024</v>
      </c>
      <c r="M279" s="7" t="s">
        <v>933</v>
      </c>
      <c r="N279" s="7" t="s">
        <v>45</v>
      </c>
    </row>
    <row r="280" spans="1:14" x14ac:dyDescent="0.35">
      <c r="A280" s="7" t="s">
        <v>934</v>
      </c>
      <c r="B280" s="7" t="s">
        <v>163</v>
      </c>
      <c r="C280" s="7" t="s">
        <v>164</v>
      </c>
      <c r="D280" s="7" t="s">
        <v>67</v>
      </c>
      <c r="E280" s="7" t="s">
        <v>130</v>
      </c>
      <c r="F280" s="7" t="s">
        <v>16</v>
      </c>
      <c r="G280" s="7" t="s">
        <v>17</v>
      </c>
      <c r="H280" s="7">
        <v>3</v>
      </c>
      <c r="I280" s="2">
        <v>783.72</v>
      </c>
      <c r="J280" s="2">
        <f>Tabla2[[#This Row],[Quantity]]*I280</f>
        <v>2351.16</v>
      </c>
      <c r="K280" s="6">
        <f>MONTH(Tabla2[[#This Row],[OrderDate]])</f>
        <v>5</v>
      </c>
      <c r="L280" s="6">
        <f>YEAR(Tabla2[[#This Row],[OrderDate]])</f>
        <v>2025</v>
      </c>
      <c r="M280" s="7" t="s">
        <v>662</v>
      </c>
      <c r="N280" s="7" t="s">
        <v>19</v>
      </c>
    </row>
    <row r="281" spans="1:14" x14ac:dyDescent="0.35">
      <c r="A281" s="7" t="s">
        <v>935</v>
      </c>
      <c r="B281" s="7" t="s">
        <v>936</v>
      </c>
      <c r="C281" s="7" t="s">
        <v>937</v>
      </c>
      <c r="D281" s="7" t="s">
        <v>40</v>
      </c>
      <c r="E281" s="7" t="s">
        <v>120</v>
      </c>
      <c r="F281" s="7" t="s">
        <v>50</v>
      </c>
      <c r="G281" s="7" t="s">
        <v>56</v>
      </c>
      <c r="H281" s="7">
        <v>4</v>
      </c>
      <c r="I281" s="2">
        <v>1405.83</v>
      </c>
      <c r="J281" s="2">
        <f>Tabla2[[#This Row],[Quantity]]*I281</f>
        <v>5623.32</v>
      </c>
      <c r="K281" s="6">
        <f>MONTH(Tabla2[[#This Row],[OrderDate]])</f>
        <v>12</v>
      </c>
      <c r="L281" s="6">
        <f>YEAR(Tabla2[[#This Row],[OrderDate]])</f>
        <v>2024</v>
      </c>
      <c r="M281" s="7" t="s">
        <v>938</v>
      </c>
      <c r="N281" s="7" t="s">
        <v>36</v>
      </c>
    </row>
    <row r="282" spans="1:14" x14ac:dyDescent="0.35">
      <c r="A282" s="7" t="s">
        <v>939</v>
      </c>
      <c r="B282" s="7" t="s">
        <v>83</v>
      </c>
      <c r="C282" s="7" t="s">
        <v>84</v>
      </c>
      <c r="D282" s="7" t="s">
        <v>32</v>
      </c>
      <c r="E282" s="7" t="s">
        <v>61</v>
      </c>
      <c r="F282" s="7" t="s">
        <v>101</v>
      </c>
      <c r="G282" s="7" t="s">
        <v>373</v>
      </c>
      <c r="H282" s="7">
        <v>4</v>
      </c>
      <c r="I282" s="2">
        <v>938.15</v>
      </c>
      <c r="J282" s="2">
        <f>Tabla2[[#This Row],[Quantity]]*I282</f>
        <v>3752.6</v>
      </c>
      <c r="K282" s="6">
        <f>MONTH(Tabla2[[#This Row],[OrderDate]])</f>
        <v>8</v>
      </c>
      <c r="L282" s="6">
        <f>YEAR(Tabla2[[#This Row],[OrderDate]])</f>
        <v>2025</v>
      </c>
      <c r="M282" s="7" t="s">
        <v>940</v>
      </c>
      <c r="N282" s="7" t="s">
        <v>36</v>
      </c>
    </row>
    <row r="283" spans="1:14" x14ac:dyDescent="0.35">
      <c r="A283" s="7" t="s">
        <v>941</v>
      </c>
      <c r="B283" s="7" t="s">
        <v>820</v>
      </c>
      <c r="C283" s="7" t="s">
        <v>821</v>
      </c>
      <c r="D283" s="7" t="s">
        <v>23</v>
      </c>
      <c r="E283" s="7" t="s">
        <v>338</v>
      </c>
      <c r="F283" s="7" t="s">
        <v>101</v>
      </c>
      <c r="G283" s="7" t="s">
        <v>165</v>
      </c>
      <c r="H283" s="7">
        <v>1</v>
      </c>
      <c r="I283" s="2">
        <v>1250.99</v>
      </c>
      <c r="J283" s="2">
        <f>Tabla2[[#This Row],[Quantity]]*I283</f>
        <v>1250.99</v>
      </c>
      <c r="K283" s="6">
        <f>MONTH(Tabla2[[#This Row],[OrderDate]])</f>
        <v>6</v>
      </c>
      <c r="L283" s="6">
        <f>YEAR(Tabla2[[#This Row],[OrderDate]])</f>
        <v>2024</v>
      </c>
      <c r="M283" s="7" t="s">
        <v>942</v>
      </c>
      <c r="N283" s="7" t="s">
        <v>19</v>
      </c>
    </row>
    <row r="284" spans="1:14" x14ac:dyDescent="0.35">
      <c r="A284" s="7" t="s">
        <v>943</v>
      </c>
      <c r="B284" s="7" t="s">
        <v>474</v>
      </c>
      <c r="C284" s="7" t="s">
        <v>475</v>
      </c>
      <c r="D284" s="7" t="s">
        <v>14</v>
      </c>
      <c r="E284" s="7" t="s">
        <v>266</v>
      </c>
      <c r="F284" s="7" t="s">
        <v>42</v>
      </c>
      <c r="G284" s="7" t="s">
        <v>170</v>
      </c>
      <c r="H284" s="7">
        <v>5</v>
      </c>
      <c r="I284" s="2">
        <v>755.07</v>
      </c>
      <c r="J284" s="2">
        <f>Tabla2[[#This Row],[Quantity]]*I284</f>
        <v>3775.3500000000004</v>
      </c>
      <c r="K284" s="6">
        <f>MONTH(Tabla2[[#This Row],[OrderDate]])</f>
        <v>5</v>
      </c>
      <c r="L284" s="6">
        <f>YEAR(Tabla2[[#This Row],[OrderDate]])</f>
        <v>2025</v>
      </c>
      <c r="M284" s="7" t="s">
        <v>944</v>
      </c>
      <c r="N284" s="7" t="s">
        <v>91</v>
      </c>
    </row>
    <row r="285" spans="1:14" x14ac:dyDescent="0.35">
      <c r="A285" s="7" t="s">
        <v>945</v>
      </c>
      <c r="B285" s="7" t="s">
        <v>681</v>
      </c>
      <c r="C285" s="7" t="s">
        <v>682</v>
      </c>
      <c r="D285" s="7" t="s">
        <v>23</v>
      </c>
      <c r="E285" s="7" t="s">
        <v>49</v>
      </c>
      <c r="F285" s="7" t="s">
        <v>16</v>
      </c>
      <c r="G285" s="7" t="s">
        <v>17</v>
      </c>
      <c r="H285" s="7">
        <v>4</v>
      </c>
      <c r="I285" s="2">
        <v>473.79</v>
      </c>
      <c r="J285" s="2">
        <f>Tabla2[[#This Row],[Quantity]]*I285</f>
        <v>1895.16</v>
      </c>
      <c r="K285" s="6">
        <f>MONTH(Tabla2[[#This Row],[OrderDate]])</f>
        <v>1</v>
      </c>
      <c r="L285" s="6">
        <f>YEAR(Tabla2[[#This Row],[OrderDate]])</f>
        <v>2026</v>
      </c>
      <c r="M285" s="7" t="s">
        <v>614</v>
      </c>
      <c r="N285" s="7" t="s">
        <v>19</v>
      </c>
    </row>
    <row r="286" spans="1:14" x14ac:dyDescent="0.35">
      <c r="A286" s="7" t="s">
        <v>946</v>
      </c>
      <c r="B286" s="7" t="s">
        <v>947</v>
      </c>
      <c r="C286" s="7" t="s">
        <v>948</v>
      </c>
      <c r="D286" s="7" t="s">
        <v>32</v>
      </c>
      <c r="E286" s="7" t="s">
        <v>61</v>
      </c>
      <c r="F286" s="7" t="s">
        <v>42</v>
      </c>
      <c r="G286" s="7" t="s">
        <v>43</v>
      </c>
      <c r="H286" s="7">
        <v>2</v>
      </c>
      <c r="I286" s="2">
        <v>623.48</v>
      </c>
      <c r="J286" s="2">
        <f>Tabla2[[#This Row],[Quantity]]*I286</f>
        <v>1246.96</v>
      </c>
      <c r="K286" s="6">
        <f>MONTH(Tabla2[[#This Row],[OrderDate]])</f>
        <v>1</v>
      </c>
      <c r="L286" s="6">
        <f>YEAR(Tabla2[[#This Row],[OrderDate]])</f>
        <v>2026</v>
      </c>
      <c r="M286" s="7" t="s">
        <v>769</v>
      </c>
      <c r="N286" s="7" t="s">
        <v>91</v>
      </c>
    </row>
    <row r="287" spans="1:14" x14ac:dyDescent="0.35">
      <c r="A287" s="7" t="s">
        <v>949</v>
      </c>
      <c r="B287" s="7" t="s">
        <v>602</v>
      </c>
      <c r="C287" s="7" t="s">
        <v>603</v>
      </c>
      <c r="D287" s="7" t="s">
        <v>14</v>
      </c>
      <c r="E287" s="7" t="s">
        <v>100</v>
      </c>
      <c r="F287" s="7" t="s">
        <v>50</v>
      </c>
      <c r="G287" s="7" t="s">
        <v>51</v>
      </c>
      <c r="H287" s="7">
        <v>1</v>
      </c>
      <c r="I287" s="2">
        <v>234.67</v>
      </c>
      <c r="J287" s="2">
        <f>Tabla2[[#This Row],[Quantity]]*I287</f>
        <v>234.67</v>
      </c>
      <c r="K287" s="6">
        <f>MONTH(Tabla2[[#This Row],[OrderDate]])</f>
        <v>9</v>
      </c>
      <c r="L287" s="6">
        <f>YEAR(Tabla2[[#This Row],[OrderDate]])</f>
        <v>2025</v>
      </c>
      <c r="M287" s="7" t="s">
        <v>950</v>
      </c>
      <c r="N287" s="7" t="s">
        <v>36</v>
      </c>
    </row>
    <row r="288" spans="1:14" x14ac:dyDescent="0.35">
      <c r="A288" s="7" t="s">
        <v>951</v>
      </c>
      <c r="B288" s="7" t="s">
        <v>639</v>
      </c>
      <c r="C288" s="7" t="s">
        <v>640</v>
      </c>
      <c r="D288" s="7" t="s">
        <v>14</v>
      </c>
      <c r="E288" s="7" t="s">
        <v>100</v>
      </c>
      <c r="F288" s="7" t="s">
        <v>25</v>
      </c>
      <c r="G288" s="7" t="s">
        <v>74</v>
      </c>
      <c r="H288" s="7">
        <v>1</v>
      </c>
      <c r="I288" s="2">
        <v>34.979999999999997</v>
      </c>
      <c r="J288" s="2">
        <f>Tabla2[[#This Row],[Quantity]]*I288</f>
        <v>34.979999999999997</v>
      </c>
      <c r="K288" s="6">
        <f>MONTH(Tabla2[[#This Row],[OrderDate]])</f>
        <v>3</v>
      </c>
      <c r="L288" s="6">
        <f>YEAR(Tabla2[[#This Row],[OrderDate]])</f>
        <v>2025</v>
      </c>
      <c r="M288" s="7" t="s">
        <v>952</v>
      </c>
      <c r="N288" s="7" t="s">
        <v>45</v>
      </c>
    </row>
    <row r="289" spans="1:14" x14ac:dyDescent="0.35">
      <c r="A289" s="7" t="s">
        <v>953</v>
      </c>
      <c r="B289" s="7" t="s">
        <v>723</v>
      </c>
      <c r="C289" s="7" t="s">
        <v>724</v>
      </c>
      <c r="D289" s="7" t="s">
        <v>67</v>
      </c>
      <c r="E289" s="7" t="s">
        <v>68</v>
      </c>
      <c r="F289" s="7" t="s">
        <v>42</v>
      </c>
      <c r="G289" s="7" t="s">
        <v>170</v>
      </c>
      <c r="H289" s="7">
        <v>1</v>
      </c>
      <c r="I289" s="2">
        <v>624.21</v>
      </c>
      <c r="J289" s="2">
        <f>Tabla2[[#This Row],[Quantity]]*I289</f>
        <v>624.21</v>
      </c>
      <c r="K289" s="6">
        <f>MONTH(Tabla2[[#This Row],[OrderDate]])</f>
        <v>10</v>
      </c>
      <c r="L289" s="6">
        <f>YEAR(Tabla2[[#This Row],[OrderDate]])</f>
        <v>2024</v>
      </c>
      <c r="M289" s="7" t="s">
        <v>954</v>
      </c>
      <c r="N289" s="7" t="s">
        <v>36</v>
      </c>
    </row>
    <row r="290" spans="1:14" x14ac:dyDescent="0.35">
      <c r="A290" s="7" t="s">
        <v>955</v>
      </c>
      <c r="B290" s="7" t="s">
        <v>658</v>
      </c>
      <c r="C290" s="7" t="s">
        <v>659</v>
      </c>
      <c r="D290" s="7" t="s">
        <v>67</v>
      </c>
      <c r="E290" s="7" t="s">
        <v>130</v>
      </c>
      <c r="F290" s="7" t="s">
        <v>16</v>
      </c>
      <c r="G290" s="7" t="s">
        <v>17</v>
      </c>
      <c r="H290" s="7">
        <v>5</v>
      </c>
      <c r="I290" s="2">
        <v>627.48</v>
      </c>
      <c r="J290" s="2">
        <f>Tabla2[[#This Row],[Quantity]]*I290</f>
        <v>3137.4</v>
      </c>
      <c r="K290" s="6">
        <f>MONTH(Tabla2[[#This Row],[OrderDate]])</f>
        <v>11</v>
      </c>
      <c r="L290" s="6">
        <f>YEAR(Tabla2[[#This Row],[OrderDate]])</f>
        <v>2025</v>
      </c>
      <c r="M290" s="7" t="s">
        <v>956</v>
      </c>
      <c r="N290" s="7" t="s">
        <v>45</v>
      </c>
    </row>
    <row r="291" spans="1:14" x14ac:dyDescent="0.35">
      <c r="A291" s="7" t="s">
        <v>957</v>
      </c>
      <c r="B291" s="7" t="s">
        <v>817</v>
      </c>
      <c r="C291" s="7" t="s">
        <v>818</v>
      </c>
      <c r="D291" s="7" t="s">
        <v>14</v>
      </c>
      <c r="E291" s="7" t="s">
        <v>100</v>
      </c>
      <c r="F291" s="7" t="s">
        <v>25</v>
      </c>
      <c r="G291" s="7" t="s">
        <v>74</v>
      </c>
      <c r="H291" s="7">
        <v>2</v>
      </c>
      <c r="I291" s="2">
        <v>832.85</v>
      </c>
      <c r="J291" s="2">
        <f>Tabla2[[#This Row],[Quantity]]*I291</f>
        <v>1665.7</v>
      </c>
      <c r="K291" s="6">
        <f>MONTH(Tabla2[[#This Row],[OrderDate]])</f>
        <v>3</v>
      </c>
      <c r="L291" s="6">
        <f>YEAR(Tabla2[[#This Row],[OrderDate]])</f>
        <v>2024</v>
      </c>
      <c r="M291" s="7" t="s">
        <v>958</v>
      </c>
      <c r="N291" s="7" t="s">
        <v>36</v>
      </c>
    </row>
    <row r="292" spans="1:14" x14ac:dyDescent="0.35">
      <c r="A292" s="7" t="s">
        <v>959</v>
      </c>
      <c r="B292" s="7" t="s">
        <v>960</v>
      </c>
      <c r="C292" s="7" t="s">
        <v>961</v>
      </c>
      <c r="D292" s="7" t="s">
        <v>23</v>
      </c>
      <c r="E292" s="7" t="s">
        <v>24</v>
      </c>
      <c r="F292" s="7" t="s">
        <v>50</v>
      </c>
      <c r="G292" s="7" t="s">
        <v>216</v>
      </c>
      <c r="H292" s="7">
        <v>3</v>
      </c>
      <c r="I292" s="2">
        <v>1375.15</v>
      </c>
      <c r="J292" s="2">
        <f>Tabla2[[#This Row],[Quantity]]*I292</f>
        <v>4125.4500000000007</v>
      </c>
      <c r="K292" s="6">
        <f>MONTH(Tabla2[[#This Row],[OrderDate]])</f>
        <v>2</v>
      </c>
      <c r="L292" s="6">
        <f>YEAR(Tabla2[[#This Row],[OrderDate]])</f>
        <v>2024</v>
      </c>
      <c r="M292" s="7" t="s">
        <v>187</v>
      </c>
      <c r="N292" s="7" t="s">
        <v>91</v>
      </c>
    </row>
    <row r="293" spans="1:14" x14ac:dyDescent="0.35">
      <c r="A293" s="7" t="s">
        <v>962</v>
      </c>
      <c r="B293" s="7" t="s">
        <v>295</v>
      </c>
      <c r="C293" s="7" t="s">
        <v>296</v>
      </c>
      <c r="D293" s="7" t="s">
        <v>40</v>
      </c>
      <c r="E293" s="7" t="s">
        <v>41</v>
      </c>
      <c r="F293" s="7" t="s">
        <v>50</v>
      </c>
      <c r="G293" s="7" t="s">
        <v>170</v>
      </c>
      <c r="H293" s="7">
        <v>3</v>
      </c>
      <c r="I293" s="2">
        <v>484.57</v>
      </c>
      <c r="J293" s="2">
        <f>Tabla2[[#This Row],[Quantity]]*I293</f>
        <v>1453.71</v>
      </c>
      <c r="K293" s="6">
        <f>MONTH(Tabla2[[#This Row],[OrderDate]])</f>
        <v>6</v>
      </c>
      <c r="L293" s="6">
        <f>YEAR(Tabla2[[#This Row],[OrderDate]])</f>
        <v>2024</v>
      </c>
      <c r="M293" s="7" t="s">
        <v>361</v>
      </c>
      <c r="N293" s="7" t="s">
        <v>45</v>
      </c>
    </row>
    <row r="294" spans="1:14" x14ac:dyDescent="0.35">
      <c r="A294" s="7" t="s">
        <v>963</v>
      </c>
      <c r="B294" s="7" t="s">
        <v>964</v>
      </c>
      <c r="C294" s="7" t="s">
        <v>965</v>
      </c>
      <c r="D294" s="7" t="s">
        <v>40</v>
      </c>
      <c r="E294" s="7" t="s">
        <v>41</v>
      </c>
      <c r="F294" s="7" t="s">
        <v>42</v>
      </c>
      <c r="G294" s="7" t="s">
        <v>170</v>
      </c>
      <c r="H294" s="7">
        <v>1</v>
      </c>
      <c r="I294" s="2">
        <v>406.21</v>
      </c>
      <c r="J294" s="2">
        <f>Tabla2[[#This Row],[Quantity]]*I294</f>
        <v>406.21</v>
      </c>
      <c r="K294" s="6">
        <f>MONTH(Tabla2[[#This Row],[OrderDate]])</f>
        <v>4</v>
      </c>
      <c r="L294" s="6">
        <f>YEAR(Tabla2[[#This Row],[OrderDate]])</f>
        <v>2025</v>
      </c>
      <c r="M294" s="7" t="s">
        <v>765</v>
      </c>
      <c r="N294" s="7" t="s">
        <v>19</v>
      </c>
    </row>
    <row r="295" spans="1:14" x14ac:dyDescent="0.35">
      <c r="A295" s="7" t="s">
        <v>966</v>
      </c>
      <c r="B295" s="7" t="s">
        <v>402</v>
      </c>
      <c r="C295" s="7" t="s">
        <v>403</v>
      </c>
      <c r="D295" s="7" t="s">
        <v>23</v>
      </c>
      <c r="E295" s="7" t="s">
        <v>24</v>
      </c>
      <c r="F295" s="7" t="s">
        <v>42</v>
      </c>
      <c r="G295" s="7" t="s">
        <v>170</v>
      </c>
      <c r="H295" s="7">
        <v>5</v>
      </c>
      <c r="I295" s="2">
        <v>954.19</v>
      </c>
      <c r="J295" s="2">
        <f>Tabla2[[#This Row],[Quantity]]*I295</f>
        <v>4770.9500000000007</v>
      </c>
      <c r="K295" s="6">
        <f>MONTH(Tabla2[[#This Row],[OrderDate]])</f>
        <v>1</v>
      </c>
      <c r="L295" s="6">
        <f>YEAR(Tabla2[[#This Row],[OrderDate]])</f>
        <v>2025</v>
      </c>
      <c r="M295" s="7" t="s">
        <v>967</v>
      </c>
      <c r="N295" s="7" t="s">
        <v>28</v>
      </c>
    </row>
    <row r="296" spans="1:14" x14ac:dyDescent="0.35">
      <c r="A296" s="7" t="s">
        <v>968</v>
      </c>
      <c r="B296" s="7" t="s">
        <v>969</v>
      </c>
      <c r="C296" s="7" t="s">
        <v>970</v>
      </c>
      <c r="D296" s="7" t="s">
        <v>32</v>
      </c>
      <c r="E296" s="7" t="s">
        <v>61</v>
      </c>
      <c r="F296" s="7" t="s">
        <v>101</v>
      </c>
      <c r="G296" s="7" t="s">
        <v>373</v>
      </c>
      <c r="H296" s="7">
        <v>4</v>
      </c>
      <c r="I296" s="2">
        <v>1110.1199999999999</v>
      </c>
      <c r="J296" s="2">
        <f>Tabla2[[#This Row],[Quantity]]*I296</f>
        <v>4440.4799999999996</v>
      </c>
      <c r="K296" s="6">
        <f>MONTH(Tabla2[[#This Row],[OrderDate]])</f>
        <v>9</v>
      </c>
      <c r="L296" s="6">
        <f>YEAR(Tabla2[[#This Row],[OrderDate]])</f>
        <v>2025</v>
      </c>
      <c r="M296" s="7" t="s">
        <v>971</v>
      </c>
      <c r="N296" s="7" t="s">
        <v>91</v>
      </c>
    </row>
    <row r="297" spans="1:14" x14ac:dyDescent="0.35">
      <c r="A297" s="7" t="s">
        <v>972</v>
      </c>
      <c r="B297" s="7" t="s">
        <v>544</v>
      </c>
      <c r="C297" s="7" t="s">
        <v>545</v>
      </c>
      <c r="D297" s="7" t="s">
        <v>23</v>
      </c>
      <c r="E297" s="7" t="s">
        <v>338</v>
      </c>
      <c r="F297" s="7" t="s">
        <v>50</v>
      </c>
      <c r="G297" s="7" t="s">
        <v>51</v>
      </c>
      <c r="H297" s="7">
        <v>3</v>
      </c>
      <c r="I297" s="2">
        <v>670.98</v>
      </c>
      <c r="J297" s="2">
        <f>Tabla2[[#This Row],[Quantity]]*I297</f>
        <v>2012.94</v>
      </c>
      <c r="K297" s="6">
        <f>MONTH(Tabla2[[#This Row],[OrderDate]])</f>
        <v>2</v>
      </c>
      <c r="L297" s="6">
        <f>YEAR(Tabla2[[#This Row],[OrderDate]])</f>
        <v>2025</v>
      </c>
      <c r="M297" s="7" t="s">
        <v>973</v>
      </c>
      <c r="N297" s="7" t="s">
        <v>19</v>
      </c>
    </row>
    <row r="298" spans="1:14" x14ac:dyDescent="0.35">
      <c r="A298" s="7" t="s">
        <v>974</v>
      </c>
      <c r="B298" s="7" t="s">
        <v>738</v>
      </c>
      <c r="C298" s="7" t="s">
        <v>739</v>
      </c>
      <c r="D298" s="7" t="s">
        <v>67</v>
      </c>
      <c r="E298" s="7" t="s">
        <v>68</v>
      </c>
      <c r="F298" s="7" t="s">
        <v>42</v>
      </c>
      <c r="G298" s="7" t="s">
        <v>89</v>
      </c>
      <c r="H298" s="7">
        <v>3</v>
      </c>
      <c r="I298" s="2">
        <v>368.18</v>
      </c>
      <c r="J298" s="2">
        <f>Tabla2[[#This Row],[Quantity]]*I298</f>
        <v>1104.54</v>
      </c>
      <c r="K298" s="6">
        <f>MONTH(Tabla2[[#This Row],[OrderDate]])</f>
        <v>9</v>
      </c>
      <c r="L298" s="6">
        <f>YEAR(Tabla2[[#This Row],[OrderDate]])</f>
        <v>2024</v>
      </c>
      <c r="M298" s="7" t="s">
        <v>975</v>
      </c>
      <c r="N298" s="7" t="s">
        <v>36</v>
      </c>
    </row>
    <row r="299" spans="1:14" x14ac:dyDescent="0.35">
      <c r="A299" s="7" t="s">
        <v>976</v>
      </c>
      <c r="B299" s="7" t="s">
        <v>321</v>
      </c>
      <c r="C299" s="7" t="s">
        <v>322</v>
      </c>
      <c r="D299" s="7" t="s">
        <v>67</v>
      </c>
      <c r="E299" s="7" t="s">
        <v>130</v>
      </c>
      <c r="F299" s="7" t="s">
        <v>42</v>
      </c>
      <c r="G299" s="7" t="s">
        <v>225</v>
      </c>
      <c r="H299" s="7">
        <v>3</v>
      </c>
      <c r="I299" s="2">
        <v>854.89</v>
      </c>
      <c r="J299" s="2">
        <f>Tabla2[[#This Row],[Quantity]]*I299</f>
        <v>2564.67</v>
      </c>
      <c r="K299" s="6">
        <f>MONTH(Tabla2[[#This Row],[OrderDate]])</f>
        <v>12</v>
      </c>
      <c r="L299" s="6">
        <f>YEAR(Tabla2[[#This Row],[OrderDate]])</f>
        <v>2024</v>
      </c>
      <c r="M299" s="7" t="s">
        <v>472</v>
      </c>
      <c r="N299" s="7" t="s">
        <v>28</v>
      </c>
    </row>
    <row r="300" spans="1:14" x14ac:dyDescent="0.35">
      <c r="A300" s="7" t="s">
        <v>977</v>
      </c>
      <c r="B300" s="7" t="s">
        <v>779</v>
      </c>
      <c r="C300" s="7" t="s">
        <v>780</v>
      </c>
      <c r="D300" s="7" t="s">
        <v>67</v>
      </c>
      <c r="E300" s="7" t="s">
        <v>130</v>
      </c>
      <c r="F300" s="7" t="s">
        <v>25</v>
      </c>
      <c r="G300" s="7" t="s">
        <v>139</v>
      </c>
      <c r="H300" s="7">
        <v>5</v>
      </c>
      <c r="I300" s="2">
        <v>225.16</v>
      </c>
      <c r="J300" s="2">
        <f>Tabla2[[#This Row],[Quantity]]*I300</f>
        <v>1125.8</v>
      </c>
      <c r="K300" s="6">
        <f>MONTH(Tabla2[[#This Row],[OrderDate]])</f>
        <v>3</v>
      </c>
      <c r="L300" s="6">
        <f>YEAR(Tabla2[[#This Row],[OrderDate]])</f>
        <v>2026</v>
      </c>
      <c r="M300" s="7" t="s">
        <v>978</v>
      </c>
      <c r="N300" s="7" t="s">
        <v>28</v>
      </c>
    </row>
    <row r="301" spans="1:14" x14ac:dyDescent="0.35">
      <c r="A301" s="7" t="s">
        <v>979</v>
      </c>
      <c r="B301" s="7" t="s">
        <v>260</v>
      </c>
      <c r="C301" s="7" t="s">
        <v>261</v>
      </c>
      <c r="D301" s="7" t="s">
        <v>32</v>
      </c>
      <c r="E301" s="7" t="s">
        <v>33</v>
      </c>
      <c r="F301" s="7" t="s">
        <v>50</v>
      </c>
      <c r="G301" s="7" t="s">
        <v>216</v>
      </c>
      <c r="H301" s="7">
        <v>3</v>
      </c>
      <c r="I301" s="2">
        <v>49.96</v>
      </c>
      <c r="J301" s="2">
        <f>Tabla2[[#This Row],[Quantity]]*I301</f>
        <v>149.88</v>
      </c>
      <c r="K301" s="6">
        <f>MONTH(Tabla2[[#This Row],[OrderDate]])</f>
        <v>4</v>
      </c>
      <c r="L301" s="6">
        <f>YEAR(Tabla2[[#This Row],[OrderDate]])</f>
        <v>2024</v>
      </c>
      <c r="M301" s="7" t="s">
        <v>643</v>
      </c>
      <c r="N301" s="7" t="s">
        <v>45</v>
      </c>
    </row>
    <row r="302" spans="1:14" x14ac:dyDescent="0.35">
      <c r="A302" s="7" t="s">
        <v>980</v>
      </c>
      <c r="B302" s="7" t="s">
        <v>914</v>
      </c>
      <c r="C302" s="7" t="s">
        <v>915</v>
      </c>
      <c r="D302" s="7" t="s">
        <v>67</v>
      </c>
      <c r="E302" s="7" t="s">
        <v>115</v>
      </c>
      <c r="F302" s="7" t="s">
        <v>25</v>
      </c>
      <c r="G302" s="7" t="s">
        <v>74</v>
      </c>
      <c r="H302" s="7">
        <v>2</v>
      </c>
      <c r="I302" s="2">
        <v>1288.81</v>
      </c>
      <c r="J302" s="2">
        <f>Tabla2[[#This Row],[Quantity]]*I302</f>
        <v>2577.62</v>
      </c>
      <c r="K302" s="6">
        <f>MONTH(Tabla2[[#This Row],[OrderDate]])</f>
        <v>11</v>
      </c>
      <c r="L302" s="6">
        <f>YEAR(Tabla2[[#This Row],[OrderDate]])</f>
        <v>2024</v>
      </c>
      <c r="M302" s="7" t="s">
        <v>81</v>
      </c>
      <c r="N302" s="7" t="s">
        <v>28</v>
      </c>
    </row>
    <row r="303" spans="1:14" x14ac:dyDescent="0.35">
      <c r="A303" s="7" t="s">
        <v>981</v>
      </c>
      <c r="B303" s="7" t="s">
        <v>853</v>
      </c>
      <c r="C303" s="7" t="s">
        <v>854</v>
      </c>
      <c r="D303" s="7" t="s">
        <v>23</v>
      </c>
      <c r="E303" s="7" t="s">
        <v>338</v>
      </c>
      <c r="F303" s="7" t="s">
        <v>25</v>
      </c>
      <c r="G303" s="7" t="s">
        <v>74</v>
      </c>
      <c r="H303" s="7">
        <v>1</v>
      </c>
      <c r="I303" s="2">
        <v>752.98</v>
      </c>
      <c r="J303" s="2">
        <f>Tabla2[[#This Row],[Quantity]]*I303</f>
        <v>752.98</v>
      </c>
      <c r="K303" s="6">
        <f>MONTH(Tabla2[[#This Row],[OrderDate]])</f>
        <v>9</v>
      </c>
      <c r="L303" s="6">
        <f>YEAR(Tabla2[[#This Row],[OrderDate]])</f>
        <v>2024</v>
      </c>
      <c r="M303" s="7" t="s">
        <v>70</v>
      </c>
      <c r="N303" s="7" t="s">
        <v>28</v>
      </c>
    </row>
    <row r="304" spans="1:14" x14ac:dyDescent="0.35">
      <c r="A304" s="7" t="s">
        <v>982</v>
      </c>
      <c r="B304" s="7" t="s">
        <v>718</v>
      </c>
      <c r="C304" s="7" t="s">
        <v>719</v>
      </c>
      <c r="D304" s="7" t="s">
        <v>40</v>
      </c>
      <c r="E304" s="7" t="s">
        <v>120</v>
      </c>
      <c r="F304" s="7" t="s">
        <v>42</v>
      </c>
      <c r="G304" s="7" t="s">
        <v>89</v>
      </c>
      <c r="H304" s="7">
        <v>1</v>
      </c>
      <c r="I304" s="2">
        <v>964.3</v>
      </c>
      <c r="J304" s="2">
        <f>Tabla2[[#This Row],[Quantity]]*I304</f>
        <v>964.3</v>
      </c>
      <c r="K304" s="6">
        <f>MONTH(Tabla2[[#This Row],[OrderDate]])</f>
        <v>9</v>
      </c>
      <c r="L304" s="6">
        <f>YEAR(Tabla2[[#This Row],[OrderDate]])</f>
        <v>2024</v>
      </c>
      <c r="M304" s="7" t="s">
        <v>983</v>
      </c>
      <c r="N304" s="7" t="s">
        <v>45</v>
      </c>
    </row>
    <row r="305" spans="1:14" x14ac:dyDescent="0.35">
      <c r="A305" s="7" t="s">
        <v>984</v>
      </c>
      <c r="B305" s="7" t="s">
        <v>155</v>
      </c>
      <c r="C305" s="7" t="s">
        <v>156</v>
      </c>
      <c r="D305" s="7" t="s">
        <v>14</v>
      </c>
      <c r="E305" s="7" t="s">
        <v>125</v>
      </c>
      <c r="F305" s="7" t="s">
        <v>42</v>
      </c>
      <c r="G305" s="7" t="s">
        <v>225</v>
      </c>
      <c r="H305" s="7">
        <v>4</v>
      </c>
      <c r="I305" s="2">
        <v>701.68</v>
      </c>
      <c r="J305" s="2">
        <f>Tabla2[[#This Row],[Quantity]]*I305</f>
        <v>2806.72</v>
      </c>
      <c r="K305" s="6">
        <f>MONTH(Tabla2[[#This Row],[OrderDate]])</f>
        <v>3</v>
      </c>
      <c r="L305" s="6">
        <f>YEAR(Tabla2[[#This Row],[OrderDate]])</f>
        <v>2026</v>
      </c>
      <c r="M305" s="7" t="s">
        <v>985</v>
      </c>
      <c r="N305" s="7" t="s">
        <v>28</v>
      </c>
    </row>
    <row r="306" spans="1:14" x14ac:dyDescent="0.35">
      <c r="A306" s="7" t="s">
        <v>986</v>
      </c>
      <c r="B306" s="7" t="s">
        <v>256</v>
      </c>
      <c r="C306" s="7" t="s">
        <v>257</v>
      </c>
      <c r="D306" s="7" t="s">
        <v>40</v>
      </c>
      <c r="E306" s="7" t="s">
        <v>79</v>
      </c>
      <c r="F306" s="7" t="s">
        <v>25</v>
      </c>
      <c r="G306" s="7" t="s">
        <v>74</v>
      </c>
      <c r="H306" s="7">
        <v>3</v>
      </c>
      <c r="I306" s="2">
        <v>1359.95</v>
      </c>
      <c r="J306" s="2">
        <f>Tabla2[[#This Row],[Quantity]]*I306</f>
        <v>4079.8500000000004</v>
      </c>
      <c r="K306" s="6">
        <f>MONTH(Tabla2[[#This Row],[OrderDate]])</f>
        <v>12</v>
      </c>
      <c r="L306" s="6">
        <f>YEAR(Tabla2[[#This Row],[OrderDate]])</f>
        <v>2024</v>
      </c>
      <c r="M306" s="7" t="s">
        <v>987</v>
      </c>
      <c r="N306" s="7" t="s">
        <v>19</v>
      </c>
    </row>
    <row r="307" spans="1:14" x14ac:dyDescent="0.35">
      <c r="A307" s="7" t="s">
        <v>988</v>
      </c>
      <c r="B307" s="7" t="s">
        <v>658</v>
      </c>
      <c r="C307" s="7" t="s">
        <v>659</v>
      </c>
      <c r="D307" s="7" t="s">
        <v>40</v>
      </c>
      <c r="E307" s="7" t="s">
        <v>120</v>
      </c>
      <c r="F307" s="7" t="s">
        <v>42</v>
      </c>
      <c r="G307" s="7" t="s">
        <v>80</v>
      </c>
      <c r="H307" s="7">
        <v>1</v>
      </c>
      <c r="I307" s="2">
        <v>1275.71</v>
      </c>
      <c r="J307" s="2">
        <f>Tabla2[[#This Row],[Quantity]]*I307</f>
        <v>1275.71</v>
      </c>
      <c r="K307" s="6">
        <f>MONTH(Tabla2[[#This Row],[OrderDate]])</f>
        <v>2</v>
      </c>
      <c r="L307" s="6">
        <f>YEAR(Tabla2[[#This Row],[OrderDate]])</f>
        <v>2025</v>
      </c>
      <c r="M307" s="7" t="s">
        <v>508</v>
      </c>
      <c r="N307" s="7" t="s">
        <v>19</v>
      </c>
    </row>
    <row r="308" spans="1:14" x14ac:dyDescent="0.35">
      <c r="A308" s="7" t="s">
        <v>989</v>
      </c>
      <c r="B308" s="7" t="s">
        <v>990</v>
      </c>
      <c r="C308" s="7" t="s">
        <v>991</v>
      </c>
      <c r="D308" s="7" t="s">
        <v>14</v>
      </c>
      <c r="E308" s="7" t="s">
        <v>125</v>
      </c>
      <c r="F308" s="7" t="s">
        <v>101</v>
      </c>
      <c r="G308" s="7" t="s">
        <v>649</v>
      </c>
      <c r="H308" s="7">
        <v>3</v>
      </c>
      <c r="I308" s="2">
        <v>880.25</v>
      </c>
      <c r="J308" s="2">
        <f>Tabla2[[#This Row],[Quantity]]*I308</f>
        <v>2640.75</v>
      </c>
      <c r="K308" s="6">
        <f>MONTH(Tabla2[[#This Row],[OrderDate]])</f>
        <v>10</v>
      </c>
      <c r="L308" s="6">
        <f>YEAR(Tabla2[[#This Row],[OrderDate]])</f>
        <v>2024</v>
      </c>
      <c r="M308" s="7" t="s">
        <v>667</v>
      </c>
      <c r="N308" s="7" t="s">
        <v>19</v>
      </c>
    </row>
    <row r="309" spans="1:14" x14ac:dyDescent="0.35">
      <c r="A309" s="7" t="s">
        <v>992</v>
      </c>
      <c r="B309" s="7" t="s">
        <v>392</v>
      </c>
      <c r="C309" s="7" t="s">
        <v>393</v>
      </c>
      <c r="D309" s="7" t="s">
        <v>40</v>
      </c>
      <c r="E309" s="7" t="s">
        <v>41</v>
      </c>
      <c r="F309" s="7" t="s">
        <v>42</v>
      </c>
      <c r="G309" s="7" t="s">
        <v>170</v>
      </c>
      <c r="H309" s="7">
        <v>5</v>
      </c>
      <c r="I309" s="2">
        <v>1198.57</v>
      </c>
      <c r="J309" s="2">
        <f>Tabla2[[#This Row],[Quantity]]*I309</f>
        <v>5992.8499999999995</v>
      </c>
      <c r="K309" s="6">
        <f>MONTH(Tabla2[[#This Row],[OrderDate]])</f>
        <v>9</v>
      </c>
      <c r="L309" s="6">
        <f>YEAR(Tabla2[[#This Row],[OrderDate]])</f>
        <v>2024</v>
      </c>
      <c r="M309" s="7" t="s">
        <v>993</v>
      </c>
      <c r="N309" s="7" t="s">
        <v>28</v>
      </c>
    </row>
    <row r="310" spans="1:14" x14ac:dyDescent="0.35">
      <c r="A310" s="7" t="s">
        <v>994</v>
      </c>
      <c r="B310" s="7" t="s">
        <v>904</v>
      </c>
      <c r="C310" s="7" t="s">
        <v>905</v>
      </c>
      <c r="D310" s="7" t="s">
        <v>23</v>
      </c>
      <c r="E310" s="7" t="s">
        <v>24</v>
      </c>
      <c r="F310" s="7" t="s">
        <v>16</v>
      </c>
      <c r="G310" s="7" t="s">
        <v>182</v>
      </c>
      <c r="H310" s="7">
        <v>2</v>
      </c>
      <c r="I310" s="2">
        <v>90.4</v>
      </c>
      <c r="J310" s="2">
        <f>Tabla2[[#This Row],[Quantity]]*I310</f>
        <v>180.8</v>
      </c>
      <c r="K310" s="6">
        <f>MONTH(Tabla2[[#This Row],[OrderDate]])</f>
        <v>1</v>
      </c>
      <c r="L310" s="6">
        <f>YEAR(Tabla2[[#This Row],[OrderDate]])</f>
        <v>2026</v>
      </c>
      <c r="M310" s="7" t="s">
        <v>995</v>
      </c>
      <c r="N310" s="7" t="s">
        <v>28</v>
      </c>
    </row>
    <row r="311" spans="1:14" x14ac:dyDescent="0.35">
      <c r="A311" s="7" t="s">
        <v>996</v>
      </c>
      <c r="B311" s="7" t="s">
        <v>618</v>
      </c>
      <c r="C311" s="7" t="s">
        <v>619</v>
      </c>
      <c r="D311" s="7" t="s">
        <v>67</v>
      </c>
      <c r="E311" s="7" t="s">
        <v>115</v>
      </c>
      <c r="F311" s="7" t="s">
        <v>16</v>
      </c>
      <c r="G311" s="7" t="s">
        <v>182</v>
      </c>
      <c r="H311" s="7">
        <v>5</v>
      </c>
      <c r="I311" s="2">
        <v>243.63</v>
      </c>
      <c r="J311" s="2">
        <f>Tabla2[[#This Row],[Quantity]]*I311</f>
        <v>1218.1500000000001</v>
      </c>
      <c r="K311" s="6">
        <f>MONTH(Tabla2[[#This Row],[OrderDate]])</f>
        <v>12</v>
      </c>
      <c r="L311" s="6">
        <f>YEAR(Tabla2[[#This Row],[OrderDate]])</f>
        <v>2025</v>
      </c>
      <c r="M311" s="7" t="s">
        <v>709</v>
      </c>
      <c r="N311" s="7" t="s">
        <v>19</v>
      </c>
    </row>
    <row r="312" spans="1:14" x14ac:dyDescent="0.35">
      <c r="A312" s="7" t="s">
        <v>997</v>
      </c>
      <c r="B312" s="7" t="s">
        <v>652</v>
      </c>
      <c r="C312" s="7" t="s">
        <v>653</v>
      </c>
      <c r="D312" s="7" t="s">
        <v>40</v>
      </c>
      <c r="E312" s="7" t="s">
        <v>41</v>
      </c>
      <c r="F312" s="7" t="s">
        <v>16</v>
      </c>
      <c r="G312" s="7" t="s">
        <v>148</v>
      </c>
      <c r="H312" s="7">
        <v>3</v>
      </c>
      <c r="I312" s="2">
        <v>1200.6400000000001</v>
      </c>
      <c r="J312" s="2">
        <f>Tabla2[[#This Row],[Quantity]]*I312</f>
        <v>3601.92</v>
      </c>
      <c r="K312" s="6">
        <f>MONTH(Tabla2[[#This Row],[OrderDate]])</f>
        <v>1</v>
      </c>
      <c r="L312" s="6">
        <f>YEAR(Tabla2[[#This Row],[OrderDate]])</f>
        <v>2024</v>
      </c>
      <c r="M312" s="7" t="s">
        <v>998</v>
      </c>
      <c r="N312" s="7" t="s">
        <v>19</v>
      </c>
    </row>
    <row r="313" spans="1:14" x14ac:dyDescent="0.35">
      <c r="A313" s="7" t="s">
        <v>999</v>
      </c>
      <c r="B313" s="7" t="s">
        <v>303</v>
      </c>
      <c r="C313" s="7" t="s">
        <v>304</v>
      </c>
      <c r="D313" s="7" t="s">
        <v>14</v>
      </c>
      <c r="E313" s="7" t="s">
        <v>15</v>
      </c>
      <c r="F313" s="7" t="s">
        <v>50</v>
      </c>
      <c r="G313" s="7" t="s">
        <v>56</v>
      </c>
      <c r="H313" s="7">
        <v>1</v>
      </c>
      <c r="I313" s="2">
        <v>506.03</v>
      </c>
      <c r="J313" s="2">
        <f>Tabla2[[#This Row],[Quantity]]*I313</f>
        <v>506.03</v>
      </c>
      <c r="K313" s="6">
        <f>MONTH(Tabla2[[#This Row],[OrderDate]])</f>
        <v>10</v>
      </c>
      <c r="L313" s="6">
        <f>YEAR(Tabla2[[#This Row],[OrderDate]])</f>
        <v>2025</v>
      </c>
      <c r="M313" s="7" t="s">
        <v>267</v>
      </c>
      <c r="N313" s="7" t="s">
        <v>36</v>
      </c>
    </row>
    <row r="314" spans="1:14" x14ac:dyDescent="0.35">
      <c r="A314" s="7" t="s">
        <v>1000</v>
      </c>
      <c r="B314" s="7" t="s">
        <v>1001</v>
      </c>
      <c r="C314" s="7" t="s">
        <v>1002</v>
      </c>
      <c r="D314" s="7" t="s">
        <v>32</v>
      </c>
      <c r="E314" s="7" t="s">
        <v>203</v>
      </c>
      <c r="F314" s="7" t="s">
        <v>25</v>
      </c>
      <c r="G314" s="7" t="s">
        <v>139</v>
      </c>
      <c r="H314" s="7">
        <v>1</v>
      </c>
      <c r="I314" s="2">
        <v>963.66</v>
      </c>
      <c r="J314" s="2">
        <f>Tabla2[[#This Row],[Quantity]]*I314</f>
        <v>963.66</v>
      </c>
      <c r="K314" s="6">
        <f>MONTH(Tabla2[[#This Row],[OrderDate]])</f>
        <v>6</v>
      </c>
      <c r="L314" s="6">
        <f>YEAR(Tabla2[[#This Row],[OrderDate]])</f>
        <v>2024</v>
      </c>
      <c r="M314" s="7" t="s">
        <v>1003</v>
      </c>
      <c r="N314" s="7" t="s">
        <v>45</v>
      </c>
    </row>
    <row r="315" spans="1:14" x14ac:dyDescent="0.35">
      <c r="A315" s="7" t="s">
        <v>1004</v>
      </c>
      <c r="B315" s="7" t="s">
        <v>1005</v>
      </c>
      <c r="C315" s="7" t="s">
        <v>1006</v>
      </c>
      <c r="D315" s="7" t="s">
        <v>67</v>
      </c>
      <c r="E315" s="7" t="s">
        <v>115</v>
      </c>
      <c r="F315" s="7" t="s">
        <v>42</v>
      </c>
      <c r="G315" s="7" t="s">
        <v>225</v>
      </c>
      <c r="H315" s="7">
        <v>1</v>
      </c>
      <c r="I315" s="2">
        <v>478.28</v>
      </c>
      <c r="J315" s="2">
        <f>Tabla2[[#This Row],[Quantity]]*I315</f>
        <v>478.28</v>
      </c>
      <c r="K315" s="6">
        <f>MONTH(Tabla2[[#This Row],[OrderDate]])</f>
        <v>8</v>
      </c>
      <c r="L315" s="6">
        <f>YEAR(Tabla2[[#This Row],[OrderDate]])</f>
        <v>2025</v>
      </c>
      <c r="M315" s="7" t="s">
        <v>1007</v>
      </c>
      <c r="N315" s="7" t="s">
        <v>19</v>
      </c>
    </row>
    <row r="316" spans="1:14" x14ac:dyDescent="0.35">
      <c r="A316" s="7" t="s">
        <v>1008</v>
      </c>
      <c r="B316" s="7" t="s">
        <v>738</v>
      </c>
      <c r="C316" s="7" t="s">
        <v>739</v>
      </c>
      <c r="D316" s="7" t="s">
        <v>67</v>
      </c>
      <c r="E316" s="7" t="s">
        <v>68</v>
      </c>
      <c r="F316" s="7" t="s">
        <v>50</v>
      </c>
      <c r="G316" s="7" t="s">
        <v>216</v>
      </c>
      <c r="H316" s="7">
        <v>5</v>
      </c>
      <c r="I316" s="2">
        <v>1256.9100000000001</v>
      </c>
      <c r="J316" s="2">
        <f>Tabla2[[#This Row],[Quantity]]*I316</f>
        <v>6284.55</v>
      </c>
      <c r="K316" s="6">
        <f>MONTH(Tabla2[[#This Row],[OrderDate]])</f>
        <v>11</v>
      </c>
      <c r="L316" s="6">
        <f>YEAR(Tabla2[[#This Row],[OrderDate]])</f>
        <v>2024</v>
      </c>
      <c r="M316" s="7" t="s">
        <v>1009</v>
      </c>
      <c r="N316" s="7" t="s">
        <v>91</v>
      </c>
    </row>
    <row r="317" spans="1:14" x14ac:dyDescent="0.35">
      <c r="A317" s="7" t="s">
        <v>1010</v>
      </c>
      <c r="B317" s="7" t="s">
        <v>352</v>
      </c>
      <c r="C317" s="7" t="s">
        <v>353</v>
      </c>
      <c r="D317" s="7" t="s">
        <v>32</v>
      </c>
      <c r="E317" s="7" t="s">
        <v>203</v>
      </c>
      <c r="F317" s="7" t="s">
        <v>101</v>
      </c>
      <c r="G317" s="7" t="s">
        <v>237</v>
      </c>
      <c r="H317" s="7">
        <v>2</v>
      </c>
      <c r="I317" s="2">
        <v>1353.89</v>
      </c>
      <c r="J317" s="2">
        <f>Tabla2[[#This Row],[Quantity]]*I317</f>
        <v>2707.78</v>
      </c>
      <c r="K317" s="6">
        <f>MONTH(Tabla2[[#This Row],[OrderDate]])</f>
        <v>7</v>
      </c>
      <c r="L317" s="6">
        <f>YEAR(Tabla2[[#This Row],[OrderDate]])</f>
        <v>2025</v>
      </c>
      <c r="M317" s="7" t="s">
        <v>572</v>
      </c>
      <c r="N317" s="7" t="s">
        <v>36</v>
      </c>
    </row>
    <row r="318" spans="1:14" x14ac:dyDescent="0.35">
      <c r="A318" s="7" t="s">
        <v>1011</v>
      </c>
      <c r="B318" s="7" t="s">
        <v>193</v>
      </c>
      <c r="C318" s="7" t="s">
        <v>194</v>
      </c>
      <c r="D318" s="7" t="s">
        <v>40</v>
      </c>
      <c r="E318" s="7" t="s">
        <v>120</v>
      </c>
      <c r="F318" s="7" t="s">
        <v>16</v>
      </c>
      <c r="G318" s="7" t="s">
        <v>177</v>
      </c>
      <c r="H318" s="7">
        <v>3</v>
      </c>
      <c r="I318" s="2">
        <v>1394.38</v>
      </c>
      <c r="J318" s="2">
        <f>Tabla2[[#This Row],[Quantity]]*I318</f>
        <v>4183.1400000000003</v>
      </c>
      <c r="K318" s="6">
        <f>MONTH(Tabla2[[#This Row],[OrderDate]])</f>
        <v>2</v>
      </c>
      <c r="L318" s="6">
        <f>YEAR(Tabla2[[#This Row],[OrderDate]])</f>
        <v>2025</v>
      </c>
      <c r="M318" s="7" t="s">
        <v>1012</v>
      </c>
      <c r="N318" s="7" t="s">
        <v>91</v>
      </c>
    </row>
    <row r="319" spans="1:14" x14ac:dyDescent="0.35">
      <c r="A319" s="7" t="s">
        <v>1013</v>
      </c>
      <c r="B319" s="7" t="s">
        <v>429</v>
      </c>
      <c r="C319" s="7" t="s">
        <v>430</v>
      </c>
      <c r="D319" s="7" t="s">
        <v>67</v>
      </c>
      <c r="E319" s="7" t="s">
        <v>68</v>
      </c>
      <c r="F319" s="7" t="s">
        <v>50</v>
      </c>
      <c r="G319" s="7" t="s">
        <v>170</v>
      </c>
      <c r="H319" s="7">
        <v>4</v>
      </c>
      <c r="I319" s="2">
        <v>1323.79</v>
      </c>
      <c r="J319" s="2">
        <f>Tabla2[[#This Row],[Quantity]]*I319</f>
        <v>5295.16</v>
      </c>
      <c r="K319" s="6">
        <f>MONTH(Tabla2[[#This Row],[OrderDate]])</f>
        <v>1</v>
      </c>
      <c r="L319" s="6">
        <f>YEAR(Tabla2[[#This Row],[OrderDate]])</f>
        <v>2026</v>
      </c>
      <c r="M319" s="7" t="s">
        <v>1014</v>
      </c>
      <c r="N319" s="7" t="s">
        <v>91</v>
      </c>
    </row>
    <row r="320" spans="1:14" x14ac:dyDescent="0.35">
      <c r="A320" s="7" t="s">
        <v>1015</v>
      </c>
      <c r="B320" s="7" t="s">
        <v>838</v>
      </c>
      <c r="C320" s="7" t="s">
        <v>839</v>
      </c>
      <c r="D320" s="7" t="s">
        <v>32</v>
      </c>
      <c r="E320" s="7" t="s">
        <v>203</v>
      </c>
      <c r="F320" s="7" t="s">
        <v>25</v>
      </c>
      <c r="G320" s="7" t="s">
        <v>62</v>
      </c>
      <c r="H320" s="7">
        <v>2</v>
      </c>
      <c r="I320" s="2">
        <v>1038.33</v>
      </c>
      <c r="J320" s="2">
        <f>Tabla2[[#This Row],[Quantity]]*I320</f>
        <v>2076.66</v>
      </c>
      <c r="K320" s="6">
        <f>MONTH(Tabla2[[#This Row],[OrderDate]])</f>
        <v>3</v>
      </c>
      <c r="L320" s="6">
        <f>YEAR(Tabla2[[#This Row],[OrderDate]])</f>
        <v>2025</v>
      </c>
      <c r="M320" s="7" t="s">
        <v>1016</v>
      </c>
      <c r="N320" s="7" t="s">
        <v>28</v>
      </c>
    </row>
    <row r="321" spans="1:14" x14ac:dyDescent="0.35">
      <c r="A321" s="7" t="s">
        <v>1017</v>
      </c>
      <c r="B321" s="7" t="s">
        <v>1018</v>
      </c>
      <c r="C321" s="7" t="s">
        <v>1019</v>
      </c>
      <c r="D321" s="7" t="s">
        <v>32</v>
      </c>
      <c r="E321" s="7" t="s">
        <v>61</v>
      </c>
      <c r="F321" s="7" t="s">
        <v>16</v>
      </c>
      <c r="G321" s="7" t="s">
        <v>230</v>
      </c>
      <c r="H321" s="7">
        <v>3</v>
      </c>
      <c r="I321" s="2">
        <v>236.09</v>
      </c>
      <c r="J321" s="2">
        <f>Tabla2[[#This Row],[Quantity]]*I321</f>
        <v>708.27</v>
      </c>
      <c r="K321" s="6">
        <f>MONTH(Tabla2[[#This Row],[OrderDate]])</f>
        <v>1</v>
      </c>
      <c r="L321" s="6">
        <f>YEAR(Tabla2[[#This Row],[OrderDate]])</f>
        <v>2026</v>
      </c>
      <c r="M321" s="7" t="s">
        <v>920</v>
      </c>
      <c r="N321" s="7" t="s">
        <v>36</v>
      </c>
    </row>
    <row r="322" spans="1:14" x14ac:dyDescent="0.35">
      <c r="A322" s="7" t="s">
        <v>1020</v>
      </c>
      <c r="B322" s="7" t="s">
        <v>77</v>
      </c>
      <c r="C322" s="7" t="s">
        <v>78</v>
      </c>
      <c r="D322" s="7" t="s">
        <v>14</v>
      </c>
      <c r="E322" s="7" t="s">
        <v>100</v>
      </c>
      <c r="F322" s="7" t="s">
        <v>25</v>
      </c>
      <c r="G322" s="7" t="s">
        <v>62</v>
      </c>
      <c r="H322" s="7">
        <v>3</v>
      </c>
      <c r="I322" s="2">
        <v>1475.5</v>
      </c>
      <c r="J322" s="2">
        <f>Tabla2[[#This Row],[Quantity]]*I322</f>
        <v>4426.5</v>
      </c>
      <c r="K322" s="6">
        <f>MONTH(Tabla2[[#This Row],[OrderDate]])</f>
        <v>7</v>
      </c>
      <c r="L322" s="6">
        <f>YEAR(Tabla2[[#This Row],[OrderDate]])</f>
        <v>2024</v>
      </c>
      <c r="M322" s="7" t="s">
        <v>204</v>
      </c>
      <c r="N322" s="7" t="s">
        <v>91</v>
      </c>
    </row>
    <row r="323" spans="1:14" x14ac:dyDescent="0.35">
      <c r="A323" s="7" t="s">
        <v>1021</v>
      </c>
      <c r="B323" s="7" t="s">
        <v>856</v>
      </c>
      <c r="C323" s="7" t="s">
        <v>857</v>
      </c>
      <c r="D323" s="7" t="s">
        <v>40</v>
      </c>
      <c r="E323" s="7" t="s">
        <v>79</v>
      </c>
      <c r="F323" s="7" t="s">
        <v>50</v>
      </c>
      <c r="G323" s="7" t="s">
        <v>56</v>
      </c>
      <c r="H323" s="7">
        <v>4</v>
      </c>
      <c r="I323" s="2">
        <v>1411.9</v>
      </c>
      <c r="J323" s="2">
        <f>Tabla2[[#This Row],[Quantity]]*I323</f>
        <v>5647.6</v>
      </c>
      <c r="K323" s="6">
        <f>MONTH(Tabla2[[#This Row],[OrderDate]])</f>
        <v>2</v>
      </c>
      <c r="L323" s="6">
        <f>YEAR(Tabla2[[#This Row],[OrderDate]])</f>
        <v>2024</v>
      </c>
      <c r="M323" s="7" t="s">
        <v>1022</v>
      </c>
      <c r="N323" s="7" t="s">
        <v>28</v>
      </c>
    </row>
    <row r="324" spans="1:14" x14ac:dyDescent="0.35">
      <c r="A324" s="7" t="s">
        <v>1023</v>
      </c>
      <c r="B324" s="7" t="s">
        <v>1024</v>
      </c>
      <c r="C324" s="7" t="s">
        <v>1025</v>
      </c>
      <c r="D324" s="7" t="s">
        <v>40</v>
      </c>
      <c r="E324" s="7" t="s">
        <v>79</v>
      </c>
      <c r="F324" s="7" t="s">
        <v>25</v>
      </c>
      <c r="G324" s="7" t="s">
        <v>26</v>
      </c>
      <c r="H324" s="7">
        <v>3</v>
      </c>
      <c r="I324" s="2">
        <v>890.46</v>
      </c>
      <c r="J324" s="2">
        <f>Tabla2[[#This Row],[Quantity]]*I324</f>
        <v>2671.38</v>
      </c>
      <c r="K324" s="6">
        <f>MONTH(Tabla2[[#This Row],[OrderDate]])</f>
        <v>11</v>
      </c>
      <c r="L324" s="6">
        <f>YEAR(Tabla2[[#This Row],[OrderDate]])</f>
        <v>2025</v>
      </c>
      <c r="M324" s="7" t="s">
        <v>1026</v>
      </c>
      <c r="N324" s="7" t="s">
        <v>36</v>
      </c>
    </row>
    <row r="325" spans="1:14" x14ac:dyDescent="0.35">
      <c r="A325" s="7" t="s">
        <v>1027</v>
      </c>
      <c r="B325" s="7" t="s">
        <v>1028</v>
      </c>
      <c r="C325" s="7" t="s">
        <v>1029</v>
      </c>
      <c r="D325" s="7" t="s">
        <v>40</v>
      </c>
      <c r="E325" s="7" t="s">
        <v>79</v>
      </c>
      <c r="F325" s="7" t="s">
        <v>16</v>
      </c>
      <c r="G325" s="7" t="s">
        <v>182</v>
      </c>
      <c r="H325" s="7">
        <v>4</v>
      </c>
      <c r="I325" s="2">
        <v>1259.1600000000001</v>
      </c>
      <c r="J325" s="2">
        <f>Tabla2[[#This Row],[Quantity]]*I325</f>
        <v>5036.6400000000003</v>
      </c>
      <c r="K325" s="6">
        <f>MONTH(Tabla2[[#This Row],[OrderDate]])</f>
        <v>8</v>
      </c>
      <c r="L325" s="6">
        <f>YEAR(Tabla2[[#This Row],[OrderDate]])</f>
        <v>2024</v>
      </c>
      <c r="M325" s="7" t="s">
        <v>822</v>
      </c>
      <c r="N325" s="7" t="s">
        <v>28</v>
      </c>
    </row>
    <row r="326" spans="1:14" x14ac:dyDescent="0.35">
      <c r="A326" s="7" t="s">
        <v>1030</v>
      </c>
      <c r="B326" s="7" t="s">
        <v>311</v>
      </c>
      <c r="C326" s="7" t="s">
        <v>312</v>
      </c>
      <c r="D326" s="7" t="s">
        <v>23</v>
      </c>
      <c r="E326" s="7" t="s">
        <v>24</v>
      </c>
      <c r="F326" s="7" t="s">
        <v>42</v>
      </c>
      <c r="G326" s="7" t="s">
        <v>170</v>
      </c>
      <c r="H326" s="7">
        <v>2</v>
      </c>
      <c r="I326" s="2">
        <v>194.38</v>
      </c>
      <c r="J326" s="2">
        <f>Tabla2[[#This Row],[Quantity]]*I326</f>
        <v>388.76</v>
      </c>
      <c r="K326" s="6">
        <f>MONTH(Tabla2[[#This Row],[OrderDate]])</f>
        <v>3</v>
      </c>
      <c r="L326" s="6">
        <f>YEAR(Tabla2[[#This Row],[OrderDate]])</f>
        <v>2026</v>
      </c>
      <c r="M326" s="7" t="s">
        <v>637</v>
      </c>
      <c r="N326" s="7" t="s">
        <v>28</v>
      </c>
    </row>
    <row r="327" spans="1:14" x14ac:dyDescent="0.35">
      <c r="A327" s="7" t="s">
        <v>1031</v>
      </c>
      <c r="B327" s="7" t="s">
        <v>738</v>
      </c>
      <c r="C327" s="7" t="s">
        <v>739</v>
      </c>
      <c r="D327" s="7" t="s">
        <v>67</v>
      </c>
      <c r="E327" s="7" t="s">
        <v>130</v>
      </c>
      <c r="F327" s="7" t="s">
        <v>50</v>
      </c>
      <c r="G327" s="7" t="s">
        <v>69</v>
      </c>
      <c r="H327" s="7">
        <v>1</v>
      </c>
      <c r="I327" s="2">
        <v>568.29999999999995</v>
      </c>
      <c r="J327" s="2">
        <f>Tabla2[[#This Row],[Quantity]]*I327</f>
        <v>568.29999999999995</v>
      </c>
      <c r="K327" s="6">
        <f>MONTH(Tabla2[[#This Row],[OrderDate]])</f>
        <v>9</v>
      </c>
      <c r="L327" s="6">
        <f>YEAR(Tabla2[[#This Row],[OrderDate]])</f>
        <v>2025</v>
      </c>
      <c r="M327" s="7" t="s">
        <v>1032</v>
      </c>
      <c r="N327" s="7" t="s">
        <v>19</v>
      </c>
    </row>
    <row r="328" spans="1:14" x14ac:dyDescent="0.35">
      <c r="A328" s="7" t="s">
        <v>1033</v>
      </c>
      <c r="B328" s="7" t="s">
        <v>77</v>
      </c>
      <c r="C328" s="7" t="s">
        <v>78</v>
      </c>
      <c r="D328" s="7" t="s">
        <v>32</v>
      </c>
      <c r="E328" s="7" t="s">
        <v>61</v>
      </c>
      <c r="F328" s="7" t="s">
        <v>50</v>
      </c>
      <c r="G328" s="7" t="s">
        <v>56</v>
      </c>
      <c r="H328" s="7">
        <v>3</v>
      </c>
      <c r="I328" s="2">
        <v>1097.69</v>
      </c>
      <c r="J328" s="2">
        <f>Tabla2[[#This Row],[Quantity]]*I328</f>
        <v>3293.07</v>
      </c>
      <c r="K328" s="6">
        <f>MONTH(Tabla2[[#This Row],[OrderDate]])</f>
        <v>4</v>
      </c>
      <c r="L328" s="6">
        <f>YEAR(Tabla2[[#This Row],[OrderDate]])</f>
        <v>2025</v>
      </c>
      <c r="M328" s="7" t="s">
        <v>1034</v>
      </c>
      <c r="N328" s="7" t="s">
        <v>91</v>
      </c>
    </row>
    <row r="329" spans="1:14" x14ac:dyDescent="0.35">
      <c r="A329" s="7" t="s">
        <v>1035</v>
      </c>
      <c r="B329" s="7" t="s">
        <v>936</v>
      </c>
      <c r="C329" s="7" t="s">
        <v>937</v>
      </c>
      <c r="D329" s="7" t="s">
        <v>23</v>
      </c>
      <c r="E329" s="7" t="s">
        <v>338</v>
      </c>
      <c r="F329" s="7" t="s">
        <v>101</v>
      </c>
      <c r="G329" s="7" t="s">
        <v>373</v>
      </c>
      <c r="H329" s="7">
        <v>5</v>
      </c>
      <c r="I329" s="2">
        <v>1128.6500000000001</v>
      </c>
      <c r="J329" s="2">
        <f>Tabla2[[#This Row],[Quantity]]*I329</f>
        <v>5643.25</v>
      </c>
      <c r="K329" s="6">
        <f>MONTH(Tabla2[[#This Row],[OrderDate]])</f>
        <v>7</v>
      </c>
      <c r="L329" s="6">
        <f>YEAR(Tabla2[[#This Row],[OrderDate]])</f>
        <v>2024</v>
      </c>
      <c r="M329" s="7" t="s">
        <v>735</v>
      </c>
      <c r="N329" s="7" t="s">
        <v>36</v>
      </c>
    </row>
    <row r="330" spans="1:14" x14ac:dyDescent="0.35">
      <c r="A330" s="7" t="s">
        <v>1036</v>
      </c>
      <c r="B330" s="7" t="s">
        <v>474</v>
      </c>
      <c r="C330" s="7" t="s">
        <v>475</v>
      </c>
      <c r="D330" s="7" t="s">
        <v>14</v>
      </c>
      <c r="E330" s="7" t="s">
        <v>15</v>
      </c>
      <c r="F330" s="7" t="s">
        <v>25</v>
      </c>
      <c r="G330" s="7" t="s">
        <v>26</v>
      </c>
      <c r="H330" s="7">
        <v>1</v>
      </c>
      <c r="I330" s="2">
        <v>1036.76</v>
      </c>
      <c r="J330" s="2">
        <f>Tabla2[[#This Row],[Quantity]]*I330</f>
        <v>1036.76</v>
      </c>
      <c r="K330" s="6">
        <f>MONTH(Tabla2[[#This Row],[OrderDate]])</f>
        <v>3</v>
      </c>
      <c r="L330" s="6">
        <f>YEAR(Tabla2[[#This Row],[OrderDate]])</f>
        <v>2025</v>
      </c>
      <c r="M330" s="7" t="s">
        <v>761</v>
      </c>
      <c r="N330" s="7" t="s">
        <v>36</v>
      </c>
    </row>
    <row r="331" spans="1:14" x14ac:dyDescent="0.35">
      <c r="A331" s="7" t="s">
        <v>1037</v>
      </c>
      <c r="B331" s="7" t="s">
        <v>77</v>
      </c>
      <c r="C331" s="7" t="s">
        <v>78</v>
      </c>
      <c r="D331" s="7" t="s">
        <v>14</v>
      </c>
      <c r="E331" s="7" t="s">
        <v>100</v>
      </c>
      <c r="F331" s="7" t="s">
        <v>25</v>
      </c>
      <c r="G331" s="7" t="s">
        <v>26</v>
      </c>
      <c r="H331" s="7">
        <v>4</v>
      </c>
      <c r="I331" s="2">
        <v>1275.24</v>
      </c>
      <c r="J331" s="2">
        <f>Tabla2[[#This Row],[Quantity]]*I331</f>
        <v>5100.96</v>
      </c>
      <c r="K331" s="6">
        <f>MONTH(Tabla2[[#This Row],[OrderDate]])</f>
        <v>1</v>
      </c>
      <c r="L331" s="6">
        <f>YEAR(Tabla2[[#This Row],[OrderDate]])</f>
        <v>2025</v>
      </c>
      <c r="M331" s="7" t="s">
        <v>1038</v>
      </c>
      <c r="N331" s="7" t="s">
        <v>45</v>
      </c>
    </row>
    <row r="332" spans="1:14" x14ac:dyDescent="0.35">
      <c r="A332" s="7" t="s">
        <v>1039</v>
      </c>
      <c r="B332" s="7" t="s">
        <v>240</v>
      </c>
      <c r="C332" s="7" t="s">
        <v>241</v>
      </c>
      <c r="D332" s="7" t="s">
        <v>14</v>
      </c>
      <c r="E332" s="7" t="s">
        <v>95</v>
      </c>
      <c r="F332" s="7" t="s">
        <v>101</v>
      </c>
      <c r="G332" s="7" t="s">
        <v>373</v>
      </c>
      <c r="H332" s="7">
        <v>4</v>
      </c>
      <c r="I332" s="2">
        <v>1227.93</v>
      </c>
      <c r="J332" s="2">
        <f>Tabla2[[#This Row],[Quantity]]*I332</f>
        <v>4911.72</v>
      </c>
      <c r="K332" s="6">
        <f>MONTH(Tabla2[[#This Row],[OrderDate]])</f>
        <v>4</v>
      </c>
      <c r="L332" s="6">
        <f>YEAR(Tabla2[[#This Row],[OrderDate]])</f>
        <v>2024</v>
      </c>
      <c r="M332" s="7" t="s">
        <v>1040</v>
      </c>
      <c r="N332" s="7" t="s">
        <v>19</v>
      </c>
    </row>
    <row r="333" spans="1:14" x14ac:dyDescent="0.35">
      <c r="A333" s="7" t="s">
        <v>1041</v>
      </c>
      <c r="B333" s="7" t="s">
        <v>1042</v>
      </c>
      <c r="C333" s="7" t="s">
        <v>1043</v>
      </c>
      <c r="D333" s="7" t="s">
        <v>23</v>
      </c>
      <c r="E333" s="7" t="s">
        <v>49</v>
      </c>
      <c r="F333" s="7" t="s">
        <v>101</v>
      </c>
      <c r="G333" s="7" t="s">
        <v>165</v>
      </c>
      <c r="H333" s="7">
        <v>1</v>
      </c>
      <c r="I333" s="2">
        <v>156.31</v>
      </c>
      <c r="J333" s="2">
        <f>Tabla2[[#This Row],[Quantity]]*I333</f>
        <v>156.31</v>
      </c>
      <c r="K333" s="6">
        <f>MONTH(Tabla2[[#This Row],[OrderDate]])</f>
        <v>2</v>
      </c>
      <c r="L333" s="6">
        <f>YEAR(Tabla2[[#This Row],[OrderDate]])</f>
        <v>2024</v>
      </c>
      <c r="M333" s="7" t="s">
        <v>528</v>
      </c>
      <c r="N333" s="7" t="s">
        <v>91</v>
      </c>
    </row>
    <row r="334" spans="1:14" x14ac:dyDescent="0.35">
      <c r="A334" s="7" t="s">
        <v>1044</v>
      </c>
      <c r="B334" s="7" t="s">
        <v>299</v>
      </c>
      <c r="C334" s="7" t="s">
        <v>300</v>
      </c>
      <c r="D334" s="7" t="s">
        <v>67</v>
      </c>
      <c r="E334" s="7" t="s">
        <v>68</v>
      </c>
      <c r="F334" s="7" t="s">
        <v>50</v>
      </c>
      <c r="G334" s="7" t="s">
        <v>69</v>
      </c>
      <c r="H334" s="7">
        <v>2</v>
      </c>
      <c r="I334" s="2">
        <v>281.20999999999998</v>
      </c>
      <c r="J334" s="2">
        <f>Tabla2[[#This Row],[Quantity]]*I334</f>
        <v>562.41999999999996</v>
      </c>
      <c r="K334" s="6">
        <f>MONTH(Tabla2[[#This Row],[OrderDate]])</f>
        <v>7</v>
      </c>
      <c r="L334" s="6">
        <f>YEAR(Tabla2[[#This Row],[OrderDate]])</f>
        <v>2025</v>
      </c>
      <c r="M334" s="7" t="s">
        <v>371</v>
      </c>
      <c r="N334" s="7" t="s">
        <v>91</v>
      </c>
    </row>
    <row r="335" spans="1:14" x14ac:dyDescent="0.35">
      <c r="A335" s="7" t="s">
        <v>1045</v>
      </c>
      <c r="B335" s="7" t="s">
        <v>1046</v>
      </c>
      <c r="C335" s="7" t="s">
        <v>1047</v>
      </c>
      <c r="D335" s="7" t="s">
        <v>23</v>
      </c>
      <c r="E335" s="7" t="s">
        <v>338</v>
      </c>
      <c r="F335" s="7" t="s">
        <v>25</v>
      </c>
      <c r="G335" s="7" t="s">
        <v>74</v>
      </c>
      <c r="H335" s="7">
        <v>4</v>
      </c>
      <c r="I335" s="2">
        <v>670.79</v>
      </c>
      <c r="J335" s="2">
        <f>Tabla2[[#This Row],[Quantity]]*I335</f>
        <v>2683.16</v>
      </c>
      <c r="K335" s="6">
        <f>MONTH(Tabla2[[#This Row],[OrderDate]])</f>
        <v>1</v>
      </c>
      <c r="L335" s="6">
        <f>YEAR(Tabla2[[#This Row],[OrderDate]])</f>
        <v>2026</v>
      </c>
      <c r="M335" s="7" t="s">
        <v>1048</v>
      </c>
      <c r="N335" s="7" t="s">
        <v>19</v>
      </c>
    </row>
    <row r="336" spans="1:14" x14ac:dyDescent="0.35">
      <c r="A336" s="7" t="s">
        <v>1049</v>
      </c>
      <c r="B336" s="7" t="s">
        <v>622</v>
      </c>
      <c r="C336" s="7" t="s">
        <v>623</v>
      </c>
      <c r="D336" s="7" t="s">
        <v>32</v>
      </c>
      <c r="E336" s="7" t="s">
        <v>61</v>
      </c>
      <c r="F336" s="7" t="s">
        <v>16</v>
      </c>
      <c r="G336" s="7" t="s">
        <v>177</v>
      </c>
      <c r="H336" s="7">
        <v>1</v>
      </c>
      <c r="I336" s="2">
        <v>1086.6600000000001</v>
      </c>
      <c r="J336" s="2">
        <f>Tabla2[[#This Row],[Quantity]]*I336</f>
        <v>1086.6600000000001</v>
      </c>
      <c r="K336" s="6">
        <f>MONTH(Tabla2[[#This Row],[OrderDate]])</f>
        <v>11</v>
      </c>
      <c r="L336" s="6">
        <f>YEAR(Tabla2[[#This Row],[OrderDate]])</f>
        <v>2025</v>
      </c>
      <c r="M336" s="7" t="s">
        <v>63</v>
      </c>
      <c r="N336" s="7" t="s">
        <v>28</v>
      </c>
    </row>
    <row r="337" spans="1:14" x14ac:dyDescent="0.35">
      <c r="A337" s="7" t="s">
        <v>1050</v>
      </c>
      <c r="B337" s="7" t="s">
        <v>626</v>
      </c>
      <c r="C337" s="7" t="s">
        <v>627</v>
      </c>
      <c r="D337" s="7" t="s">
        <v>23</v>
      </c>
      <c r="E337" s="7" t="s">
        <v>338</v>
      </c>
      <c r="F337" s="7" t="s">
        <v>25</v>
      </c>
      <c r="G337" s="7" t="s">
        <v>26</v>
      </c>
      <c r="H337" s="7">
        <v>1</v>
      </c>
      <c r="I337" s="2">
        <v>977.89</v>
      </c>
      <c r="J337" s="2">
        <f>Tabla2[[#This Row],[Quantity]]*I337</f>
        <v>977.89</v>
      </c>
      <c r="K337" s="6">
        <f>MONTH(Tabla2[[#This Row],[OrderDate]])</f>
        <v>12</v>
      </c>
      <c r="L337" s="6">
        <f>YEAR(Tabla2[[#This Row],[OrderDate]])</f>
        <v>2024</v>
      </c>
      <c r="M337" s="7" t="s">
        <v>987</v>
      </c>
      <c r="N337" s="7" t="s">
        <v>19</v>
      </c>
    </row>
    <row r="338" spans="1:14" x14ac:dyDescent="0.35">
      <c r="A338" s="7" t="s">
        <v>1051</v>
      </c>
      <c r="B338" s="7" t="s">
        <v>518</v>
      </c>
      <c r="C338" s="7" t="s">
        <v>519</v>
      </c>
      <c r="D338" s="7" t="s">
        <v>32</v>
      </c>
      <c r="E338" s="7" t="s">
        <v>33</v>
      </c>
      <c r="F338" s="7" t="s">
        <v>42</v>
      </c>
      <c r="G338" s="7" t="s">
        <v>43</v>
      </c>
      <c r="H338" s="7">
        <v>5</v>
      </c>
      <c r="I338" s="2">
        <v>1329.79</v>
      </c>
      <c r="J338" s="2">
        <f>Tabla2[[#This Row],[Quantity]]*I338</f>
        <v>6648.95</v>
      </c>
      <c r="K338" s="6">
        <f>MONTH(Tabla2[[#This Row],[OrderDate]])</f>
        <v>7</v>
      </c>
      <c r="L338" s="6">
        <f>YEAR(Tabla2[[#This Row],[OrderDate]])</f>
        <v>2024</v>
      </c>
      <c r="M338" s="7" t="s">
        <v>1052</v>
      </c>
      <c r="N338" s="7" t="s">
        <v>91</v>
      </c>
    </row>
    <row r="339" spans="1:14" x14ac:dyDescent="0.35">
      <c r="A339" s="7" t="s">
        <v>1053</v>
      </c>
      <c r="B339" s="7" t="s">
        <v>151</v>
      </c>
      <c r="C339" s="7" t="s">
        <v>152</v>
      </c>
      <c r="D339" s="7" t="s">
        <v>32</v>
      </c>
      <c r="E339" s="7" t="s">
        <v>33</v>
      </c>
      <c r="F339" s="7" t="s">
        <v>42</v>
      </c>
      <c r="G339" s="7" t="s">
        <v>170</v>
      </c>
      <c r="H339" s="7">
        <v>2</v>
      </c>
      <c r="I339" s="2">
        <v>84.21</v>
      </c>
      <c r="J339" s="2">
        <f>Tabla2[[#This Row],[Quantity]]*I339</f>
        <v>168.42</v>
      </c>
      <c r="K339" s="6">
        <f>MONTH(Tabla2[[#This Row],[OrderDate]])</f>
        <v>7</v>
      </c>
      <c r="L339" s="6">
        <f>YEAR(Tabla2[[#This Row],[OrderDate]])</f>
        <v>2025</v>
      </c>
      <c r="M339" s="7" t="s">
        <v>1054</v>
      </c>
      <c r="N339" s="7" t="s">
        <v>36</v>
      </c>
    </row>
    <row r="340" spans="1:14" x14ac:dyDescent="0.35">
      <c r="A340" s="7" t="s">
        <v>1055</v>
      </c>
      <c r="B340" s="7" t="s">
        <v>590</v>
      </c>
      <c r="C340" s="7" t="s">
        <v>591</v>
      </c>
      <c r="D340" s="7" t="s">
        <v>67</v>
      </c>
      <c r="E340" s="7" t="s">
        <v>115</v>
      </c>
      <c r="F340" s="7" t="s">
        <v>16</v>
      </c>
      <c r="G340" s="7" t="s">
        <v>148</v>
      </c>
      <c r="H340" s="7">
        <v>2</v>
      </c>
      <c r="I340" s="2">
        <v>1432.53</v>
      </c>
      <c r="J340" s="2">
        <f>Tabla2[[#This Row],[Quantity]]*I340</f>
        <v>2865.06</v>
      </c>
      <c r="K340" s="6">
        <f>MONTH(Tabla2[[#This Row],[OrderDate]])</f>
        <v>4</v>
      </c>
      <c r="L340" s="6">
        <f>YEAR(Tabla2[[#This Row],[OrderDate]])</f>
        <v>2024</v>
      </c>
      <c r="M340" s="7" t="s">
        <v>1056</v>
      </c>
      <c r="N340" s="7" t="s">
        <v>45</v>
      </c>
    </row>
    <row r="341" spans="1:14" x14ac:dyDescent="0.35">
      <c r="A341" s="7" t="s">
        <v>1057</v>
      </c>
      <c r="B341" s="7" t="s">
        <v>1058</v>
      </c>
      <c r="C341" s="7" t="s">
        <v>1059</v>
      </c>
      <c r="D341" s="7" t="s">
        <v>67</v>
      </c>
      <c r="E341" s="7" t="s">
        <v>68</v>
      </c>
      <c r="F341" s="7" t="s">
        <v>101</v>
      </c>
      <c r="G341" s="7" t="s">
        <v>649</v>
      </c>
      <c r="H341" s="7">
        <v>4</v>
      </c>
      <c r="I341" s="2">
        <v>246.87</v>
      </c>
      <c r="J341" s="2">
        <f>Tabla2[[#This Row],[Quantity]]*I341</f>
        <v>987.48</v>
      </c>
      <c r="K341" s="6">
        <f>MONTH(Tabla2[[#This Row],[OrderDate]])</f>
        <v>1</v>
      </c>
      <c r="L341" s="6">
        <f>YEAR(Tabla2[[#This Row],[OrderDate]])</f>
        <v>2025</v>
      </c>
      <c r="M341" s="7" t="s">
        <v>1060</v>
      </c>
      <c r="N341" s="7" t="s">
        <v>36</v>
      </c>
    </row>
    <row r="342" spans="1:14" x14ac:dyDescent="0.35">
      <c r="A342" s="7" t="s">
        <v>1061</v>
      </c>
      <c r="B342" s="7" t="s">
        <v>113</v>
      </c>
      <c r="C342" s="7" t="s">
        <v>114</v>
      </c>
      <c r="D342" s="7" t="s">
        <v>32</v>
      </c>
      <c r="E342" s="7" t="s">
        <v>33</v>
      </c>
      <c r="F342" s="7" t="s">
        <v>25</v>
      </c>
      <c r="G342" s="7" t="s">
        <v>139</v>
      </c>
      <c r="H342" s="7">
        <v>5</v>
      </c>
      <c r="I342" s="2">
        <v>321.02</v>
      </c>
      <c r="J342" s="2">
        <f>Tabla2[[#This Row],[Quantity]]*I342</f>
        <v>1605.1</v>
      </c>
      <c r="K342" s="6">
        <f>MONTH(Tabla2[[#This Row],[OrderDate]])</f>
        <v>2</v>
      </c>
      <c r="L342" s="6">
        <f>YEAR(Tabla2[[#This Row],[OrderDate]])</f>
        <v>2026</v>
      </c>
      <c r="M342" s="7" t="s">
        <v>1062</v>
      </c>
      <c r="N342" s="7" t="s">
        <v>28</v>
      </c>
    </row>
    <row r="343" spans="1:14" x14ac:dyDescent="0.35">
      <c r="A343" s="7" t="s">
        <v>1063</v>
      </c>
      <c r="B343" s="7" t="s">
        <v>536</v>
      </c>
      <c r="C343" s="7" t="s">
        <v>537</v>
      </c>
      <c r="D343" s="7" t="s">
        <v>14</v>
      </c>
      <c r="E343" s="7" t="s">
        <v>266</v>
      </c>
      <c r="F343" s="7" t="s">
        <v>16</v>
      </c>
      <c r="G343" s="7" t="s">
        <v>17</v>
      </c>
      <c r="H343" s="7">
        <v>5</v>
      </c>
      <c r="I343" s="2">
        <v>116.91</v>
      </c>
      <c r="J343" s="2">
        <f>Tabla2[[#This Row],[Quantity]]*I343</f>
        <v>584.54999999999995</v>
      </c>
      <c r="K343" s="6">
        <f>MONTH(Tabla2[[#This Row],[OrderDate]])</f>
        <v>6</v>
      </c>
      <c r="L343" s="6">
        <f>YEAR(Tabla2[[#This Row],[OrderDate]])</f>
        <v>2024</v>
      </c>
      <c r="M343" s="7" t="s">
        <v>1064</v>
      </c>
      <c r="N343" s="7" t="s">
        <v>36</v>
      </c>
    </row>
    <row r="344" spans="1:14" x14ac:dyDescent="0.35">
      <c r="A344" s="7" t="s">
        <v>1065</v>
      </c>
      <c r="B344" s="7" t="s">
        <v>1066</v>
      </c>
      <c r="C344" s="7" t="s">
        <v>1067</v>
      </c>
      <c r="D344" s="7" t="s">
        <v>23</v>
      </c>
      <c r="E344" s="7" t="s">
        <v>49</v>
      </c>
      <c r="F344" s="7" t="s">
        <v>50</v>
      </c>
      <c r="G344" s="7" t="s">
        <v>216</v>
      </c>
      <c r="H344" s="7">
        <v>2</v>
      </c>
      <c r="I344" s="2">
        <v>811.47</v>
      </c>
      <c r="J344" s="2">
        <f>Tabla2[[#This Row],[Quantity]]*I344</f>
        <v>1622.94</v>
      </c>
      <c r="K344" s="6">
        <f>MONTH(Tabla2[[#This Row],[OrderDate]])</f>
        <v>1</v>
      </c>
      <c r="L344" s="6">
        <f>YEAR(Tabla2[[#This Row],[OrderDate]])</f>
        <v>2025</v>
      </c>
      <c r="M344" s="7" t="s">
        <v>404</v>
      </c>
      <c r="N344" s="7" t="s">
        <v>45</v>
      </c>
    </row>
    <row r="345" spans="1:14" x14ac:dyDescent="0.35">
      <c r="A345" s="7" t="s">
        <v>1068</v>
      </c>
      <c r="B345" s="7" t="s">
        <v>128</v>
      </c>
      <c r="C345" s="7" t="s">
        <v>129</v>
      </c>
      <c r="D345" s="7" t="s">
        <v>40</v>
      </c>
      <c r="E345" s="7" t="s">
        <v>41</v>
      </c>
      <c r="F345" s="7" t="s">
        <v>101</v>
      </c>
      <c r="G345" s="7" t="s">
        <v>165</v>
      </c>
      <c r="H345" s="7">
        <v>1</v>
      </c>
      <c r="I345" s="2">
        <v>1483.33</v>
      </c>
      <c r="J345" s="2">
        <f>Tabla2[[#This Row],[Quantity]]*I345</f>
        <v>1483.33</v>
      </c>
      <c r="K345" s="6">
        <f>MONTH(Tabla2[[#This Row],[OrderDate]])</f>
        <v>8</v>
      </c>
      <c r="L345" s="6">
        <f>YEAR(Tabla2[[#This Row],[OrderDate]])</f>
        <v>2024</v>
      </c>
      <c r="M345" s="7" t="s">
        <v>1069</v>
      </c>
      <c r="N345" s="7" t="s">
        <v>28</v>
      </c>
    </row>
    <row r="346" spans="1:14" x14ac:dyDescent="0.35">
      <c r="A346" s="7" t="s">
        <v>1070</v>
      </c>
      <c r="B346" s="7" t="s">
        <v>470</v>
      </c>
      <c r="C346" s="7" t="s">
        <v>471</v>
      </c>
      <c r="D346" s="7" t="s">
        <v>67</v>
      </c>
      <c r="E346" s="7" t="s">
        <v>130</v>
      </c>
      <c r="F346" s="7" t="s">
        <v>101</v>
      </c>
      <c r="G346" s="7" t="s">
        <v>649</v>
      </c>
      <c r="H346" s="7">
        <v>3</v>
      </c>
      <c r="I346" s="2">
        <v>817.08</v>
      </c>
      <c r="J346" s="2">
        <f>Tabla2[[#This Row],[Quantity]]*I346</f>
        <v>2451.2400000000002</v>
      </c>
      <c r="K346" s="6">
        <f>MONTH(Tabla2[[#This Row],[OrderDate]])</f>
        <v>1</v>
      </c>
      <c r="L346" s="6">
        <f>YEAR(Tabla2[[#This Row],[OrderDate]])</f>
        <v>2026</v>
      </c>
      <c r="M346" s="7" t="s">
        <v>912</v>
      </c>
      <c r="N346" s="7" t="s">
        <v>45</v>
      </c>
    </row>
    <row r="347" spans="1:14" x14ac:dyDescent="0.35">
      <c r="A347" s="7" t="s">
        <v>1071</v>
      </c>
      <c r="B347" s="7" t="s">
        <v>450</v>
      </c>
      <c r="C347" s="7" t="s">
        <v>451</v>
      </c>
      <c r="D347" s="7" t="s">
        <v>14</v>
      </c>
      <c r="E347" s="7" t="s">
        <v>125</v>
      </c>
      <c r="F347" s="7" t="s">
        <v>25</v>
      </c>
      <c r="G347" s="7" t="s">
        <v>34</v>
      </c>
      <c r="H347" s="7">
        <v>1</v>
      </c>
      <c r="I347" s="2">
        <v>232.08</v>
      </c>
      <c r="J347" s="2">
        <f>Tabla2[[#This Row],[Quantity]]*I347</f>
        <v>232.08</v>
      </c>
      <c r="K347" s="6">
        <f>MONTH(Tabla2[[#This Row],[OrderDate]])</f>
        <v>12</v>
      </c>
      <c r="L347" s="6">
        <f>YEAR(Tabla2[[#This Row],[OrderDate]])</f>
        <v>2024</v>
      </c>
      <c r="M347" s="7" t="s">
        <v>27</v>
      </c>
      <c r="N347" s="7" t="s">
        <v>19</v>
      </c>
    </row>
    <row r="348" spans="1:14" x14ac:dyDescent="0.35">
      <c r="A348" s="7" t="s">
        <v>1072</v>
      </c>
      <c r="B348" s="7" t="s">
        <v>1073</v>
      </c>
      <c r="C348" s="7" t="s">
        <v>1074</v>
      </c>
      <c r="D348" s="7" t="s">
        <v>67</v>
      </c>
      <c r="E348" s="7" t="s">
        <v>130</v>
      </c>
      <c r="F348" s="7" t="s">
        <v>25</v>
      </c>
      <c r="G348" s="7" t="s">
        <v>62</v>
      </c>
      <c r="H348" s="7">
        <v>3</v>
      </c>
      <c r="I348" s="2">
        <v>740.38</v>
      </c>
      <c r="J348" s="2">
        <f>Tabla2[[#This Row],[Quantity]]*I348</f>
        <v>2221.14</v>
      </c>
      <c r="K348" s="6">
        <f>MONTH(Tabla2[[#This Row],[OrderDate]])</f>
        <v>4</v>
      </c>
      <c r="L348" s="6">
        <f>YEAR(Tabla2[[#This Row],[OrderDate]])</f>
        <v>2025</v>
      </c>
      <c r="M348" s="7" t="s">
        <v>1075</v>
      </c>
      <c r="N348" s="7" t="s">
        <v>91</v>
      </c>
    </row>
    <row r="349" spans="1:14" x14ac:dyDescent="0.35">
      <c r="A349" s="7" t="s">
        <v>1076</v>
      </c>
      <c r="B349" s="7" t="s">
        <v>352</v>
      </c>
      <c r="C349" s="7" t="s">
        <v>353</v>
      </c>
      <c r="D349" s="7" t="s">
        <v>32</v>
      </c>
      <c r="E349" s="7" t="s">
        <v>33</v>
      </c>
      <c r="F349" s="7" t="s">
        <v>25</v>
      </c>
      <c r="G349" s="7" t="s">
        <v>74</v>
      </c>
      <c r="H349" s="7">
        <v>1</v>
      </c>
      <c r="I349" s="2">
        <v>426.63</v>
      </c>
      <c r="J349" s="2">
        <f>Tabla2[[#This Row],[Quantity]]*I349</f>
        <v>426.63</v>
      </c>
      <c r="K349" s="6">
        <f>MONTH(Tabla2[[#This Row],[OrderDate]])</f>
        <v>7</v>
      </c>
      <c r="L349" s="6">
        <f>YEAR(Tabla2[[#This Row],[OrderDate]])</f>
        <v>2024</v>
      </c>
      <c r="M349" s="7" t="s">
        <v>1077</v>
      </c>
      <c r="N349" s="7" t="s">
        <v>28</v>
      </c>
    </row>
    <row r="350" spans="1:14" x14ac:dyDescent="0.35">
      <c r="A350" s="7" t="s">
        <v>1078</v>
      </c>
      <c r="B350" s="7" t="s">
        <v>1079</v>
      </c>
      <c r="C350" s="7" t="s">
        <v>1080</v>
      </c>
      <c r="D350" s="7" t="s">
        <v>23</v>
      </c>
      <c r="E350" s="7" t="s">
        <v>49</v>
      </c>
      <c r="F350" s="7" t="s">
        <v>16</v>
      </c>
      <c r="G350" s="7" t="s">
        <v>177</v>
      </c>
      <c r="H350" s="7">
        <v>1</v>
      </c>
      <c r="I350" s="2">
        <v>1457.85</v>
      </c>
      <c r="J350" s="2">
        <f>Tabla2[[#This Row],[Quantity]]*I350</f>
        <v>1457.85</v>
      </c>
      <c r="K350" s="6">
        <f>MONTH(Tabla2[[#This Row],[OrderDate]])</f>
        <v>10</v>
      </c>
      <c r="L350" s="6">
        <f>YEAR(Tabla2[[#This Row],[OrderDate]])</f>
        <v>2025</v>
      </c>
      <c r="M350" s="7" t="s">
        <v>1081</v>
      </c>
      <c r="N350" s="7" t="s">
        <v>19</v>
      </c>
    </row>
    <row r="351" spans="1:14" x14ac:dyDescent="0.35">
      <c r="A351" s="7" t="s">
        <v>1082</v>
      </c>
      <c r="B351" s="7" t="s">
        <v>321</v>
      </c>
      <c r="C351" s="7" t="s">
        <v>322</v>
      </c>
      <c r="D351" s="7" t="s">
        <v>40</v>
      </c>
      <c r="E351" s="7" t="s">
        <v>79</v>
      </c>
      <c r="F351" s="7" t="s">
        <v>42</v>
      </c>
      <c r="G351" s="7" t="s">
        <v>89</v>
      </c>
      <c r="H351" s="7">
        <v>1</v>
      </c>
      <c r="I351" s="2">
        <v>935.48</v>
      </c>
      <c r="J351" s="2">
        <f>Tabla2[[#This Row],[Quantity]]*I351</f>
        <v>935.48</v>
      </c>
      <c r="K351" s="6">
        <f>MONTH(Tabla2[[#This Row],[OrderDate]])</f>
        <v>9</v>
      </c>
      <c r="L351" s="6">
        <f>YEAR(Tabla2[[#This Row],[OrderDate]])</f>
        <v>2024</v>
      </c>
      <c r="M351" s="7" t="s">
        <v>1083</v>
      </c>
      <c r="N351" s="7" t="s">
        <v>91</v>
      </c>
    </row>
    <row r="352" spans="1:14" x14ac:dyDescent="0.35">
      <c r="A352" s="7" t="s">
        <v>1084</v>
      </c>
      <c r="B352" s="7" t="s">
        <v>500</v>
      </c>
      <c r="C352" s="7" t="s">
        <v>501</v>
      </c>
      <c r="D352" s="7" t="s">
        <v>67</v>
      </c>
      <c r="E352" s="7" t="s">
        <v>68</v>
      </c>
      <c r="F352" s="7" t="s">
        <v>25</v>
      </c>
      <c r="G352" s="7" t="s">
        <v>26</v>
      </c>
      <c r="H352" s="7">
        <v>4</v>
      </c>
      <c r="I352" s="2">
        <v>1150.25</v>
      </c>
      <c r="J352" s="2">
        <f>Tabla2[[#This Row],[Quantity]]*I352</f>
        <v>4601</v>
      </c>
      <c r="K352" s="6">
        <f>MONTH(Tabla2[[#This Row],[OrderDate]])</f>
        <v>5</v>
      </c>
      <c r="L352" s="6">
        <f>YEAR(Tabla2[[#This Row],[OrderDate]])</f>
        <v>2024</v>
      </c>
      <c r="M352" s="7" t="s">
        <v>1085</v>
      </c>
      <c r="N352" s="7" t="s">
        <v>19</v>
      </c>
    </row>
    <row r="353" spans="1:14" x14ac:dyDescent="0.35">
      <c r="A353" s="7" t="s">
        <v>1086</v>
      </c>
      <c r="B353" s="7" t="s">
        <v>1087</v>
      </c>
      <c r="C353" s="7" t="s">
        <v>1088</v>
      </c>
      <c r="D353" s="7" t="s">
        <v>23</v>
      </c>
      <c r="E353" s="7" t="s">
        <v>24</v>
      </c>
      <c r="F353" s="7" t="s">
        <v>25</v>
      </c>
      <c r="G353" s="7" t="s">
        <v>139</v>
      </c>
      <c r="H353" s="7">
        <v>4</v>
      </c>
      <c r="I353" s="2">
        <v>1020.97</v>
      </c>
      <c r="J353" s="2">
        <f>Tabla2[[#This Row],[Quantity]]*I353</f>
        <v>4083.88</v>
      </c>
      <c r="K353" s="6">
        <f>MONTH(Tabla2[[#This Row],[OrderDate]])</f>
        <v>1</v>
      </c>
      <c r="L353" s="6">
        <f>YEAR(Tabla2[[#This Row],[OrderDate]])</f>
        <v>2025</v>
      </c>
      <c r="M353" s="7" t="s">
        <v>404</v>
      </c>
      <c r="N353" s="7" t="s">
        <v>36</v>
      </c>
    </row>
    <row r="354" spans="1:14" x14ac:dyDescent="0.35">
      <c r="A354" s="7" t="s">
        <v>1089</v>
      </c>
      <c r="B354" s="7" t="s">
        <v>273</v>
      </c>
      <c r="C354" s="7" t="s">
        <v>274</v>
      </c>
      <c r="D354" s="7" t="s">
        <v>23</v>
      </c>
      <c r="E354" s="7" t="s">
        <v>338</v>
      </c>
      <c r="F354" s="7" t="s">
        <v>42</v>
      </c>
      <c r="G354" s="7" t="s">
        <v>170</v>
      </c>
      <c r="H354" s="7">
        <v>4</v>
      </c>
      <c r="I354" s="2">
        <v>1211.29</v>
      </c>
      <c r="J354" s="2">
        <f>Tabla2[[#This Row],[Quantity]]*I354</f>
        <v>4845.16</v>
      </c>
      <c r="K354" s="6">
        <f>MONTH(Tabla2[[#This Row],[OrderDate]])</f>
        <v>12</v>
      </c>
      <c r="L354" s="6">
        <f>YEAR(Tabla2[[#This Row],[OrderDate]])</f>
        <v>2024</v>
      </c>
      <c r="M354" s="7" t="s">
        <v>1090</v>
      </c>
      <c r="N354" s="7" t="s">
        <v>45</v>
      </c>
    </row>
    <row r="355" spans="1:14" x14ac:dyDescent="0.35">
      <c r="A355" s="7" t="s">
        <v>1091</v>
      </c>
      <c r="B355" s="7" t="s">
        <v>1092</v>
      </c>
      <c r="C355" s="7" t="s">
        <v>1093</v>
      </c>
      <c r="D355" s="7" t="s">
        <v>23</v>
      </c>
      <c r="E355" s="7" t="s">
        <v>49</v>
      </c>
      <c r="F355" s="7" t="s">
        <v>42</v>
      </c>
      <c r="G355" s="7" t="s">
        <v>89</v>
      </c>
      <c r="H355" s="7">
        <v>1</v>
      </c>
      <c r="I355" s="2">
        <v>1042.1500000000001</v>
      </c>
      <c r="J355" s="2">
        <f>Tabla2[[#This Row],[Quantity]]*I355</f>
        <v>1042.1500000000001</v>
      </c>
      <c r="K355" s="6">
        <f>MONTH(Tabla2[[#This Row],[OrderDate]])</f>
        <v>10</v>
      </c>
      <c r="L355" s="6">
        <f>YEAR(Tabla2[[#This Row],[OrderDate]])</f>
        <v>2025</v>
      </c>
      <c r="M355" s="7" t="s">
        <v>1094</v>
      </c>
      <c r="N355" s="7" t="s">
        <v>19</v>
      </c>
    </row>
    <row r="356" spans="1:14" x14ac:dyDescent="0.35">
      <c r="A356" s="7" t="s">
        <v>1095</v>
      </c>
      <c r="B356" s="7" t="s">
        <v>214</v>
      </c>
      <c r="C356" s="7" t="s">
        <v>215</v>
      </c>
      <c r="D356" s="7" t="s">
        <v>67</v>
      </c>
      <c r="E356" s="7" t="s">
        <v>115</v>
      </c>
      <c r="F356" s="7" t="s">
        <v>101</v>
      </c>
      <c r="G356" s="7" t="s">
        <v>237</v>
      </c>
      <c r="H356" s="7">
        <v>1</v>
      </c>
      <c r="I356" s="2">
        <v>1015.04</v>
      </c>
      <c r="J356" s="2">
        <f>Tabla2[[#This Row],[Quantity]]*I356</f>
        <v>1015.04</v>
      </c>
      <c r="K356" s="6">
        <f>MONTH(Tabla2[[#This Row],[OrderDate]])</f>
        <v>1</v>
      </c>
      <c r="L356" s="6">
        <f>YEAR(Tabla2[[#This Row],[OrderDate]])</f>
        <v>2026</v>
      </c>
      <c r="M356" s="7" t="s">
        <v>1096</v>
      </c>
      <c r="N356" s="7" t="s">
        <v>28</v>
      </c>
    </row>
    <row r="357" spans="1:14" x14ac:dyDescent="0.35">
      <c r="A357" s="7" t="s">
        <v>1097</v>
      </c>
      <c r="B357" s="7" t="s">
        <v>686</v>
      </c>
      <c r="C357" s="7" t="s">
        <v>687</v>
      </c>
      <c r="D357" s="7" t="s">
        <v>14</v>
      </c>
      <c r="E357" s="7" t="s">
        <v>15</v>
      </c>
      <c r="F357" s="7" t="s">
        <v>101</v>
      </c>
      <c r="G357" s="7" t="s">
        <v>649</v>
      </c>
      <c r="H357" s="7">
        <v>1</v>
      </c>
      <c r="I357" s="2">
        <v>686.02</v>
      </c>
      <c r="J357" s="2">
        <f>Tabla2[[#This Row],[Quantity]]*I357</f>
        <v>686.02</v>
      </c>
      <c r="K357" s="6">
        <f>MONTH(Tabla2[[#This Row],[OrderDate]])</f>
        <v>10</v>
      </c>
      <c r="L357" s="6">
        <f>YEAR(Tabla2[[#This Row],[OrderDate]])</f>
        <v>2025</v>
      </c>
      <c r="M357" s="7" t="s">
        <v>1098</v>
      </c>
      <c r="N357" s="7" t="s">
        <v>45</v>
      </c>
    </row>
    <row r="358" spans="1:14" x14ac:dyDescent="0.35">
      <c r="A358" s="7" t="s">
        <v>1099</v>
      </c>
      <c r="B358" s="7" t="s">
        <v>264</v>
      </c>
      <c r="C358" s="7" t="s">
        <v>265</v>
      </c>
      <c r="D358" s="7" t="s">
        <v>32</v>
      </c>
      <c r="E358" s="7" t="s">
        <v>203</v>
      </c>
      <c r="F358" s="7" t="s">
        <v>101</v>
      </c>
      <c r="G358" s="7" t="s">
        <v>102</v>
      </c>
      <c r="H358" s="7">
        <v>1</v>
      </c>
      <c r="I358" s="2">
        <v>397.49</v>
      </c>
      <c r="J358" s="2">
        <f>Tabla2[[#This Row],[Quantity]]*I358</f>
        <v>397.49</v>
      </c>
      <c r="K358" s="6">
        <f>MONTH(Tabla2[[#This Row],[OrderDate]])</f>
        <v>11</v>
      </c>
      <c r="L358" s="6">
        <f>YEAR(Tabla2[[#This Row],[OrderDate]])</f>
        <v>2025</v>
      </c>
      <c r="M358" s="7" t="s">
        <v>956</v>
      </c>
      <c r="N358" s="7" t="s">
        <v>28</v>
      </c>
    </row>
    <row r="359" spans="1:14" x14ac:dyDescent="0.35">
      <c r="A359" s="7" t="s">
        <v>1100</v>
      </c>
      <c r="B359" s="7" t="s">
        <v>1101</v>
      </c>
      <c r="C359" s="7" t="s">
        <v>1102</v>
      </c>
      <c r="D359" s="7" t="s">
        <v>23</v>
      </c>
      <c r="E359" s="7" t="s">
        <v>24</v>
      </c>
      <c r="F359" s="7" t="s">
        <v>42</v>
      </c>
      <c r="G359" s="7" t="s">
        <v>43</v>
      </c>
      <c r="H359" s="7">
        <v>1</v>
      </c>
      <c r="I359" s="2">
        <v>442.37</v>
      </c>
      <c r="J359" s="2">
        <f>Tabla2[[#This Row],[Quantity]]*I359</f>
        <v>442.37</v>
      </c>
      <c r="K359" s="6">
        <f>MONTH(Tabla2[[#This Row],[OrderDate]])</f>
        <v>5</v>
      </c>
      <c r="L359" s="6">
        <f>YEAR(Tabla2[[#This Row],[OrderDate]])</f>
        <v>2025</v>
      </c>
      <c r="M359" s="7" t="s">
        <v>1103</v>
      </c>
      <c r="N359" s="7" t="s">
        <v>28</v>
      </c>
    </row>
    <row r="360" spans="1:14" x14ac:dyDescent="0.35">
      <c r="A360" s="7" t="s">
        <v>1104</v>
      </c>
      <c r="B360" s="7" t="s">
        <v>87</v>
      </c>
      <c r="C360" s="7" t="s">
        <v>88</v>
      </c>
      <c r="D360" s="7" t="s">
        <v>40</v>
      </c>
      <c r="E360" s="7" t="s">
        <v>41</v>
      </c>
      <c r="F360" s="7" t="s">
        <v>42</v>
      </c>
      <c r="G360" s="7" t="s">
        <v>80</v>
      </c>
      <c r="H360" s="7">
        <v>5</v>
      </c>
      <c r="I360" s="2">
        <v>1381.72</v>
      </c>
      <c r="J360" s="2">
        <f>Tabla2[[#This Row],[Quantity]]*I360</f>
        <v>6908.6</v>
      </c>
      <c r="K360" s="6">
        <f>MONTH(Tabla2[[#This Row],[OrderDate]])</f>
        <v>3</v>
      </c>
      <c r="L360" s="6">
        <f>YEAR(Tabla2[[#This Row],[OrderDate]])</f>
        <v>2026</v>
      </c>
      <c r="M360" s="7" t="s">
        <v>390</v>
      </c>
      <c r="N360" s="7" t="s">
        <v>28</v>
      </c>
    </row>
    <row r="361" spans="1:14" x14ac:dyDescent="0.35">
      <c r="A361" s="7" t="s">
        <v>1105</v>
      </c>
      <c r="B361" s="7" t="s">
        <v>295</v>
      </c>
      <c r="C361" s="7" t="s">
        <v>296</v>
      </c>
      <c r="D361" s="7" t="s">
        <v>67</v>
      </c>
      <c r="E361" s="7" t="s">
        <v>130</v>
      </c>
      <c r="F361" s="7" t="s">
        <v>25</v>
      </c>
      <c r="G361" s="7" t="s">
        <v>26</v>
      </c>
      <c r="H361" s="7">
        <v>4</v>
      </c>
      <c r="I361" s="2">
        <v>526.94000000000005</v>
      </c>
      <c r="J361" s="2">
        <f>Tabla2[[#This Row],[Quantity]]*I361</f>
        <v>2107.7600000000002</v>
      </c>
      <c r="K361" s="6">
        <f>MONTH(Tabla2[[#This Row],[OrderDate]])</f>
        <v>12</v>
      </c>
      <c r="L361" s="6">
        <f>YEAR(Tabla2[[#This Row],[OrderDate]])</f>
        <v>2025</v>
      </c>
      <c r="M361" s="7" t="s">
        <v>1106</v>
      </c>
      <c r="N361" s="7" t="s">
        <v>91</v>
      </c>
    </row>
    <row r="362" spans="1:14" x14ac:dyDescent="0.35">
      <c r="A362" s="7" t="s">
        <v>1107</v>
      </c>
      <c r="B362" s="7" t="s">
        <v>435</v>
      </c>
      <c r="C362" s="7" t="s">
        <v>436</v>
      </c>
      <c r="D362" s="7" t="s">
        <v>14</v>
      </c>
      <c r="E362" s="7" t="s">
        <v>266</v>
      </c>
      <c r="F362" s="7" t="s">
        <v>16</v>
      </c>
      <c r="G362" s="7" t="s">
        <v>177</v>
      </c>
      <c r="H362" s="7">
        <v>3</v>
      </c>
      <c r="I362" s="2">
        <v>1099.79</v>
      </c>
      <c r="J362" s="2">
        <f>Tabla2[[#This Row],[Quantity]]*I362</f>
        <v>3299.37</v>
      </c>
      <c r="K362" s="6">
        <f>MONTH(Tabla2[[#This Row],[OrderDate]])</f>
        <v>3</v>
      </c>
      <c r="L362" s="6">
        <f>YEAR(Tabla2[[#This Row],[OrderDate]])</f>
        <v>2024</v>
      </c>
      <c r="M362" s="7" t="s">
        <v>1108</v>
      </c>
      <c r="N362" s="7" t="s">
        <v>91</v>
      </c>
    </row>
    <row r="363" spans="1:14" x14ac:dyDescent="0.35">
      <c r="A363" s="7" t="s">
        <v>1109</v>
      </c>
      <c r="B363" s="7" t="s">
        <v>960</v>
      </c>
      <c r="C363" s="7" t="s">
        <v>961</v>
      </c>
      <c r="D363" s="7" t="s">
        <v>14</v>
      </c>
      <c r="E363" s="7" t="s">
        <v>15</v>
      </c>
      <c r="F363" s="7" t="s">
        <v>42</v>
      </c>
      <c r="G363" s="7" t="s">
        <v>80</v>
      </c>
      <c r="H363" s="7">
        <v>3</v>
      </c>
      <c r="I363" s="2">
        <v>1051.9000000000001</v>
      </c>
      <c r="J363" s="2">
        <f>Tabla2[[#This Row],[Quantity]]*I363</f>
        <v>3155.7000000000003</v>
      </c>
      <c r="K363" s="6">
        <f>MONTH(Tabla2[[#This Row],[OrderDate]])</f>
        <v>3</v>
      </c>
      <c r="L363" s="6">
        <f>YEAR(Tabla2[[#This Row],[OrderDate]])</f>
        <v>2025</v>
      </c>
      <c r="M363" s="7" t="s">
        <v>1110</v>
      </c>
      <c r="N363" s="7" t="s">
        <v>36</v>
      </c>
    </row>
    <row r="364" spans="1:14" x14ac:dyDescent="0.35">
      <c r="A364" s="7" t="s">
        <v>1111</v>
      </c>
      <c r="B364" s="7" t="s">
        <v>779</v>
      </c>
      <c r="C364" s="7" t="s">
        <v>780</v>
      </c>
      <c r="D364" s="7" t="s">
        <v>14</v>
      </c>
      <c r="E364" s="7" t="s">
        <v>125</v>
      </c>
      <c r="F364" s="7" t="s">
        <v>25</v>
      </c>
      <c r="G364" s="7" t="s">
        <v>62</v>
      </c>
      <c r="H364" s="7">
        <v>5</v>
      </c>
      <c r="I364" s="2">
        <v>842.81</v>
      </c>
      <c r="J364" s="2">
        <f>Tabla2[[#This Row],[Quantity]]*I364</f>
        <v>4214.0499999999993</v>
      </c>
      <c r="K364" s="6">
        <f>MONTH(Tabla2[[#This Row],[OrderDate]])</f>
        <v>9</v>
      </c>
      <c r="L364" s="6">
        <f>YEAR(Tabla2[[#This Row],[OrderDate]])</f>
        <v>2025</v>
      </c>
      <c r="M364" s="7" t="s">
        <v>1112</v>
      </c>
      <c r="N364" s="7" t="s">
        <v>45</v>
      </c>
    </row>
    <row r="365" spans="1:14" x14ac:dyDescent="0.35">
      <c r="A365" s="7" t="s">
        <v>1113</v>
      </c>
      <c r="B365" s="7" t="s">
        <v>842</v>
      </c>
      <c r="C365" s="7" t="s">
        <v>843</v>
      </c>
      <c r="D365" s="7" t="s">
        <v>67</v>
      </c>
      <c r="E365" s="7" t="s">
        <v>68</v>
      </c>
      <c r="F365" s="7" t="s">
        <v>16</v>
      </c>
      <c r="G365" s="7" t="s">
        <v>182</v>
      </c>
      <c r="H365" s="7">
        <v>4</v>
      </c>
      <c r="I365" s="2">
        <v>549.74</v>
      </c>
      <c r="J365" s="2">
        <f>Tabla2[[#This Row],[Quantity]]*I365</f>
        <v>2198.96</v>
      </c>
      <c r="K365" s="6">
        <f>MONTH(Tabla2[[#This Row],[OrderDate]])</f>
        <v>9</v>
      </c>
      <c r="L365" s="6">
        <f>YEAR(Tabla2[[#This Row],[OrderDate]])</f>
        <v>2025</v>
      </c>
      <c r="M365" s="7" t="s">
        <v>971</v>
      </c>
      <c r="N365" s="7" t="s">
        <v>28</v>
      </c>
    </row>
    <row r="366" spans="1:14" x14ac:dyDescent="0.35">
      <c r="A366" s="7" t="s">
        <v>1114</v>
      </c>
      <c r="B366" s="7" t="s">
        <v>496</v>
      </c>
      <c r="C366" s="7" t="s">
        <v>497</v>
      </c>
      <c r="D366" s="7" t="s">
        <v>40</v>
      </c>
      <c r="E366" s="7" t="s">
        <v>120</v>
      </c>
      <c r="F366" s="7" t="s">
        <v>25</v>
      </c>
      <c r="G366" s="7" t="s">
        <v>74</v>
      </c>
      <c r="H366" s="7">
        <v>3</v>
      </c>
      <c r="I366" s="2">
        <v>500.49</v>
      </c>
      <c r="J366" s="2">
        <f>Tabla2[[#This Row],[Quantity]]*I366</f>
        <v>1501.47</v>
      </c>
      <c r="K366" s="6">
        <f>MONTH(Tabla2[[#This Row],[OrderDate]])</f>
        <v>2</v>
      </c>
      <c r="L366" s="6">
        <f>YEAR(Tabla2[[#This Row],[OrderDate]])</f>
        <v>2026</v>
      </c>
      <c r="M366" s="7" t="s">
        <v>650</v>
      </c>
      <c r="N366" s="7" t="s">
        <v>91</v>
      </c>
    </row>
    <row r="367" spans="1:14" x14ac:dyDescent="0.35">
      <c r="A367" s="7" t="s">
        <v>1115</v>
      </c>
      <c r="B367" s="7" t="s">
        <v>633</v>
      </c>
      <c r="C367" s="7" t="s">
        <v>634</v>
      </c>
      <c r="D367" s="7" t="s">
        <v>23</v>
      </c>
      <c r="E367" s="7" t="s">
        <v>338</v>
      </c>
      <c r="F367" s="7" t="s">
        <v>42</v>
      </c>
      <c r="G367" s="7" t="s">
        <v>89</v>
      </c>
      <c r="H367" s="7">
        <v>5</v>
      </c>
      <c r="I367" s="2">
        <v>1431.78</v>
      </c>
      <c r="J367" s="2">
        <f>Tabla2[[#This Row],[Quantity]]*I367</f>
        <v>7158.9</v>
      </c>
      <c r="K367" s="6">
        <f>MONTH(Tabla2[[#This Row],[OrderDate]])</f>
        <v>3</v>
      </c>
      <c r="L367" s="6">
        <f>YEAR(Tabla2[[#This Row],[OrderDate]])</f>
        <v>2026</v>
      </c>
      <c r="M367" s="7" t="s">
        <v>1116</v>
      </c>
      <c r="N367" s="7" t="s">
        <v>19</v>
      </c>
    </row>
    <row r="368" spans="1:14" x14ac:dyDescent="0.35">
      <c r="A368" s="7" t="s">
        <v>1117</v>
      </c>
      <c r="B368" s="7" t="s">
        <v>555</v>
      </c>
      <c r="C368" s="7" t="s">
        <v>556</v>
      </c>
      <c r="D368" s="7" t="s">
        <v>40</v>
      </c>
      <c r="E368" s="7" t="s">
        <v>120</v>
      </c>
      <c r="F368" s="7" t="s">
        <v>16</v>
      </c>
      <c r="G368" s="7" t="s">
        <v>17</v>
      </c>
      <c r="H368" s="7">
        <v>5</v>
      </c>
      <c r="I368" s="2">
        <v>159.07</v>
      </c>
      <c r="J368" s="2">
        <f>Tabla2[[#This Row],[Quantity]]*I368</f>
        <v>795.34999999999991</v>
      </c>
      <c r="K368" s="6">
        <f>MONTH(Tabla2[[#This Row],[OrderDate]])</f>
        <v>1</v>
      </c>
      <c r="L368" s="6">
        <f>YEAR(Tabla2[[#This Row],[OrderDate]])</f>
        <v>2024</v>
      </c>
      <c r="M368" s="7" t="s">
        <v>1118</v>
      </c>
      <c r="N368" s="7" t="s">
        <v>36</v>
      </c>
    </row>
    <row r="369" spans="1:14" x14ac:dyDescent="0.35">
      <c r="A369" s="7" t="s">
        <v>1119</v>
      </c>
      <c r="B369" s="7" t="s">
        <v>878</v>
      </c>
      <c r="C369" s="7" t="s">
        <v>879</v>
      </c>
      <c r="D369" s="7" t="s">
        <v>32</v>
      </c>
      <c r="E369" s="7" t="s">
        <v>61</v>
      </c>
      <c r="F369" s="7" t="s">
        <v>50</v>
      </c>
      <c r="G369" s="7" t="s">
        <v>56</v>
      </c>
      <c r="H369" s="7">
        <v>3</v>
      </c>
      <c r="I369" s="2">
        <v>450.39</v>
      </c>
      <c r="J369" s="2">
        <f>Tabla2[[#This Row],[Quantity]]*I369</f>
        <v>1351.17</v>
      </c>
      <c r="K369" s="6">
        <f>MONTH(Tabla2[[#This Row],[OrderDate]])</f>
        <v>7</v>
      </c>
      <c r="L369" s="6">
        <f>YEAR(Tabla2[[#This Row],[OrderDate]])</f>
        <v>2025</v>
      </c>
      <c r="M369" s="7" t="s">
        <v>262</v>
      </c>
      <c r="N369" s="7" t="s">
        <v>36</v>
      </c>
    </row>
    <row r="370" spans="1:14" x14ac:dyDescent="0.35">
      <c r="A370" s="7" t="s">
        <v>1120</v>
      </c>
      <c r="B370" s="7" t="s">
        <v>12</v>
      </c>
      <c r="C370" s="7" t="s">
        <v>13</v>
      </c>
      <c r="D370" s="7" t="s">
        <v>23</v>
      </c>
      <c r="E370" s="7" t="s">
        <v>49</v>
      </c>
      <c r="F370" s="7" t="s">
        <v>50</v>
      </c>
      <c r="G370" s="7" t="s">
        <v>51</v>
      </c>
      <c r="H370" s="7">
        <v>3</v>
      </c>
      <c r="I370" s="2">
        <v>476.83</v>
      </c>
      <c r="J370" s="2">
        <f>Tabla2[[#This Row],[Quantity]]*I370</f>
        <v>1430.49</v>
      </c>
      <c r="K370" s="6">
        <f>MONTH(Tabla2[[#This Row],[OrderDate]])</f>
        <v>2</v>
      </c>
      <c r="L370" s="6">
        <f>YEAR(Tabla2[[#This Row],[OrderDate]])</f>
        <v>2024</v>
      </c>
      <c r="M370" s="7" t="s">
        <v>894</v>
      </c>
      <c r="N370" s="7" t="s">
        <v>28</v>
      </c>
    </row>
    <row r="371" spans="1:14" x14ac:dyDescent="0.35">
      <c r="A371" s="7" t="s">
        <v>1121</v>
      </c>
      <c r="B371" s="7" t="s">
        <v>21</v>
      </c>
      <c r="C371" s="7" t="s">
        <v>22</v>
      </c>
      <c r="D371" s="7" t="s">
        <v>14</v>
      </c>
      <c r="E371" s="7" t="s">
        <v>15</v>
      </c>
      <c r="F371" s="7" t="s">
        <v>42</v>
      </c>
      <c r="G371" s="7" t="s">
        <v>43</v>
      </c>
      <c r="H371" s="7">
        <v>2</v>
      </c>
      <c r="I371" s="2">
        <v>580.32000000000005</v>
      </c>
      <c r="J371" s="2">
        <f>Tabla2[[#This Row],[Quantity]]*I371</f>
        <v>1160.6400000000001</v>
      </c>
      <c r="K371" s="6">
        <f>MONTH(Tabla2[[#This Row],[OrderDate]])</f>
        <v>1</v>
      </c>
      <c r="L371" s="6">
        <f>YEAR(Tabla2[[#This Row],[OrderDate]])</f>
        <v>2025</v>
      </c>
      <c r="M371" s="7" t="s">
        <v>1122</v>
      </c>
      <c r="N371" s="7" t="s">
        <v>91</v>
      </c>
    </row>
    <row r="372" spans="1:14" x14ac:dyDescent="0.35">
      <c r="A372" s="7" t="s">
        <v>1123</v>
      </c>
      <c r="B372" s="7" t="s">
        <v>12</v>
      </c>
      <c r="C372" s="7" t="s">
        <v>13</v>
      </c>
      <c r="D372" s="7" t="s">
        <v>40</v>
      </c>
      <c r="E372" s="7" t="s">
        <v>79</v>
      </c>
      <c r="F372" s="7" t="s">
        <v>101</v>
      </c>
      <c r="G372" s="7" t="s">
        <v>237</v>
      </c>
      <c r="H372" s="7">
        <v>2</v>
      </c>
      <c r="I372" s="2">
        <v>1194.0899999999999</v>
      </c>
      <c r="J372" s="2">
        <f>Tabla2[[#This Row],[Quantity]]*I372</f>
        <v>2388.1799999999998</v>
      </c>
      <c r="K372" s="6">
        <f>MONTH(Tabla2[[#This Row],[OrderDate]])</f>
        <v>9</v>
      </c>
      <c r="L372" s="6">
        <f>YEAR(Tabla2[[#This Row],[OrderDate]])</f>
        <v>2024</v>
      </c>
      <c r="M372" s="7" t="s">
        <v>1124</v>
      </c>
      <c r="N372" s="7" t="s">
        <v>45</v>
      </c>
    </row>
    <row r="373" spans="1:14" x14ac:dyDescent="0.35">
      <c r="A373" s="7" t="s">
        <v>1125</v>
      </c>
      <c r="B373" s="7" t="s">
        <v>838</v>
      </c>
      <c r="C373" s="7" t="s">
        <v>839</v>
      </c>
      <c r="D373" s="7" t="s">
        <v>14</v>
      </c>
      <c r="E373" s="7" t="s">
        <v>95</v>
      </c>
      <c r="F373" s="7" t="s">
        <v>50</v>
      </c>
      <c r="G373" s="7" t="s">
        <v>56</v>
      </c>
      <c r="H373" s="7">
        <v>3</v>
      </c>
      <c r="I373" s="2">
        <v>313.87</v>
      </c>
      <c r="J373" s="2">
        <f>Tabla2[[#This Row],[Quantity]]*I373</f>
        <v>941.61</v>
      </c>
      <c r="K373" s="6">
        <f>MONTH(Tabla2[[#This Row],[OrderDate]])</f>
        <v>1</v>
      </c>
      <c r="L373" s="6">
        <f>YEAR(Tabla2[[#This Row],[OrderDate]])</f>
        <v>2024</v>
      </c>
      <c r="M373" s="7" t="s">
        <v>1126</v>
      </c>
      <c r="N373" s="7" t="s">
        <v>36</v>
      </c>
    </row>
    <row r="374" spans="1:14" x14ac:dyDescent="0.35">
      <c r="A374" s="7" t="s">
        <v>1127</v>
      </c>
      <c r="B374" s="7" t="s">
        <v>1128</v>
      </c>
      <c r="C374" s="7" t="s">
        <v>1129</v>
      </c>
      <c r="D374" s="7" t="s">
        <v>40</v>
      </c>
      <c r="E374" s="7" t="s">
        <v>41</v>
      </c>
      <c r="F374" s="7" t="s">
        <v>50</v>
      </c>
      <c r="G374" s="7" t="s">
        <v>170</v>
      </c>
      <c r="H374" s="7">
        <v>2</v>
      </c>
      <c r="I374" s="2">
        <v>213.99</v>
      </c>
      <c r="J374" s="2">
        <f>Tabla2[[#This Row],[Quantity]]*I374</f>
        <v>427.98</v>
      </c>
      <c r="K374" s="6">
        <f>MONTH(Tabla2[[#This Row],[OrderDate]])</f>
        <v>9</v>
      </c>
      <c r="L374" s="6">
        <f>YEAR(Tabla2[[#This Row],[OrderDate]])</f>
        <v>2024</v>
      </c>
      <c r="M374" s="7" t="s">
        <v>1124</v>
      </c>
      <c r="N374" s="7" t="s">
        <v>45</v>
      </c>
    </row>
    <row r="375" spans="1:14" x14ac:dyDescent="0.35">
      <c r="A375" s="7" t="s">
        <v>1130</v>
      </c>
      <c r="B375" s="7" t="s">
        <v>1131</v>
      </c>
      <c r="C375" s="7" t="s">
        <v>1132</v>
      </c>
      <c r="D375" s="7" t="s">
        <v>67</v>
      </c>
      <c r="E375" s="7" t="s">
        <v>130</v>
      </c>
      <c r="F375" s="7" t="s">
        <v>50</v>
      </c>
      <c r="G375" s="7" t="s">
        <v>69</v>
      </c>
      <c r="H375" s="7">
        <v>1</v>
      </c>
      <c r="I375" s="2">
        <v>365.19</v>
      </c>
      <c r="J375" s="2">
        <f>Tabla2[[#This Row],[Quantity]]*I375</f>
        <v>365.19</v>
      </c>
      <c r="K375" s="6">
        <f>MONTH(Tabla2[[#This Row],[OrderDate]])</f>
        <v>12</v>
      </c>
      <c r="L375" s="6">
        <f>YEAR(Tabla2[[#This Row],[OrderDate]])</f>
        <v>2024</v>
      </c>
      <c r="M375" s="7" t="s">
        <v>938</v>
      </c>
      <c r="N375" s="7" t="s">
        <v>91</v>
      </c>
    </row>
    <row r="376" spans="1:14" x14ac:dyDescent="0.35">
      <c r="A376" s="7" t="s">
        <v>1133</v>
      </c>
      <c r="B376" s="7" t="s">
        <v>439</v>
      </c>
      <c r="C376" s="7" t="s">
        <v>440</v>
      </c>
      <c r="D376" s="7" t="s">
        <v>67</v>
      </c>
      <c r="E376" s="7" t="s">
        <v>130</v>
      </c>
      <c r="F376" s="7" t="s">
        <v>101</v>
      </c>
      <c r="G376" s="7" t="s">
        <v>237</v>
      </c>
      <c r="H376" s="7">
        <v>3</v>
      </c>
      <c r="I376" s="2">
        <v>883.13</v>
      </c>
      <c r="J376" s="2">
        <f>Tabla2[[#This Row],[Quantity]]*I376</f>
        <v>2649.39</v>
      </c>
      <c r="K376" s="6">
        <f>MONTH(Tabla2[[#This Row],[OrderDate]])</f>
        <v>2</v>
      </c>
      <c r="L376" s="6">
        <f>YEAR(Tabla2[[#This Row],[OrderDate]])</f>
        <v>2026</v>
      </c>
      <c r="M376" s="7" t="s">
        <v>1134</v>
      </c>
      <c r="N376" s="7" t="s">
        <v>28</v>
      </c>
    </row>
    <row r="377" spans="1:14" x14ac:dyDescent="0.35">
      <c r="A377" s="7" t="s">
        <v>1135</v>
      </c>
      <c r="B377" s="7" t="s">
        <v>341</v>
      </c>
      <c r="C377" s="7" t="s">
        <v>342</v>
      </c>
      <c r="D377" s="7" t="s">
        <v>14</v>
      </c>
      <c r="E377" s="7" t="s">
        <v>100</v>
      </c>
      <c r="F377" s="7" t="s">
        <v>101</v>
      </c>
      <c r="G377" s="7" t="s">
        <v>373</v>
      </c>
      <c r="H377" s="7">
        <v>2</v>
      </c>
      <c r="I377" s="2">
        <v>1134.27</v>
      </c>
      <c r="J377" s="2">
        <f>Tabla2[[#This Row],[Quantity]]*I377</f>
        <v>2268.54</v>
      </c>
      <c r="K377" s="6">
        <f>MONTH(Tabla2[[#This Row],[OrderDate]])</f>
        <v>11</v>
      </c>
      <c r="L377" s="6">
        <f>YEAR(Tabla2[[#This Row],[OrderDate]])</f>
        <v>2024</v>
      </c>
      <c r="M377" s="7" t="s">
        <v>1009</v>
      </c>
      <c r="N377" s="7" t="s">
        <v>91</v>
      </c>
    </row>
    <row r="378" spans="1:14" x14ac:dyDescent="0.35">
      <c r="A378" s="7" t="s">
        <v>1136</v>
      </c>
      <c r="B378" s="7" t="s">
        <v>1137</v>
      </c>
      <c r="C378" s="7" t="s">
        <v>1138</v>
      </c>
      <c r="D378" s="7" t="s">
        <v>23</v>
      </c>
      <c r="E378" s="7" t="s">
        <v>49</v>
      </c>
      <c r="F378" s="7" t="s">
        <v>50</v>
      </c>
      <c r="G378" s="7" t="s">
        <v>216</v>
      </c>
      <c r="H378" s="7">
        <v>1</v>
      </c>
      <c r="I378" s="2">
        <v>1362.07</v>
      </c>
      <c r="J378" s="2">
        <f>Tabla2[[#This Row],[Quantity]]*I378</f>
        <v>1362.07</v>
      </c>
      <c r="K378" s="6">
        <f>MONTH(Tabla2[[#This Row],[OrderDate]])</f>
        <v>9</v>
      </c>
      <c r="L378" s="6">
        <f>YEAR(Tabla2[[#This Row],[OrderDate]])</f>
        <v>2024</v>
      </c>
      <c r="M378" s="7" t="s">
        <v>70</v>
      </c>
      <c r="N378" s="7" t="s">
        <v>36</v>
      </c>
    </row>
    <row r="379" spans="1:14" x14ac:dyDescent="0.35">
      <c r="A379" s="7" t="s">
        <v>1139</v>
      </c>
      <c r="B379" s="7" t="s">
        <v>864</v>
      </c>
      <c r="C379" s="7" t="s">
        <v>865</v>
      </c>
      <c r="D379" s="7" t="s">
        <v>14</v>
      </c>
      <c r="E379" s="7" t="s">
        <v>100</v>
      </c>
      <c r="F379" s="7" t="s">
        <v>101</v>
      </c>
      <c r="G379" s="7" t="s">
        <v>165</v>
      </c>
      <c r="H379" s="7">
        <v>5</v>
      </c>
      <c r="I379" s="2">
        <v>978.8</v>
      </c>
      <c r="J379" s="2">
        <f>Tabla2[[#This Row],[Quantity]]*I379</f>
        <v>4894</v>
      </c>
      <c r="K379" s="6">
        <f>MONTH(Tabla2[[#This Row],[OrderDate]])</f>
        <v>2</v>
      </c>
      <c r="L379" s="6">
        <f>YEAR(Tabla2[[#This Row],[OrderDate]])</f>
        <v>2025</v>
      </c>
      <c r="M379" s="7" t="s">
        <v>564</v>
      </c>
      <c r="N379" s="7" t="s">
        <v>45</v>
      </c>
    </row>
    <row r="380" spans="1:14" x14ac:dyDescent="0.35">
      <c r="A380" s="7" t="s">
        <v>1140</v>
      </c>
      <c r="B380" s="7" t="s">
        <v>707</v>
      </c>
      <c r="C380" s="7" t="s">
        <v>708</v>
      </c>
      <c r="D380" s="7" t="s">
        <v>40</v>
      </c>
      <c r="E380" s="7" t="s">
        <v>120</v>
      </c>
      <c r="F380" s="7" t="s">
        <v>25</v>
      </c>
      <c r="G380" s="7" t="s">
        <v>26</v>
      </c>
      <c r="H380" s="7">
        <v>1</v>
      </c>
      <c r="I380" s="2">
        <v>367.18</v>
      </c>
      <c r="J380" s="2">
        <f>Tabla2[[#This Row],[Quantity]]*I380</f>
        <v>367.18</v>
      </c>
      <c r="K380" s="6">
        <f>MONTH(Tabla2[[#This Row],[OrderDate]])</f>
        <v>3</v>
      </c>
      <c r="L380" s="6">
        <f>YEAR(Tabla2[[#This Row],[OrderDate]])</f>
        <v>2026</v>
      </c>
      <c r="M380" s="7" t="s">
        <v>749</v>
      </c>
      <c r="N380" s="7" t="s">
        <v>91</v>
      </c>
    </row>
    <row r="381" spans="1:14" x14ac:dyDescent="0.35">
      <c r="A381" s="7" t="s">
        <v>1141</v>
      </c>
      <c r="B381" s="7" t="s">
        <v>210</v>
      </c>
      <c r="C381" s="7" t="s">
        <v>211</v>
      </c>
      <c r="D381" s="7" t="s">
        <v>23</v>
      </c>
      <c r="E381" s="7" t="s">
        <v>49</v>
      </c>
      <c r="F381" s="7" t="s">
        <v>101</v>
      </c>
      <c r="G381" s="7" t="s">
        <v>237</v>
      </c>
      <c r="H381" s="7">
        <v>5</v>
      </c>
      <c r="I381" s="2">
        <v>300.60000000000002</v>
      </c>
      <c r="J381" s="2">
        <f>Tabla2[[#This Row],[Quantity]]*I381</f>
        <v>1503</v>
      </c>
      <c r="K381" s="6">
        <f>MONTH(Tabla2[[#This Row],[OrderDate]])</f>
        <v>5</v>
      </c>
      <c r="L381" s="6">
        <f>YEAR(Tabla2[[#This Row],[OrderDate]])</f>
        <v>2025</v>
      </c>
      <c r="M381" s="7" t="s">
        <v>246</v>
      </c>
      <c r="N381" s="7" t="s">
        <v>19</v>
      </c>
    </row>
    <row r="382" spans="1:14" x14ac:dyDescent="0.35">
      <c r="A382" s="7" t="s">
        <v>1142</v>
      </c>
      <c r="B382" s="7" t="s">
        <v>727</v>
      </c>
      <c r="C382" s="7" t="s">
        <v>728</v>
      </c>
      <c r="D382" s="7" t="s">
        <v>40</v>
      </c>
      <c r="E382" s="7" t="s">
        <v>79</v>
      </c>
      <c r="F382" s="7" t="s">
        <v>50</v>
      </c>
      <c r="G382" s="7" t="s">
        <v>56</v>
      </c>
      <c r="H382" s="7">
        <v>3</v>
      </c>
      <c r="I382" s="2">
        <v>548.57000000000005</v>
      </c>
      <c r="J382" s="2">
        <f>Tabla2[[#This Row],[Quantity]]*I382</f>
        <v>1645.71</v>
      </c>
      <c r="K382" s="6">
        <f>MONTH(Tabla2[[#This Row],[OrderDate]])</f>
        <v>3</v>
      </c>
      <c r="L382" s="6">
        <f>YEAR(Tabla2[[#This Row],[OrderDate]])</f>
        <v>2024</v>
      </c>
      <c r="M382" s="7" t="s">
        <v>254</v>
      </c>
      <c r="N382" s="7" t="s">
        <v>45</v>
      </c>
    </row>
    <row r="383" spans="1:14" x14ac:dyDescent="0.35">
      <c r="A383" s="7" t="s">
        <v>1143</v>
      </c>
      <c r="B383" s="7" t="s">
        <v>1144</v>
      </c>
      <c r="C383" s="7" t="s">
        <v>1145</v>
      </c>
      <c r="D383" s="7" t="s">
        <v>23</v>
      </c>
      <c r="E383" s="7" t="s">
        <v>24</v>
      </c>
      <c r="F383" s="7" t="s">
        <v>16</v>
      </c>
      <c r="G383" s="7" t="s">
        <v>148</v>
      </c>
      <c r="H383" s="7">
        <v>3</v>
      </c>
      <c r="I383" s="2">
        <v>1496.63</v>
      </c>
      <c r="J383" s="2">
        <f>Tabla2[[#This Row],[Quantity]]*I383</f>
        <v>4489.8900000000003</v>
      </c>
      <c r="K383" s="6">
        <f>MONTH(Tabla2[[#This Row],[OrderDate]])</f>
        <v>7</v>
      </c>
      <c r="L383" s="6">
        <f>YEAR(Tabla2[[#This Row],[OrderDate]])</f>
        <v>2024</v>
      </c>
      <c r="M383" s="7" t="s">
        <v>221</v>
      </c>
      <c r="N383" s="7" t="s">
        <v>91</v>
      </c>
    </row>
    <row r="384" spans="1:14" x14ac:dyDescent="0.35">
      <c r="A384" s="7" t="s">
        <v>1146</v>
      </c>
      <c r="B384" s="7" t="s">
        <v>168</v>
      </c>
      <c r="C384" s="7" t="s">
        <v>169</v>
      </c>
      <c r="D384" s="7" t="s">
        <v>32</v>
      </c>
      <c r="E384" s="7" t="s">
        <v>61</v>
      </c>
      <c r="F384" s="7" t="s">
        <v>16</v>
      </c>
      <c r="G384" s="7" t="s">
        <v>148</v>
      </c>
      <c r="H384" s="7">
        <v>1</v>
      </c>
      <c r="I384" s="2">
        <v>957.39</v>
      </c>
      <c r="J384" s="2">
        <f>Tabla2[[#This Row],[Quantity]]*I384</f>
        <v>957.39</v>
      </c>
      <c r="K384" s="6">
        <f>MONTH(Tabla2[[#This Row],[OrderDate]])</f>
        <v>5</v>
      </c>
      <c r="L384" s="6">
        <f>YEAR(Tabla2[[#This Row],[OrderDate]])</f>
        <v>2024</v>
      </c>
      <c r="M384" s="7" t="s">
        <v>1147</v>
      </c>
      <c r="N384" s="7" t="s">
        <v>45</v>
      </c>
    </row>
    <row r="385" spans="1:14" x14ac:dyDescent="0.35">
      <c r="A385" s="7" t="s">
        <v>1148</v>
      </c>
      <c r="B385" s="7" t="s">
        <v>1149</v>
      </c>
      <c r="C385" s="7" t="s">
        <v>1150</v>
      </c>
      <c r="D385" s="7" t="s">
        <v>14</v>
      </c>
      <c r="E385" s="7" t="s">
        <v>95</v>
      </c>
      <c r="F385" s="7" t="s">
        <v>42</v>
      </c>
      <c r="G385" s="7" t="s">
        <v>89</v>
      </c>
      <c r="H385" s="7">
        <v>4</v>
      </c>
      <c r="I385" s="2">
        <v>459.49</v>
      </c>
      <c r="J385" s="2">
        <f>Tabla2[[#This Row],[Quantity]]*I385</f>
        <v>1837.96</v>
      </c>
      <c r="K385" s="6">
        <f>MONTH(Tabla2[[#This Row],[OrderDate]])</f>
        <v>5</v>
      </c>
      <c r="L385" s="6">
        <f>YEAR(Tabla2[[#This Row],[OrderDate]])</f>
        <v>2024</v>
      </c>
      <c r="M385" s="7" t="s">
        <v>1151</v>
      </c>
      <c r="N385" s="7" t="s">
        <v>19</v>
      </c>
    </row>
    <row r="386" spans="1:14" x14ac:dyDescent="0.35">
      <c r="A386" s="7" t="s">
        <v>1152</v>
      </c>
      <c r="B386" s="7" t="s">
        <v>1153</v>
      </c>
      <c r="C386" s="7" t="s">
        <v>1154</v>
      </c>
      <c r="D386" s="7" t="s">
        <v>32</v>
      </c>
      <c r="E386" s="7" t="s">
        <v>203</v>
      </c>
      <c r="F386" s="7" t="s">
        <v>101</v>
      </c>
      <c r="G386" s="7" t="s">
        <v>165</v>
      </c>
      <c r="H386" s="7">
        <v>5</v>
      </c>
      <c r="I386" s="2">
        <v>143.69</v>
      </c>
      <c r="J386" s="2">
        <f>Tabla2[[#This Row],[Quantity]]*I386</f>
        <v>718.45</v>
      </c>
      <c r="K386" s="6">
        <f>MONTH(Tabla2[[#This Row],[OrderDate]])</f>
        <v>4</v>
      </c>
      <c r="L386" s="6">
        <f>YEAR(Tabla2[[#This Row],[OrderDate]])</f>
        <v>2024</v>
      </c>
      <c r="M386" s="7" t="s">
        <v>365</v>
      </c>
      <c r="N386" s="7" t="s">
        <v>36</v>
      </c>
    </row>
    <row r="387" spans="1:14" x14ac:dyDescent="0.35">
      <c r="A387" s="7" t="s">
        <v>1155</v>
      </c>
      <c r="B387" s="7" t="s">
        <v>311</v>
      </c>
      <c r="C387" s="7" t="s">
        <v>312</v>
      </c>
      <c r="D387" s="7" t="s">
        <v>40</v>
      </c>
      <c r="E387" s="7" t="s">
        <v>79</v>
      </c>
      <c r="F387" s="7" t="s">
        <v>16</v>
      </c>
      <c r="G387" s="7" t="s">
        <v>182</v>
      </c>
      <c r="H387" s="7">
        <v>3</v>
      </c>
      <c r="I387" s="2">
        <v>1196.2</v>
      </c>
      <c r="J387" s="2">
        <f>Tabla2[[#This Row],[Quantity]]*I387</f>
        <v>3588.6000000000004</v>
      </c>
      <c r="K387" s="6">
        <f>MONTH(Tabla2[[#This Row],[OrderDate]])</f>
        <v>2</v>
      </c>
      <c r="L387" s="6">
        <f>YEAR(Tabla2[[#This Row],[OrderDate]])</f>
        <v>2024</v>
      </c>
      <c r="M387" s="7" t="s">
        <v>546</v>
      </c>
      <c r="N387" s="7" t="s">
        <v>45</v>
      </c>
    </row>
    <row r="388" spans="1:14" x14ac:dyDescent="0.35">
      <c r="A388" s="7" t="s">
        <v>1156</v>
      </c>
      <c r="B388" s="7" t="s">
        <v>240</v>
      </c>
      <c r="C388" s="7" t="s">
        <v>241</v>
      </c>
      <c r="D388" s="7" t="s">
        <v>14</v>
      </c>
      <c r="E388" s="7" t="s">
        <v>125</v>
      </c>
      <c r="F388" s="7" t="s">
        <v>101</v>
      </c>
      <c r="G388" s="7" t="s">
        <v>102</v>
      </c>
      <c r="H388" s="7">
        <v>4</v>
      </c>
      <c r="I388" s="2">
        <v>567.47</v>
      </c>
      <c r="J388" s="2">
        <f>Tabla2[[#This Row],[Quantity]]*I388</f>
        <v>2269.88</v>
      </c>
      <c r="K388" s="6">
        <f>MONTH(Tabla2[[#This Row],[OrderDate]])</f>
        <v>6</v>
      </c>
      <c r="L388" s="6">
        <f>YEAR(Tabla2[[#This Row],[OrderDate]])</f>
        <v>2025</v>
      </c>
      <c r="M388" s="7" t="s">
        <v>1157</v>
      </c>
      <c r="N388" s="7" t="s">
        <v>45</v>
      </c>
    </row>
    <row r="389" spans="1:14" x14ac:dyDescent="0.35">
      <c r="A389" s="7" t="s">
        <v>1158</v>
      </c>
      <c r="B389" s="7" t="s">
        <v>1159</v>
      </c>
      <c r="C389" s="7" t="s">
        <v>1160</v>
      </c>
      <c r="D389" s="7" t="s">
        <v>40</v>
      </c>
      <c r="E389" s="7" t="s">
        <v>120</v>
      </c>
      <c r="F389" s="7" t="s">
        <v>42</v>
      </c>
      <c r="G389" s="7" t="s">
        <v>80</v>
      </c>
      <c r="H389" s="7">
        <v>3</v>
      </c>
      <c r="I389" s="2">
        <v>597.19000000000005</v>
      </c>
      <c r="J389" s="2">
        <f>Tabla2[[#This Row],[Quantity]]*I389</f>
        <v>1791.5700000000002</v>
      </c>
      <c r="K389" s="6">
        <f>MONTH(Tabla2[[#This Row],[OrderDate]])</f>
        <v>8</v>
      </c>
      <c r="L389" s="6">
        <f>YEAR(Tabla2[[#This Row],[OrderDate]])</f>
        <v>2025</v>
      </c>
      <c r="M389" s="7" t="s">
        <v>1161</v>
      </c>
      <c r="N389" s="7" t="s">
        <v>19</v>
      </c>
    </row>
    <row r="390" spans="1:14" x14ac:dyDescent="0.35">
      <c r="A390" s="7" t="s">
        <v>1162</v>
      </c>
      <c r="B390" s="7" t="s">
        <v>1163</v>
      </c>
      <c r="C390" s="7" t="s">
        <v>1164</v>
      </c>
      <c r="D390" s="7" t="s">
        <v>67</v>
      </c>
      <c r="E390" s="7" t="s">
        <v>115</v>
      </c>
      <c r="F390" s="7" t="s">
        <v>50</v>
      </c>
      <c r="G390" s="7" t="s">
        <v>170</v>
      </c>
      <c r="H390" s="7">
        <v>5</v>
      </c>
      <c r="I390" s="2">
        <v>672.15</v>
      </c>
      <c r="J390" s="2">
        <f>Tabla2[[#This Row],[Quantity]]*I390</f>
        <v>3360.75</v>
      </c>
      <c r="K390" s="6">
        <f>MONTH(Tabla2[[#This Row],[OrderDate]])</f>
        <v>7</v>
      </c>
      <c r="L390" s="6">
        <f>YEAR(Tabla2[[#This Row],[OrderDate]])</f>
        <v>2024</v>
      </c>
      <c r="M390" s="7" t="s">
        <v>1165</v>
      </c>
      <c r="N390" s="7" t="s">
        <v>36</v>
      </c>
    </row>
    <row r="391" spans="1:14" x14ac:dyDescent="0.35">
      <c r="A391" s="7" t="s">
        <v>1166</v>
      </c>
      <c r="B391" s="7" t="s">
        <v>1167</v>
      </c>
      <c r="C391" s="7" t="s">
        <v>1168</v>
      </c>
      <c r="D391" s="7" t="s">
        <v>67</v>
      </c>
      <c r="E391" s="7" t="s">
        <v>130</v>
      </c>
      <c r="F391" s="7" t="s">
        <v>25</v>
      </c>
      <c r="G391" s="7" t="s">
        <v>62</v>
      </c>
      <c r="H391" s="7">
        <v>1</v>
      </c>
      <c r="I391" s="2">
        <v>1087.71</v>
      </c>
      <c r="J391" s="2">
        <f>Tabla2[[#This Row],[Quantity]]*I391</f>
        <v>1087.71</v>
      </c>
      <c r="K391" s="6">
        <f>MONTH(Tabla2[[#This Row],[OrderDate]])</f>
        <v>1</v>
      </c>
      <c r="L391" s="6">
        <f>YEAR(Tabla2[[#This Row],[OrderDate]])</f>
        <v>2025</v>
      </c>
      <c r="M391" s="7" t="s">
        <v>1122</v>
      </c>
      <c r="N391" s="7" t="s">
        <v>28</v>
      </c>
    </row>
    <row r="392" spans="1:14" x14ac:dyDescent="0.35">
      <c r="A392" s="7" t="s">
        <v>1169</v>
      </c>
      <c r="B392" s="7" t="s">
        <v>1170</v>
      </c>
      <c r="C392" s="7" t="s">
        <v>1171</v>
      </c>
      <c r="D392" s="7" t="s">
        <v>14</v>
      </c>
      <c r="E392" s="7" t="s">
        <v>95</v>
      </c>
      <c r="F392" s="7" t="s">
        <v>50</v>
      </c>
      <c r="G392" s="7" t="s">
        <v>51</v>
      </c>
      <c r="H392" s="7">
        <v>5</v>
      </c>
      <c r="I392" s="2">
        <v>800.67</v>
      </c>
      <c r="J392" s="2">
        <f>Tabla2[[#This Row],[Quantity]]*I392</f>
        <v>4003.35</v>
      </c>
      <c r="K392" s="6">
        <f>MONTH(Tabla2[[#This Row],[OrderDate]])</f>
        <v>12</v>
      </c>
      <c r="L392" s="6">
        <f>YEAR(Tabla2[[#This Row],[OrderDate]])</f>
        <v>2024</v>
      </c>
      <c r="M392" s="7" t="s">
        <v>1172</v>
      </c>
      <c r="N392" s="7" t="s">
        <v>36</v>
      </c>
    </row>
    <row r="393" spans="1:14" x14ac:dyDescent="0.35">
      <c r="A393" s="7" t="s">
        <v>1173</v>
      </c>
      <c r="B393" s="7" t="s">
        <v>446</v>
      </c>
      <c r="C393" s="7" t="s">
        <v>447</v>
      </c>
      <c r="D393" s="7" t="s">
        <v>32</v>
      </c>
      <c r="E393" s="7" t="s">
        <v>61</v>
      </c>
      <c r="F393" s="7" t="s">
        <v>101</v>
      </c>
      <c r="G393" s="7" t="s">
        <v>102</v>
      </c>
      <c r="H393" s="7">
        <v>2</v>
      </c>
      <c r="I393" s="2">
        <v>529</v>
      </c>
      <c r="J393" s="2">
        <f>Tabla2[[#This Row],[Quantity]]*I393</f>
        <v>1058</v>
      </c>
      <c r="K393" s="6">
        <f>MONTH(Tabla2[[#This Row],[OrderDate]])</f>
        <v>2</v>
      </c>
      <c r="L393" s="6">
        <f>YEAR(Tabla2[[#This Row],[OrderDate]])</f>
        <v>2024</v>
      </c>
      <c r="M393" s="7" t="s">
        <v>1174</v>
      </c>
      <c r="N393" s="7" t="s">
        <v>36</v>
      </c>
    </row>
    <row r="394" spans="1:14" x14ac:dyDescent="0.35">
      <c r="A394" s="7" t="s">
        <v>1175</v>
      </c>
      <c r="B394" s="7" t="s">
        <v>1176</v>
      </c>
      <c r="C394" s="7" t="s">
        <v>1177</v>
      </c>
      <c r="D394" s="7" t="s">
        <v>32</v>
      </c>
      <c r="E394" s="7" t="s">
        <v>203</v>
      </c>
      <c r="F394" s="7" t="s">
        <v>16</v>
      </c>
      <c r="G394" s="7" t="s">
        <v>148</v>
      </c>
      <c r="H394" s="7">
        <v>3</v>
      </c>
      <c r="I394" s="2">
        <v>1178.83</v>
      </c>
      <c r="J394" s="2">
        <f>Tabla2[[#This Row],[Quantity]]*I394</f>
        <v>3536.49</v>
      </c>
      <c r="K394" s="6">
        <f>MONTH(Tabla2[[#This Row],[OrderDate]])</f>
        <v>8</v>
      </c>
      <c r="L394" s="6">
        <f>YEAR(Tabla2[[#This Row],[OrderDate]])</f>
        <v>2024</v>
      </c>
      <c r="M394" s="7" t="s">
        <v>793</v>
      </c>
      <c r="N394" s="7" t="s">
        <v>36</v>
      </c>
    </row>
    <row r="395" spans="1:14" x14ac:dyDescent="0.35">
      <c r="A395" s="7" t="s">
        <v>1178</v>
      </c>
      <c r="B395" s="7" t="s">
        <v>1179</v>
      </c>
      <c r="C395" s="7" t="s">
        <v>1180</v>
      </c>
      <c r="D395" s="7" t="s">
        <v>40</v>
      </c>
      <c r="E395" s="7" t="s">
        <v>120</v>
      </c>
      <c r="F395" s="7" t="s">
        <v>16</v>
      </c>
      <c r="G395" s="7" t="s">
        <v>17</v>
      </c>
      <c r="H395" s="7">
        <v>5</v>
      </c>
      <c r="I395" s="2">
        <v>478.69</v>
      </c>
      <c r="J395" s="2">
        <f>Tabla2[[#This Row],[Quantity]]*I395</f>
        <v>2393.4499999999998</v>
      </c>
      <c r="K395" s="6">
        <f>MONTH(Tabla2[[#This Row],[OrderDate]])</f>
        <v>11</v>
      </c>
      <c r="L395" s="6">
        <f>YEAR(Tabla2[[#This Row],[OrderDate]])</f>
        <v>2024</v>
      </c>
      <c r="M395" s="7" t="s">
        <v>1181</v>
      </c>
      <c r="N395" s="7" t="s">
        <v>19</v>
      </c>
    </row>
    <row r="396" spans="1:14" x14ac:dyDescent="0.35">
      <c r="A396" s="7" t="s">
        <v>1182</v>
      </c>
      <c r="B396" s="7" t="s">
        <v>228</v>
      </c>
      <c r="C396" s="7" t="s">
        <v>229</v>
      </c>
      <c r="D396" s="7" t="s">
        <v>67</v>
      </c>
      <c r="E396" s="7" t="s">
        <v>130</v>
      </c>
      <c r="F396" s="7" t="s">
        <v>42</v>
      </c>
      <c r="G396" s="7" t="s">
        <v>43</v>
      </c>
      <c r="H396" s="7">
        <v>2</v>
      </c>
      <c r="I396" s="2">
        <v>176.72</v>
      </c>
      <c r="J396" s="2">
        <f>Tabla2[[#This Row],[Quantity]]*I396</f>
        <v>353.44</v>
      </c>
      <c r="K396" s="6">
        <f>MONTH(Tabla2[[#This Row],[OrderDate]])</f>
        <v>6</v>
      </c>
      <c r="L396" s="6">
        <f>YEAR(Tabla2[[#This Row],[OrderDate]])</f>
        <v>2024</v>
      </c>
      <c r="M396" s="7" t="s">
        <v>313</v>
      </c>
      <c r="N396" s="7" t="s">
        <v>91</v>
      </c>
    </row>
    <row r="397" spans="1:14" x14ac:dyDescent="0.35">
      <c r="A397" s="7" t="s">
        <v>1183</v>
      </c>
      <c r="B397" s="7" t="s">
        <v>264</v>
      </c>
      <c r="C397" s="7" t="s">
        <v>265</v>
      </c>
      <c r="D397" s="7" t="s">
        <v>40</v>
      </c>
      <c r="E397" s="7" t="s">
        <v>41</v>
      </c>
      <c r="F397" s="7" t="s">
        <v>16</v>
      </c>
      <c r="G397" s="7" t="s">
        <v>182</v>
      </c>
      <c r="H397" s="7">
        <v>4</v>
      </c>
      <c r="I397" s="2">
        <v>1062.27</v>
      </c>
      <c r="J397" s="2">
        <f>Tabla2[[#This Row],[Quantity]]*I397</f>
        <v>4249.08</v>
      </c>
      <c r="K397" s="6">
        <f>MONTH(Tabla2[[#This Row],[OrderDate]])</f>
        <v>1</v>
      </c>
      <c r="L397" s="6">
        <f>YEAR(Tabla2[[#This Row],[OrderDate]])</f>
        <v>2024</v>
      </c>
      <c r="M397" s="7" t="s">
        <v>1184</v>
      </c>
      <c r="N397" s="7" t="s">
        <v>36</v>
      </c>
    </row>
    <row r="398" spans="1:14" x14ac:dyDescent="0.35">
      <c r="A398" s="7" t="s">
        <v>1185</v>
      </c>
      <c r="B398" s="7" t="s">
        <v>602</v>
      </c>
      <c r="C398" s="7" t="s">
        <v>603</v>
      </c>
      <c r="D398" s="7" t="s">
        <v>67</v>
      </c>
      <c r="E398" s="7" t="s">
        <v>115</v>
      </c>
      <c r="F398" s="7" t="s">
        <v>25</v>
      </c>
      <c r="G398" s="7" t="s">
        <v>34</v>
      </c>
      <c r="H398" s="7">
        <v>1</v>
      </c>
      <c r="I398" s="2">
        <v>56.98</v>
      </c>
      <c r="J398" s="2">
        <f>Tabla2[[#This Row],[Quantity]]*I398</f>
        <v>56.98</v>
      </c>
      <c r="K398" s="6">
        <f>MONTH(Tabla2[[#This Row],[OrderDate]])</f>
        <v>7</v>
      </c>
      <c r="L398" s="6">
        <f>YEAR(Tabla2[[#This Row],[OrderDate]])</f>
        <v>2025</v>
      </c>
      <c r="M398" s="7" t="s">
        <v>1186</v>
      </c>
      <c r="N398" s="7" t="s">
        <v>28</v>
      </c>
    </row>
    <row r="399" spans="1:14" x14ac:dyDescent="0.35">
      <c r="A399" s="7" t="s">
        <v>1187</v>
      </c>
      <c r="B399" s="7" t="s">
        <v>775</v>
      </c>
      <c r="C399" s="7" t="s">
        <v>776</v>
      </c>
      <c r="D399" s="7" t="s">
        <v>14</v>
      </c>
      <c r="E399" s="7" t="s">
        <v>100</v>
      </c>
      <c r="F399" s="7" t="s">
        <v>25</v>
      </c>
      <c r="G399" s="7" t="s">
        <v>34</v>
      </c>
      <c r="H399" s="7">
        <v>3</v>
      </c>
      <c r="I399" s="2">
        <v>20.53</v>
      </c>
      <c r="J399" s="2">
        <f>Tabla2[[#This Row],[Quantity]]*I399</f>
        <v>61.59</v>
      </c>
      <c r="K399" s="6">
        <f>MONTH(Tabla2[[#This Row],[OrderDate]])</f>
        <v>1</v>
      </c>
      <c r="L399" s="6">
        <f>YEAR(Tabla2[[#This Row],[OrderDate]])</f>
        <v>2024</v>
      </c>
      <c r="M399" s="7" t="s">
        <v>1188</v>
      </c>
      <c r="N399" s="7" t="s">
        <v>19</v>
      </c>
    </row>
    <row r="400" spans="1:14" x14ac:dyDescent="0.35">
      <c r="A400" s="7" t="s">
        <v>1189</v>
      </c>
      <c r="B400" s="7" t="s">
        <v>155</v>
      </c>
      <c r="C400" s="7" t="s">
        <v>156</v>
      </c>
      <c r="D400" s="7" t="s">
        <v>40</v>
      </c>
      <c r="E400" s="7" t="s">
        <v>120</v>
      </c>
      <c r="F400" s="7" t="s">
        <v>16</v>
      </c>
      <c r="G400" s="7" t="s">
        <v>182</v>
      </c>
      <c r="H400" s="7">
        <v>3</v>
      </c>
      <c r="I400" s="2">
        <v>165.62</v>
      </c>
      <c r="J400" s="2">
        <f>Tabla2[[#This Row],[Quantity]]*I400</f>
        <v>496.86</v>
      </c>
      <c r="K400" s="6">
        <f>MONTH(Tabla2[[#This Row],[OrderDate]])</f>
        <v>6</v>
      </c>
      <c r="L400" s="6">
        <f>YEAR(Tabla2[[#This Row],[OrderDate]])</f>
        <v>2024</v>
      </c>
      <c r="M400" s="7" t="s">
        <v>886</v>
      </c>
      <c r="N400" s="7" t="s">
        <v>45</v>
      </c>
    </row>
    <row r="401" spans="1:14" x14ac:dyDescent="0.35">
      <c r="A401" s="7" t="s">
        <v>1190</v>
      </c>
      <c r="B401" s="7" t="s">
        <v>1191</v>
      </c>
      <c r="C401" s="7" t="s">
        <v>1192</v>
      </c>
      <c r="D401" s="7" t="s">
        <v>67</v>
      </c>
      <c r="E401" s="7" t="s">
        <v>130</v>
      </c>
      <c r="F401" s="7" t="s">
        <v>42</v>
      </c>
      <c r="G401" s="7" t="s">
        <v>170</v>
      </c>
      <c r="H401" s="7">
        <v>3</v>
      </c>
      <c r="I401" s="2">
        <v>1015.21</v>
      </c>
      <c r="J401" s="2">
        <f>Tabla2[[#This Row],[Quantity]]*I401</f>
        <v>3045.63</v>
      </c>
      <c r="K401" s="6">
        <f>MONTH(Tabla2[[#This Row],[OrderDate]])</f>
        <v>1</v>
      </c>
      <c r="L401" s="6">
        <f>YEAR(Tabla2[[#This Row],[OrderDate]])</f>
        <v>2024</v>
      </c>
      <c r="M401" s="7" t="s">
        <v>550</v>
      </c>
      <c r="N401" s="7" t="s">
        <v>19</v>
      </c>
    </row>
    <row r="402" spans="1:14" x14ac:dyDescent="0.35">
      <c r="A402" s="7" t="s">
        <v>1193</v>
      </c>
      <c r="B402" s="7" t="s">
        <v>291</v>
      </c>
      <c r="C402" s="7" t="s">
        <v>292</v>
      </c>
      <c r="D402" s="7" t="s">
        <v>14</v>
      </c>
      <c r="E402" s="7" t="s">
        <v>15</v>
      </c>
      <c r="F402" s="7" t="s">
        <v>50</v>
      </c>
      <c r="G402" s="7" t="s">
        <v>170</v>
      </c>
      <c r="H402" s="7">
        <v>3</v>
      </c>
      <c r="I402" s="2">
        <v>211.56</v>
      </c>
      <c r="J402" s="2">
        <f>Tabla2[[#This Row],[Quantity]]*I402</f>
        <v>634.68000000000006</v>
      </c>
      <c r="K402" s="6">
        <f>MONTH(Tabla2[[#This Row],[OrderDate]])</f>
        <v>12</v>
      </c>
      <c r="L402" s="6">
        <f>YEAR(Tabla2[[#This Row],[OrderDate]])</f>
        <v>2025</v>
      </c>
      <c r="M402" s="7" t="s">
        <v>1194</v>
      </c>
      <c r="N402" s="7" t="s">
        <v>19</v>
      </c>
    </row>
    <row r="403" spans="1:14" x14ac:dyDescent="0.35">
      <c r="A403" s="7" t="s">
        <v>1195</v>
      </c>
      <c r="B403" s="7" t="s">
        <v>1196</v>
      </c>
      <c r="C403" s="7" t="s">
        <v>1197</v>
      </c>
      <c r="D403" s="7" t="s">
        <v>23</v>
      </c>
      <c r="E403" s="7" t="s">
        <v>24</v>
      </c>
      <c r="F403" s="7" t="s">
        <v>25</v>
      </c>
      <c r="G403" s="7" t="s">
        <v>139</v>
      </c>
      <c r="H403" s="7">
        <v>5</v>
      </c>
      <c r="I403" s="2">
        <v>1188.76</v>
      </c>
      <c r="J403" s="2">
        <f>Tabla2[[#This Row],[Quantity]]*I403</f>
        <v>5943.8</v>
      </c>
      <c r="K403" s="6">
        <f>MONTH(Tabla2[[#This Row],[OrderDate]])</f>
        <v>11</v>
      </c>
      <c r="L403" s="6">
        <f>YEAR(Tabla2[[#This Row],[OrderDate]])</f>
        <v>2025</v>
      </c>
      <c r="M403" s="7" t="s">
        <v>175</v>
      </c>
      <c r="N403" s="7" t="s">
        <v>36</v>
      </c>
    </row>
    <row r="404" spans="1:14" x14ac:dyDescent="0.35">
      <c r="A404" s="7" t="s">
        <v>1198</v>
      </c>
      <c r="B404" s="7" t="s">
        <v>500</v>
      </c>
      <c r="C404" s="7" t="s">
        <v>501</v>
      </c>
      <c r="D404" s="7" t="s">
        <v>32</v>
      </c>
      <c r="E404" s="7" t="s">
        <v>61</v>
      </c>
      <c r="F404" s="7" t="s">
        <v>50</v>
      </c>
      <c r="G404" s="7" t="s">
        <v>69</v>
      </c>
      <c r="H404" s="7">
        <v>1</v>
      </c>
      <c r="I404" s="2">
        <v>1497.44</v>
      </c>
      <c r="J404" s="2">
        <f>Tabla2[[#This Row],[Quantity]]*I404</f>
        <v>1497.44</v>
      </c>
      <c r="K404" s="6">
        <f>MONTH(Tabla2[[#This Row],[OrderDate]])</f>
        <v>2</v>
      </c>
      <c r="L404" s="6">
        <f>YEAR(Tabla2[[#This Row],[OrderDate]])</f>
        <v>2025</v>
      </c>
      <c r="M404" s="7" t="s">
        <v>1199</v>
      </c>
      <c r="N404" s="7" t="s">
        <v>45</v>
      </c>
    </row>
    <row r="405" spans="1:14" x14ac:dyDescent="0.35">
      <c r="A405" s="7" t="s">
        <v>1200</v>
      </c>
      <c r="B405" s="7" t="s">
        <v>797</v>
      </c>
      <c r="C405" s="7" t="s">
        <v>798</v>
      </c>
      <c r="D405" s="7" t="s">
        <v>23</v>
      </c>
      <c r="E405" s="7" t="s">
        <v>49</v>
      </c>
      <c r="F405" s="7" t="s">
        <v>50</v>
      </c>
      <c r="G405" s="7" t="s">
        <v>51</v>
      </c>
      <c r="H405" s="7">
        <v>1</v>
      </c>
      <c r="I405" s="2">
        <v>1160.3900000000001</v>
      </c>
      <c r="J405" s="2">
        <f>Tabla2[[#This Row],[Quantity]]*I405</f>
        <v>1160.3900000000001</v>
      </c>
      <c r="K405" s="6">
        <f>MONTH(Tabla2[[#This Row],[OrderDate]])</f>
        <v>6</v>
      </c>
      <c r="L405" s="6">
        <f>YEAR(Tabla2[[#This Row],[OrderDate]])</f>
        <v>2024</v>
      </c>
      <c r="M405" s="7" t="s">
        <v>1003</v>
      </c>
      <c r="N405" s="7" t="s">
        <v>19</v>
      </c>
    </row>
    <row r="406" spans="1:14" x14ac:dyDescent="0.35">
      <c r="A406" s="7" t="s">
        <v>1201</v>
      </c>
      <c r="B406" s="7" t="s">
        <v>83</v>
      </c>
      <c r="C406" s="7" t="s">
        <v>84</v>
      </c>
      <c r="D406" s="7" t="s">
        <v>67</v>
      </c>
      <c r="E406" s="7" t="s">
        <v>130</v>
      </c>
      <c r="F406" s="7" t="s">
        <v>42</v>
      </c>
      <c r="G406" s="7" t="s">
        <v>80</v>
      </c>
      <c r="H406" s="7">
        <v>5</v>
      </c>
      <c r="I406" s="2">
        <v>514.25</v>
      </c>
      <c r="J406" s="2">
        <f>Tabla2[[#This Row],[Quantity]]*I406</f>
        <v>2571.25</v>
      </c>
      <c r="K406" s="6">
        <f>MONTH(Tabla2[[#This Row],[OrderDate]])</f>
        <v>3</v>
      </c>
      <c r="L406" s="6">
        <f>YEAR(Tabla2[[#This Row],[OrderDate]])</f>
        <v>2026</v>
      </c>
      <c r="M406" s="7" t="s">
        <v>494</v>
      </c>
      <c r="N406" s="7" t="s">
        <v>91</v>
      </c>
    </row>
    <row r="407" spans="1:14" x14ac:dyDescent="0.35">
      <c r="A407" s="7" t="s">
        <v>1202</v>
      </c>
      <c r="B407" s="7" t="s">
        <v>1203</v>
      </c>
      <c r="C407" s="7" t="s">
        <v>1204</v>
      </c>
      <c r="D407" s="7" t="s">
        <v>32</v>
      </c>
      <c r="E407" s="7" t="s">
        <v>61</v>
      </c>
      <c r="F407" s="7" t="s">
        <v>25</v>
      </c>
      <c r="G407" s="7" t="s">
        <v>26</v>
      </c>
      <c r="H407" s="7">
        <v>2</v>
      </c>
      <c r="I407" s="2">
        <v>400.84</v>
      </c>
      <c r="J407" s="2">
        <f>Tabla2[[#This Row],[Quantity]]*I407</f>
        <v>801.68</v>
      </c>
      <c r="K407" s="6">
        <f>MONTH(Tabla2[[#This Row],[OrderDate]])</f>
        <v>1</v>
      </c>
      <c r="L407" s="6">
        <f>YEAR(Tabla2[[#This Row],[OrderDate]])</f>
        <v>2026</v>
      </c>
      <c r="M407" s="7" t="s">
        <v>1205</v>
      </c>
      <c r="N407" s="7" t="s">
        <v>36</v>
      </c>
    </row>
    <row r="408" spans="1:14" x14ac:dyDescent="0.35">
      <c r="A408" s="7" t="s">
        <v>1206</v>
      </c>
      <c r="B408" s="7" t="s">
        <v>690</v>
      </c>
      <c r="C408" s="7" t="s">
        <v>691</v>
      </c>
      <c r="D408" s="7" t="s">
        <v>14</v>
      </c>
      <c r="E408" s="7" t="s">
        <v>95</v>
      </c>
      <c r="F408" s="7" t="s">
        <v>101</v>
      </c>
      <c r="G408" s="7" t="s">
        <v>649</v>
      </c>
      <c r="H408" s="7">
        <v>3</v>
      </c>
      <c r="I408" s="2">
        <v>634.26</v>
      </c>
      <c r="J408" s="2">
        <f>Tabla2[[#This Row],[Quantity]]*I408</f>
        <v>1902.78</v>
      </c>
      <c r="K408" s="6">
        <f>MONTH(Tabla2[[#This Row],[OrderDate]])</f>
        <v>7</v>
      </c>
      <c r="L408" s="6">
        <f>YEAR(Tabla2[[#This Row],[OrderDate]])</f>
        <v>2025</v>
      </c>
      <c r="M408" s="7" t="s">
        <v>1207</v>
      </c>
      <c r="N408" s="7" t="s">
        <v>19</v>
      </c>
    </row>
    <row r="409" spans="1:14" x14ac:dyDescent="0.35">
      <c r="A409" s="7" t="s">
        <v>1208</v>
      </c>
      <c r="B409" s="7" t="s">
        <v>1170</v>
      </c>
      <c r="C409" s="7" t="s">
        <v>1171</v>
      </c>
      <c r="D409" s="7" t="s">
        <v>32</v>
      </c>
      <c r="E409" s="7" t="s">
        <v>61</v>
      </c>
      <c r="F409" s="7" t="s">
        <v>42</v>
      </c>
      <c r="G409" s="7" t="s">
        <v>43</v>
      </c>
      <c r="H409" s="7">
        <v>2</v>
      </c>
      <c r="I409" s="2">
        <v>997.9</v>
      </c>
      <c r="J409" s="2">
        <f>Tabla2[[#This Row],[Quantity]]*I409</f>
        <v>1995.8</v>
      </c>
      <c r="K409" s="6">
        <f>MONTH(Tabla2[[#This Row],[OrderDate]])</f>
        <v>3</v>
      </c>
      <c r="L409" s="6">
        <f>YEAR(Tabla2[[#This Row],[OrderDate]])</f>
        <v>2026</v>
      </c>
      <c r="M409" s="7" t="s">
        <v>1209</v>
      </c>
      <c r="N409" s="7" t="s">
        <v>19</v>
      </c>
    </row>
    <row r="410" spans="1:14" x14ac:dyDescent="0.35">
      <c r="A410" s="7" t="s">
        <v>1210</v>
      </c>
      <c r="B410" s="7" t="s">
        <v>856</v>
      </c>
      <c r="C410" s="7" t="s">
        <v>857</v>
      </c>
      <c r="D410" s="7" t="s">
        <v>14</v>
      </c>
      <c r="E410" s="7" t="s">
        <v>266</v>
      </c>
      <c r="F410" s="7" t="s">
        <v>50</v>
      </c>
      <c r="G410" s="7" t="s">
        <v>51</v>
      </c>
      <c r="H410" s="7">
        <v>3</v>
      </c>
      <c r="I410" s="2">
        <v>551.16999999999996</v>
      </c>
      <c r="J410" s="2">
        <f>Tabla2[[#This Row],[Quantity]]*I410</f>
        <v>1653.5099999999998</v>
      </c>
      <c r="K410" s="6">
        <f>MONTH(Tabla2[[#This Row],[OrderDate]])</f>
        <v>8</v>
      </c>
      <c r="L410" s="6">
        <f>YEAR(Tabla2[[#This Row],[OrderDate]])</f>
        <v>2024</v>
      </c>
      <c r="M410" s="7" t="s">
        <v>757</v>
      </c>
      <c r="N410" s="7" t="s">
        <v>19</v>
      </c>
    </row>
    <row r="411" spans="1:14" x14ac:dyDescent="0.35">
      <c r="A411" s="7" t="s">
        <v>1211</v>
      </c>
      <c r="B411" s="7" t="s">
        <v>1212</v>
      </c>
      <c r="C411" s="7" t="s">
        <v>1213</v>
      </c>
      <c r="D411" s="7" t="s">
        <v>14</v>
      </c>
      <c r="E411" s="7" t="s">
        <v>100</v>
      </c>
      <c r="F411" s="7" t="s">
        <v>16</v>
      </c>
      <c r="G411" s="7" t="s">
        <v>177</v>
      </c>
      <c r="H411" s="7">
        <v>5</v>
      </c>
      <c r="I411" s="2">
        <v>946.1</v>
      </c>
      <c r="J411" s="2">
        <f>Tabla2[[#This Row],[Quantity]]*I411</f>
        <v>4730.5</v>
      </c>
      <c r="K411" s="6">
        <f>MONTH(Tabla2[[#This Row],[OrderDate]])</f>
        <v>11</v>
      </c>
      <c r="L411" s="6">
        <f>YEAR(Tabla2[[#This Row],[OrderDate]])</f>
        <v>2025</v>
      </c>
      <c r="M411" s="7" t="s">
        <v>1214</v>
      </c>
      <c r="N411" s="7" t="s">
        <v>19</v>
      </c>
    </row>
    <row r="412" spans="1:14" x14ac:dyDescent="0.35">
      <c r="A412" s="7" t="s">
        <v>1215</v>
      </c>
      <c r="B412" s="7" t="s">
        <v>248</v>
      </c>
      <c r="C412" s="7" t="s">
        <v>249</v>
      </c>
      <c r="D412" s="7" t="s">
        <v>40</v>
      </c>
      <c r="E412" s="7" t="s">
        <v>41</v>
      </c>
      <c r="F412" s="7" t="s">
        <v>16</v>
      </c>
      <c r="G412" s="7" t="s">
        <v>230</v>
      </c>
      <c r="H412" s="7">
        <v>5</v>
      </c>
      <c r="I412" s="2">
        <v>491.72</v>
      </c>
      <c r="J412" s="2">
        <f>Tabla2[[#This Row],[Quantity]]*I412</f>
        <v>2458.6000000000004</v>
      </c>
      <c r="K412" s="6">
        <f>MONTH(Tabla2[[#This Row],[OrderDate]])</f>
        <v>10</v>
      </c>
      <c r="L412" s="6">
        <f>YEAR(Tabla2[[#This Row],[OrderDate]])</f>
        <v>2025</v>
      </c>
      <c r="M412" s="7" t="s">
        <v>1081</v>
      </c>
      <c r="N412" s="7" t="s">
        <v>91</v>
      </c>
    </row>
    <row r="413" spans="1:14" x14ac:dyDescent="0.35">
      <c r="A413" s="7" t="s">
        <v>1216</v>
      </c>
      <c r="B413" s="7" t="s">
        <v>785</v>
      </c>
      <c r="C413" s="7" t="s">
        <v>786</v>
      </c>
      <c r="D413" s="7" t="s">
        <v>32</v>
      </c>
      <c r="E413" s="7" t="s">
        <v>203</v>
      </c>
      <c r="F413" s="7" t="s">
        <v>101</v>
      </c>
      <c r="G413" s="7" t="s">
        <v>373</v>
      </c>
      <c r="H413" s="7">
        <v>1</v>
      </c>
      <c r="I413" s="2">
        <v>1399.79</v>
      </c>
      <c r="J413" s="2">
        <f>Tabla2[[#This Row],[Quantity]]*I413</f>
        <v>1399.79</v>
      </c>
      <c r="K413" s="6">
        <f>MONTH(Tabla2[[#This Row],[OrderDate]])</f>
        <v>4</v>
      </c>
      <c r="L413" s="6">
        <f>YEAR(Tabla2[[#This Row],[OrderDate]])</f>
        <v>2025</v>
      </c>
      <c r="M413" s="7" t="s">
        <v>1217</v>
      </c>
      <c r="N413" s="7" t="s">
        <v>36</v>
      </c>
    </row>
    <row r="414" spans="1:14" x14ac:dyDescent="0.35">
      <c r="A414" s="7" t="s">
        <v>1218</v>
      </c>
      <c r="B414" s="7" t="s">
        <v>307</v>
      </c>
      <c r="C414" s="7" t="s">
        <v>308</v>
      </c>
      <c r="D414" s="7" t="s">
        <v>23</v>
      </c>
      <c r="E414" s="7" t="s">
        <v>24</v>
      </c>
      <c r="F414" s="7" t="s">
        <v>101</v>
      </c>
      <c r="G414" s="7" t="s">
        <v>649</v>
      </c>
      <c r="H414" s="7">
        <v>3</v>
      </c>
      <c r="I414" s="2">
        <v>1176.55</v>
      </c>
      <c r="J414" s="2">
        <f>Tabla2[[#This Row],[Quantity]]*I414</f>
        <v>3529.6499999999996</v>
      </c>
      <c r="K414" s="6">
        <f>MONTH(Tabla2[[#This Row],[OrderDate]])</f>
        <v>4</v>
      </c>
      <c r="L414" s="6">
        <f>YEAR(Tabla2[[#This Row],[OrderDate]])</f>
        <v>2024</v>
      </c>
      <c r="M414" s="7" t="s">
        <v>1219</v>
      </c>
      <c r="N414" s="7" t="s">
        <v>19</v>
      </c>
    </row>
    <row r="415" spans="1:14" x14ac:dyDescent="0.35">
      <c r="A415" s="7" t="s">
        <v>1220</v>
      </c>
      <c r="B415" s="7" t="s">
        <v>206</v>
      </c>
      <c r="C415" s="7" t="s">
        <v>207</v>
      </c>
      <c r="D415" s="7" t="s">
        <v>67</v>
      </c>
      <c r="E415" s="7" t="s">
        <v>68</v>
      </c>
      <c r="F415" s="7" t="s">
        <v>25</v>
      </c>
      <c r="G415" s="7" t="s">
        <v>34</v>
      </c>
      <c r="H415" s="7">
        <v>2</v>
      </c>
      <c r="I415" s="2">
        <v>1096.8900000000001</v>
      </c>
      <c r="J415" s="2">
        <f>Tabla2[[#This Row],[Quantity]]*I415</f>
        <v>2193.7800000000002</v>
      </c>
      <c r="K415" s="6">
        <f>MONTH(Tabla2[[#This Row],[OrderDate]])</f>
        <v>1</v>
      </c>
      <c r="L415" s="6">
        <f>YEAR(Tabla2[[#This Row],[OrderDate]])</f>
        <v>2026</v>
      </c>
      <c r="M415" s="7" t="s">
        <v>433</v>
      </c>
      <c r="N415" s="7" t="s">
        <v>36</v>
      </c>
    </row>
    <row r="416" spans="1:14" x14ac:dyDescent="0.35">
      <c r="A416" s="7" t="s">
        <v>1221</v>
      </c>
      <c r="B416" s="7" t="s">
        <v>311</v>
      </c>
      <c r="C416" s="7" t="s">
        <v>312</v>
      </c>
      <c r="D416" s="7" t="s">
        <v>67</v>
      </c>
      <c r="E416" s="7" t="s">
        <v>115</v>
      </c>
      <c r="F416" s="7" t="s">
        <v>50</v>
      </c>
      <c r="G416" s="7" t="s">
        <v>216</v>
      </c>
      <c r="H416" s="7">
        <v>5</v>
      </c>
      <c r="I416" s="2">
        <v>454.27</v>
      </c>
      <c r="J416" s="2">
        <f>Tabla2[[#This Row],[Quantity]]*I416</f>
        <v>2271.35</v>
      </c>
      <c r="K416" s="6">
        <f>MONTH(Tabla2[[#This Row],[OrderDate]])</f>
        <v>2</v>
      </c>
      <c r="L416" s="6">
        <f>YEAR(Tabla2[[#This Row],[OrderDate]])</f>
        <v>2025</v>
      </c>
      <c r="M416" s="7" t="s">
        <v>357</v>
      </c>
      <c r="N416" s="7" t="s">
        <v>91</v>
      </c>
    </row>
    <row r="417" spans="1:14" x14ac:dyDescent="0.35">
      <c r="A417" s="7" t="s">
        <v>1222</v>
      </c>
      <c r="B417" s="7" t="s">
        <v>180</v>
      </c>
      <c r="C417" s="7" t="s">
        <v>181</v>
      </c>
      <c r="D417" s="7" t="s">
        <v>40</v>
      </c>
      <c r="E417" s="7" t="s">
        <v>120</v>
      </c>
      <c r="F417" s="7" t="s">
        <v>42</v>
      </c>
      <c r="G417" s="7" t="s">
        <v>43</v>
      </c>
      <c r="H417" s="7">
        <v>1</v>
      </c>
      <c r="I417" s="2">
        <v>892.74</v>
      </c>
      <c r="J417" s="2">
        <f>Tabla2[[#This Row],[Quantity]]*I417</f>
        <v>892.74</v>
      </c>
      <c r="K417" s="6">
        <f>MONTH(Tabla2[[#This Row],[OrderDate]])</f>
        <v>5</v>
      </c>
      <c r="L417" s="6">
        <f>YEAR(Tabla2[[#This Row],[OrderDate]])</f>
        <v>2024</v>
      </c>
      <c r="M417" s="7" t="s">
        <v>592</v>
      </c>
      <c r="N417" s="7" t="s">
        <v>45</v>
      </c>
    </row>
    <row r="418" spans="1:14" x14ac:dyDescent="0.35">
      <c r="A418" s="7" t="s">
        <v>1223</v>
      </c>
      <c r="B418" s="7" t="s">
        <v>1176</v>
      </c>
      <c r="C418" s="7" t="s">
        <v>1177</v>
      </c>
      <c r="D418" s="7" t="s">
        <v>67</v>
      </c>
      <c r="E418" s="7" t="s">
        <v>115</v>
      </c>
      <c r="F418" s="7" t="s">
        <v>42</v>
      </c>
      <c r="G418" s="7" t="s">
        <v>225</v>
      </c>
      <c r="H418" s="7">
        <v>3</v>
      </c>
      <c r="I418" s="2">
        <v>872.42</v>
      </c>
      <c r="J418" s="2">
        <f>Tabla2[[#This Row],[Quantity]]*I418</f>
        <v>2617.2599999999998</v>
      </c>
      <c r="K418" s="6">
        <f>MONTH(Tabla2[[#This Row],[OrderDate]])</f>
        <v>2</v>
      </c>
      <c r="L418" s="6">
        <f>YEAR(Tabla2[[#This Row],[OrderDate]])</f>
        <v>2025</v>
      </c>
      <c r="M418" s="7" t="s">
        <v>1224</v>
      </c>
      <c r="N418" s="7" t="s">
        <v>45</v>
      </c>
    </row>
    <row r="419" spans="1:14" x14ac:dyDescent="0.35">
      <c r="A419" s="7" t="s">
        <v>1225</v>
      </c>
      <c r="B419" s="7" t="s">
        <v>1226</v>
      </c>
      <c r="C419" s="7" t="s">
        <v>1227</v>
      </c>
      <c r="D419" s="7" t="s">
        <v>23</v>
      </c>
      <c r="E419" s="7" t="s">
        <v>49</v>
      </c>
      <c r="F419" s="7" t="s">
        <v>16</v>
      </c>
      <c r="G419" s="7" t="s">
        <v>230</v>
      </c>
      <c r="H419" s="7">
        <v>2</v>
      </c>
      <c r="I419" s="2">
        <v>73.39</v>
      </c>
      <c r="J419" s="2">
        <f>Tabla2[[#This Row],[Quantity]]*I419</f>
        <v>146.78</v>
      </c>
      <c r="K419" s="6">
        <f>MONTH(Tabla2[[#This Row],[OrderDate]])</f>
        <v>12</v>
      </c>
      <c r="L419" s="6">
        <f>YEAR(Tabla2[[#This Row],[OrderDate]])</f>
        <v>2025</v>
      </c>
      <c r="M419" s="7" t="s">
        <v>1228</v>
      </c>
      <c r="N419" s="7" t="s">
        <v>91</v>
      </c>
    </row>
    <row r="420" spans="1:14" x14ac:dyDescent="0.35">
      <c r="A420" s="7" t="s">
        <v>1229</v>
      </c>
      <c r="B420" s="7" t="s">
        <v>348</v>
      </c>
      <c r="C420" s="7" t="s">
        <v>349</v>
      </c>
      <c r="D420" s="7" t="s">
        <v>40</v>
      </c>
      <c r="E420" s="7" t="s">
        <v>79</v>
      </c>
      <c r="F420" s="7" t="s">
        <v>16</v>
      </c>
      <c r="G420" s="7" t="s">
        <v>177</v>
      </c>
      <c r="H420" s="7">
        <v>3</v>
      </c>
      <c r="I420" s="2">
        <v>538.55999999999995</v>
      </c>
      <c r="J420" s="2">
        <f>Tabla2[[#This Row],[Quantity]]*I420</f>
        <v>1615.6799999999998</v>
      </c>
      <c r="K420" s="6">
        <f>MONTH(Tabla2[[#This Row],[OrderDate]])</f>
        <v>5</v>
      </c>
      <c r="L420" s="6">
        <f>YEAR(Tabla2[[#This Row],[OrderDate]])</f>
        <v>2024</v>
      </c>
      <c r="M420" s="7" t="s">
        <v>1230</v>
      </c>
      <c r="N420" s="7" t="s">
        <v>19</v>
      </c>
    </row>
    <row r="421" spans="1:14" x14ac:dyDescent="0.35">
      <c r="A421" s="7" t="s">
        <v>1231</v>
      </c>
      <c r="B421" s="7" t="s">
        <v>925</v>
      </c>
      <c r="C421" s="7" t="s">
        <v>926</v>
      </c>
      <c r="D421" s="7" t="s">
        <v>40</v>
      </c>
      <c r="E421" s="7" t="s">
        <v>120</v>
      </c>
      <c r="F421" s="7" t="s">
        <v>50</v>
      </c>
      <c r="G421" s="7" t="s">
        <v>51</v>
      </c>
      <c r="H421" s="7">
        <v>4</v>
      </c>
      <c r="I421" s="2">
        <v>960.28</v>
      </c>
      <c r="J421" s="2">
        <f>Tabla2[[#This Row],[Quantity]]*I421</f>
        <v>3841.12</v>
      </c>
      <c r="K421" s="6">
        <f>MONTH(Tabla2[[#This Row],[OrderDate]])</f>
        <v>2</v>
      </c>
      <c r="L421" s="6">
        <f>YEAR(Tabla2[[#This Row],[OrderDate]])</f>
        <v>2024</v>
      </c>
      <c r="M421" s="7" t="s">
        <v>187</v>
      </c>
      <c r="N421" s="7" t="s">
        <v>45</v>
      </c>
    </row>
    <row r="422" spans="1:14" x14ac:dyDescent="0.35">
      <c r="A422" s="7" t="s">
        <v>1232</v>
      </c>
      <c r="B422" s="7" t="s">
        <v>287</v>
      </c>
      <c r="C422" s="7" t="s">
        <v>288</v>
      </c>
      <c r="D422" s="7" t="s">
        <v>40</v>
      </c>
      <c r="E422" s="7" t="s">
        <v>120</v>
      </c>
      <c r="F422" s="7" t="s">
        <v>16</v>
      </c>
      <c r="G422" s="7" t="s">
        <v>230</v>
      </c>
      <c r="H422" s="7">
        <v>2</v>
      </c>
      <c r="I422" s="2">
        <v>358.92</v>
      </c>
      <c r="J422" s="2">
        <f>Tabla2[[#This Row],[Quantity]]*I422</f>
        <v>717.84</v>
      </c>
      <c r="K422" s="6">
        <f>MONTH(Tabla2[[#This Row],[OrderDate]])</f>
        <v>2</v>
      </c>
      <c r="L422" s="6">
        <f>YEAR(Tabla2[[#This Row],[OrderDate]])</f>
        <v>2025</v>
      </c>
      <c r="M422" s="7" t="s">
        <v>872</v>
      </c>
      <c r="N422" s="7" t="s">
        <v>19</v>
      </c>
    </row>
    <row r="423" spans="1:14" x14ac:dyDescent="0.35">
      <c r="A423" s="7" t="s">
        <v>1233</v>
      </c>
      <c r="B423" s="7" t="s">
        <v>168</v>
      </c>
      <c r="C423" s="7" t="s">
        <v>169</v>
      </c>
      <c r="D423" s="7" t="s">
        <v>40</v>
      </c>
      <c r="E423" s="7" t="s">
        <v>79</v>
      </c>
      <c r="F423" s="7" t="s">
        <v>16</v>
      </c>
      <c r="G423" s="7" t="s">
        <v>230</v>
      </c>
      <c r="H423" s="7">
        <v>2</v>
      </c>
      <c r="I423" s="2">
        <v>457.02</v>
      </c>
      <c r="J423" s="2">
        <f>Tabla2[[#This Row],[Quantity]]*I423</f>
        <v>914.04</v>
      </c>
      <c r="K423" s="6">
        <f>MONTH(Tabla2[[#This Row],[OrderDate]])</f>
        <v>11</v>
      </c>
      <c r="L423" s="6">
        <f>YEAR(Tabla2[[#This Row],[OrderDate]])</f>
        <v>2025</v>
      </c>
      <c r="M423" s="7" t="s">
        <v>713</v>
      </c>
      <c r="N423" s="7" t="s">
        <v>91</v>
      </c>
    </row>
    <row r="424" spans="1:14" x14ac:dyDescent="0.35">
      <c r="A424" s="7" t="s">
        <v>1234</v>
      </c>
      <c r="B424" s="7" t="s">
        <v>555</v>
      </c>
      <c r="C424" s="7" t="s">
        <v>556</v>
      </c>
      <c r="D424" s="7" t="s">
        <v>67</v>
      </c>
      <c r="E424" s="7" t="s">
        <v>68</v>
      </c>
      <c r="F424" s="7" t="s">
        <v>101</v>
      </c>
      <c r="G424" s="7" t="s">
        <v>165</v>
      </c>
      <c r="H424" s="7">
        <v>1</v>
      </c>
      <c r="I424" s="2">
        <v>1251.6600000000001</v>
      </c>
      <c r="J424" s="2">
        <f>Tabla2[[#This Row],[Quantity]]*I424</f>
        <v>1251.6600000000001</v>
      </c>
      <c r="K424" s="6">
        <f>MONTH(Tabla2[[#This Row],[OrderDate]])</f>
        <v>1</v>
      </c>
      <c r="L424" s="6">
        <f>YEAR(Tabla2[[#This Row],[OrderDate]])</f>
        <v>2026</v>
      </c>
      <c r="M424" s="7" t="s">
        <v>1235</v>
      </c>
      <c r="N424" s="7" t="s">
        <v>91</v>
      </c>
    </row>
    <row r="425" spans="1:14" x14ac:dyDescent="0.35">
      <c r="A425" s="7" t="s">
        <v>1236</v>
      </c>
      <c r="B425" s="7" t="s">
        <v>180</v>
      </c>
      <c r="C425" s="7" t="s">
        <v>181</v>
      </c>
      <c r="D425" s="7" t="s">
        <v>67</v>
      </c>
      <c r="E425" s="7" t="s">
        <v>130</v>
      </c>
      <c r="F425" s="7" t="s">
        <v>50</v>
      </c>
      <c r="G425" s="7" t="s">
        <v>51</v>
      </c>
      <c r="H425" s="7">
        <v>1</v>
      </c>
      <c r="I425" s="2">
        <v>1170.75</v>
      </c>
      <c r="J425" s="2">
        <f>Tabla2[[#This Row],[Quantity]]*I425</f>
        <v>1170.75</v>
      </c>
      <c r="K425" s="6">
        <f>MONTH(Tabla2[[#This Row],[OrderDate]])</f>
        <v>2</v>
      </c>
      <c r="L425" s="6">
        <f>YEAR(Tabla2[[#This Row],[OrderDate]])</f>
        <v>2026</v>
      </c>
      <c r="M425" s="7" t="s">
        <v>1237</v>
      </c>
      <c r="N425" s="7" t="s">
        <v>91</v>
      </c>
    </row>
    <row r="426" spans="1:14" x14ac:dyDescent="0.35">
      <c r="A426" s="7" t="s">
        <v>1238</v>
      </c>
      <c r="B426" s="7" t="s">
        <v>54</v>
      </c>
      <c r="C426" s="7" t="s">
        <v>55</v>
      </c>
      <c r="D426" s="7" t="s">
        <v>40</v>
      </c>
      <c r="E426" s="7" t="s">
        <v>41</v>
      </c>
      <c r="F426" s="7" t="s">
        <v>25</v>
      </c>
      <c r="G426" s="7" t="s">
        <v>74</v>
      </c>
      <c r="H426" s="7">
        <v>1</v>
      </c>
      <c r="I426" s="2">
        <v>1362.68</v>
      </c>
      <c r="J426" s="2">
        <f>Tabla2[[#This Row],[Quantity]]*I426</f>
        <v>1362.68</v>
      </c>
      <c r="K426" s="6">
        <f>MONTH(Tabla2[[#This Row],[OrderDate]])</f>
        <v>7</v>
      </c>
      <c r="L426" s="6">
        <f>YEAR(Tabla2[[#This Row],[OrderDate]])</f>
        <v>2025</v>
      </c>
      <c r="M426" s="7" t="s">
        <v>1239</v>
      </c>
      <c r="N426" s="7" t="s">
        <v>28</v>
      </c>
    </row>
    <row r="427" spans="1:14" x14ac:dyDescent="0.35">
      <c r="A427" s="7" t="s">
        <v>1240</v>
      </c>
      <c r="B427" s="7" t="s">
        <v>947</v>
      </c>
      <c r="C427" s="7" t="s">
        <v>948</v>
      </c>
      <c r="D427" s="7" t="s">
        <v>23</v>
      </c>
      <c r="E427" s="7" t="s">
        <v>49</v>
      </c>
      <c r="F427" s="7" t="s">
        <v>50</v>
      </c>
      <c r="G427" s="7" t="s">
        <v>69</v>
      </c>
      <c r="H427" s="7">
        <v>3</v>
      </c>
      <c r="I427" s="2">
        <v>322.94</v>
      </c>
      <c r="J427" s="2">
        <f>Tabla2[[#This Row],[Quantity]]*I427</f>
        <v>968.81999999999994</v>
      </c>
      <c r="K427" s="6">
        <f>MONTH(Tabla2[[#This Row],[OrderDate]])</f>
        <v>6</v>
      </c>
      <c r="L427" s="6">
        <f>YEAR(Tabla2[[#This Row],[OrderDate]])</f>
        <v>2025</v>
      </c>
      <c r="M427" s="7" t="s">
        <v>1241</v>
      </c>
      <c r="N427" s="7" t="s">
        <v>45</v>
      </c>
    </row>
    <row r="428" spans="1:14" x14ac:dyDescent="0.35">
      <c r="A428" s="7" t="s">
        <v>1242</v>
      </c>
      <c r="B428" s="7" t="s">
        <v>1131</v>
      </c>
      <c r="C428" s="7" t="s">
        <v>1132</v>
      </c>
      <c r="D428" s="7" t="s">
        <v>40</v>
      </c>
      <c r="E428" s="7" t="s">
        <v>41</v>
      </c>
      <c r="F428" s="7" t="s">
        <v>25</v>
      </c>
      <c r="G428" s="7" t="s">
        <v>26</v>
      </c>
      <c r="H428" s="7">
        <v>4</v>
      </c>
      <c r="I428" s="2">
        <v>1154.6400000000001</v>
      </c>
      <c r="J428" s="2">
        <f>Tabla2[[#This Row],[Quantity]]*I428</f>
        <v>4618.5600000000004</v>
      </c>
      <c r="K428" s="6">
        <f>MONTH(Tabla2[[#This Row],[OrderDate]])</f>
        <v>3</v>
      </c>
      <c r="L428" s="6">
        <f>YEAR(Tabla2[[#This Row],[OrderDate]])</f>
        <v>2026</v>
      </c>
      <c r="M428" s="7" t="s">
        <v>390</v>
      </c>
      <c r="N428" s="7" t="s">
        <v>36</v>
      </c>
    </row>
    <row r="429" spans="1:14" x14ac:dyDescent="0.35">
      <c r="A429" s="7" t="s">
        <v>1243</v>
      </c>
      <c r="B429" s="7" t="s">
        <v>1196</v>
      </c>
      <c r="C429" s="7" t="s">
        <v>1197</v>
      </c>
      <c r="D429" s="7" t="s">
        <v>32</v>
      </c>
      <c r="E429" s="7" t="s">
        <v>203</v>
      </c>
      <c r="F429" s="7" t="s">
        <v>42</v>
      </c>
      <c r="G429" s="7" t="s">
        <v>225</v>
      </c>
      <c r="H429" s="7">
        <v>4</v>
      </c>
      <c r="I429" s="2">
        <v>527.41999999999996</v>
      </c>
      <c r="J429" s="2">
        <f>Tabla2[[#This Row],[Quantity]]*I429</f>
        <v>2109.6799999999998</v>
      </c>
      <c r="K429" s="6">
        <f>MONTH(Tabla2[[#This Row],[OrderDate]])</f>
        <v>2</v>
      </c>
      <c r="L429" s="6">
        <f>YEAR(Tabla2[[#This Row],[OrderDate]])</f>
        <v>2025</v>
      </c>
      <c r="M429" s="7" t="s">
        <v>1244</v>
      </c>
      <c r="N429" s="7" t="s">
        <v>28</v>
      </c>
    </row>
    <row r="430" spans="1:14" x14ac:dyDescent="0.35">
      <c r="A430" s="7" t="s">
        <v>1245</v>
      </c>
      <c r="B430" s="7" t="s">
        <v>1246</v>
      </c>
      <c r="C430" s="7" t="s">
        <v>1247</v>
      </c>
      <c r="D430" s="7" t="s">
        <v>32</v>
      </c>
      <c r="E430" s="7" t="s">
        <v>33</v>
      </c>
      <c r="F430" s="7" t="s">
        <v>42</v>
      </c>
      <c r="G430" s="7" t="s">
        <v>89</v>
      </c>
      <c r="H430" s="7">
        <v>2</v>
      </c>
      <c r="I430" s="2">
        <v>818.96</v>
      </c>
      <c r="J430" s="2">
        <f>Tabla2[[#This Row],[Quantity]]*I430</f>
        <v>1637.92</v>
      </c>
      <c r="K430" s="6">
        <f>MONTH(Tabla2[[#This Row],[OrderDate]])</f>
        <v>1</v>
      </c>
      <c r="L430" s="6">
        <f>YEAR(Tabla2[[#This Row],[OrderDate]])</f>
        <v>2025</v>
      </c>
      <c r="M430" s="7" t="s">
        <v>1248</v>
      </c>
      <c r="N430" s="7" t="s">
        <v>91</v>
      </c>
    </row>
    <row r="431" spans="1:14" x14ac:dyDescent="0.35">
      <c r="A431" s="7" t="s">
        <v>1249</v>
      </c>
      <c r="B431" s="7" t="s">
        <v>380</v>
      </c>
      <c r="C431" s="7" t="s">
        <v>381</v>
      </c>
      <c r="D431" s="7" t="s">
        <v>67</v>
      </c>
      <c r="E431" s="7" t="s">
        <v>115</v>
      </c>
      <c r="F431" s="7" t="s">
        <v>50</v>
      </c>
      <c r="G431" s="7" t="s">
        <v>56</v>
      </c>
      <c r="H431" s="7">
        <v>5</v>
      </c>
      <c r="I431" s="2">
        <v>1368.37</v>
      </c>
      <c r="J431" s="2">
        <f>Tabla2[[#This Row],[Quantity]]*I431</f>
        <v>6841.8499999999995</v>
      </c>
      <c r="K431" s="6">
        <f>MONTH(Tabla2[[#This Row],[OrderDate]])</f>
        <v>12</v>
      </c>
      <c r="L431" s="6">
        <f>YEAR(Tabla2[[#This Row],[OrderDate]])</f>
        <v>2024</v>
      </c>
      <c r="M431" s="7" t="s">
        <v>398</v>
      </c>
      <c r="N431" s="7" t="s">
        <v>28</v>
      </c>
    </row>
    <row r="432" spans="1:14" x14ac:dyDescent="0.35">
      <c r="A432" s="7" t="s">
        <v>1250</v>
      </c>
      <c r="B432" s="7" t="s">
        <v>1046</v>
      </c>
      <c r="C432" s="7" t="s">
        <v>1047</v>
      </c>
      <c r="D432" s="7" t="s">
        <v>14</v>
      </c>
      <c r="E432" s="7" t="s">
        <v>266</v>
      </c>
      <c r="F432" s="7" t="s">
        <v>16</v>
      </c>
      <c r="G432" s="7" t="s">
        <v>177</v>
      </c>
      <c r="H432" s="7">
        <v>4</v>
      </c>
      <c r="I432" s="2">
        <v>902.58</v>
      </c>
      <c r="J432" s="2">
        <f>Tabla2[[#This Row],[Quantity]]*I432</f>
        <v>3610.32</v>
      </c>
      <c r="K432" s="6">
        <f>MONTH(Tabla2[[#This Row],[OrderDate]])</f>
        <v>7</v>
      </c>
      <c r="L432" s="6">
        <f>YEAR(Tabla2[[#This Row],[OrderDate]])</f>
        <v>2024</v>
      </c>
      <c r="M432" s="7" t="s">
        <v>1251</v>
      </c>
      <c r="N432" s="7" t="s">
        <v>91</v>
      </c>
    </row>
    <row r="433" spans="1:14" x14ac:dyDescent="0.35">
      <c r="A433" s="7" t="s">
        <v>1252</v>
      </c>
      <c r="B433" s="7" t="s">
        <v>65</v>
      </c>
      <c r="C433" s="7" t="s">
        <v>66</v>
      </c>
      <c r="D433" s="7" t="s">
        <v>32</v>
      </c>
      <c r="E433" s="7" t="s">
        <v>61</v>
      </c>
      <c r="F433" s="7" t="s">
        <v>25</v>
      </c>
      <c r="G433" s="7" t="s">
        <v>34</v>
      </c>
      <c r="H433" s="7">
        <v>3</v>
      </c>
      <c r="I433" s="2">
        <v>1330.32</v>
      </c>
      <c r="J433" s="2">
        <f>Tabla2[[#This Row],[Quantity]]*I433</f>
        <v>3990.96</v>
      </c>
      <c r="K433" s="6">
        <f>MONTH(Tabla2[[#This Row],[OrderDate]])</f>
        <v>10</v>
      </c>
      <c r="L433" s="6">
        <f>YEAR(Tabla2[[#This Row],[OrderDate]])</f>
        <v>2025</v>
      </c>
      <c r="M433" s="7" t="s">
        <v>488</v>
      </c>
      <c r="N433" s="7" t="s">
        <v>19</v>
      </c>
    </row>
    <row r="434" spans="1:14" x14ac:dyDescent="0.35">
      <c r="A434" s="7" t="s">
        <v>1253</v>
      </c>
      <c r="B434" s="7" t="s">
        <v>868</v>
      </c>
      <c r="C434" s="7" t="s">
        <v>869</v>
      </c>
      <c r="D434" s="7" t="s">
        <v>23</v>
      </c>
      <c r="E434" s="7" t="s">
        <v>24</v>
      </c>
      <c r="F434" s="7" t="s">
        <v>16</v>
      </c>
      <c r="G434" s="7" t="s">
        <v>17</v>
      </c>
      <c r="H434" s="7">
        <v>1</v>
      </c>
      <c r="I434" s="2">
        <v>689.87</v>
      </c>
      <c r="J434" s="2">
        <f>Tabla2[[#This Row],[Quantity]]*I434</f>
        <v>689.87</v>
      </c>
      <c r="K434" s="6">
        <f>MONTH(Tabla2[[#This Row],[OrderDate]])</f>
        <v>6</v>
      </c>
      <c r="L434" s="6">
        <f>YEAR(Tabla2[[#This Row],[OrderDate]])</f>
        <v>2025</v>
      </c>
      <c r="M434" s="7" t="s">
        <v>1254</v>
      </c>
      <c r="N434" s="7" t="s">
        <v>45</v>
      </c>
    </row>
    <row r="435" spans="1:14" x14ac:dyDescent="0.35">
      <c r="A435" s="7" t="s">
        <v>1255</v>
      </c>
      <c r="B435" s="7" t="s">
        <v>925</v>
      </c>
      <c r="C435" s="7" t="s">
        <v>926</v>
      </c>
      <c r="D435" s="7" t="s">
        <v>14</v>
      </c>
      <c r="E435" s="7" t="s">
        <v>125</v>
      </c>
      <c r="F435" s="7" t="s">
        <v>16</v>
      </c>
      <c r="G435" s="7" t="s">
        <v>230</v>
      </c>
      <c r="H435" s="7">
        <v>1</v>
      </c>
      <c r="I435" s="2">
        <v>1172.26</v>
      </c>
      <c r="J435" s="2">
        <f>Tabla2[[#This Row],[Quantity]]*I435</f>
        <v>1172.26</v>
      </c>
      <c r="K435" s="6">
        <f>MONTH(Tabla2[[#This Row],[OrderDate]])</f>
        <v>10</v>
      </c>
      <c r="L435" s="6">
        <f>YEAR(Tabla2[[#This Row],[OrderDate]])</f>
        <v>2024</v>
      </c>
      <c r="M435" s="7" t="s">
        <v>1256</v>
      </c>
      <c r="N435" s="7" t="s">
        <v>91</v>
      </c>
    </row>
    <row r="436" spans="1:14" x14ac:dyDescent="0.35">
      <c r="A436" s="7" t="s">
        <v>1257</v>
      </c>
      <c r="B436" s="7" t="s">
        <v>699</v>
      </c>
      <c r="C436" s="7" t="s">
        <v>700</v>
      </c>
      <c r="D436" s="7" t="s">
        <v>67</v>
      </c>
      <c r="E436" s="7" t="s">
        <v>68</v>
      </c>
      <c r="F436" s="7" t="s">
        <v>101</v>
      </c>
      <c r="G436" s="7" t="s">
        <v>237</v>
      </c>
      <c r="H436" s="7">
        <v>2</v>
      </c>
      <c r="I436" s="2">
        <v>1252.74</v>
      </c>
      <c r="J436" s="2">
        <f>Tabla2[[#This Row],[Quantity]]*I436</f>
        <v>2505.48</v>
      </c>
      <c r="K436" s="6">
        <f>MONTH(Tabla2[[#This Row],[OrderDate]])</f>
        <v>6</v>
      </c>
      <c r="L436" s="6">
        <f>YEAR(Tabla2[[#This Row],[OrderDate]])</f>
        <v>2024</v>
      </c>
      <c r="M436" s="7" t="s">
        <v>1258</v>
      </c>
      <c r="N436" s="7" t="s">
        <v>36</v>
      </c>
    </row>
    <row r="437" spans="1:14" x14ac:dyDescent="0.35">
      <c r="A437" s="7" t="s">
        <v>1259</v>
      </c>
      <c r="B437" s="7" t="s">
        <v>1260</v>
      </c>
      <c r="C437" s="7" t="s">
        <v>1261</v>
      </c>
      <c r="D437" s="7" t="s">
        <v>23</v>
      </c>
      <c r="E437" s="7" t="s">
        <v>338</v>
      </c>
      <c r="F437" s="7" t="s">
        <v>25</v>
      </c>
      <c r="G437" s="7" t="s">
        <v>139</v>
      </c>
      <c r="H437" s="7">
        <v>4</v>
      </c>
      <c r="I437" s="2">
        <v>1023.49</v>
      </c>
      <c r="J437" s="2">
        <f>Tabla2[[#This Row],[Quantity]]*I437</f>
        <v>4093.96</v>
      </c>
      <c r="K437" s="6">
        <f>MONTH(Tabla2[[#This Row],[OrderDate]])</f>
        <v>2</v>
      </c>
      <c r="L437" s="6">
        <f>YEAR(Tabla2[[#This Row],[OrderDate]])</f>
        <v>2026</v>
      </c>
      <c r="M437" s="7" t="s">
        <v>1262</v>
      </c>
      <c r="N437" s="7" t="s">
        <v>19</v>
      </c>
    </row>
    <row r="438" spans="1:14" x14ac:dyDescent="0.35">
      <c r="A438" s="7" t="s">
        <v>1263</v>
      </c>
      <c r="B438" s="7" t="s">
        <v>1246</v>
      </c>
      <c r="C438" s="7" t="s">
        <v>1247</v>
      </c>
      <c r="D438" s="7" t="s">
        <v>32</v>
      </c>
      <c r="E438" s="7" t="s">
        <v>203</v>
      </c>
      <c r="F438" s="7" t="s">
        <v>101</v>
      </c>
      <c r="G438" s="7" t="s">
        <v>649</v>
      </c>
      <c r="H438" s="7">
        <v>3</v>
      </c>
      <c r="I438" s="2">
        <v>831.47</v>
      </c>
      <c r="J438" s="2">
        <f>Tabla2[[#This Row],[Quantity]]*I438</f>
        <v>2494.41</v>
      </c>
      <c r="K438" s="6">
        <f>MONTH(Tabla2[[#This Row],[OrderDate]])</f>
        <v>10</v>
      </c>
      <c r="L438" s="6">
        <f>YEAR(Tabla2[[#This Row],[OrderDate]])</f>
        <v>2024</v>
      </c>
      <c r="M438" s="7" t="s">
        <v>1264</v>
      </c>
      <c r="N438" s="7" t="s">
        <v>45</v>
      </c>
    </row>
    <row r="439" spans="1:14" x14ac:dyDescent="0.35">
      <c r="A439" s="7" t="s">
        <v>1265</v>
      </c>
      <c r="B439" s="7" t="s">
        <v>878</v>
      </c>
      <c r="C439" s="7" t="s">
        <v>879</v>
      </c>
      <c r="D439" s="7" t="s">
        <v>23</v>
      </c>
      <c r="E439" s="7" t="s">
        <v>49</v>
      </c>
      <c r="F439" s="7" t="s">
        <v>42</v>
      </c>
      <c r="G439" s="7" t="s">
        <v>43</v>
      </c>
      <c r="H439" s="7">
        <v>4</v>
      </c>
      <c r="I439" s="2">
        <v>703.49</v>
      </c>
      <c r="J439" s="2">
        <f>Tabla2[[#This Row],[Quantity]]*I439</f>
        <v>2813.96</v>
      </c>
      <c r="K439" s="6">
        <f>MONTH(Tabla2[[#This Row],[OrderDate]])</f>
        <v>10</v>
      </c>
      <c r="L439" s="6">
        <f>YEAR(Tabla2[[#This Row],[OrderDate]])</f>
        <v>2025</v>
      </c>
      <c r="M439" s="7" t="s">
        <v>1266</v>
      </c>
      <c r="N439" s="7" t="s">
        <v>45</v>
      </c>
    </row>
    <row r="440" spans="1:14" x14ac:dyDescent="0.35">
      <c r="A440" s="7" t="s">
        <v>1267</v>
      </c>
      <c r="B440" s="7" t="s">
        <v>759</v>
      </c>
      <c r="C440" s="7" t="s">
        <v>760</v>
      </c>
      <c r="D440" s="7" t="s">
        <v>67</v>
      </c>
      <c r="E440" s="7" t="s">
        <v>68</v>
      </c>
      <c r="F440" s="7" t="s">
        <v>42</v>
      </c>
      <c r="G440" s="7" t="s">
        <v>225</v>
      </c>
      <c r="H440" s="7">
        <v>5</v>
      </c>
      <c r="I440" s="2">
        <v>629.58000000000004</v>
      </c>
      <c r="J440" s="2">
        <f>Tabla2[[#This Row],[Quantity]]*I440</f>
        <v>3147.9</v>
      </c>
      <c r="K440" s="6">
        <f>MONTH(Tabla2[[#This Row],[OrderDate]])</f>
        <v>1</v>
      </c>
      <c r="L440" s="6">
        <f>YEAR(Tabla2[[#This Row],[OrderDate]])</f>
        <v>2025</v>
      </c>
      <c r="M440" s="7" t="s">
        <v>1268</v>
      </c>
      <c r="N440" s="7" t="s">
        <v>36</v>
      </c>
    </row>
    <row r="441" spans="1:14" x14ac:dyDescent="0.35">
      <c r="A441" s="7" t="s">
        <v>1269</v>
      </c>
      <c r="B441" s="7" t="s">
        <v>960</v>
      </c>
      <c r="C441" s="7" t="s">
        <v>961</v>
      </c>
      <c r="D441" s="7" t="s">
        <v>14</v>
      </c>
      <c r="E441" s="7" t="s">
        <v>125</v>
      </c>
      <c r="F441" s="7" t="s">
        <v>101</v>
      </c>
      <c r="G441" s="7" t="s">
        <v>102</v>
      </c>
      <c r="H441" s="7">
        <v>4</v>
      </c>
      <c r="I441" s="2">
        <v>613.36</v>
      </c>
      <c r="J441" s="2">
        <f>Tabla2[[#This Row],[Quantity]]*I441</f>
        <v>2453.44</v>
      </c>
      <c r="K441" s="6">
        <f>MONTH(Tabla2[[#This Row],[OrderDate]])</f>
        <v>7</v>
      </c>
      <c r="L441" s="6">
        <f>YEAR(Tabla2[[#This Row],[OrderDate]])</f>
        <v>2025</v>
      </c>
      <c r="M441" s="7" t="s">
        <v>1270</v>
      </c>
      <c r="N441" s="7" t="s">
        <v>36</v>
      </c>
    </row>
    <row r="442" spans="1:14" x14ac:dyDescent="0.35">
      <c r="A442" s="7" t="s">
        <v>1271</v>
      </c>
      <c r="B442" s="7" t="s">
        <v>622</v>
      </c>
      <c r="C442" s="7" t="s">
        <v>623</v>
      </c>
      <c r="D442" s="7" t="s">
        <v>14</v>
      </c>
      <c r="E442" s="7" t="s">
        <v>15</v>
      </c>
      <c r="F442" s="7" t="s">
        <v>42</v>
      </c>
      <c r="G442" s="7" t="s">
        <v>225</v>
      </c>
      <c r="H442" s="7">
        <v>1</v>
      </c>
      <c r="I442" s="2">
        <v>493.22</v>
      </c>
      <c r="J442" s="2">
        <f>Tabla2[[#This Row],[Quantity]]*I442</f>
        <v>493.22</v>
      </c>
      <c r="K442" s="6">
        <f>MONTH(Tabla2[[#This Row],[OrderDate]])</f>
        <v>3</v>
      </c>
      <c r="L442" s="6">
        <f>YEAR(Tabla2[[#This Row],[OrderDate]])</f>
        <v>2025</v>
      </c>
      <c r="M442" s="7" t="s">
        <v>577</v>
      </c>
      <c r="N442" s="7" t="s">
        <v>19</v>
      </c>
    </row>
    <row r="443" spans="1:14" x14ac:dyDescent="0.35">
      <c r="A443" s="7" t="s">
        <v>1272</v>
      </c>
      <c r="B443" s="7" t="s">
        <v>201</v>
      </c>
      <c r="C443" s="7" t="s">
        <v>202</v>
      </c>
      <c r="D443" s="7" t="s">
        <v>23</v>
      </c>
      <c r="E443" s="7" t="s">
        <v>24</v>
      </c>
      <c r="F443" s="7" t="s">
        <v>16</v>
      </c>
      <c r="G443" s="7" t="s">
        <v>177</v>
      </c>
      <c r="H443" s="7">
        <v>5</v>
      </c>
      <c r="I443" s="2">
        <v>211.98</v>
      </c>
      <c r="J443" s="2">
        <f>Tabla2[[#This Row],[Quantity]]*I443</f>
        <v>1059.8999999999999</v>
      </c>
      <c r="K443" s="6">
        <f>MONTH(Tabla2[[#This Row],[OrderDate]])</f>
        <v>8</v>
      </c>
      <c r="L443" s="6">
        <f>YEAR(Tabla2[[#This Row],[OrderDate]])</f>
        <v>2024</v>
      </c>
      <c r="M443" s="7" t="s">
        <v>929</v>
      </c>
      <c r="N443" s="7" t="s">
        <v>19</v>
      </c>
    </row>
    <row r="444" spans="1:14" x14ac:dyDescent="0.35">
      <c r="A444" s="7" t="s">
        <v>1273</v>
      </c>
      <c r="B444" s="7" t="s">
        <v>1046</v>
      </c>
      <c r="C444" s="7" t="s">
        <v>1047</v>
      </c>
      <c r="D444" s="7" t="s">
        <v>67</v>
      </c>
      <c r="E444" s="7" t="s">
        <v>115</v>
      </c>
      <c r="F444" s="7" t="s">
        <v>50</v>
      </c>
      <c r="G444" s="7" t="s">
        <v>51</v>
      </c>
      <c r="H444" s="7">
        <v>1</v>
      </c>
      <c r="I444" s="2">
        <v>852.86</v>
      </c>
      <c r="J444" s="2">
        <f>Tabla2[[#This Row],[Quantity]]*I444</f>
        <v>852.86</v>
      </c>
      <c r="K444" s="6">
        <f>MONTH(Tabla2[[#This Row],[OrderDate]])</f>
        <v>10</v>
      </c>
      <c r="L444" s="6">
        <f>YEAR(Tabla2[[#This Row],[OrderDate]])</f>
        <v>2024</v>
      </c>
      <c r="M444" s="7" t="s">
        <v>85</v>
      </c>
      <c r="N444" s="7" t="s">
        <v>91</v>
      </c>
    </row>
    <row r="445" spans="1:14" x14ac:dyDescent="0.35">
      <c r="A445" s="7" t="s">
        <v>1274</v>
      </c>
      <c r="B445" s="7" t="s">
        <v>1046</v>
      </c>
      <c r="C445" s="7" t="s">
        <v>1047</v>
      </c>
      <c r="D445" s="7" t="s">
        <v>67</v>
      </c>
      <c r="E445" s="7" t="s">
        <v>115</v>
      </c>
      <c r="F445" s="7" t="s">
        <v>16</v>
      </c>
      <c r="G445" s="7" t="s">
        <v>148</v>
      </c>
      <c r="H445" s="7">
        <v>4</v>
      </c>
      <c r="I445" s="2">
        <v>589.12</v>
      </c>
      <c r="J445" s="2">
        <f>Tabla2[[#This Row],[Quantity]]*I445</f>
        <v>2356.48</v>
      </c>
      <c r="K445" s="6">
        <f>MONTH(Tabla2[[#This Row],[OrderDate]])</f>
        <v>6</v>
      </c>
      <c r="L445" s="6">
        <f>YEAR(Tabla2[[#This Row],[OrderDate]])</f>
        <v>2025</v>
      </c>
      <c r="M445" s="7" t="s">
        <v>305</v>
      </c>
      <c r="N445" s="7" t="s">
        <v>19</v>
      </c>
    </row>
    <row r="446" spans="1:14" x14ac:dyDescent="0.35">
      <c r="A446" s="7" t="s">
        <v>1275</v>
      </c>
      <c r="B446" s="7" t="s">
        <v>359</v>
      </c>
      <c r="C446" s="7" t="s">
        <v>360</v>
      </c>
      <c r="D446" s="7" t="s">
        <v>14</v>
      </c>
      <c r="E446" s="7" t="s">
        <v>100</v>
      </c>
      <c r="F446" s="7" t="s">
        <v>50</v>
      </c>
      <c r="G446" s="7" t="s">
        <v>216</v>
      </c>
      <c r="H446" s="7">
        <v>4</v>
      </c>
      <c r="I446" s="2">
        <v>230.21</v>
      </c>
      <c r="J446" s="2">
        <f>Tabla2[[#This Row],[Quantity]]*I446</f>
        <v>920.84</v>
      </c>
      <c r="K446" s="6">
        <f>MONTH(Tabla2[[#This Row],[OrderDate]])</f>
        <v>4</v>
      </c>
      <c r="L446" s="6">
        <f>YEAR(Tabla2[[#This Row],[OrderDate]])</f>
        <v>2025</v>
      </c>
      <c r="M446" s="7" t="s">
        <v>1276</v>
      </c>
      <c r="N446" s="7" t="s">
        <v>19</v>
      </c>
    </row>
    <row r="447" spans="1:14" x14ac:dyDescent="0.35">
      <c r="A447" s="7" t="s">
        <v>1277</v>
      </c>
      <c r="B447" s="7" t="s">
        <v>1278</v>
      </c>
      <c r="C447" s="7" t="s">
        <v>1279</v>
      </c>
      <c r="D447" s="7" t="s">
        <v>14</v>
      </c>
      <c r="E447" s="7" t="s">
        <v>15</v>
      </c>
      <c r="F447" s="7" t="s">
        <v>16</v>
      </c>
      <c r="G447" s="7" t="s">
        <v>182</v>
      </c>
      <c r="H447" s="7">
        <v>2</v>
      </c>
      <c r="I447" s="2">
        <v>1101.01</v>
      </c>
      <c r="J447" s="2">
        <f>Tabla2[[#This Row],[Quantity]]*I447</f>
        <v>2202.02</v>
      </c>
      <c r="K447" s="6">
        <f>MONTH(Tabla2[[#This Row],[OrderDate]])</f>
        <v>3</v>
      </c>
      <c r="L447" s="6">
        <f>YEAR(Tabla2[[#This Row],[OrderDate]])</f>
        <v>2025</v>
      </c>
      <c r="M447" s="7" t="s">
        <v>279</v>
      </c>
      <c r="N447" s="7" t="s">
        <v>91</v>
      </c>
    </row>
    <row r="448" spans="1:14" x14ac:dyDescent="0.35">
      <c r="A448" s="7" t="s">
        <v>1280</v>
      </c>
      <c r="B448" s="7" t="s">
        <v>1281</v>
      </c>
      <c r="C448" s="7" t="s">
        <v>1282</v>
      </c>
      <c r="D448" s="7" t="s">
        <v>32</v>
      </c>
      <c r="E448" s="7" t="s">
        <v>203</v>
      </c>
      <c r="F448" s="7" t="s">
        <v>50</v>
      </c>
      <c r="G448" s="7" t="s">
        <v>216</v>
      </c>
      <c r="H448" s="7">
        <v>3</v>
      </c>
      <c r="I448" s="2">
        <v>1062.81</v>
      </c>
      <c r="J448" s="2">
        <f>Tabla2[[#This Row],[Quantity]]*I448</f>
        <v>3188.43</v>
      </c>
      <c r="K448" s="6">
        <f>MONTH(Tabla2[[#This Row],[OrderDate]])</f>
        <v>3</v>
      </c>
      <c r="L448" s="6">
        <f>YEAR(Tabla2[[#This Row],[OrderDate]])</f>
        <v>2024</v>
      </c>
      <c r="M448" s="7" t="s">
        <v>807</v>
      </c>
      <c r="N448" s="7" t="s">
        <v>91</v>
      </c>
    </row>
    <row r="449" spans="1:14" x14ac:dyDescent="0.35">
      <c r="A449" s="7" t="s">
        <v>1283</v>
      </c>
      <c r="B449" s="7" t="s">
        <v>1018</v>
      </c>
      <c r="C449" s="7" t="s">
        <v>1019</v>
      </c>
      <c r="D449" s="7" t="s">
        <v>23</v>
      </c>
      <c r="E449" s="7" t="s">
        <v>49</v>
      </c>
      <c r="F449" s="7" t="s">
        <v>42</v>
      </c>
      <c r="G449" s="7" t="s">
        <v>43</v>
      </c>
      <c r="H449" s="7">
        <v>3</v>
      </c>
      <c r="I449" s="2">
        <v>927.77</v>
      </c>
      <c r="J449" s="2">
        <f>Tabla2[[#This Row],[Quantity]]*I449</f>
        <v>2783.31</v>
      </c>
      <c r="K449" s="6">
        <f>MONTH(Tabla2[[#This Row],[OrderDate]])</f>
        <v>10</v>
      </c>
      <c r="L449" s="6">
        <f>YEAR(Tabla2[[#This Row],[OrderDate]])</f>
        <v>2025</v>
      </c>
      <c r="M449" s="7" t="s">
        <v>267</v>
      </c>
      <c r="N449" s="7" t="s">
        <v>28</v>
      </c>
    </row>
    <row r="450" spans="1:14" x14ac:dyDescent="0.35">
      <c r="A450" s="7" t="s">
        <v>1284</v>
      </c>
      <c r="B450" s="7" t="s">
        <v>1285</v>
      </c>
      <c r="C450" s="7" t="s">
        <v>1286</v>
      </c>
      <c r="D450" s="7" t="s">
        <v>32</v>
      </c>
      <c r="E450" s="7" t="s">
        <v>33</v>
      </c>
      <c r="F450" s="7" t="s">
        <v>25</v>
      </c>
      <c r="G450" s="7" t="s">
        <v>74</v>
      </c>
      <c r="H450" s="7">
        <v>1</v>
      </c>
      <c r="I450" s="2">
        <v>806.22</v>
      </c>
      <c r="J450" s="2">
        <f>Tabla2[[#This Row],[Quantity]]*I450</f>
        <v>806.22</v>
      </c>
      <c r="K450" s="6">
        <f>MONTH(Tabla2[[#This Row],[OrderDate]])</f>
        <v>11</v>
      </c>
      <c r="L450" s="6">
        <f>YEAR(Tabla2[[#This Row],[OrderDate]])</f>
        <v>2024</v>
      </c>
      <c r="M450" s="7" t="s">
        <v>1287</v>
      </c>
      <c r="N450" s="7" t="s">
        <v>28</v>
      </c>
    </row>
    <row r="451" spans="1:14" x14ac:dyDescent="0.35">
      <c r="A451" s="7" t="s">
        <v>1288</v>
      </c>
      <c r="B451" s="7" t="s">
        <v>396</v>
      </c>
      <c r="C451" s="7" t="s">
        <v>397</v>
      </c>
      <c r="D451" s="7" t="s">
        <v>14</v>
      </c>
      <c r="E451" s="7" t="s">
        <v>15</v>
      </c>
      <c r="F451" s="7" t="s">
        <v>25</v>
      </c>
      <c r="G451" s="7" t="s">
        <v>139</v>
      </c>
      <c r="H451" s="7">
        <v>3</v>
      </c>
      <c r="I451" s="2">
        <v>340.08</v>
      </c>
      <c r="J451" s="2">
        <f>Tabla2[[#This Row],[Quantity]]*I451</f>
        <v>1020.24</v>
      </c>
      <c r="K451" s="6">
        <f>MONTH(Tabla2[[#This Row],[OrderDate]])</f>
        <v>2</v>
      </c>
      <c r="L451" s="6">
        <f>YEAR(Tabla2[[#This Row],[OrderDate]])</f>
        <v>2026</v>
      </c>
      <c r="M451" s="7" t="s">
        <v>1289</v>
      </c>
      <c r="N451" s="7" t="s">
        <v>28</v>
      </c>
    </row>
    <row r="452" spans="1:14" x14ac:dyDescent="0.35">
      <c r="A452" s="7" t="s">
        <v>1290</v>
      </c>
      <c r="B452" s="7" t="s">
        <v>555</v>
      </c>
      <c r="C452" s="7" t="s">
        <v>556</v>
      </c>
      <c r="D452" s="7" t="s">
        <v>67</v>
      </c>
      <c r="E452" s="7" t="s">
        <v>130</v>
      </c>
      <c r="F452" s="7" t="s">
        <v>101</v>
      </c>
      <c r="G452" s="7" t="s">
        <v>237</v>
      </c>
      <c r="H452" s="7">
        <v>3</v>
      </c>
      <c r="I452" s="2">
        <v>1104.6300000000001</v>
      </c>
      <c r="J452" s="2">
        <f>Tabla2[[#This Row],[Quantity]]*I452</f>
        <v>3313.8900000000003</v>
      </c>
      <c r="K452" s="6">
        <f>MONTH(Tabla2[[#This Row],[OrderDate]])</f>
        <v>11</v>
      </c>
      <c r="L452" s="6">
        <f>YEAR(Tabla2[[#This Row],[OrderDate]])</f>
        <v>2024</v>
      </c>
      <c r="M452" s="7" t="s">
        <v>1291</v>
      </c>
      <c r="N452" s="7" t="s">
        <v>36</v>
      </c>
    </row>
    <row r="453" spans="1:14" x14ac:dyDescent="0.35">
      <c r="A453" s="7" t="s">
        <v>1292</v>
      </c>
      <c r="B453" s="7" t="s">
        <v>536</v>
      </c>
      <c r="C453" s="7" t="s">
        <v>537</v>
      </c>
      <c r="D453" s="7" t="s">
        <v>14</v>
      </c>
      <c r="E453" s="7" t="s">
        <v>95</v>
      </c>
      <c r="F453" s="7" t="s">
        <v>101</v>
      </c>
      <c r="G453" s="7" t="s">
        <v>373</v>
      </c>
      <c r="H453" s="7">
        <v>1</v>
      </c>
      <c r="I453" s="2">
        <v>230.59</v>
      </c>
      <c r="J453" s="2">
        <f>Tabla2[[#This Row],[Quantity]]*I453</f>
        <v>230.59</v>
      </c>
      <c r="K453" s="6">
        <f>MONTH(Tabla2[[#This Row],[OrderDate]])</f>
        <v>9</v>
      </c>
      <c r="L453" s="6">
        <f>YEAR(Tabla2[[#This Row],[OrderDate]])</f>
        <v>2024</v>
      </c>
      <c r="M453" s="7" t="s">
        <v>1293</v>
      </c>
      <c r="N453" s="7" t="s">
        <v>36</v>
      </c>
    </row>
    <row r="454" spans="1:14" x14ac:dyDescent="0.35">
      <c r="A454" s="7" t="s">
        <v>1294</v>
      </c>
      <c r="B454" s="7" t="s">
        <v>341</v>
      </c>
      <c r="C454" s="7" t="s">
        <v>342</v>
      </c>
      <c r="D454" s="7" t="s">
        <v>40</v>
      </c>
      <c r="E454" s="7" t="s">
        <v>120</v>
      </c>
      <c r="F454" s="7" t="s">
        <v>16</v>
      </c>
      <c r="G454" s="7" t="s">
        <v>230</v>
      </c>
      <c r="H454" s="7">
        <v>5</v>
      </c>
      <c r="I454" s="2">
        <v>842.88</v>
      </c>
      <c r="J454" s="2">
        <f>Tabla2[[#This Row],[Quantity]]*I454</f>
        <v>4214.3999999999996</v>
      </c>
      <c r="K454" s="6">
        <f>MONTH(Tabla2[[#This Row],[OrderDate]])</f>
        <v>6</v>
      </c>
      <c r="L454" s="6">
        <f>YEAR(Tabla2[[#This Row],[OrderDate]])</f>
        <v>2025</v>
      </c>
      <c r="M454" s="7" t="s">
        <v>1241</v>
      </c>
      <c r="N454" s="7" t="s">
        <v>91</v>
      </c>
    </row>
    <row r="455" spans="1:14" x14ac:dyDescent="0.35">
      <c r="A455" s="7" t="s">
        <v>1295</v>
      </c>
      <c r="B455" s="7" t="s">
        <v>579</v>
      </c>
      <c r="C455" s="7" t="s">
        <v>580</v>
      </c>
      <c r="D455" s="7" t="s">
        <v>23</v>
      </c>
      <c r="E455" s="7" t="s">
        <v>24</v>
      </c>
      <c r="F455" s="7" t="s">
        <v>50</v>
      </c>
      <c r="G455" s="7" t="s">
        <v>69</v>
      </c>
      <c r="H455" s="7">
        <v>3</v>
      </c>
      <c r="I455" s="2">
        <v>684.96</v>
      </c>
      <c r="J455" s="2">
        <f>Tabla2[[#This Row],[Quantity]]*I455</f>
        <v>2054.88</v>
      </c>
      <c r="K455" s="6">
        <f>MONTH(Tabla2[[#This Row],[OrderDate]])</f>
        <v>9</v>
      </c>
      <c r="L455" s="6">
        <f>YEAR(Tabla2[[#This Row],[OrderDate]])</f>
        <v>2025</v>
      </c>
      <c r="M455" s="7" t="s">
        <v>153</v>
      </c>
      <c r="N455" s="7" t="s">
        <v>91</v>
      </c>
    </row>
    <row r="456" spans="1:14" x14ac:dyDescent="0.35">
      <c r="A456" s="7" t="s">
        <v>1296</v>
      </c>
      <c r="B456" s="7" t="s">
        <v>1179</v>
      </c>
      <c r="C456" s="7" t="s">
        <v>1180</v>
      </c>
      <c r="D456" s="7" t="s">
        <v>14</v>
      </c>
      <c r="E456" s="7" t="s">
        <v>15</v>
      </c>
      <c r="F456" s="7" t="s">
        <v>25</v>
      </c>
      <c r="G456" s="7" t="s">
        <v>26</v>
      </c>
      <c r="H456" s="7">
        <v>2</v>
      </c>
      <c r="I456" s="2">
        <v>360.66</v>
      </c>
      <c r="J456" s="2">
        <f>Tabla2[[#This Row],[Quantity]]*I456</f>
        <v>721.32</v>
      </c>
      <c r="K456" s="6">
        <f>MONTH(Tabla2[[#This Row],[OrderDate]])</f>
        <v>1</v>
      </c>
      <c r="L456" s="6">
        <f>YEAR(Tabla2[[#This Row],[OrderDate]])</f>
        <v>2024</v>
      </c>
      <c r="M456" s="7" t="s">
        <v>1297</v>
      </c>
      <c r="N456" s="7" t="s">
        <v>36</v>
      </c>
    </row>
    <row r="457" spans="1:14" x14ac:dyDescent="0.35">
      <c r="A457" s="7" t="s">
        <v>1298</v>
      </c>
      <c r="B457" s="7" t="s">
        <v>133</v>
      </c>
      <c r="C457" s="7" t="s">
        <v>134</v>
      </c>
      <c r="D457" s="7" t="s">
        <v>67</v>
      </c>
      <c r="E457" s="7" t="s">
        <v>115</v>
      </c>
      <c r="F457" s="7" t="s">
        <v>50</v>
      </c>
      <c r="G457" s="7" t="s">
        <v>216</v>
      </c>
      <c r="H457" s="7">
        <v>4</v>
      </c>
      <c r="I457" s="2">
        <v>59.44</v>
      </c>
      <c r="J457" s="2">
        <f>Tabla2[[#This Row],[Quantity]]*I457</f>
        <v>237.76</v>
      </c>
      <c r="K457" s="6">
        <f>MONTH(Tabla2[[#This Row],[OrderDate]])</f>
        <v>9</v>
      </c>
      <c r="L457" s="6">
        <f>YEAR(Tabla2[[#This Row],[OrderDate]])</f>
        <v>2025</v>
      </c>
      <c r="M457" s="7" t="s">
        <v>1299</v>
      </c>
      <c r="N457" s="7" t="s">
        <v>28</v>
      </c>
    </row>
    <row r="458" spans="1:14" x14ac:dyDescent="0.35">
      <c r="A458" s="7" t="s">
        <v>1300</v>
      </c>
      <c r="B458" s="7" t="s">
        <v>1301</v>
      </c>
      <c r="C458" s="7" t="s">
        <v>1302</v>
      </c>
      <c r="D458" s="7" t="s">
        <v>40</v>
      </c>
      <c r="E458" s="7" t="s">
        <v>41</v>
      </c>
      <c r="F458" s="7" t="s">
        <v>50</v>
      </c>
      <c r="G458" s="7" t="s">
        <v>51</v>
      </c>
      <c r="H458" s="7">
        <v>5</v>
      </c>
      <c r="I458" s="2">
        <v>1448.05</v>
      </c>
      <c r="J458" s="2">
        <f>Tabla2[[#This Row],[Quantity]]*I458</f>
        <v>7240.25</v>
      </c>
      <c r="K458" s="6">
        <f>MONTH(Tabla2[[#This Row],[OrderDate]])</f>
        <v>1</v>
      </c>
      <c r="L458" s="6">
        <f>YEAR(Tabla2[[#This Row],[OrderDate]])</f>
        <v>2024</v>
      </c>
      <c r="M458" s="7" t="s">
        <v>271</v>
      </c>
      <c r="N458" s="7" t="s">
        <v>19</v>
      </c>
    </row>
    <row r="459" spans="1:14" x14ac:dyDescent="0.35">
      <c r="A459" s="7" t="s">
        <v>1303</v>
      </c>
      <c r="B459" s="7" t="s">
        <v>481</v>
      </c>
      <c r="C459" s="7" t="s">
        <v>482</v>
      </c>
      <c r="D459" s="7" t="s">
        <v>23</v>
      </c>
      <c r="E459" s="7" t="s">
        <v>338</v>
      </c>
      <c r="F459" s="7" t="s">
        <v>42</v>
      </c>
      <c r="G459" s="7" t="s">
        <v>89</v>
      </c>
      <c r="H459" s="7">
        <v>4</v>
      </c>
      <c r="I459" s="2">
        <v>1398.41</v>
      </c>
      <c r="J459" s="2">
        <f>Tabla2[[#This Row],[Quantity]]*I459</f>
        <v>5593.64</v>
      </c>
      <c r="K459" s="6">
        <f>MONTH(Tabla2[[#This Row],[OrderDate]])</f>
        <v>12</v>
      </c>
      <c r="L459" s="6">
        <f>YEAR(Tabla2[[#This Row],[OrderDate]])</f>
        <v>2025</v>
      </c>
      <c r="M459" s="7" t="s">
        <v>191</v>
      </c>
      <c r="N459" s="7" t="s">
        <v>36</v>
      </c>
    </row>
    <row r="460" spans="1:14" x14ac:dyDescent="0.35">
      <c r="A460" s="7" t="s">
        <v>1304</v>
      </c>
      <c r="B460" s="7" t="s">
        <v>109</v>
      </c>
      <c r="C460" s="7" t="s">
        <v>110</v>
      </c>
      <c r="D460" s="7" t="s">
        <v>14</v>
      </c>
      <c r="E460" s="7" t="s">
        <v>95</v>
      </c>
      <c r="F460" s="7" t="s">
        <v>25</v>
      </c>
      <c r="G460" s="7" t="s">
        <v>26</v>
      </c>
      <c r="H460" s="7">
        <v>5</v>
      </c>
      <c r="I460" s="2">
        <v>1051.1600000000001</v>
      </c>
      <c r="J460" s="2">
        <f>Tabla2[[#This Row],[Quantity]]*I460</f>
        <v>5255.8</v>
      </c>
      <c r="K460" s="6">
        <f>MONTH(Tabla2[[#This Row],[OrderDate]])</f>
        <v>1</v>
      </c>
      <c r="L460" s="6">
        <f>YEAR(Tabla2[[#This Row],[OrderDate]])</f>
        <v>2025</v>
      </c>
      <c r="M460" s="7" t="s">
        <v>1305</v>
      </c>
      <c r="N460" s="7" t="s">
        <v>19</v>
      </c>
    </row>
    <row r="461" spans="1:14" x14ac:dyDescent="0.35">
      <c r="A461" s="7" t="s">
        <v>1306</v>
      </c>
      <c r="B461" s="7" t="s">
        <v>1307</v>
      </c>
      <c r="C461" s="7" t="s">
        <v>1308</v>
      </c>
      <c r="D461" s="7" t="s">
        <v>23</v>
      </c>
      <c r="E461" s="7" t="s">
        <v>49</v>
      </c>
      <c r="F461" s="7" t="s">
        <v>101</v>
      </c>
      <c r="G461" s="7" t="s">
        <v>373</v>
      </c>
      <c r="H461" s="7">
        <v>5</v>
      </c>
      <c r="I461" s="2">
        <v>874.1</v>
      </c>
      <c r="J461" s="2">
        <f>Tabla2[[#This Row],[Quantity]]*I461</f>
        <v>4370.5</v>
      </c>
      <c r="K461" s="6">
        <f>MONTH(Tabla2[[#This Row],[OrderDate]])</f>
        <v>6</v>
      </c>
      <c r="L461" s="6">
        <f>YEAR(Tabla2[[#This Row],[OrderDate]])</f>
        <v>2024</v>
      </c>
      <c r="M461" s="7" t="s">
        <v>1309</v>
      </c>
      <c r="N461" s="7" t="s">
        <v>28</v>
      </c>
    </row>
    <row r="462" spans="1:14" x14ac:dyDescent="0.35">
      <c r="A462" s="7" t="s">
        <v>1310</v>
      </c>
      <c r="B462" s="7" t="s">
        <v>1066</v>
      </c>
      <c r="C462" s="7" t="s">
        <v>1067</v>
      </c>
      <c r="D462" s="7" t="s">
        <v>40</v>
      </c>
      <c r="E462" s="7" t="s">
        <v>120</v>
      </c>
      <c r="F462" s="7" t="s">
        <v>16</v>
      </c>
      <c r="G462" s="7" t="s">
        <v>148</v>
      </c>
      <c r="H462" s="7">
        <v>1</v>
      </c>
      <c r="I462" s="2">
        <v>1370.41</v>
      </c>
      <c r="J462" s="2">
        <f>Tabla2[[#This Row],[Quantity]]*I462</f>
        <v>1370.41</v>
      </c>
      <c r="K462" s="6">
        <f>MONTH(Tabla2[[#This Row],[OrderDate]])</f>
        <v>5</v>
      </c>
      <c r="L462" s="6">
        <f>YEAR(Tabla2[[#This Row],[OrderDate]])</f>
        <v>2024</v>
      </c>
      <c r="M462" s="7" t="s">
        <v>1230</v>
      </c>
      <c r="N462" s="7" t="s">
        <v>45</v>
      </c>
    </row>
    <row r="463" spans="1:14" x14ac:dyDescent="0.35">
      <c r="A463" s="7" t="s">
        <v>1311</v>
      </c>
      <c r="B463" s="7" t="s">
        <v>1312</v>
      </c>
      <c r="C463" s="7" t="s">
        <v>1313</v>
      </c>
      <c r="D463" s="7" t="s">
        <v>32</v>
      </c>
      <c r="E463" s="7" t="s">
        <v>61</v>
      </c>
      <c r="F463" s="7" t="s">
        <v>50</v>
      </c>
      <c r="G463" s="7" t="s">
        <v>170</v>
      </c>
      <c r="H463" s="7">
        <v>5</v>
      </c>
      <c r="I463" s="2">
        <v>594.96</v>
      </c>
      <c r="J463" s="2">
        <f>Tabla2[[#This Row],[Quantity]]*I463</f>
        <v>2974.8</v>
      </c>
      <c r="K463" s="6">
        <f>MONTH(Tabla2[[#This Row],[OrderDate]])</f>
        <v>1</v>
      </c>
      <c r="L463" s="6">
        <f>YEAR(Tabla2[[#This Row],[OrderDate]])</f>
        <v>2025</v>
      </c>
      <c r="M463" s="7" t="s">
        <v>1314</v>
      </c>
      <c r="N463" s="7" t="s">
        <v>19</v>
      </c>
    </row>
    <row r="464" spans="1:14" x14ac:dyDescent="0.35">
      <c r="A464" s="7" t="s">
        <v>1315</v>
      </c>
      <c r="B464" s="7" t="s">
        <v>325</v>
      </c>
      <c r="C464" s="7" t="s">
        <v>326</v>
      </c>
      <c r="D464" s="7" t="s">
        <v>32</v>
      </c>
      <c r="E464" s="7" t="s">
        <v>203</v>
      </c>
      <c r="F464" s="7" t="s">
        <v>25</v>
      </c>
      <c r="G464" s="7" t="s">
        <v>26</v>
      </c>
      <c r="H464" s="7">
        <v>4</v>
      </c>
      <c r="I464" s="2">
        <v>642.53</v>
      </c>
      <c r="J464" s="2">
        <f>Tabla2[[#This Row],[Quantity]]*I464</f>
        <v>2570.12</v>
      </c>
      <c r="K464" s="6">
        <f>MONTH(Tabla2[[#This Row],[OrderDate]])</f>
        <v>8</v>
      </c>
      <c r="L464" s="6">
        <f>YEAR(Tabla2[[#This Row],[OrderDate]])</f>
        <v>2025</v>
      </c>
      <c r="M464" s="7" t="s">
        <v>1316</v>
      </c>
      <c r="N464" s="7" t="s">
        <v>45</v>
      </c>
    </row>
    <row r="465" spans="1:14" x14ac:dyDescent="0.35">
      <c r="A465" s="7" t="s">
        <v>1317</v>
      </c>
      <c r="B465" s="7" t="s">
        <v>518</v>
      </c>
      <c r="C465" s="7" t="s">
        <v>519</v>
      </c>
      <c r="D465" s="7" t="s">
        <v>32</v>
      </c>
      <c r="E465" s="7" t="s">
        <v>61</v>
      </c>
      <c r="F465" s="7" t="s">
        <v>101</v>
      </c>
      <c r="G465" s="7" t="s">
        <v>373</v>
      </c>
      <c r="H465" s="7">
        <v>4</v>
      </c>
      <c r="I465" s="2">
        <v>1454.59</v>
      </c>
      <c r="J465" s="2">
        <f>Tabla2[[#This Row],[Quantity]]*I465</f>
        <v>5818.36</v>
      </c>
      <c r="K465" s="6">
        <f>MONTH(Tabla2[[#This Row],[OrderDate]])</f>
        <v>7</v>
      </c>
      <c r="L465" s="6">
        <f>YEAR(Tabla2[[#This Row],[OrderDate]])</f>
        <v>2025</v>
      </c>
      <c r="M465" s="7" t="s">
        <v>183</v>
      </c>
      <c r="N465" s="7" t="s">
        <v>91</v>
      </c>
    </row>
    <row r="466" spans="1:14" x14ac:dyDescent="0.35">
      <c r="A466" s="7" t="s">
        <v>1318</v>
      </c>
      <c r="B466" s="7" t="s">
        <v>842</v>
      </c>
      <c r="C466" s="7" t="s">
        <v>843</v>
      </c>
      <c r="D466" s="7" t="s">
        <v>32</v>
      </c>
      <c r="E466" s="7" t="s">
        <v>33</v>
      </c>
      <c r="F466" s="7" t="s">
        <v>16</v>
      </c>
      <c r="G466" s="7" t="s">
        <v>182</v>
      </c>
      <c r="H466" s="7">
        <v>2</v>
      </c>
      <c r="I466" s="2">
        <v>479.98</v>
      </c>
      <c r="J466" s="2">
        <f>Tabla2[[#This Row],[Quantity]]*I466</f>
        <v>959.96</v>
      </c>
      <c r="K466" s="6">
        <f>MONTH(Tabla2[[#This Row],[OrderDate]])</f>
        <v>3</v>
      </c>
      <c r="L466" s="6">
        <f>YEAR(Tabla2[[#This Row],[OrderDate]])</f>
        <v>2026</v>
      </c>
      <c r="M466" s="7" t="s">
        <v>1319</v>
      </c>
      <c r="N466" s="7" t="s">
        <v>28</v>
      </c>
    </row>
    <row r="467" spans="1:14" x14ac:dyDescent="0.35">
      <c r="A467" s="7" t="s">
        <v>1320</v>
      </c>
      <c r="B467" s="7" t="s">
        <v>681</v>
      </c>
      <c r="C467" s="7" t="s">
        <v>682</v>
      </c>
      <c r="D467" s="7" t="s">
        <v>67</v>
      </c>
      <c r="E467" s="7" t="s">
        <v>130</v>
      </c>
      <c r="F467" s="7" t="s">
        <v>101</v>
      </c>
      <c r="G467" s="7" t="s">
        <v>102</v>
      </c>
      <c r="H467" s="7">
        <v>3</v>
      </c>
      <c r="I467" s="2">
        <v>712.54</v>
      </c>
      <c r="J467" s="2">
        <f>Tabla2[[#This Row],[Quantity]]*I467</f>
        <v>2137.62</v>
      </c>
      <c r="K467" s="6">
        <f>MONTH(Tabla2[[#This Row],[OrderDate]])</f>
        <v>12</v>
      </c>
      <c r="L467" s="6">
        <f>YEAR(Tabla2[[#This Row],[OrderDate]])</f>
        <v>2024</v>
      </c>
      <c r="M467" s="7" t="s">
        <v>1321</v>
      </c>
      <c r="N467" s="7" t="s">
        <v>19</v>
      </c>
    </row>
    <row r="468" spans="1:14" x14ac:dyDescent="0.35">
      <c r="A468" s="7" t="s">
        <v>1322</v>
      </c>
      <c r="B468" s="7" t="s">
        <v>1079</v>
      </c>
      <c r="C468" s="7" t="s">
        <v>1080</v>
      </c>
      <c r="D468" s="7" t="s">
        <v>32</v>
      </c>
      <c r="E468" s="7" t="s">
        <v>61</v>
      </c>
      <c r="F468" s="7" t="s">
        <v>16</v>
      </c>
      <c r="G468" s="7" t="s">
        <v>148</v>
      </c>
      <c r="H468" s="7">
        <v>1</v>
      </c>
      <c r="I468" s="2">
        <v>1064.79</v>
      </c>
      <c r="J468" s="2">
        <f>Tabla2[[#This Row],[Quantity]]*I468</f>
        <v>1064.79</v>
      </c>
      <c r="K468" s="6">
        <f>MONTH(Tabla2[[#This Row],[OrderDate]])</f>
        <v>7</v>
      </c>
      <c r="L468" s="6">
        <f>YEAR(Tabla2[[#This Row],[OrderDate]])</f>
        <v>2025</v>
      </c>
      <c r="M468" s="7" t="s">
        <v>888</v>
      </c>
      <c r="N468" s="7" t="s">
        <v>91</v>
      </c>
    </row>
    <row r="469" spans="1:14" x14ac:dyDescent="0.35">
      <c r="A469" s="7" t="s">
        <v>1323</v>
      </c>
      <c r="B469" s="7" t="s">
        <v>223</v>
      </c>
      <c r="C469" s="7" t="s">
        <v>224</v>
      </c>
      <c r="D469" s="7" t="s">
        <v>40</v>
      </c>
      <c r="E469" s="7" t="s">
        <v>79</v>
      </c>
      <c r="F469" s="7" t="s">
        <v>25</v>
      </c>
      <c r="G469" s="7" t="s">
        <v>62</v>
      </c>
      <c r="H469" s="7">
        <v>3</v>
      </c>
      <c r="I469" s="2">
        <v>1084.8599999999999</v>
      </c>
      <c r="J469" s="2">
        <f>Tabla2[[#This Row],[Quantity]]*I469</f>
        <v>3254.58</v>
      </c>
      <c r="K469" s="6">
        <f>MONTH(Tabla2[[#This Row],[OrderDate]])</f>
        <v>11</v>
      </c>
      <c r="L469" s="6">
        <f>YEAR(Tabla2[[#This Row],[OrderDate]])</f>
        <v>2024</v>
      </c>
      <c r="M469" s="7" t="s">
        <v>1324</v>
      </c>
      <c r="N469" s="7" t="s">
        <v>19</v>
      </c>
    </row>
    <row r="470" spans="1:14" x14ac:dyDescent="0.35">
      <c r="A470" s="7" t="s">
        <v>1325</v>
      </c>
      <c r="B470" s="7" t="s">
        <v>878</v>
      </c>
      <c r="C470" s="7" t="s">
        <v>879</v>
      </c>
      <c r="D470" s="7" t="s">
        <v>40</v>
      </c>
      <c r="E470" s="7" t="s">
        <v>41</v>
      </c>
      <c r="F470" s="7" t="s">
        <v>25</v>
      </c>
      <c r="G470" s="7" t="s">
        <v>74</v>
      </c>
      <c r="H470" s="7">
        <v>5</v>
      </c>
      <c r="I470" s="2">
        <v>1318.82</v>
      </c>
      <c r="J470" s="2">
        <f>Tabla2[[#This Row],[Quantity]]*I470</f>
        <v>6594.0999999999995</v>
      </c>
      <c r="K470" s="6">
        <f>MONTH(Tabla2[[#This Row],[OrderDate]])</f>
        <v>4</v>
      </c>
      <c r="L470" s="6">
        <f>YEAR(Tabla2[[#This Row],[OrderDate]])</f>
        <v>2025</v>
      </c>
      <c r="M470" s="7" t="s">
        <v>1217</v>
      </c>
      <c r="N470" s="7" t="s">
        <v>45</v>
      </c>
    </row>
    <row r="471" spans="1:14" x14ac:dyDescent="0.35">
      <c r="A471" s="7" t="s">
        <v>1326</v>
      </c>
      <c r="B471" s="7" t="s">
        <v>658</v>
      </c>
      <c r="C471" s="7" t="s">
        <v>659</v>
      </c>
      <c r="D471" s="7" t="s">
        <v>32</v>
      </c>
      <c r="E471" s="7" t="s">
        <v>203</v>
      </c>
      <c r="F471" s="7" t="s">
        <v>42</v>
      </c>
      <c r="G471" s="7" t="s">
        <v>225</v>
      </c>
      <c r="H471" s="7">
        <v>1</v>
      </c>
      <c r="I471" s="2">
        <v>1162.02</v>
      </c>
      <c r="J471" s="2">
        <f>Tabla2[[#This Row],[Quantity]]*I471</f>
        <v>1162.02</v>
      </c>
      <c r="K471" s="6">
        <f>MONTH(Tabla2[[#This Row],[OrderDate]])</f>
        <v>9</v>
      </c>
      <c r="L471" s="6">
        <f>YEAR(Tabla2[[#This Row],[OrderDate]])</f>
        <v>2024</v>
      </c>
      <c r="M471" s="7" t="s">
        <v>1327</v>
      </c>
      <c r="N471" s="7" t="s">
        <v>19</v>
      </c>
    </row>
    <row r="472" spans="1:14" x14ac:dyDescent="0.35">
      <c r="A472" s="7" t="s">
        <v>1328</v>
      </c>
      <c r="B472" s="7" t="s">
        <v>1226</v>
      </c>
      <c r="C472" s="7" t="s">
        <v>1227</v>
      </c>
      <c r="D472" s="7" t="s">
        <v>67</v>
      </c>
      <c r="E472" s="7" t="s">
        <v>115</v>
      </c>
      <c r="F472" s="7" t="s">
        <v>16</v>
      </c>
      <c r="G472" s="7" t="s">
        <v>230</v>
      </c>
      <c r="H472" s="7">
        <v>5</v>
      </c>
      <c r="I472" s="2">
        <v>718.59</v>
      </c>
      <c r="J472" s="2">
        <f>Tabla2[[#This Row],[Quantity]]*I472</f>
        <v>3592.9500000000003</v>
      </c>
      <c r="K472" s="6">
        <f>MONTH(Tabla2[[#This Row],[OrderDate]])</f>
        <v>2</v>
      </c>
      <c r="L472" s="6">
        <f>YEAR(Tabla2[[#This Row],[OrderDate]])</f>
        <v>2025</v>
      </c>
      <c r="M472" s="7" t="s">
        <v>111</v>
      </c>
      <c r="N472" s="7" t="s">
        <v>45</v>
      </c>
    </row>
    <row r="473" spans="1:14" x14ac:dyDescent="0.35">
      <c r="A473" s="7" t="s">
        <v>1329</v>
      </c>
      <c r="B473" s="7" t="s">
        <v>321</v>
      </c>
      <c r="C473" s="7" t="s">
        <v>322</v>
      </c>
      <c r="D473" s="7" t="s">
        <v>67</v>
      </c>
      <c r="E473" s="7" t="s">
        <v>68</v>
      </c>
      <c r="F473" s="7" t="s">
        <v>101</v>
      </c>
      <c r="G473" s="7" t="s">
        <v>165</v>
      </c>
      <c r="H473" s="7">
        <v>2</v>
      </c>
      <c r="I473" s="2">
        <v>1497.26</v>
      </c>
      <c r="J473" s="2">
        <f>Tabla2[[#This Row],[Quantity]]*I473</f>
        <v>2994.52</v>
      </c>
      <c r="K473" s="6">
        <f>MONTH(Tabla2[[#This Row],[OrderDate]])</f>
        <v>11</v>
      </c>
      <c r="L473" s="6">
        <f>YEAR(Tabla2[[#This Row],[OrderDate]])</f>
        <v>2025</v>
      </c>
      <c r="M473" s="7" t="s">
        <v>1214</v>
      </c>
      <c r="N473" s="7" t="s">
        <v>36</v>
      </c>
    </row>
    <row r="474" spans="1:14" x14ac:dyDescent="0.35">
      <c r="A474" s="7" t="s">
        <v>1330</v>
      </c>
      <c r="B474" s="7" t="s">
        <v>235</v>
      </c>
      <c r="C474" s="7" t="s">
        <v>236</v>
      </c>
      <c r="D474" s="7" t="s">
        <v>32</v>
      </c>
      <c r="E474" s="7" t="s">
        <v>33</v>
      </c>
      <c r="F474" s="7" t="s">
        <v>16</v>
      </c>
      <c r="G474" s="7" t="s">
        <v>230</v>
      </c>
      <c r="H474" s="7">
        <v>4</v>
      </c>
      <c r="I474" s="2">
        <v>765.93</v>
      </c>
      <c r="J474" s="2">
        <f>Tabla2[[#This Row],[Quantity]]*I474</f>
        <v>3063.72</v>
      </c>
      <c r="K474" s="6">
        <f>MONTH(Tabla2[[#This Row],[OrderDate]])</f>
        <v>5</v>
      </c>
      <c r="L474" s="6">
        <f>YEAR(Tabla2[[#This Row],[OrderDate]])</f>
        <v>2024</v>
      </c>
      <c r="M474" s="7" t="s">
        <v>1230</v>
      </c>
      <c r="N474" s="7" t="s">
        <v>91</v>
      </c>
    </row>
    <row r="475" spans="1:14" x14ac:dyDescent="0.35">
      <c r="A475" s="7" t="s">
        <v>1331</v>
      </c>
      <c r="B475" s="7" t="s">
        <v>146</v>
      </c>
      <c r="C475" s="7" t="s">
        <v>147</v>
      </c>
      <c r="D475" s="7" t="s">
        <v>67</v>
      </c>
      <c r="E475" s="7" t="s">
        <v>68</v>
      </c>
      <c r="F475" s="7" t="s">
        <v>50</v>
      </c>
      <c r="G475" s="7" t="s">
        <v>170</v>
      </c>
      <c r="H475" s="7">
        <v>5</v>
      </c>
      <c r="I475" s="2">
        <v>153</v>
      </c>
      <c r="J475" s="2">
        <f>Tabla2[[#This Row],[Quantity]]*I475</f>
        <v>765</v>
      </c>
      <c r="K475" s="6">
        <f>MONTH(Tabla2[[#This Row],[OrderDate]])</f>
        <v>2</v>
      </c>
      <c r="L475" s="6">
        <f>YEAR(Tabla2[[#This Row],[OrderDate]])</f>
        <v>2024</v>
      </c>
      <c r="M475" s="7" t="s">
        <v>1332</v>
      </c>
      <c r="N475" s="7" t="s">
        <v>91</v>
      </c>
    </row>
    <row r="476" spans="1:14" x14ac:dyDescent="0.35">
      <c r="A476" s="7" t="s">
        <v>1333</v>
      </c>
      <c r="B476" s="7" t="s">
        <v>1260</v>
      </c>
      <c r="C476" s="7" t="s">
        <v>1261</v>
      </c>
      <c r="D476" s="7" t="s">
        <v>32</v>
      </c>
      <c r="E476" s="7" t="s">
        <v>203</v>
      </c>
      <c r="F476" s="7" t="s">
        <v>16</v>
      </c>
      <c r="G476" s="7" t="s">
        <v>230</v>
      </c>
      <c r="H476" s="7">
        <v>3</v>
      </c>
      <c r="I476" s="2">
        <v>149.56</v>
      </c>
      <c r="J476" s="2">
        <f>Tabla2[[#This Row],[Quantity]]*I476</f>
        <v>448.68</v>
      </c>
      <c r="K476" s="6">
        <f>MONTH(Tabla2[[#This Row],[OrderDate]])</f>
        <v>6</v>
      </c>
      <c r="L476" s="6">
        <f>YEAR(Tabla2[[#This Row],[OrderDate]])</f>
        <v>2025</v>
      </c>
      <c r="M476" s="7" t="s">
        <v>1334</v>
      </c>
      <c r="N476" s="7" t="s">
        <v>28</v>
      </c>
    </row>
    <row r="477" spans="1:14" x14ac:dyDescent="0.35">
      <c r="A477" s="7" t="s">
        <v>1335</v>
      </c>
      <c r="B477" s="7" t="s">
        <v>228</v>
      </c>
      <c r="C477" s="7" t="s">
        <v>229</v>
      </c>
      <c r="D477" s="7" t="s">
        <v>23</v>
      </c>
      <c r="E477" s="7" t="s">
        <v>338</v>
      </c>
      <c r="F477" s="7" t="s">
        <v>25</v>
      </c>
      <c r="G477" s="7" t="s">
        <v>74</v>
      </c>
      <c r="H477" s="7">
        <v>1</v>
      </c>
      <c r="I477" s="2">
        <v>1090.1400000000001</v>
      </c>
      <c r="J477" s="2">
        <f>Tabla2[[#This Row],[Quantity]]*I477</f>
        <v>1090.1400000000001</v>
      </c>
      <c r="K477" s="6">
        <f>MONTH(Tabla2[[#This Row],[OrderDate]])</f>
        <v>9</v>
      </c>
      <c r="L477" s="6">
        <f>YEAR(Tabla2[[#This Row],[OrderDate]])</f>
        <v>2024</v>
      </c>
      <c r="M477" s="7" t="s">
        <v>1336</v>
      </c>
      <c r="N477" s="7" t="s">
        <v>28</v>
      </c>
    </row>
    <row r="478" spans="1:14" x14ac:dyDescent="0.35">
      <c r="A478" s="7" t="s">
        <v>1337</v>
      </c>
      <c r="B478" s="7" t="s">
        <v>901</v>
      </c>
      <c r="C478" s="7" t="s">
        <v>902</v>
      </c>
      <c r="D478" s="7" t="s">
        <v>14</v>
      </c>
      <c r="E478" s="7" t="s">
        <v>100</v>
      </c>
      <c r="F478" s="7" t="s">
        <v>25</v>
      </c>
      <c r="G478" s="7" t="s">
        <v>26</v>
      </c>
      <c r="H478" s="7">
        <v>4</v>
      </c>
      <c r="I478" s="2">
        <v>363.65</v>
      </c>
      <c r="J478" s="2">
        <f>Tabla2[[#This Row],[Quantity]]*I478</f>
        <v>1454.6</v>
      </c>
      <c r="K478" s="6">
        <f>MONTH(Tabla2[[#This Row],[OrderDate]])</f>
        <v>3</v>
      </c>
      <c r="L478" s="6">
        <f>YEAR(Tabla2[[#This Row],[OrderDate]])</f>
        <v>2025</v>
      </c>
      <c r="M478" s="7" t="s">
        <v>1338</v>
      </c>
      <c r="N478" s="7" t="s">
        <v>19</v>
      </c>
    </row>
    <row r="479" spans="1:14" x14ac:dyDescent="0.35">
      <c r="A479" s="7" t="s">
        <v>1339</v>
      </c>
      <c r="B479" s="7" t="s">
        <v>1340</v>
      </c>
      <c r="C479" s="7" t="s">
        <v>1341</v>
      </c>
      <c r="D479" s="7" t="s">
        <v>32</v>
      </c>
      <c r="E479" s="7" t="s">
        <v>33</v>
      </c>
      <c r="F479" s="7" t="s">
        <v>50</v>
      </c>
      <c r="G479" s="7" t="s">
        <v>170</v>
      </c>
      <c r="H479" s="7">
        <v>2</v>
      </c>
      <c r="I479" s="2">
        <v>100.76</v>
      </c>
      <c r="J479" s="2">
        <f>Tabla2[[#This Row],[Quantity]]*I479</f>
        <v>201.52</v>
      </c>
      <c r="K479" s="6">
        <f>MONTH(Tabla2[[#This Row],[OrderDate]])</f>
        <v>4</v>
      </c>
      <c r="L479" s="6">
        <f>YEAR(Tabla2[[#This Row],[OrderDate]])</f>
        <v>2024</v>
      </c>
      <c r="M479" s="7" t="s">
        <v>327</v>
      </c>
      <c r="N479" s="7" t="s">
        <v>19</v>
      </c>
    </row>
    <row r="480" spans="1:14" x14ac:dyDescent="0.35">
      <c r="A480" s="7" t="s">
        <v>1342</v>
      </c>
      <c r="B480" s="7" t="s">
        <v>206</v>
      </c>
      <c r="C480" s="7" t="s">
        <v>207</v>
      </c>
      <c r="D480" s="7" t="s">
        <v>32</v>
      </c>
      <c r="E480" s="7" t="s">
        <v>61</v>
      </c>
      <c r="F480" s="7" t="s">
        <v>101</v>
      </c>
      <c r="G480" s="7" t="s">
        <v>165</v>
      </c>
      <c r="H480" s="7">
        <v>1</v>
      </c>
      <c r="I480" s="2">
        <v>768.04</v>
      </c>
      <c r="J480" s="2">
        <f>Tabla2[[#This Row],[Quantity]]*I480</f>
        <v>768.04</v>
      </c>
      <c r="K480" s="6">
        <f>MONTH(Tabla2[[#This Row],[OrderDate]])</f>
        <v>3</v>
      </c>
      <c r="L480" s="6">
        <f>YEAR(Tabla2[[#This Row],[OrderDate]])</f>
        <v>2025</v>
      </c>
      <c r="M480" s="7" t="s">
        <v>343</v>
      </c>
      <c r="N480" s="7" t="s">
        <v>91</v>
      </c>
    </row>
    <row r="481" spans="1:14" x14ac:dyDescent="0.35">
      <c r="A481" s="7" t="s">
        <v>1343</v>
      </c>
      <c r="B481" s="7" t="s">
        <v>755</v>
      </c>
      <c r="C481" s="7" t="s">
        <v>756</v>
      </c>
      <c r="D481" s="7" t="s">
        <v>67</v>
      </c>
      <c r="E481" s="7" t="s">
        <v>68</v>
      </c>
      <c r="F481" s="7" t="s">
        <v>101</v>
      </c>
      <c r="G481" s="7" t="s">
        <v>165</v>
      </c>
      <c r="H481" s="7">
        <v>1</v>
      </c>
      <c r="I481" s="2">
        <v>1491.87</v>
      </c>
      <c r="J481" s="2">
        <f>Tabla2[[#This Row],[Quantity]]*I481</f>
        <v>1491.87</v>
      </c>
      <c r="K481" s="6">
        <f>MONTH(Tabla2[[#This Row],[OrderDate]])</f>
        <v>8</v>
      </c>
      <c r="L481" s="6">
        <f>YEAR(Tabla2[[#This Row],[OrderDate]])</f>
        <v>2025</v>
      </c>
      <c r="M481" s="7" t="s">
        <v>1344</v>
      </c>
      <c r="N481" s="7" t="s">
        <v>36</v>
      </c>
    </row>
    <row r="482" spans="1:14" x14ac:dyDescent="0.35">
      <c r="A482" s="7" t="s">
        <v>1345</v>
      </c>
      <c r="B482" s="7" t="s">
        <v>1346</v>
      </c>
      <c r="C482" s="7" t="s">
        <v>1347</v>
      </c>
      <c r="D482" s="7" t="s">
        <v>14</v>
      </c>
      <c r="E482" s="7" t="s">
        <v>95</v>
      </c>
      <c r="F482" s="7" t="s">
        <v>42</v>
      </c>
      <c r="G482" s="7" t="s">
        <v>170</v>
      </c>
      <c r="H482" s="7">
        <v>2</v>
      </c>
      <c r="I482" s="2">
        <v>137.02000000000001</v>
      </c>
      <c r="J482" s="2">
        <f>Tabla2[[#This Row],[Quantity]]*I482</f>
        <v>274.04000000000002</v>
      </c>
      <c r="K482" s="6">
        <f>MONTH(Tabla2[[#This Row],[OrderDate]])</f>
        <v>6</v>
      </c>
      <c r="L482" s="6">
        <f>YEAR(Tabla2[[#This Row],[OrderDate]])</f>
        <v>2024</v>
      </c>
      <c r="M482" s="7" t="s">
        <v>1348</v>
      </c>
      <c r="N482" s="7" t="s">
        <v>19</v>
      </c>
    </row>
    <row r="483" spans="1:14" x14ac:dyDescent="0.35">
      <c r="A483" s="7" t="s">
        <v>1349</v>
      </c>
      <c r="B483" s="7" t="s">
        <v>380</v>
      </c>
      <c r="C483" s="7" t="s">
        <v>381</v>
      </c>
      <c r="D483" s="7" t="s">
        <v>14</v>
      </c>
      <c r="E483" s="7" t="s">
        <v>15</v>
      </c>
      <c r="F483" s="7" t="s">
        <v>25</v>
      </c>
      <c r="G483" s="7" t="s">
        <v>139</v>
      </c>
      <c r="H483" s="7">
        <v>4</v>
      </c>
      <c r="I483" s="2">
        <v>320.81</v>
      </c>
      <c r="J483" s="2">
        <f>Tabla2[[#This Row],[Quantity]]*I483</f>
        <v>1283.24</v>
      </c>
      <c r="K483" s="6">
        <f>MONTH(Tabla2[[#This Row],[OrderDate]])</f>
        <v>8</v>
      </c>
      <c r="L483" s="6">
        <f>YEAR(Tabla2[[#This Row],[OrderDate]])</f>
        <v>2025</v>
      </c>
      <c r="M483" s="7" t="s">
        <v>1350</v>
      </c>
      <c r="N483" s="7" t="s">
        <v>91</v>
      </c>
    </row>
    <row r="484" spans="1:14" x14ac:dyDescent="0.35">
      <c r="A484" s="7" t="s">
        <v>1351</v>
      </c>
      <c r="B484" s="7" t="s">
        <v>295</v>
      </c>
      <c r="C484" s="7" t="s">
        <v>296</v>
      </c>
      <c r="D484" s="7" t="s">
        <v>14</v>
      </c>
      <c r="E484" s="7" t="s">
        <v>15</v>
      </c>
      <c r="F484" s="7" t="s">
        <v>50</v>
      </c>
      <c r="G484" s="7" t="s">
        <v>51</v>
      </c>
      <c r="H484" s="7">
        <v>1</v>
      </c>
      <c r="I484" s="2">
        <v>393.38</v>
      </c>
      <c r="J484" s="2">
        <f>Tabla2[[#This Row],[Quantity]]*I484</f>
        <v>393.38</v>
      </c>
      <c r="K484" s="6">
        <f>MONTH(Tabla2[[#This Row],[OrderDate]])</f>
        <v>6</v>
      </c>
      <c r="L484" s="6">
        <f>YEAR(Tabla2[[#This Row],[OrderDate]])</f>
        <v>2025</v>
      </c>
      <c r="M484" s="7" t="s">
        <v>1352</v>
      </c>
      <c r="N484" s="7" t="s">
        <v>28</v>
      </c>
    </row>
    <row r="485" spans="1:14" x14ac:dyDescent="0.35">
      <c r="A485" s="7" t="s">
        <v>1353</v>
      </c>
      <c r="B485" s="7" t="s">
        <v>1354</v>
      </c>
      <c r="C485" s="7" t="s">
        <v>1355</v>
      </c>
      <c r="D485" s="7" t="s">
        <v>67</v>
      </c>
      <c r="E485" s="7" t="s">
        <v>68</v>
      </c>
      <c r="F485" s="7" t="s">
        <v>101</v>
      </c>
      <c r="G485" s="7" t="s">
        <v>102</v>
      </c>
      <c r="H485" s="7">
        <v>1</v>
      </c>
      <c r="I485" s="2">
        <v>221.07</v>
      </c>
      <c r="J485" s="2">
        <f>Tabla2[[#This Row],[Quantity]]*I485</f>
        <v>221.07</v>
      </c>
      <c r="K485" s="6">
        <f>MONTH(Tabla2[[#This Row],[OrderDate]])</f>
        <v>1</v>
      </c>
      <c r="L485" s="6">
        <f>YEAR(Tabla2[[#This Row],[OrderDate]])</f>
        <v>2024</v>
      </c>
      <c r="M485" s="7" t="s">
        <v>1126</v>
      </c>
      <c r="N485" s="7" t="s">
        <v>28</v>
      </c>
    </row>
    <row r="486" spans="1:14" x14ac:dyDescent="0.35">
      <c r="A486" s="7" t="s">
        <v>1356</v>
      </c>
      <c r="B486" s="7" t="s">
        <v>779</v>
      </c>
      <c r="C486" s="7" t="s">
        <v>780</v>
      </c>
      <c r="D486" s="7" t="s">
        <v>40</v>
      </c>
      <c r="E486" s="7" t="s">
        <v>41</v>
      </c>
      <c r="F486" s="7" t="s">
        <v>50</v>
      </c>
      <c r="G486" s="7" t="s">
        <v>51</v>
      </c>
      <c r="H486" s="7">
        <v>4</v>
      </c>
      <c r="I486" s="2">
        <v>1350.55</v>
      </c>
      <c r="J486" s="2">
        <f>Tabla2[[#This Row],[Quantity]]*I486</f>
        <v>5402.2</v>
      </c>
      <c r="K486" s="6">
        <f>MONTH(Tabla2[[#This Row],[OrderDate]])</f>
        <v>1</v>
      </c>
      <c r="L486" s="6">
        <f>YEAR(Tabla2[[#This Row],[OrderDate]])</f>
        <v>2025</v>
      </c>
      <c r="M486" s="7" t="s">
        <v>1305</v>
      </c>
      <c r="N486" s="7" t="s">
        <v>19</v>
      </c>
    </row>
    <row r="487" spans="1:14" x14ac:dyDescent="0.35">
      <c r="A487" s="7" t="s">
        <v>1357</v>
      </c>
      <c r="B487" s="7" t="s">
        <v>1340</v>
      </c>
      <c r="C487" s="7" t="s">
        <v>1341</v>
      </c>
      <c r="D487" s="7" t="s">
        <v>67</v>
      </c>
      <c r="E487" s="7" t="s">
        <v>68</v>
      </c>
      <c r="F487" s="7" t="s">
        <v>16</v>
      </c>
      <c r="G487" s="7" t="s">
        <v>182</v>
      </c>
      <c r="H487" s="7">
        <v>3</v>
      </c>
      <c r="I487" s="2">
        <v>19.87</v>
      </c>
      <c r="J487" s="2">
        <f>Tabla2[[#This Row],[Quantity]]*I487</f>
        <v>59.61</v>
      </c>
      <c r="K487" s="6">
        <f>MONTH(Tabla2[[#This Row],[OrderDate]])</f>
        <v>8</v>
      </c>
      <c r="L487" s="6">
        <f>YEAR(Tabla2[[#This Row],[OrderDate]])</f>
        <v>2025</v>
      </c>
      <c r="M487" s="7" t="s">
        <v>1316</v>
      </c>
      <c r="N487" s="7" t="s">
        <v>36</v>
      </c>
    </row>
    <row r="488" spans="1:14" x14ac:dyDescent="0.35">
      <c r="A488" s="7" t="s">
        <v>1358</v>
      </c>
      <c r="B488" s="7" t="s">
        <v>206</v>
      </c>
      <c r="C488" s="7" t="s">
        <v>207</v>
      </c>
      <c r="D488" s="7" t="s">
        <v>14</v>
      </c>
      <c r="E488" s="7" t="s">
        <v>100</v>
      </c>
      <c r="F488" s="7" t="s">
        <v>42</v>
      </c>
      <c r="G488" s="7" t="s">
        <v>89</v>
      </c>
      <c r="H488" s="7">
        <v>3</v>
      </c>
      <c r="I488" s="2">
        <v>749.78</v>
      </c>
      <c r="J488" s="2">
        <f>Tabla2[[#This Row],[Quantity]]*I488</f>
        <v>2249.34</v>
      </c>
      <c r="K488" s="6">
        <f>MONTH(Tabla2[[#This Row],[OrderDate]])</f>
        <v>6</v>
      </c>
      <c r="L488" s="6">
        <f>YEAR(Tabla2[[#This Row],[OrderDate]])</f>
        <v>2024</v>
      </c>
      <c r="M488" s="7" t="s">
        <v>1348</v>
      </c>
      <c r="N488" s="7" t="s">
        <v>36</v>
      </c>
    </row>
    <row r="489" spans="1:14" x14ac:dyDescent="0.35">
      <c r="A489" s="7" t="s">
        <v>1359</v>
      </c>
      <c r="B489" s="7" t="s">
        <v>686</v>
      </c>
      <c r="C489" s="7" t="s">
        <v>687</v>
      </c>
      <c r="D489" s="7" t="s">
        <v>67</v>
      </c>
      <c r="E489" s="7" t="s">
        <v>115</v>
      </c>
      <c r="F489" s="7" t="s">
        <v>16</v>
      </c>
      <c r="G489" s="7" t="s">
        <v>182</v>
      </c>
      <c r="H489" s="7">
        <v>5</v>
      </c>
      <c r="I489" s="2">
        <v>1159.95</v>
      </c>
      <c r="J489" s="2">
        <f>Tabla2[[#This Row],[Quantity]]*I489</f>
        <v>5799.75</v>
      </c>
      <c r="K489" s="6">
        <f>MONTH(Tabla2[[#This Row],[OrderDate]])</f>
        <v>3</v>
      </c>
      <c r="L489" s="6">
        <f>YEAR(Tabla2[[#This Row],[OrderDate]])</f>
        <v>2025</v>
      </c>
      <c r="M489" s="7" t="s">
        <v>660</v>
      </c>
      <c r="N489" s="7" t="s">
        <v>91</v>
      </c>
    </row>
    <row r="490" spans="1:14" x14ac:dyDescent="0.35">
      <c r="A490" s="7" t="s">
        <v>1360</v>
      </c>
      <c r="B490" s="7" t="s">
        <v>228</v>
      </c>
      <c r="C490" s="7" t="s">
        <v>229</v>
      </c>
      <c r="D490" s="7" t="s">
        <v>23</v>
      </c>
      <c r="E490" s="7" t="s">
        <v>24</v>
      </c>
      <c r="F490" s="7" t="s">
        <v>25</v>
      </c>
      <c r="G490" s="7" t="s">
        <v>74</v>
      </c>
      <c r="H490" s="7">
        <v>3</v>
      </c>
      <c r="I490" s="2">
        <v>1304.96</v>
      </c>
      <c r="J490" s="2">
        <f>Tabla2[[#This Row],[Quantity]]*I490</f>
        <v>3914.88</v>
      </c>
      <c r="K490" s="6">
        <f>MONTH(Tabla2[[#This Row],[OrderDate]])</f>
        <v>5</v>
      </c>
      <c r="L490" s="6">
        <f>YEAR(Tabla2[[#This Row],[OrderDate]])</f>
        <v>2025</v>
      </c>
      <c r="M490" s="7" t="s">
        <v>705</v>
      </c>
      <c r="N490" s="7" t="s">
        <v>91</v>
      </c>
    </row>
    <row r="491" spans="1:14" x14ac:dyDescent="0.35">
      <c r="A491" s="7" t="s">
        <v>1361</v>
      </c>
      <c r="B491" s="7" t="s">
        <v>1212</v>
      </c>
      <c r="C491" s="7" t="s">
        <v>1213</v>
      </c>
      <c r="D491" s="7" t="s">
        <v>14</v>
      </c>
      <c r="E491" s="7" t="s">
        <v>15</v>
      </c>
      <c r="F491" s="7" t="s">
        <v>101</v>
      </c>
      <c r="G491" s="7" t="s">
        <v>102</v>
      </c>
      <c r="H491" s="7">
        <v>5</v>
      </c>
      <c r="I491" s="2">
        <v>1073.49</v>
      </c>
      <c r="J491" s="2">
        <f>Tabla2[[#This Row],[Quantity]]*I491</f>
        <v>5367.45</v>
      </c>
      <c r="K491" s="6">
        <f>MONTH(Tabla2[[#This Row],[OrderDate]])</f>
        <v>1</v>
      </c>
      <c r="L491" s="6">
        <f>YEAR(Tabla2[[#This Row],[OrderDate]])</f>
        <v>2024</v>
      </c>
      <c r="M491" s="7" t="s">
        <v>1297</v>
      </c>
      <c r="N491" s="7" t="s">
        <v>28</v>
      </c>
    </row>
    <row r="492" spans="1:14" x14ac:dyDescent="0.35">
      <c r="A492" s="7" t="s">
        <v>1362</v>
      </c>
      <c r="B492" s="7" t="s">
        <v>1203</v>
      </c>
      <c r="C492" s="7" t="s">
        <v>1204</v>
      </c>
      <c r="D492" s="7" t="s">
        <v>32</v>
      </c>
      <c r="E492" s="7" t="s">
        <v>203</v>
      </c>
      <c r="F492" s="7" t="s">
        <v>25</v>
      </c>
      <c r="G492" s="7" t="s">
        <v>34</v>
      </c>
      <c r="H492" s="7">
        <v>1</v>
      </c>
      <c r="I492" s="2">
        <v>249.09</v>
      </c>
      <c r="J492" s="2">
        <f>Tabla2[[#This Row],[Quantity]]*I492</f>
        <v>249.09</v>
      </c>
      <c r="K492" s="6">
        <f>MONTH(Tabla2[[#This Row],[OrderDate]])</f>
        <v>9</v>
      </c>
      <c r="L492" s="6">
        <f>YEAR(Tabla2[[#This Row],[OrderDate]])</f>
        <v>2024</v>
      </c>
      <c r="M492" s="7" t="s">
        <v>1363</v>
      </c>
      <c r="N492" s="7" t="s">
        <v>19</v>
      </c>
    </row>
    <row r="493" spans="1:14" x14ac:dyDescent="0.35">
      <c r="A493" s="7" t="s">
        <v>1364</v>
      </c>
      <c r="B493" s="7" t="s">
        <v>429</v>
      </c>
      <c r="C493" s="7" t="s">
        <v>430</v>
      </c>
      <c r="D493" s="7" t="s">
        <v>32</v>
      </c>
      <c r="E493" s="7" t="s">
        <v>61</v>
      </c>
      <c r="F493" s="7" t="s">
        <v>16</v>
      </c>
      <c r="G493" s="7" t="s">
        <v>182</v>
      </c>
      <c r="H493" s="7">
        <v>3</v>
      </c>
      <c r="I493" s="2">
        <v>629.9</v>
      </c>
      <c r="J493" s="2">
        <f>Tabla2[[#This Row],[Quantity]]*I493</f>
        <v>1889.6999999999998</v>
      </c>
      <c r="K493" s="6">
        <f>MONTH(Tabla2[[#This Row],[OrderDate]])</f>
        <v>12</v>
      </c>
      <c r="L493" s="6">
        <f>YEAR(Tabla2[[#This Row],[OrderDate]])</f>
        <v>2025</v>
      </c>
      <c r="M493" s="7" t="s">
        <v>1365</v>
      </c>
      <c r="N493" s="7" t="s">
        <v>28</v>
      </c>
    </row>
    <row r="494" spans="1:14" x14ac:dyDescent="0.35">
      <c r="A494" s="7" t="s">
        <v>1366</v>
      </c>
      <c r="B494" s="7" t="s">
        <v>443</v>
      </c>
      <c r="C494" s="7" t="s">
        <v>444</v>
      </c>
      <c r="D494" s="7" t="s">
        <v>23</v>
      </c>
      <c r="E494" s="7" t="s">
        <v>338</v>
      </c>
      <c r="F494" s="7" t="s">
        <v>101</v>
      </c>
      <c r="G494" s="7" t="s">
        <v>649</v>
      </c>
      <c r="H494" s="7">
        <v>3</v>
      </c>
      <c r="I494" s="2">
        <v>1276.78</v>
      </c>
      <c r="J494" s="2">
        <f>Tabla2[[#This Row],[Quantity]]*I494</f>
        <v>3830.34</v>
      </c>
      <c r="K494" s="6">
        <f>MONTH(Tabla2[[#This Row],[OrderDate]])</f>
        <v>2</v>
      </c>
      <c r="L494" s="6">
        <f>YEAR(Tabla2[[#This Row],[OrderDate]])</f>
        <v>2026</v>
      </c>
      <c r="M494" s="7" t="s">
        <v>1367</v>
      </c>
      <c r="N494" s="7" t="s">
        <v>28</v>
      </c>
    </row>
    <row r="495" spans="1:14" x14ac:dyDescent="0.35">
      <c r="A495" s="7" t="s">
        <v>1368</v>
      </c>
      <c r="B495" s="7" t="s">
        <v>1369</v>
      </c>
      <c r="C495" s="7" t="s">
        <v>1370</v>
      </c>
      <c r="D495" s="7" t="s">
        <v>67</v>
      </c>
      <c r="E495" s="7" t="s">
        <v>130</v>
      </c>
      <c r="F495" s="7" t="s">
        <v>101</v>
      </c>
      <c r="G495" s="7" t="s">
        <v>237</v>
      </c>
      <c r="H495" s="7">
        <v>1</v>
      </c>
      <c r="I495" s="2">
        <v>1164.33</v>
      </c>
      <c r="J495" s="2">
        <f>Tabla2[[#This Row],[Quantity]]*I495</f>
        <v>1164.33</v>
      </c>
      <c r="K495" s="6">
        <f>MONTH(Tabla2[[#This Row],[OrderDate]])</f>
        <v>7</v>
      </c>
      <c r="L495" s="6">
        <f>YEAR(Tabla2[[#This Row],[OrderDate]])</f>
        <v>2025</v>
      </c>
      <c r="M495" s="7" t="s">
        <v>1371</v>
      </c>
      <c r="N495" s="7" t="s">
        <v>36</v>
      </c>
    </row>
    <row r="496" spans="1:14" x14ac:dyDescent="0.35">
      <c r="A496" s="7" t="s">
        <v>1372</v>
      </c>
      <c r="B496" s="7" t="s">
        <v>235</v>
      </c>
      <c r="C496" s="7" t="s">
        <v>236</v>
      </c>
      <c r="D496" s="7" t="s">
        <v>40</v>
      </c>
      <c r="E496" s="7" t="s">
        <v>120</v>
      </c>
      <c r="F496" s="7" t="s">
        <v>16</v>
      </c>
      <c r="G496" s="7" t="s">
        <v>177</v>
      </c>
      <c r="H496" s="7">
        <v>2</v>
      </c>
      <c r="I496" s="2">
        <v>328.41</v>
      </c>
      <c r="J496" s="2">
        <f>Tabla2[[#This Row],[Quantity]]*I496</f>
        <v>656.82</v>
      </c>
      <c r="K496" s="6">
        <f>MONTH(Tabla2[[#This Row],[OrderDate]])</f>
        <v>1</v>
      </c>
      <c r="L496" s="6">
        <f>YEAR(Tabla2[[#This Row],[OrderDate]])</f>
        <v>2026</v>
      </c>
      <c r="M496" s="7" t="s">
        <v>1373</v>
      </c>
      <c r="N496" s="7" t="s">
        <v>91</v>
      </c>
    </row>
    <row r="497" spans="1:14" x14ac:dyDescent="0.35">
      <c r="A497" s="7" t="s">
        <v>1374</v>
      </c>
      <c r="B497" s="7" t="s">
        <v>964</v>
      </c>
      <c r="C497" s="7" t="s">
        <v>965</v>
      </c>
      <c r="D497" s="7" t="s">
        <v>40</v>
      </c>
      <c r="E497" s="7" t="s">
        <v>120</v>
      </c>
      <c r="F497" s="7" t="s">
        <v>16</v>
      </c>
      <c r="G497" s="7" t="s">
        <v>230</v>
      </c>
      <c r="H497" s="7">
        <v>1</v>
      </c>
      <c r="I497" s="2">
        <v>982.46</v>
      </c>
      <c r="J497" s="2">
        <f>Tabla2[[#This Row],[Quantity]]*I497</f>
        <v>982.46</v>
      </c>
      <c r="K497" s="6">
        <f>MONTH(Tabla2[[#This Row],[OrderDate]])</f>
        <v>2</v>
      </c>
      <c r="L497" s="6">
        <f>YEAR(Tabla2[[#This Row],[OrderDate]])</f>
        <v>2024</v>
      </c>
      <c r="M497" s="7" t="s">
        <v>850</v>
      </c>
      <c r="N497" s="7" t="s">
        <v>36</v>
      </c>
    </row>
    <row r="498" spans="1:14" x14ac:dyDescent="0.35">
      <c r="A498" s="7" t="s">
        <v>1375</v>
      </c>
      <c r="B498" s="7" t="s">
        <v>820</v>
      </c>
      <c r="C498" s="7" t="s">
        <v>821</v>
      </c>
      <c r="D498" s="7" t="s">
        <v>40</v>
      </c>
      <c r="E498" s="7" t="s">
        <v>41</v>
      </c>
      <c r="F498" s="7" t="s">
        <v>101</v>
      </c>
      <c r="G498" s="7" t="s">
        <v>102</v>
      </c>
      <c r="H498" s="7">
        <v>3</v>
      </c>
      <c r="I498" s="2">
        <v>1143.97</v>
      </c>
      <c r="J498" s="2">
        <f>Tabla2[[#This Row],[Quantity]]*I498</f>
        <v>3431.91</v>
      </c>
      <c r="K498" s="6">
        <f>MONTH(Tabla2[[#This Row],[OrderDate]])</f>
        <v>2</v>
      </c>
      <c r="L498" s="6">
        <f>YEAR(Tabla2[[#This Row],[OrderDate]])</f>
        <v>2026</v>
      </c>
      <c r="M498" s="7" t="s">
        <v>650</v>
      </c>
      <c r="N498" s="7" t="s">
        <v>36</v>
      </c>
    </row>
    <row r="499" spans="1:14" x14ac:dyDescent="0.35">
      <c r="A499" s="7" t="s">
        <v>1376</v>
      </c>
      <c r="B499" s="7" t="s">
        <v>201</v>
      </c>
      <c r="C499" s="7" t="s">
        <v>202</v>
      </c>
      <c r="D499" s="7" t="s">
        <v>14</v>
      </c>
      <c r="E499" s="7" t="s">
        <v>100</v>
      </c>
      <c r="F499" s="7" t="s">
        <v>50</v>
      </c>
      <c r="G499" s="7" t="s">
        <v>69</v>
      </c>
      <c r="H499" s="7">
        <v>5</v>
      </c>
      <c r="I499" s="2">
        <v>595.12</v>
      </c>
      <c r="J499" s="2">
        <f>Tabla2[[#This Row],[Quantity]]*I499</f>
        <v>2975.6</v>
      </c>
      <c r="K499" s="6">
        <f>MONTH(Tabla2[[#This Row],[OrderDate]])</f>
        <v>2</v>
      </c>
      <c r="L499" s="6">
        <f>YEAR(Tabla2[[#This Row],[OrderDate]])</f>
        <v>2024</v>
      </c>
      <c r="M499" s="7" t="s">
        <v>1174</v>
      </c>
      <c r="N499" s="7" t="s">
        <v>36</v>
      </c>
    </row>
    <row r="500" spans="1:14" x14ac:dyDescent="0.35">
      <c r="A500" s="7" t="s">
        <v>1377</v>
      </c>
      <c r="B500" s="7" t="s">
        <v>759</v>
      </c>
      <c r="C500" s="7" t="s">
        <v>760</v>
      </c>
      <c r="D500" s="7" t="s">
        <v>40</v>
      </c>
      <c r="E500" s="7" t="s">
        <v>120</v>
      </c>
      <c r="F500" s="7" t="s">
        <v>16</v>
      </c>
      <c r="G500" s="7" t="s">
        <v>230</v>
      </c>
      <c r="H500" s="7">
        <v>4</v>
      </c>
      <c r="I500" s="2">
        <v>1143.97</v>
      </c>
      <c r="J500" s="2">
        <f>Tabla2[[#This Row],[Quantity]]*I500</f>
        <v>4575.88</v>
      </c>
      <c r="K500" s="6">
        <f>MONTH(Tabla2[[#This Row],[OrderDate]])</f>
        <v>6</v>
      </c>
      <c r="L500" s="6">
        <f>YEAR(Tabla2[[#This Row],[OrderDate]])</f>
        <v>2025</v>
      </c>
      <c r="M500" s="7" t="s">
        <v>1378</v>
      </c>
      <c r="N500" s="7" t="s">
        <v>36</v>
      </c>
    </row>
    <row r="501" spans="1:14" x14ac:dyDescent="0.35">
      <c r="A501" s="7" t="s">
        <v>1379</v>
      </c>
      <c r="B501" s="7" t="s">
        <v>1260</v>
      </c>
      <c r="C501" s="7" t="s">
        <v>1261</v>
      </c>
      <c r="D501" s="7" t="s">
        <v>14</v>
      </c>
      <c r="E501" s="7" t="s">
        <v>125</v>
      </c>
      <c r="F501" s="7" t="s">
        <v>16</v>
      </c>
      <c r="G501" s="7" t="s">
        <v>148</v>
      </c>
      <c r="H501" s="7">
        <v>5</v>
      </c>
      <c r="I501" s="2">
        <v>1030.06</v>
      </c>
      <c r="J501" s="2">
        <f>Tabla2[[#This Row],[Quantity]]*I501</f>
        <v>5150.2999999999993</v>
      </c>
      <c r="K501" s="6">
        <f>MONTH(Tabla2[[#This Row],[OrderDate]])</f>
        <v>9</v>
      </c>
      <c r="L501" s="6">
        <f>YEAR(Tabla2[[#This Row],[OrderDate]])</f>
        <v>2025</v>
      </c>
      <c r="M501" s="7" t="s">
        <v>1380</v>
      </c>
      <c r="N501" s="7" t="s">
        <v>91</v>
      </c>
    </row>
    <row r="502" spans="1:14" x14ac:dyDescent="0.35">
      <c r="A502" s="7" t="s">
        <v>1381</v>
      </c>
      <c r="B502" s="7" t="s">
        <v>801</v>
      </c>
      <c r="C502" s="7" t="s">
        <v>802</v>
      </c>
      <c r="D502" s="7" t="s">
        <v>32</v>
      </c>
      <c r="E502" s="7" t="s">
        <v>203</v>
      </c>
      <c r="F502" s="7" t="s">
        <v>42</v>
      </c>
      <c r="G502" s="7" t="s">
        <v>43</v>
      </c>
      <c r="H502" s="7">
        <v>2</v>
      </c>
      <c r="I502" s="2">
        <v>618.59</v>
      </c>
      <c r="J502" s="2">
        <f>Tabla2[[#This Row],[Quantity]]*I502</f>
        <v>1237.18</v>
      </c>
      <c r="K502" s="6">
        <f>MONTH(Tabla2[[#This Row],[OrderDate]])</f>
        <v>7</v>
      </c>
      <c r="L502" s="6">
        <f>YEAR(Tabla2[[#This Row],[OrderDate]])</f>
        <v>2025</v>
      </c>
      <c r="M502" s="7" t="s">
        <v>1382</v>
      </c>
      <c r="N502" s="7" t="s">
        <v>19</v>
      </c>
    </row>
    <row r="503" spans="1:14" x14ac:dyDescent="0.35">
      <c r="A503" s="7" t="s">
        <v>1383</v>
      </c>
      <c r="B503" s="7" t="s">
        <v>454</v>
      </c>
      <c r="C503" s="7" t="s">
        <v>455</v>
      </c>
      <c r="D503" s="7" t="s">
        <v>32</v>
      </c>
      <c r="E503" s="7" t="s">
        <v>33</v>
      </c>
      <c r="F503" s="7" t="s">
        <v>25</v>
      </c>
      <c r="G503" s="7" t="s">
        <v>26</v>
      </c>
      <c r="H503" s="7">
        <v>2</v>
      </c>
      <c r="I503" s="2">
        <v>501.07</v>
      </c>
      <c r="J503" s="2">
        <f>Tabla2[[#This Row],[Quantity]]*I503</f>
        <v>1002.14</v>
      </c>
      <c r="K503" s="6">
        <f>MONTH(Tabla2[[#This Row],[OrderDate]])</f>
        <v>10</v>
      </c>
      <c r="L503" s="6">
        <f>YEAR(Tabla2[[#This Row],[OrderDate]])</f>
        <v>2024</v>
      </c>
      <c r="M503" s="7" t="s">
        <v>85</v>
      </c>
      <c r="N503" s="7" t="s">
        <v>45</v>
      </c>
    </row>
    <row r="504" spans="1:14" x14ac:dyDescent="0.35">
      <c r="A504" s="7" t="s">
        <v>1384</v>
      </c>
      <c r="B504" s="7" t="s">
        <v>93</v>
      </c>
      <c r="C504" s="7" t="s">
        <v>94</v>
      </c>
      <c r="D504" s="7" t="s">
        <v>32</v>
      </c>
      <c r="E504" s="7" t="s">
        <v>33</v>
      </c>
      <c r="F504" s="7" t="s">
        <v>101</v>
      </c>
      <c r="G504" s="7" t="s">
        <v>649</v>
      </c>
      <c r="H504" s="7">
        <v>1</v>
      </c>
      <c r="I504" s="2">
        <v>724.57</v>
      </c>
      <c r="J504" s="2">
        <f>Tabla2[[#This Row],[Quantity]]*I504</f>
        <v>724.57</v>
      </c>
      <c r="K504" s="6">
        <f>MONTH(Tabla2[[#This Row],[OrderDate]])</f>
        <v>1</v>
      </c>
      <c r="L504" s="6">
        <f>YEAR(Tabla2[[#This Row],[OrderDate]])</f>
        <v>2025</v>
      </c>
      <c r="M504" s="7" t="s">
        <v>1385</v>
      </c>
      <c r="N504" s="7" t="s">
        <v>91</v>
      </c>
    </row>
    <row r="505" spans="1:14" x14ac:dyDescent="0.35">
      <c r="A505" s="7" t="s">
        <v>1386</v>
      </c>
      <c r="B505" s="7" t="s">
        <v>552</v>
      </c>
      <c r="C505" s="7" t="s">
        <v>553</v>
      </c>
      <c r="D505" s="7" t="s">
        <v>23</v>
      </c>
      <c r="E505" s="7" t="s">
        <v>49</v>
      </c>
      <c r="F505" s="7" t="s">
        <v>25</v>
      </c>
      <c r="G505" s="7" t="s">
        <v>26</v>
      </c>
      <c r="H505" s="7">
        <v>3</v>
      </c>
      <c r="I505" s="2">
        <v>1426.76</v>
      </c>
      <c r="J505" s="2">
        <f>Tabla2[[#This Row],[Quantity]]*I505</f>
        <v>4280.28</v>
      </c>
      <c r="K505" s="6">
        <f>MONTH(Tabla2[[#This Row],[OrderDate]])</f>
        <v>1</v>
      </c>
      <c r="L505" s="6">
        <f>YEAR(Tabla2[[#This Row],[OrderDate]])</f>
        <v>2026</v>
      </c>
      <c r="M505" s="7" t="s">
        <v>1373</v>
      </c>
      <c r="N505" s="7" t="s">
        <v>45</v>
      </c>
    </row>
    <row r="506" spans="1:14" x14ac:dyDescent="0.35">
      <c r="A506" s="7" t="s">
        <v>1387</v>
      </c>
      <c r="B506" s="7" t="s">
        <v>771</v>
      </c>
      <c r="C506" s="7" t="s">
        <v>772</v>
      </c>
      <c r="D506" s="7" t="s">
        <v>67</v>
      </c>
      <c r="E506" s="7" t="s">
        <v>115</v>
      </c>
      <c r="F506" s="7" t="s">
        <v>101</v>
      </c>
      <c r="G506" s="7" t="s">
        <v>237</v>
      </c>
      <c r="H506" s="7">
        <v>2</v>
      </c>
      <c r="I506" s="2">
        <v>899.79</v>
      </c>
      <c r="J506" s="2">
        <f>Tabla2[[#This Row],[Quantity]]*I506</f>
        <v>1799.58</v>
      </c>
      <c r="K506" s="6">
        <f>MONTH(Tabla2[[#This Row],[OrderDate]])</f>
        <v>11</v>
      </c>
      <c r="L506" s="6">
        <f>YEAR(Tabla2[[#This Row],[OrderDate]])</f>
        <v>2024</v>
      </c>
      <c r="M506" s="7" t="s">
        <v>725</v>
      </c>
      <c r="N506" s="7" t="s">
        <v>19</v>
      </c>
    </row>
    <row r="507" spans="1:14" x14ac:dyDescent="0.35">
      <c r="A507" s="7" t="s">
        <v>1388</v>
      </c>
      <c r="B507" s="7" t="s">
        <v>1260</v>
      </c>
      <c r="C507" s="7" t="s">
        <v>1261</v>
      </c>
      <c r="D507" s="7" t="s">
        <v>40</v>
      </c>
      <c r="E507" s="7" t="s">
        <v>79</v>
      </c>
      <c r="F507" s="7" t="s">
        <v>42</v>
      </c>
      <c r="G507" s="7" t="s">
        <v>89</v>
      </c>
      <c r="H507" s="7">
        <v>4</v>
      </c>
      <c r="I507" s="2">
        <v>95.19</v>
      </c>
      <c r="J507" s="2">
        <f>Tabla2[[#This Row],[Quantity]]*I507</f>
        <v>380.76</v>
      </c>
      <c r="K507" s="6">
        <f>MONTH(Tabla2[[#This Row],[OrderDate]])</f>
        <v>2</v>
      </c>
      <c r="L507" s="6">
        <f>YEAR(Tabla2[[#This Row],[OrderDate]])</f>
        <v>2026</v>
      </c>
      <c r="M507" s="7" t="s">
        <v>526</v>
      </c>
      <c r="N507" s="7" t="s">
        <v>45</v>
      </c>
    </row>
    <row r="508" spans="1:14" x14ac:dyDescent="0.35">
      <c r="A508" s="7" t="s">
        <v>1389</v>
      </c>
      <c r="B508" s="7" t="s">
        <v>355</v>
      </c>
      <c r="C508" s="7" t="s">
        <v>356</v>
      </c>
      <c r="D508" s="7" t="s">
        <v>32</v>
      </c>
      <c r="E508" s="7" t="s">
        <v>203</v>
      </c>
      <c r="F508" s="7" t="s">
        <v>16</v>
      </c>
      <c r="G508" s="7" t="s">
        <v>17</v>
      </c>
      <c r="H508" s="7">
        <v>5</v>
      </c>
      <c r="I508" s="2">
        <v>504.56</v>
      </c>
      <c r="J508" s="2">
        <f>Tabla2[[#This Row],[Quantity]]*I508</f>
        <v>2522.8000000000002</v>
      </c>
      <c r="K508" s="6">
        <f>MONTH(Tabla2[[#This Row],[OrderDate]])</f>
        <v>1</v>
      </c>
      <c r="L508" s="6">
        <f>YEAR(Tabla2[[#This Row],[OrderDate]])</f>
        <v>2025</v>
      </c>
      <c r="M508" s="7" t="s">
        <v>876</v>
      </c>
      <c r="N508" s="7" t="s">
        <v>45</v>
      </c>
    </row>
    <row r="509" spans="1:14" x14ac:dyDescent="0.35">
      <c r="A509" s="7" t="s">
        <v>1390</v>
      </c>
      <c r="B509" s="7" t="s">
        <v>853</v>
      </c>
      <c r="C509" s="7" t="s">
        <v>854</v>
      </c>
      <c r="D509" s="7" t="s">
        <v>23</v>
      </c>
      <c r="E509" s="7" t="s">
        <v>49</v>
      </c>
      <c r="F509" s="7" t="s">
        <v>16</v>
      </c>
      <c r="G509" s="7" t="s">
        <v>182</v>
      </c>
      <c r="H509" s="7">
        <v>5</v>
      </c>
      <c r="I509" s="2">
        <v>234.67</v>
      </c>
      <c r="J509" s="2">
        <f>Tabla2[[#This Row],[Quantity]]*I509</f>
        <v>1173.3499999999999</v>
      </c>
      <c r="K509" s="6">
        <f>MONTH(Tabla2[[#This Row],[OrderDate]])</f>
        <v>1</v>
      </c>
      <c r="L509" s="6">
        <f>YEAR(Tabla2[[#This Row],[OrderDate]])</f>
        <v>2024</v>
      </c>
      <c r="M509" s="7" t="s">
        <v>1391</v>
      </c>
      <c r="N509" s="7" t="s">
        <v>19</v>
      </c>
    </row>
    <row r="510" spans="1:14" x14ac:dyDescent="0.35">
      <c r="A510" s="7" t="s">
        <v>1392</v>
      </c>
      <c r="B510" s="7" t="s">
        <v>1131</v>
      </c>
      <c r="C510" s="7" t="s">
        <v>1132</v>
      </c>
      <c r="D510" s="7" t="s">
        <v>23</v>
      </c>
      <c r="E510" s="7" t="s">
        <v>338</v>
      </c>
      <c r="F510" s="7" t="s">
        <v>101</v>
      </c>
      <c r="G510" s="7" t="s">
        <v>237</v>
      </c>
      <c r="H510" s="7">
        <v>2</v>
      </c>
      <c r="I510" s="2">
        <v>1336.42</v>
      </c>
      <c r="J510" s="2">
        <f>Tabla2[[#This Row],[Quantity]]*I510</f>
        <v>2672.84</v>
      </c>
      <c r="K510" s="6">
        <f>MONTH(Tabla2[[#This Row],[OrderDate]])</f>
        <v>3</v>
      </c>
      <c r="L510" s="6">
        <f>YEAR(Tabla2[[#This Row],[OrderDate]])</f>
        <v>2025</v>
      </c>
      <c r="M510" s="7" t="s">
        <v>1393</v>
      </c>
      <c r="N510" s="7" t="s">
        <v>91</v>
      </c>
    </row>
    <row r="511" spans="1:14" x14ac:dyDescent="0.35">
      <c r="A511" s="7" t="s">
        <v>1394</v>
      </c>
      <c r="B511" s="7" t="s">
        <v>163</v>
      </c>
      <c r="C511" s="7" t="s">
        <v>164</v>
      </c>
      <c r="D511" s="7" t="s">
        <v>32</v>
      </c>
      <c r="E511" s="7" t="s">
        <v>61</v>
      </c>
      <c r="F511" s="7" t="s">
        <v>101</v>
      </c>
      <c r="G511" s="7" t="s">
        <v>649</v>
      </c>
      <c r="H511" s="7">
        <v>5</v>
      </c>
      <c r="I511" s="2">
        <v>81.12</v>
      </c>
      <c r="J511" s="2">
        <f>Tabla2[[#This Row],[Quantity]]*I511</f>
        <v>405.6</v>
      </c>
      <c r="K511" s="6">
        <f>MONTH(Tabla2[[#This Row],[OrderDate]])</f>
        <v>11</v>
      </c>
      <c r="L511" s="6">
        <f>YEAR(Tabla2[[#This Row],[OrderDate]])</f>
        <v>2024</v>
      </c>
      <c r="M511" s="7" t="s">
        <v>1395</v>
      </c>
      <c r="N511" s="7" t="s">
        <v>36</v>
      </c>
    </row>
    <row r="512" spans="1:14" x14ac:dyDescent="0.35">
      <c r="A512" s="7" t="s">
        <v>1396</v>
      </c>
      <c r="B512" s="7" t="s">
        <v>352</v>
      </c>
      <c r="C512" s="7" t="s">
        <v>353</v>
      </c>
      <c r="D512" s="7" t="s">
        <v>40</v>
      </c>
      <c r="E512" s="7" t="s">
        <v>120</v>
      </c>
      <c r="F512" s="7" t="s">
        <v>101</v>
      </c>
      <c r="G512" s="7" t="s">
        <v>649</v>
      </c>
      <c r="H512" s="7">
        <v>2</v>
      </c>
      <c r="I512" s="2">
        <v>627.35</v>
      </c>
      <c r="J512" s="2">
        <f>Tabla2[[#This Row],[Quantity]]*I512</f>
        <v>1254.7</v>
      </c>
      <c r="K512" s="6">
        <f>MONTH(Tabla2[[#This Row],[OrderDate]])</f>
        <v>4</v>
      </c>
      <c r="L512" s="6">
        <f>YEAR(Tabla2[[#This Row],[OrderDate]])</f>
        <v>2025</v>
      </c>
      <c r="M512" s="7" t="s">
        <v>1397</v>
      </c>
      <c r="N512" s="7" t="s">
        <v>28</v>
      </c>
    </row>
    <row r="513" spans="1:14" x14ac:dyDescent="0.35">
      <c r="A513" s="7" t="s">
        <v>1398</v>
      </c>
      <c r="B513" s="7" t="s">
        <v>355</v>
      </c>
      <c r="C513" s="7" t="s">
        <v>356</v>
      </c>
      <c r="D513" s="7" t="s">
        <v>40</v>
      </c>
      <c r="E513" s="7" t="s">
        <v>120</v>
      </c>
      <c r="F513" s="7" t="s">
        <v>42</v>
      </c>
      <c r="G513" s="7" t="s">
        <v>225</v>
      </c>
      <c r="H513" s="7">
        <v>4</v>
      </c>
      <c r="I513" s="2">
        <v>1476.09</v>
      </c>
      <c r="J513" s="2">
        <f>Tabla2[[#This Row],[Quantity]]*I513</f>
        <v>5904.36</v>
      </c>
      <c r="K513" s="6">
        <f>MONTH(Tabla2[[#This Row],[OrderDate]])</f>
        <v>4</v>
      </c>
      <c r="L513" s="6">
        <f>YEAR(Tabla2[[#This Row],[OrderDate]])</f>
        <v>2025</v>
      </c>
      <c r="M513" s="7" t="s">
        <v>1397</v>
      </c>
      <c r="N513" s="7" t="s">
        <v>28</v>
      </c>
    </row>
    <row r="514" spans="1:14" x14ac:dyDescent="0.35">
      <c r="A514" s="7" t="s">
        <v>1399</v>
      </c>
      <c r="B514" s="7" t="s">
        <v>558</v>
      </c>
      <c r="C514" s="7" t="s">
        <v>559</v>
      </c>
      <c r="D514" s="7" t="s">
        <v>14</v>
      </c>
      <c r="E514" s="7" t="s">
        <v>100</v>
      </c>
      <c r="F514" s="7" t="s">
        <v>101</v>
      </c>
      <c r="G514" s="7" t="s">
        <v>102</v>
      </c>
      <c r="H514" s="7">
        <v>4</v>
      </c>
      <c r="I514" s="2">
        <v>918.14</v>
      </c>
      <c r="J514" s="2">
        <f>Tabla2[[#This Row],[Quantity]]*I514</f>
        <v>3672.56</v>
      </c>
      <c r="K514" s="6">
        <f>MONTH(Tabla2[[#This Row],[OrderDate]])</f>
        <v>4</v>
      </c>
      <c r="L514" s="6">
        <f>YEAR(Tabla2[[#This Row],[OrderDate]])</f>
        <v>2025</v>
      </c>
      <c r="M514" s="7" t="s">
        <v>490</v>
      </c>
      <c r="N514" s="7" t="s">
        <v>91</v>
      </c>
    </row>
    <row r="515" spans="1:14" x14ac:dyDescent="0.35">
      <c r="A515" s="7" t="s">
        <v>1400</v>
      </c>
      <c r="B515" s="7" t="s">
        <v>686</v>
      </c>
      <c r="C515" s="7" t="s">
        <v>687</v>
      </c>
      <c r="D515" s="7" t="s">
        <v>32</v>
      </c>
      <c r="E515" s="7" t="s">
        <v>33</v>
      </c>
      <c r="F515" s="7" t="s">
        <v>50</v>
      </c>
      <c r="G515" s="7" t="s">
        <v>216</v>
      </c>
      <c r="H515" s="7">
        <v>3</v>
      </c>
      <c r="I515" s="2">
        <v>185.99</v>
      </c>
      <c r="J515" s="2">
        <f>Tabla2[[#This Row],[Quantity]]*I515</f>
        <v>557.97</v>
      </c>
      <c r="K515" s="6">
        <f>MONTH(Tabla2[[#This Row],[OrderDate]])</f>
        <v>7</v>
      </c>
      <c r="L515" s="6">
        <f>YEAR(Tabla2[[#This Row],[OrderDate]])</f>
        <v>2025</v>
      </c>
      <c r="M515" s="7" t="s">
        <v>1401</v>
      </c>
      <c r="N515" s="7" t="s">
        <v>91</v>
      </c>
    </row>
    <row r="516" spans="1:14" x14ac:dyDescent="0.35">
      <c r="A516" s="7" t="s">
        <v>1402</v>
      </c>
      <c r="B516" s="7" t="s">
        <v>960</v>
      </c>
      <c r="C516" s="7" t="s">
        <v>961</v>
      </c>
      <c r="D516" s="7" t="s">
        <v>40</v>
      </c>
      <c r="E516" s="7" t="s">
        <v>120</v>
      </c>
      <c r="F516" s="7" t="s">
        <v>42</v>
      </c>
      <c r="G516" s="7" t="s">
        <v>89</v>
      </c>
      <c r="H516" s="7">
        <v>5</v>
      </c>
      <c r="I516" s="2">
        <v>1395.67</v>
      </c>
      <c r="J516" s="2">
        <f>Tabla2[[#This Row],[Quantity]]*I516</f>
        <v>6978.35</v>
      </c>
      <c r="K516" s="6">
        <f>MONTH(Tabla2[[#This Row],[OrderDate]])</f>
        <v>7</v>
      </c>
      <c r="L516" s="6">
        <f>YEAR(Tabla2[[#This Row],[OrderDate]])</f>
        <v>2024</v>
      </c>
      <c r="M516" s="7" t="s">
        <v>882</v>
      </c>
      <c r="N516" s="7" t="s">
        <v>36</v>
      </c>
    </row>
    <row r="517" spans="1:14" x14ac:dyDescent="0.35">
      <c r="A517" s="7" t="s">
        <v>1403</v>
      </c>
      <c r="B517" s="7" t="s">
        <v>590</v>
      </c>
      <c r="C517" s="7" t="s">
        <v>591</v>
      </c>
      <c r="D517" s="7" t="s">
        <v>14</v>
      </c>
      <c r="E517" s="7" t="s">
        <v>266</v>
      </c>
      <c r="F517" s="7" t="s">
        <v>16</v>
      </c>
      <c r="G517" s="7" t="s">
        <v>17</v>
      </c>
      <c r="H517" s="7">
        <v>1</v>
      </c>
      <c r="I517" s="2">
        <v>210.73</v>
      </c>
      <c r="J517" s="2">
        <f>Tabla2[[#This Row],[Quantity]]*I517</f>
        <v>210.73</v>
      </c>
      <c r="K517" s="6">
        <f>MONTH(Tabla2[[#This Row],[OrderDate]])</f>
        <v>1</v>
      </c>
      <c r="L517" s="6">
        <f>YEAR(Tabla2[[#This Row],[OrderDate]])</f>
        <v>2025</v>
      </c>
      <c r="M517" s="7" t="s">
        <v>1404</v>
      </c>
      <c r="N517" s="7" t="s">
        <v>36</v>
      </c>
    </row>
    <row r="518" spans="1:14" x14ac:dyDescent="0.35">
      <c r="A518" s="7" t="s">
        <v>1405</v>
      </c>
      <c r="B518" s="7" t="s">
        <v>1159</v>
      </c>
      <c r="C518" s="7" t="s">
        <v>1160</v>
      </c>
      <c r="D518" s="7" t="s">
        <v>14</v>
      </c>
      <c r="E518" s="7" t="s">
        <v>15</v>
      </c>
      <c r="F518" s="7" t="s">
        <v>42</v>
      </c>
      <c r="G518" s="7" t="s">
        <v>225</v>
      </c>
      <c r="H518" s="7">
        <v>4</v>
      </c>
      <c r="I518" s="2">
        <v>425.18</v>
      </c>
      <c r="J518" s="2">
        <f>Tabla2[[#This Row],[Quantity]]*I518</f>
        <v>1700.72</v>
      </c>
      <c r="K518" s="6">
        <f>MONTH(Tabla2[[#This Row],[OrderDate]])</f>
        <v>1</v>
      </c>
      <c r="L518" s="6">
        <f>YEAR(Tabla2[[#This Row],[OrderDate]])</f>
        <v>2026</v>
      </c>
      <c r="M518" s="7" t="s">
        <v>1406</v>
      </c>
      <c r="N518" s="7" t="s">
        <v>45</v>
      </c>
    </row>
    <row r="519" spans="1:14" x14ac:dyDescent="0.35">
      <c r="A519" s="7" t="s">
        <v>1407</v>
      </c>
      <c r="B519" s="7" t="s">
        <v>295</v>
      </c>
      <c r="C519" s="7" t="s">
        <v>296</v>
      </c>
      <c r="D519" s="7" t="s">
        <v>23</v>
      </c>
      <c r="E519" s="7" t="s">
        <v>24</v>
      </c>
      <c r="F519" s="7" t="s">
        <v>16</v>
      </c>
      <c r="G519" s="7" t="s">
        <v>148</v>
      </c>
      <c r="H519" s="7">
        <v>5</v>
      </c>
      <c r="I519" s="2">
        <v>1392.61</v>
      </c>
      <c r="J519" s="2">
        <f>Tabla2[[#This Row],[Quantity]]*I519</f>
        <v>6963.0499999999993</v>
      </c>
      <c r="K519" s="6">
        <f>MONTH(Tabla2[[#This Row],[OrderDate]])</f>
        <v>9</v>
      </c>
      <c r="L519" s="6">
        <f>YEAR(Tabla2[[#This Row],[OrderDate]])</f>
        <v>2024</v>
      </c>
      <c r="M519" s="7" t="s">
        <v>1408</v>
      </c>
      <c r="N519" s="7" t="s">
        <v>19</v>
      </c>
    </row>
    <row r="520" spans="1:14" x14ac:dyDescent="0.35">
      <c r="A520" s="7" t="s">
        <v>1409</v>
      </c>
      <c r="B520" s="7" t="s">
        <v>367</v>
      </c>
      <c r="C520" s="7" t="s">
        <v>368</v>
      </c>
      <c r="D520" s="7" t="s">
        <v>40</v>
      </c>
      <c r="E520" s="7" t="s">
        <v>120</v>
      </c>
      <c r="F520" s="7" t="s">
        <v>16</v>
      </c>
      <c r="G520" s="7" t="s">
        <v>148</v>
      </c>
      <c r="H520" s="7">
        <v>4</v>
      </c>
      <c r="I520" s="2">
        <v>1292.22</v>
      </c>
      <c r="J520" s="2">
        <f>Tabla2[[#This Row],[Quantity]]*I520</f>
        <v>5168.88</v>
      </c>
      <c r="K520" s="6">
        <f>MONTH(Tabla2[[#This Row],[OrderDate]])</f>
        <v>1</v>
      </c>
      <c r="L520" s="6">
        <f>YEAR(Tabla2[[#This Row],[OrderDate]])</f>
        <v>2025</v>
      </c>
      <c r="M520" s="7" t="s">
        <v>1268</v>
      </c>
      <c r="N520" s="7" t="s">
        <v>28</v>
      </c>
    </row>
    <row r="521" spans="1:14" x14ac:dyDescent="0.35">
      <c r="A521" s="7" t="s">
        <v>1410</v>
      </c>
      <c r="B521" s="7" t="s">
        <v>738</v>
      </c>
      <c r="C521" s="7" t="s">
        <v>739</v>
      </c>
      <c r="D521" s="7" t="s">
        <v>14</v>
      </c>
      <c r="E521" s="7" t="s">
        <v>15</v>
      </c>
      <c r="F521" s="7" t="s">
        <v>25</v>
      </c>
      <c r="G521" s="7" t="s">
        <v>62</v>
      </c>
      <c r="H521" s="7">
        <v>3</v>
      </c>
      <c r="I521" s="2">
        <v>20.239999999999998</v>
      </c>
      <c r="J521" s="2">
        <f>Tabla2[[#This Row],[Quantity]]*I521</f>
        <v>60.72</v>
      </c>
      <c r="K521" s="6">
        <f>MONTH(Tabla2[[#This Row],[OrderDate]])</f>
        <v>3</v>
      </c>
      <c r="L521" s="6">
        <f>YEAR(Tabla2[[#This Row],[OrderDate]])</f>
        <v>2026</v>
      </c>
      <c r="M521" s="7" t="s">
        <v>1411</v>
      </c>
      <c r="N521" s="7" t="s">
        <v>28</v>
      </c>
    </row>
    <row r="522" spans="1:14" x14ac:dyDescent="0.35">
      <c r="A522" s="7" t="s">
        <v>1412</v>
      </c>
      <c r="B522" s="7" t="s">
        <v>311</v>
      </c>
      <c r="C522" s="7" t="s">
        <v>312</v>
      </c>
      <c r="D522" s="7" t="s">
        <v>23</v>
      </c>
      <c r="E522" s="7" t="s">
        <v>338</v>
      </c>
      <c r="F522" s="7" t="s">
        <v>25</v>
      </c>
      <c r="G522" s="7" t="s">
        <v>26</v>
      </c>
      <c r="H522" s="7">
        <v>4</v>
      </c>
      <c r="I522" s="2">
        <v>332.68</v>
      </c>
      <c r="J522" s="2">
        <f>Tabla2[[#This Row],[Quantity]]*I522</f>
        <v>1330.72</v>
      </c>
      <c r="K522" s="6">
        <f>MONTH(Tabla2[[#This Row],[OrderDate]])</f>
        <v>9</v>
      </c>
      <c r="L522" s="6">
        <f>YEAR(Tabla2[[#This Row],[OrderDate]])</f>
        <v>2024</v>
      </c>
      <c r="M522" s="7" t="s">
        <v>1413</v>
      </c>
      <c r="N522" s="7" t="s">
        <v>45</v>
      </c>
    </row>
    <row r="523" spans="1:14" x14ac:dyDescent="0.35">
      <c r="A523" s="7" t="s">
        <v>1414</v>
      </c>
      <c r="B523" s="7" t="s">
        <v>392</v>
      </c>
      <c r="C523" s="7" t="s">
        <v>393</v>
      </c>
      <c r="D523" s="7" t="s">
        <v>67</v>
      </c>
      <c r="E523" s="7" t="s">
        <v>68</v>
      </c>
      <c r="F523" s="7" t="s">
        <v>25</v>
      </c>
      <c r="G523" s="7" t="s">
        <v>62</v>
      </c>
      <c r="H523" s="7">
        <v>5</v>
      </c>
      <c r="I523" s="2">
        <v>628.66</v>
      </c>
      <c r="J523" s="2">
        <f>Tabla2[[#This Row],[Quantity]]*I523</f>
        <v>3143.2999999999997</v>
      </c>
      <c r="K523" s="6">
        <f>MONTH(Tabla2[[#This Row],[OrderDate]])</f>
        <v>4</v>
      </c>
      <c r="L523" s="6">
        <f>YEAR(Tabla2[[#This Row],[OrderDate]])</f>
        <v>2024</v>
      </c>
      <c r="M523" s="7" t="s">
        <v>1415</v>
      </c>
      <c r="N523" s="7" t="s">
        <v>36</v>
      </c>
    </row>
    <row r="524" spans="1:14" x14ac:dyDescent="0.35">
      <c r="A524" s="7" t="s">
        <v>1416</v>
      </c>
      <c r="B524" s="7" t="s">
        <v>742</v>
      </c>
      <c r="C524" s="7" t="s">
        <v>743</v>
      </c>
      <c r="D524" s="7" t="s">
        <v>14</v>
      </c>
      <c r="E524" s="7" t="s">
        <v>15</v>
      </c>
      <c r="F524" s="7" t="s">
        <v>50</v>
      </c>
      <c r="G524" s="7" t="s">
        <v>170</v>
      </c>
      <c r="H524" s="7">
        <v>5</v>
      </c>
      <c r="I524" s="2">
        <v>805.92</v>
      </c>
      <c r="J524" s="2">
        <f>Tabla2[[#This Row],[Quantity]]*I524</f>
        <v>4029.6</v>
      </c>
      <c r="K524" s="6">
        <f>MONTH(Tabla2[[#This Row],[OrderDate]])</f>
        <v>4</v>
      </c>
      <c r="L524" s="6">
        <f>YEAR(Tabla2[[#This Row],[OrderDate]])</f>
        <v>2024</v>
      </c>
      <c r="M524" s="7" t="s">
        <v>1417</v>
      </c>
      <c r="N524" s="7" t="s">
        <v>45</v>
      </c>
    </row>
    <row r="525" spans="1:14" x14ac:dyDescent="0.35">
      <c r="A525" s="7" t="s">
        <v>1418</v>
      </c>
      <c r="B525" s="7" t="s">
        <v>1419</v>
      </c>
      <c r="C525" s="7" t="s">
        <v>1420</v>
      </c>
      <c r="D525" s="7" t="s">
        <v>67</v>
      </c>
      <c r="E525" s="7" t="s">
        <v>130</v>
      </c>
      <c r="F525" s="7" t="s">
        <v>16</v>
      </c>
      <c r="G525" s="7" t="s">
        <v>182</v>
      </c>
      <c r="H525" s="7">
        <v>4</v>
      </c>
      <c r="I525" s="2">
        <v>1391.21</v>
      </c>
      <c r="J525" s="2">
        <f>Tabla2[[#This Row],[Quantity]]*I525</f>
        <v>5564.84</v>
      </c>
      <c r="K525" s="6">
        <f>MONTH(Tabla2[[#This Row],[OrderDate]])</f>
        <v>4</v>
      </c>
      <c r="L525" s="6">
        <f>YEAR(Tabla2[[#This Row],[OrderDate]])</f>
        <v>2024</v>
      </c>
      <c r="M525" s="7" t="s">
        <v>1421</v>
      </c>
      <c r="N525" s="7" t="s">
        <v>36</v>
      </c>
    </row>
    <row r="526" spans="1:14" x14ac:dyDescent="0.35">
      <c r="A526" s="7" t="s">
        <v>1422</v>
      </c>
      <c r="B526" s="7" t="s">
        <v>1423</v>
      </c>
      <c r="C526" s="7" t="s">
        <v>1424</v>
      </c>
      <c r="D526" s="7" t="s">
        <v>23</v>
      </c>
      <c r="E526" s="7" t="s">
        <v>338</v>
      </c>
      <c r="F526" s="7" t="s">
        <v>101</v>
      </c>
      <c r="G526" s="7" t="s">
        <v>237</v>
      </c>
      <c r="H526" s="7">
        <v>2</v>
      </c>
      <c r="I526" s="2">
        <v>809.88</v>
      </c>
      <c r="J526" s="2">
        <f>Tabla2[[#This Row],[Quantity]]*I526</f>
        <v>1619.76</v>
      </c>
      <c r="K526" s="6">
        <f>MONTH(Tabla2[[#This Row],[OrderDate]])</f>
        <v>12</v>
      </c>
      <c r="L526" s="6">
        <f>YEAR(Tabla2[[#This Row],[OrderDate]])</f>
        <v>2025</v>
      </c>
      <c r="M526" s="7" t="s">
        <v>1425</v>
      </c>
      <c r="N526" s="7" t="s">
        <v>19</v>
      </c>
    </row>
    <row r="527" spans="1:14" x14ac:dyDescent="0.35">
      <c r="A527" s="7" t="s">
        <v>1426</v>
      </c>
      <c r="B527" s="7" t="s">
        <v>838</v>
      </c>
      <c r="C527" s="7" t="s">
        <v>839</v>
      </c>
      <c r="D527" s="7" t="s">
        <v>67</v>
      </c>
      <c r="E527" s="7" t="s">
        <v>130</v>
      </c>
      <c r="F527" s="7" t="s">
        <v>25</v>
      </c>
      <c r="G527" s="7" t="s">
        <v>26</v>
      </c>
      <c r="H527" s="7">
        <v>3</v>
      </c>
      <c r="I527" s="2">
        <v>290.62</v>
      </c>
      <c r="J527" s="2">
        <f>Tabla2[[#This Row],[Quantity]]*I527</f>
        <v>871.86</v>
      </c>
      <c r="K527" s="6">
        <f>MONTH(Tabla2[[#This Row],[OrderDate]])</f>
        <v>8</v>
      </c>
      <c r="L527" s="6">
        <f>YEAR(Tabla2[[#This Row],[OrderDate]])</f>
        <v>2025</v>
      </c>
      <c r="M527" s="7" t="s">
        <v>600</v>
      </c>
      <c r="N527" s="7" t="s">
        <v>36</v>
      </c>
    </row>
    <row r="528" spans="1:14" x14ac:dyDescent="0.35">
      <c r="A528" s="7" t="s">
        <v>1427</v>
      </c>
      <c r="B528" s="7" t="s">
        <v>1428</v>
      </c>
      <c r="C528" s="7" t="s">
        <v>1429</v>
      </c>
      <c r="D528" s="7" t="s">
        <v>40</v>
      </c>
      <c r="E528" s="7" t="s">
        <v>79</v>
      </c>
      <c r="F528" s="7" t="s">
        <v>16</v>
      </c>
      <c r="G528" s="7" t="s">
        <v>148</v>
      </c>
      <c r="H528" s="7">
        <v>1</v>
      </c>
      <c r="I528" s="2">
        <v>1478.95</v>
      </c>
      <c r="J528" s="2">
        <f>Tabla2[[#This Row],[Quantity]]*I528</f>
        <v>1478.95</v>
      </c>
      <c r="K528" s="6">
        <f>MONTH(Tabla2[[#This Row],[OrderDate]])</f>
        <v>9</v>
      </c>
      <c r="L528" s="6">
        <f>YEAR(Tabla2[[#This Row],[OrderDate]])</f>
        <v>2024</v>
      </c>
      <c r="M528" s="7" t="s">
        <v>566</v>
      </c>
      <c r="N528" s="7" t="s">
        <v>91</v>
      </c>
    </row>
    <row r="529" spans="1:14" x14ac:dyDescent="0.35">
      <c r="A529" s="7" t="s">
        <v>1430</v>
      </c>
      <c r="B529" s="7" t="s">
        <v>718</v>
      </c>
      <c r="C529" s="7" t="s">
        <v>719</v>
      </c>
      <c r="D529" s="7" t="s">
        <v>67</v>
      </c>
      <c r="E529" s="7" t="s">
        <v>130</v>
      </c>
      <c r="F529" s="7" t="s">
        <v>16</v>
      </c>
      <c r="G529" s="7" t="s">
        <v>230</v>
      </c>
      <c r="H529" s="7">
        <v>4</v>
      </c>
      <c r="I529" s="2">
        <v>1428.67</v>
      </c>
      <c r="J529" s="2">
        <f>Tabla2[[#This Row],[Quantity]]*I529</f>
        <v>5714.68</v>
      </c>
      <c r="K529" s="6">
        <f>MONTH(Tabla2[[#This Row],[OrderDate]])</f>
        <v>9</v>
      </c>
      <c r="L529" s="6">
        <f>YEAR(Tabla2[[#This Row],[OrderDate]])</f>
        <v>2025</v>
      </c>
      <c r="M529" s="7" t="s">
        <v>1032</v>
      </c>
      <c r="N529" s="7" t="s">
        <v>36</v>
      </c>
    </row>
    <row r="530" spans="1:14" x14ac:dyDescent="0.35">
      <c r="A530" s="7" t="s">
        <v>1431</v>
      </c>
      <c r="B530" s="7" t="s">
        <v>707</v>
      </c>
      <c r="C530" s="7" t="s">
        <v>708</v>
      </c>
      <c r="D530" s="7" t="s">
        <v>23</v>
      </c>
      <c r="E530" s="7" t="s">
        <v>49</v>
      </c>
      <c r="F530" s="7" t="s">
        <v>42</v>
      </c>
      <c r="G530" s="7" t="s">
        <v>80</v>
      </c>
      <c r="H530" s="7">
        <v>2</v>
      </c>
      <c r="I530" s="2">
        <v>595.11</v>
      </c>
      <c r="J530" s="2">
        <f>Tabla2[[#This Row],[Quantity]]*I530</f>
        <v>1190.22</v>
      </c>
      <c r="K530" s="6">
        <f>MONTH(Tabla2[[#This Row],[OrderDate]])</f>
        <v>12</v>
      </c>
      <c r="L530" s="6">
        <f>YEAR(Tabla2[[#This Row],[OrderDate]])</f>
        <v>2024</v>
      </c>
      <c r="M530" s="7" t="s">
        <v>1432</v>
      </c>
      <c r="N530" s="7" t="s">
        <v>19</v>
      </c>
    </row>
    <row r="531" spans="1:14" x14ac:dyDescent="0.35">
      <c r="A531" s="7" t="s">
        <v>1433</v>
      </c>
      <c r="B531" s="7" t="s">
        <v>947</v>
      </c>
      <c r="C531" s="7" t="s">
        <v>948</v>
      </c>
      <c r="D531" s="7" t="s">
        <v>32</v>
      </c>
      <c r="E531" s="7" t="s">
        <v>33</v>
      </c>
      <c r="F531" s="7" t="s">
        <v>42</v>
      </c>
      <c r="G531" s="7" t="s">
        <v>80</v>
      </c>
      <c r="H531" s="7">
        <v>2</v>
      </c>
      <c r="I531" s="2">
        <v>49.78</v>
      </c>
      <c r="J531" s="2">
        <f>Tabla2[[#This Row],[Quantity]]*I531</f>
        <v>99.56</v>
      </c>
      <c r="K531" s="6">
        <f>MONTH(Tabla2[[#This Row],[OrderDate]])</f>
        <v>4</v>
      </c>
      <c r="L531" s="6">
        <f>YEAR(Tabla2[[#This Row],[OrderDate]])</f>
        <v>2024</v>
      </c>
      <c r="M531" s="7" t="s">
        <v>1219</v>
      </c>
      <c r="N531" s="7" t="s">
        <v>36</v>
      </c>
    </row>
    <row r="532" spans="1:14" x14ac:dyDescent="0.35">
      <c r="A532" s="7" t="s">
        <v>1434</v>
      </c>
      <c r="B532" s="7" t="s">
        <v>1024</v>
      </c>
      <c r="C532" s="7" t="s">
        <v>1025</v>
      </c>
      <c r="D532" s="7" t="s">
        <v>23</v>
      </c>
      <c r="E532" s="7" t="s">
        <v>49</v>
      </c>
      <c r="F532" s="7" t="s">
        <v>25</v>
      </c>
      <c r="G532" s="7" t="s">
        <v>62</v>
      </c>
      <c r="H532" s="7">
        <v>3</v>
      </c>
      <c r="I532" s="2">
        <v>1162.32</v>
      </c>
      <c r="J532" s="2">
        <f>Tabla2[[#This Row],[Quantity]]*I532</f>
        <v>3486.96</v>
      </c>
      <c r="K532" s="6">
        <f>MONTH(Tabla2[[#This Row],[OrderDate]])</f>
        <v>2</v>
      </c>
      <c r="L532" s="6">
        <f>YEAR(Tabla2[[#This Row],[OrderDate]])</f>
        <v>2025</v>
      </c>
      <c r="M532" s="7" t="s">
        <v>309</v>
      </c>
      <c r="N532" s="7" t="s">
        <v>45</v>
      </c>
    </row>
    <row r="533" spans="1:14" x14ac:dyDescent="0.35">
      <c r="A533" s="7" t="s">
        <v>1435</v>
      </c>
      <c r="B533" s="7" t="s">
        <v>105</v>
      </c>
      <c r="C533" s="7" t="s">
        <v>106</v>
      </c>
      <c r="D533" s="7" t="s">
        <v>23</v>
      </c>
      <c r="E533" s="7" t="s">
        <v>338</v>
      </c>
      <c r="F533" s="7" t="s">
        <v>42</v>
      </c>
      <c r="G533" s="7" t="s">
        <v>89</v>
      </c>
      <c r="H533" s="7">
        <v>1</v>
      </c>
      <c r="I533" s="2">
        <v>1222.07</v>
      </c>
      <c r="J533" s="2">
        <f>Tabla2[[#This Row],[Quantity]]*I533</f>
        <v>1222.07</v>
      </c>
      <c r="K533" s="6">
        <f>MONTH(Tabla2[[#This Row],[OrderDate]])</f>
        <v>3</v>
      </c>
      <c r="L533" s="6">
        <f>YEAR(Tabla2[[#This Row],[OrderDate]])</f>
        <v>2024</v>
      </c>
      <c r="M533" s="7" t="s">
        <v>1436</v>
      </c>
      <c r="N533" s="7" t="s">
        <v>91</v>
      </c>
    </row>
    <row r="534" spans="1:14" x14ac:dyDescent="0.35">
      <c r="A534" s="7" t="s">
        <v>1437</v>
      </c>
      <c r="B534" s="7" t="s">
        <v>1438</v>
      </c>
      <c r="C534" s="7" t="s">
        <v>1439</v>
      </c>
      <c r="D534" s="7" t="s">
        <v>23</v>
      </c>
      <c r="E534" s="7" t="s">
        <v>338</v>
      </c>
      <c r="F534" s="7" t="s">
        <v>16</v>
      </c>
      <c r="G534" s="7" t="s">
        <v>230</v>
      </c>
      <c r="H534" s="7">
        <v>5</v>
      </c>
      <c r="I534" s="2">
        <v>254.1</v>
      </c>
      <c r="J534" s="2">
        <f>Tabla2[[#This Row],[Quantity]]*I534</f>
        <v>1270.5</v>
      </c>
      <c r="K534" s="6">
        <f>MONTH(Tabla2[[#This Row],[OrderDate]])</f>
        <v>4</v>
      </c>
      <c r="L534" s="6">
        <f>YEAR(Tabla2[[#This Row],[OrderDate]])</f>
        <v>2024</v>
      </c>
      <c r="M534" s="7" t="s">
        <v>1440</v>
      </c>
      <c r="N534" s="7" t="s">
        <v>19</v>
      </c>
    </row>
    <row r="535" spans="1:14" x14ac:dyDescent="0.35">
      <c r="A535" s="7" t="s">
        <v>1441</v>
      </c>
      <c r="B535" s="7" t="s">
        <v>618</v>
      </c>
      <c r="C535" s="7" t="s">
        <v>619</v>
      </c>
      <c r="D535" s="7" t="s">
        <v>67</v>
      </c>
      <c r="E535" s="7" t="s">
        <v>68</v>
      </c>
      <c r="F535" s="7" t="s">
        <v>16</v>
      </c>
      <c r="G535" s="7" t="s">
        <v>182</v>
      </c>
      <c r="H535" s="7">
        <v>2</v>
      </c>
      <c r="I535" s="2">
        <v>828.64</v>
      </c>
      <c r="J535" s="2">
        <f>Tabla2[[#This Row],[Quantity]]*I535</f>
        <v>1657.28</v>
      </c>
      <c r="K535" s="6">
        <f>MONTH(Tabla2[[#This Row],[OrderDate]])</f>
        <v>3</v>
      </c>
      <c r="L535" s="6">
        <f>YEAR(Tabla2[[#This Row],[OrderDate]])</f>
        <v>2025</v>
      </c>
      <c r="M535" s="7" t="s">
        <v>1110</v>
      </c>
      <c r="N535" s="7" t="s">
        <v>19</v>
      </c>
    </row>
    <row r="536" spans="1:14" x14ac:dyDescent="0.35">
      <c r="A536" s="7" t="s">
        <v>1442</v>
      </c>
      <c r="B536" s="7" t="s">
        <v>1137</v>
      </c>
      <c r="C536" s="7" t="s">
        <v>1138</v>
      </c>
      <c r="D536" s="7" t="s">
        <v>14</v>
      </c>
      <c r="E536" s="7" t="s">
        <v>100</v>
      </c>
      <c r="F536" s="7" t="s">
        <v>42</v>
      </c>
      <c r="G536" s="7" t="s">
        <v>89</v>
      </c>
      <c r="H536" s="7">
        <v>3</v>
      </c>
      <c r="I536" s="2">
        <v>427.36</v>
      </c>
      <c r="J536" s="2">
        <f>Tabla2[[#This Row],[Quantity]]*I536</f>
        <v>1282.08</v>
      </c>
      <c r="K536" s="6">
        <f>MONTH(Tabla2[[#This Row],[OrderDate]])</f>
        <v>1</v>
      </c>
      <c r="L536" s="6">
        <f>YEAR(Tabla2[[#This Row],[OrderDate]])</f>
        <v>2024</v>
      </c>
      <c r="M536" s="7" t="s">
        <v>75</v>
      </c>
      <c r="N536" s="7" t="s">
        <v>28</v>
      </c>
    </row>
    <row r="537" spans="1:14" x14ac:dyDescent="0.35">
      <c r="A537" s="7" t="s">
        <v>1443</v>
      </c>
      <c r="B537" s="7" t="s">
        <v>1444</v>
      </c>
      <c r="C537" s="7" t="s">
        <v>1445</v>
      </c>
      <c r="D537" s="7" t="s">
        <v>23</v>
      </c>
      <c r="E537" s="7" t="s">
        <v>338</v>
      </c>
      <c r="F537" s="7" t="s">
        <v>101</v>
      </c>
      <c r="G537" s="7" t="s">
        <v>373</v>
      </c>
      <c r="H537" s="7">
        <v>5</v>
      </c>
      <c r="I537" s="2">
        <v>741.38</v>
      </c>
      <c r="J537" s="2">
        <f>Tabla2[[#This Row],[Quantity]]*I537</f>
        <v>3706.9</v>
      </c>
      <c r="K537" s="6">
        <f>MONTH(Tabla2[[#This Row],[OrderDate]])</f>
        <v>1</v>
      </c>
      <c r="L537" s="6">
        <f>YEAR(Tabla2[[#This Row],[OrderDate]])</f>
        <v>2026</v>
      </c>
      <c r="M537" s="7" t="s">
        <v>1446</v>
      </c>
      <c r="N537" s="7" t="s">
        <v>91</v>
      </c>
    </row>
    <row r="538" spans="1:14" x14ac:dyDescent="0.35">
      <c r="A538" s="7" t="s">
        <v>1447</v>
      </c>
      <c r="B538" s="7" t="s">
        <v>345</v>
      </c>
      <c r="C538" s="7" t="s">
        <v>346</v>
      </c>
      <c r="D538" s="7" t="s">
        <v>67</v>
      </c>
      <c r="E538" s="7" t="s">
        <v>130</v>
      </c>
      <c r="F538" s="7" t="s">
        <v>42</v>
      </c>
      <c r="G538" s="7" t="s">
        <v>89</v>
      </c>
      <c r="H538" s="7">
        <v>3</v>
      </c>
      <c r="I538" s="2">
        <v>417.82</v>
      </c>
      <c r="J538" s="2">
        <f>Tabla2[[#This Row],[Quantity]]*I538</f>
        <v>1253.46</v>
      </c>
      <c r="K538" s="6">
        <f>MONTH(Tabla2[[#This Row],[OrderDate]])</f>
        <v>12</v>
      </c>
      <c r="L538" s="6">
        <f>YEAR(Tabla2[[#This Row],[OrderDate]])</f>
        <v>2024</v>
      </c>
      <c r="M538" s="7" t="s">
        <v>1448</v>
      </c>
      <c r="N538" s="7" t="s">
        <v>19</v>
      </c>
    </row>
    <row r="539" spans="1:14" x14ac:dyDescent="0.35">
      <c r="A539" s="7" t="s">
        <v>1449</v>
      </c>
      <c r="B539" s="7" t="s">
        <v>38</v>
      </c>
      <c r="C539" s="7" t="s">
        <v>39</v>
      </c>
      <c r="D539" s="7" t="s">
        <v>67</v>
      </c>
      <c r="E539" s="7" t="s">
        <v>115</v>
      </c>
      <c r="F539" s="7" t="s">
        <v>25</v>
      </c>
      <c r="G539" s="7" t="s">
        <v>139</v>
      </c>
      <c r="H539" s="7">
        <v>5</v>
      </c>
      <c r="I539" s="2">
        <v>1104.94</v>
      </c>
      <c r="J539" s="2">
        <f>Tabla2[[#This Row],[Quantity]]*I539</f>
        <v>5524.7000000000007</v>
      </c>
      <c r="K539" s="6">
        <f>MONTH(Tabla2[[#This Row],[OrderDate]])</f>
        <v>6</v>
      </c>
      <c r="L539" s="6">
        <f>YEAR(Tabla2[[#This Row],[OrderDate]])</f>
        <v>2025</v>
      </c>
      <c r="M539" s="7" t="s">
        <v>1450</v>
      </c>
      <c r="N539" s="7" t="s">
        <v>91</v>
      </c>
    </row>
    <row r="540" spans="1:14" x14ac:dyDescent="0.35">
      <c r="A540" s="7" t="s">
        <v>1451</v>
      </c>
      <c r="B540" s="7" t="s">
        <v>699</v>
      </c>
      <c r="C540" s="7" t="s">
        <v>700</v>
      </c>
      <c r="D540" s="7" t="s">
        <v>23</v>
      </c>
      <c r="E540" s="7" t="s">
        <v>49</v>
      </c>
      <c r="F540" s="7" t="s">
        <v>42</v>
      </c>
      <c r="G540" s="7" t="s">
        <v>89</v>
      </c>
      <c r="H540" s="7">
        <v>2</v>
      </c>
      <c r="I540" s="2">
        <v>1073.8800000000001</v>
      </c>
      <c r="J540" s="2">
        <f>Tabla2[[#This Row],[Quantity]]*I540</f>
        <v>2147.7600000000002</v>
      </c>
      <c r="K540" s="6">
        <f>MONTH(Tabla2[[#This Row],[OrderDate]])</f>
        <v>7</v>
      </c>
      <c r="L540" s="6">
        <f>YEAR(Tabla2[[#This Row],[OrderDate]])</f>
        <v>2024</v>
      </c>
      <c r="M540" s="7" t="s">
        <v>1452</v>
      </c>
      <c r="N540" s="7" t="s">
        <v>45</v>
      </c>
    </row>
    <row r="541" spans="1:14" x14ac:dyDescent="0.35">
      <c r="A541" s="7" t="s">
        <v>1453</v>
      </c>
      <c r="B541" s="7" t="s">
        <v>514</v>
      </c>
      <c r="C541" s="7" t="s">
        <v>515</v>
      </c>
      <c r="D541" s="7" t="s">
        <v>14</v>
      </c>
      <c r="E541" s="7" t="s">
        <v>15</v>
      </c>
      <c r="F541" s="7" t="s">
        <v>16</v>
      </c>
      <c r="G541" s="7" t="s">
        <v>148</v>
      </c>
      <c r="H541" s="7">
        <v>2</v>
      </c>
      <c r="I541" s="2">
        <v>948.82</v>
      </c>
      <c r="J541" s="2">
        <f>Tabla2[[#This Row],[Quantity]]*I541</f>
        <v>1897.64</v>
      </c>
      <c r="K541" s="6">
        <f>MONTH(Tabla2[[#This Row],[OrderDate]])</f>
        <v>2</v>
      </c>
      <c r="L541" s="6">
        <f>YEAR(Tabla2[[#This Row],[OrderDate]])</f>
        <v>2026</v>
      </c>
      <c r="M541" s="7" t="s">
        <v>671</v>
      </c>
      <c r="N541" s="7" t="s">
        <v>19</v>
      </c>
    </row>
    <row r="542" spans="1:14" x14ac:dyDescent="0.35">
      <c r="A542" s="7" t="s">
        <v>1454</v>
      </c>
      <c r="B542" s="7" t="s">
        <v>1005</v>
      </c>
      <c r="C542" s="7" t="s">
        <v>1006</v>
      </c>
      <c r="D542" s="7" t="s">
        <v>40</v>
      </c>
      <c r="E542" s="7" t="s">
        <v>41</v>
      </c>
      <c r="F542" s="7" t="s">
        <v>42</v>
      </c>
      <c r="G542" s="7" t="s">
        <v>43</v>
      </c>
      <c r="H542" s="7">
        <v>3</v>
      </c>
      <c r="I542" s="2">
        <v>201.56</v>
      </c>
      <c r="J542" s="2">
        <f>Tabla2[[#This Row],[Quantity]]*I542</f>
        <v>604.68000000000006</v>
      </c>
      <c r="K542" s="6">
        <f>MONTH(Tabla2[[#This Row],[OrderDate]])</f>
        <v>5</v>
      </c>
      <c r="L542" s="6">
        <f>YEAR(Tabla2[[#This Row],[OrderDate]])</f>
        <v>2024</v>
      </c>
      <c r="M542" s="7" t="s">
        <v>1455</v>
      </c>
      <c r="N542" s="7" t="s">
        <v>91</v>
      </c>
    </row>
    <row r="543" spans="1:14" x14ac:dyDescent="0.35">
      <c r="A543" s="7" t="s">
        <v>1456</v>
      </c>
      <c r="B543" s="7" t="s">
        <v>1354</v>
      </c>
      <c r="C543" s="7" t="s">
        <v>1355</v>
      </c>
      <c r="D543" s="7" t="s">
        <v>14</v>
      </c>
      <c r="E543" s="7" t="s">
        <v>266</v>
      </c>
      <c r="F543" s="7" t="s">
        <v>25</v>
      </c>
      <c r="G543" s="7" t="s">
        <v>74</v>
      </c>
      <c r="H543" s="7">
        <v>4</v>
      </c>
      <c r="I543" s="2">
        <v>423.65</v>
      </c>
      <c r="J543" s="2">
        <f>Tabla2[[#This Row],[Quantity]]*I543</f>
        <v>1694.6</v>
      </c>
      <c r="K543" s="6">
        <f>MONTH(Tabla2[[#This Row],[OrderDate]])</f>
        <v>2</v>
      </c>
      <c r="L543" s="6">
        <f>YEAR(Tabla2[[#This Row],[OrderDate]])</f>
        <v>2026</v>
      </c>
      <c r="M543" s="7" t="s">
        <v>650</v>
      </c>
      <c r="N543" s="7" t="s">
        <v>45</v>
      </c>
    </row>
    <row r="544" spans="1:14" x14ac:dyDescent="0.35">
      <c r="A544" s="7" t="s">
        <v>1457</v>
      </c>
      <c r="B544" s="7" t="s">
        <v>521</v>
      </c>
      <c r="C544" s="7" t="s">
        <v>522</v>
      </c>
      <c r="D544" s="7" t="s">
        <v>14</v>
      </c>
      <c r="E544" s="7" t="s">
        <v>15</v>
      </c>
      <c r="F544" s="7" t="s">
        <v>25</v>
      </c>
      <c r="G544" s="7" t="s">
        <v>26</v>
      </c>
      <c r="H544" s="7">
        <v>4</v>
      </c>
      <c r="I544" s="2">
        <v>1309.9000000000001</v>
      </c>
      <c r="J544" s="2">
        <f>Tabla2[[#This Row],[Quantity]]*I544</f>
        <v>5239.6000000000004</v>
      </c>
      <c r="K544" s="6">
        <f>MONTH(Tabla2[[#This Row],[OrderDate]])</f>
        <v>5</v>
      </c>
      <c r="L544" s="6">
        <f>YEAR(Tabla2[[#This Row],[OrderDate]])</f>
        <v>2025</v>
      </c>
      <c r="M544" s="7" t="s">
        <v>1458</v>
      </c>
      <c r="N544" s="7" t="s">
        <v>45</v>
      </c>
    </row>
    <row r="545" spans="1:14" x14ac:dyDescent="0.35">
      <c r="A545" s="7" t="s">
        <v>1459</v>
      </c>
      <c r="B545" s="7" t="s">
        <v>1428</v>
      </c>
      <c r="C545" s="7" t="s">
        <v>1429</v>
      </c>
      <c r="D545" s="7" t="s">
        <v>14</v>
      </c>
      <c r="E545" s="7" t="s">
        <v>15</v>
      </c>
      <c r="F545" s="7" t="s">
        <v>101</v>
      </c>
      <c r="G545" s="7" t="s">
        <v>373</v>
      </c>
      <c r="H545" s="7">
        <v>5</v>
      </c>
      <c r="I545" s="2">
        <v>588.08000000000004</v>
      </c>
      <c r="J545" s="2">
        <f>Tabla2[[#This Row],[Quantity]]*I545</f>
        <v>2940.4</v>
      </c>
      <c r="K545" s="6">
        <f>MONTH(Tabla2[[#This Row],[OrderDate]])</f>
        <v>12</v>
      </c>
      <c r="L545" s="6">
        <f>YEAR(Tabla2[[#This Row],[OrderDate]])</f>
        <v>2025</v>
      </c>
      <c r="M545" s="7" t="s">
        <v>1460</v>
      </c>
      <c r="N545" s="7" t="s">
        <v>28</v>
      </c>
    </row>
    <row r="546" spans="1:14" x14ac:dyDescent="0.35">
      <c r="A546" s="7" t="s">
        <v>1461</v>
      </c>
      <c r="B546" s="7" t="s">
        <v>791</v>
      </c>
      <c r="C546" s="7" t="s">
        <v>792</v>
      </c>
      <c r="D546" s="7" t="s">
        <v>32</v>
      </c>
      <c r="E546" s="7" t="s">
        <v>61</v>
      </c>
      <c r="F546" s="7" t="s">
        <v>16</v>
      </c>
      <c r="G546" s="7" t="s">
        <v>148</v>
      </c>
      <c r="H546" s="7">
        <v>4</v>
      </c>
      <c r="I546" s="2">
        <v>309</v>
      </c>
      <c r="J546" s="2">
        <f>Tabla2[[#This Row],[Quantity]]*I546</f>
        <v>1236</v>
      </c>
      <c r="K546" s="6">
        <f>MONTH(Tabla2[[#This Row],[OrderDate]])</f>
        <v>6</v>
      </c>
      <c r="L546" s="6">
        <f>YEAR(Tabla2[[#This Row],[OrderDate]])</f>
        <v>2025</v>
      </c>
      <c r="M546" s="7" t="s">
        <v>1157</v>
      </c>
      <c r="N546" s="7" t="s">
        <v>45</v>
      </c>
    </row>
    <row r="547" spans="1:14" x14ac:dyDescent="0.35">
      <c r="A547" s="7" t="s">
        <v>1462</v>
      </c>
      <c r="B547" s="7" t="s">
        <v>264</v>
      </c>
      <c r="C547" s="7" t="s">
        <v>265</v>
      </c>
      <c r="D547" s="7" t="s">
        <v>40</v>
      </c>
      <c r="E547" s="7" t="s">
        <v>79</v>
      </c>
      <c r="F547" s="7" t="s">
        <v>101</v>
      </c>
      <c r="G547" s="7" t="s">
        <v>102</v>
      </c>
      <c r="H547" s="7">
        <v>1</v>
      </c>
      <c r="I547" s="2">
        <v>429.26</v>
      </c>
      <c r="J547" s="2">
        <f>Tabla2[[#This Row],[Quantity]]*I547</f>
        <v>429.26</v>
      </c>
      <c r="K547" s="6">
        <f>MONTH(Tabla2[[#This Row],[OrderDate]])</f>
        <v>12</v>
      </c>
      <c r="L547" s="6">
        <f>YEAR(Tabla2[[#This Row],[OrderDate]])</f>
        <v>2024</v>
      </c>
      <c r="M547" s="7" t="s">
        <v>277</v>
      </c>
      <c r="N547" s="7" t="s">
        <v>91</v>
      </c>
    </row>
    <row r="548" spans="1:14" x14ac:dyDescent="0.35">
      <c r="A548" s="7" t="s">
        <v>1463</v>
      </c>
      <c r="B548" s="7" t="s">
        <v>1464</v>
      </c>
      <c r="C548" s="7" t="s">
        <v>1465</v>
      </c>
      <c r="D548" s="7" t="s">
        <v>32</v>
      </c>
      <c r="E548" s="7" t="s">
        <v>61</v>
      </c>
      <c r="F548" s="7" t="s">
        <v>25</v>
      </c>
      <c r="G548" s="7" t="s">
        <v>34</v>
      </c>
      <c r="H548" s="7">
        <v>5</v>
      </c>
      <c r="I548" s="2">
        <v>428.54</v>
      </c>
      <c r="J548" s="2">
        <f>Tabla2[[#This Row],[Quantity]]*I548</f>
        <v>2142.7000000000003</v>
      </c>
      <c r="K548" s="6">
        <f>MONTH(Tabla2[[#This Row],[OrderDate]])</f>
        <v>4</v>
      </c>
      <c r="L548" s="6">
        <f>YEAR(Tabla2[[#This Row],[OrderDate]])</f>
        <v>2025</v>
      </c>
      <c r="M548" s="7" t="s">
        <v>1466</v>
      </c>
      <c r="N548" s="7" t="s">
        <v>45</v>
      </c>
    </row>
    <row r="549" spans="1:14" x14ac:dyDescent="0.35">
      <c r="A549" s="7" t="s">
        <v>1467</v>
      </c>
      <c r="B549" s="7" t="s">
        <v>98</v>
      </c>
      <c r="C549" s="7" t="s">
        <v>99</v>
      </c>
      <c r="D549" s="7" t="s">
        <v>14</v>
      </c>
      <c r="E549" s="7" t="s">
        <v>266</v>
      </c>
      <c r="F549" s="7" t="s">
        <v>50</v>
      </c>
      <c r="G549" s="7" t="s">
        <v>56</v>
      </c>
      <c r="H549" s="7">
        <v>1</v>
      </c>
      <c r="I549" s="2">
        <v>199.9</v>
      </c>
      <c r="J549" s="2">
        <f>Tabla2[[#This Row],[Quantity]]*I549</f>
        <v>199.9</v>
      </c>
      <c r="K549" s="6">
        <f>MONTH(Tabla2[[#This Row],[OrderDate]])</f>
        <v>3</v>
      </c>
      <c r="L549" s="6">
        <f>YEAR(Tabla2[[#This Row],[OrderDate]])</f>
        <v>2025</v>
      </c>
      <c r="M549" s="7" t="s">
        <v>1468</v>
      </c>
      <c r="N549" s="7" t="s">
        <v>36</v>
      </c>
    </row>
    <row r="550" spans="1:14" x14ac:dyDescent="0.35">
      <c r="A550" s="7" t="s">
        <v>1469</v>
      </c>
      <c r="B550" s="7" t="s">
        <v>922</v>
      </c>
      <c r="C550" s="7" t="s">
        <v>923</v>
      </c>
      <c r="D550" s="7" t="s">
        <v>40</v>
      </c>
      <c r="E550" s="7" t="s">
        <v>79</v>
      </c>
      <c r="F550" s="7" t="s">
        <v>25</v>
      </c>
      <c r="G550" s="7" t="s">
        <v>62</v>
      </c>
      <c r="H550" s="7">
        <v>4</v>
      </c>
      <c r="I550" s="2">
        <v>1373.03</v>
      </c>
      <c r="J550" s="2">
        <f>Tabla2[[#This Row],[Quantity]]*I550</f>
        <v>5492.12</v>
      </c>
      <c r="K550" s="6">
        <f>MONTH(Tabla2[[#This Row],[OrderDate]])</f>
        <v>12</v>
      </c>
      <c r="L550" s="6">
        <f>YEAR(Tabla2[[#This Row],[OrderDate]])</f>
        <v>2024</v>
      </c>
      <c r="M550" s="7" t="s">
        <v>1470</v>
      </c>
      <c r="N550" s="7" t="s">
        <v>45</v>
      </c>
    </row>
    <row r="551" spans="1:14" x14ac:dyDescent="0.35">
      <c r="A551" s="7" t="s">
        <v>1471</v>
      </c>
      <c r="B551" s="7" t="s">
        <v>817</v>
      </c>
      <c r="C551" s="7" t="s">
        <v>818</v>
      </c>
      <c r="D551" s="7" t="s">
        <v>67</v>
      </c>
      <c r="E551" s="7" t="s">
        <v>68</v>
      </c>
      <c r="F551" s="7" t="s">
        <v>50</v>
      </c>
      <c r="G551" s="7" t="s">
        <v>51</v>
      </c>
      <c r="H551" s="7">
        <v>1</v>
      </c>
      <c r="I551" s="2">
        <v>566.27</v>
      </c>
      <c r="J551" s="2">
        <f>Tabla2[[#This Row],[Quantity]]*I551</f>
        <v>566.27</v>
      </c>
      <c r="K551" s="6">
        <f>MONTH(Tabla2[[#This Row],[OrderDate]])</f>
        <v>2</v>
      </c>
      <c r="L551" s="6">
        <f>YEAR(Tabla2[[#This Row],[OrderDate]])</f>
        <v>2024</v>
      </c>
      <c r="M551" s="7" t="s">
        <v>546</v>
      </c>
      <c r="N551" s="7" t="s">
        <v>36</v>
      </c>
    </row>
    <row r="552" spans="1:14" x14ac:dyDescent="0.35">
      <c r="A552" s="7" t="s">
        <v>1472</v>
      </c>
      <c r="B552" s="7" t="s">
        <v>947</v>
      </c>
      <c r="C552" s="7" t="s">
        <v>948</v>
      </c>
      <c r="D552" s="7" t="s">
        <v>67</v>
      </c>
      <c r="E552" s="7" t="s">
        <v>68</v>
      </c>
      <c r="F552" s="7" t="s">
        <v>42</v>
      </c>
      <c r="G552" s="7" t="s">
        <v>89</v>
      </c>
      <c r="H552" s="7">
        <v>1</v>
      </c>
      <c r="I552" s="2">
        <v>1359.58</v>
      </c>
      <c r="J552" s="2">
        <f>Tabla2[[#This Row],[Quantity]]*I552</f>
        <v>1359.58</v>
      </c>
      <c r="K552" s="6">
        <f>MONTH(Tabla2[[#This Row],[OrderDate]])</f>
        <v>4</v>
      </c>
      <c r="L552" s="6">
        <f>YEAR(Tabla2[[#This Row],[OrderDate]])</f>
        <v>2025</v>
      </c>
      <c r="M552" s="7" t="s">
        <v>1075</v>
      </c>
      <c r="N552" s="7" t="s">
        <v>45</v>
      </c>
    </row>
    <row r="553" spans="1:14" x14ac:dyDescent="0.35">
      <c r="A553" s="7" t="s">
        <v>1473</v>
      </c>
      <c r="B553" s="7" t="s">
        <v>113</v>
      </c>
      <c r="C553" s="7" t="s">
        <v>114</v>
      </c>
      <c r="D553" s="7" t="s">
        <v>23</v>
      </c>
      <c r="E553" s="7" t="s">
        <v>49</v>
      </c>
      <c r="F553" s="7" t="s">
        <v>16</v>
      </c>
      <c r="G553" s="7" t="s">
        <v>182</v>
      </c>
      <c r="H553" s="7">
        <v>5</v>
      </c>
      <c r="I553" s="2">
        <v>181.94</v>
      </c>
      <c r="J553" s="2">
        <f>Tabla2[[#This Row],[Quantity]]*I553</f>
        <v>909.7</v>
      </c>
      <c r="K553" s="6">
        <f>MONTH(Tabla2[[#This Row],[OrderDate]])</f>
        <v>3</v>
      </c>
      <c r="L553" s="6">
        <f>YEAR(Tabla2[[#This Row],[OrderDate]])</f>
        <v>2025</v>
      </c>
      <c r="M553" s="7" t="s">
        <v>1474</v>
      </c>
      <c r="N553" s="7" t="s">
        <v>91</v>
      </c>
    </row>
    <row r="554" spans="1:14" x14ac:dyDescent="0.35">
      <c r="A554" s="7" t="s">
        <v>1475</v>
      </c>
      <c r="B554" s="7" t="s">
        <v>59</v>
      </c>
      <c r="C554" s="7" t="s">
        <v>60</v>
      </c>
      <c r="D554" s="7" t="s">
        <v>67</v>
      </c>
      <c r="E554" s="7" t="s">
        <v>68</v>
      </c>
      <c r="F554" s="7" t="s">
        <v>101</v>
      </c>
      <c r="G554" s="7" t="s">
        <v>237</v>
      </c>
      <c r="H554" s="7">
        <v>5</v>
      </c>
      <c r="I554" s="2">
        <v>163.15</v>
      </c>
      <c r="J554" s="2">
        <f>Tabla2[[#This Row],[Quantity]]*I554</f>
        <v>815.75</v>
      </c>
      <c r="K554" s="6">
        <f>MONTH(Tabla2[[#This Row],[OrderDate]])</f>
        <v>11</v>
      </c>
      <c r="L554" s="6">
        <f>YEAR(Tabla2[[#This Row],[OrderDate]])</f>
        <v>2024</v>
      </c>
      <c r="M554" s="7" t="s">
        <v>906</v>
      </c>
      <c r="N554" s="7" t="s">
        <v>36</v>
      </c>
    </row>
    <row r="555" spans="1:14" x14ac:dyDescent="0.35">
      <c r="A555" s="7" t="s">
        <v>1476</v>
      </c>
      <c r="B555" s="7" t="s">
        <v>460</v>
      </c>
      <c r="C555" s="7" t="s">
        <v>461</v>
      </c>
      <c r="D555" s="7" t="s">
        <v>40</v>
      </c>
      <c r="E555" s="7" t="s">
        <v>79</v>
      </c>
      <c r="F555" s="7" t="s">
        <v>50</v>
      </c>
      <c r="G555" s="7" t="s">
        <v>51</v>
      </c>
      <c r="H555" s="7">
        <v>2</v>
      </c>
      <c r="I555" s="2">
        <v>229.11</v>
      </c>
      <c r="J555" s="2">
        <f>Tabla2[[#This Row],[Quantity]]*I555</f>
        <v>458.22</v>
      </c>
      <c r="K555" s="6">
        <f>MONTH(Tabla2[[#This Row],[OrderDate]])</f>
        <v>7</v>
      </c>
      <c r="L555" s="6">
        <f>YEAR(Tabla2[[#This Row],[OrderDate]])</f>
        <v>2025</v>
      </c>
      <c r="M555" s="7" t="s">
        <v>1054</v>
      </c>
      <c r="N555" s="7" t="s">
        <v>28</v>
      </c>
    </row>
    <row r="556" spans="1:14" x14ac:dyDescent="0.35">
      <c r="A556" s="7" t="s">
        <v>1477</v>
      </c>
      <c r="B556" s="7" t="s">
        <v>633</v>
      </c>
      <c r="C556" s="7" t="s">
        <v>634</v>
      </c>
      <c r="D556" s="7" t="s">
        <v>40</v>
      </c>
      <c r="E556" s="7" t="s">
        <v>120</v>
      </c>
      <c r="F556" s="7" t="s">
        <v>50</v>
      </c>
      <c r="G556" s="7" t="s">
        <v>56</v>
      </c>
      <c r="H556" s="7">
        <v>2</v>
      </c>
      <c r="I556" s="2">
        <v>890.12</v>
      </c>
      <c r="J556" s="2">
        <f>Tabla2[[#This Row],[Quantity]]*I556</f>
        <v>1780.24</v>
      </c>
      <c r="K556" s="6">
        <f>MONTH(Tabla2[[#This Row],[OrderDate]])</f>
        <v>2</v>
      </c>
      <c r="L556" s="6">
        <f>YEAR(Tabla2[[#This Row],[OrderDate]])</f>
        <v>2026</v>
      </c>
      <c r="M556" s="7" t="s">
        <v>795</v>
      </c>
      <c r="N556" s="7" t="s">
        <v>19</v>
      </c>
    </row>
    <row r="557" spans="1:14" x14ac:dyDescent="0.35">
      <c r="A557" s="7" t="s">
        <v>1478</v>
      </c>
      <c r="B557" s="7" t="s">
        <v>1128</v>
      </c>
      <c r="C557" s="7" t="s">
        <v>1129</v>
      </c>
      <c r="D557" s="7" t="s">
        <v>40</v>
      </c>
      <c r="E557" s="7" t="s">
        <v>41</v>
      </c>
      <c r="F557" s="7" t="s">
        <v>25</v>
      </c>
      <c r="G557" s="7" t="s">
        <v>139</v>
      </c>
      <c r="H557" s="7">
        <v>4</v>
      </c>
      <c r="I557" s="2">
        <v>143.49</v>
      </c>
      <c r="J557" s="2">
        <f>Tabla2[[#This Row],[Quantity]]*I557</f>
        <v>573.96</v>
      </c>
      <c r="K557" s="6">
        <f>MONTH(Tabla2[[#This Row],[OrderDate]])</f>
        <v>12</v>
      </c>
      <c r="L557" s="6">
        <f>YEAR(Tabla2[[#This Row],[OrderDate]])</f>
        <v>2024</v>
      </c>
      <c r="M557" s="7" t="s">
        <v>1479</v>
      </c>
      <c r="N557" s="7" t="s">
        <v>91</v>
      </c>
    </row>
    <row r="558" spans="1:14" x14ac:dyDescent="0.35">
      <c r="A558" s="7" t="s">
        <v>1480</v>
      </c>
      <c r="B558" s="7" t="s">
        <v>59</v>
      </c>
      <c r="C558" s="7" t="s">
        <v>60</v>
      </c>
      <c r="D558" s="7" t="s">
        <v>14</v>
      </c>
      <c r="E558" s="7" t="s">
        <v>100</v>
      </c>
      <c r="F558" s="7" t="s">
        <v>42</v>
      </c>
      <c r="G558" s="7" t="s">
        <v>80</v>
      </c>
      <c r="H558" s="7">
        <v>1</v>
      </c>
      <c r="I558" s="2">
        <v>349.2</v>
      </c>
      <c r="J558" s="2">
        <f>Tabla2[[#This Row],[Quantity]]*I558</f>
        <v>349.2</v>
      </c>
      <c r="K558" s="6">
        <f>MONTH(Tabla2[[#This Row],[OrderDate]])</f>
        <v>6</v>
      </c>
      <c r="L558" s="6">
        <f>YEAR(Tabla2[[#This Row],[OrderDate]])</f>
        <v>2024</v>
      </c>
      <c r="M558" s="7" t="s">
        <v>1481</v>
      </c>
      <c r="N558" s="7" t="s">
        <v>36</v>
      </c>
    </row>
    <row r="559" spans="1:14" x14ac:dyDescent="0.35">
      <c r="A559" s="7" t="s">
        <v>1482</v>
      </c>
      <c r="B559" s="7" t="s">
        <v>1312</v>
      </c>
      <c r="C559" s="7" t="s">
        <v>1313</v>
      </c>
      <c r="D559" s="7" t="s">
        <v>23</v>
      </c>
      <c r="E559" s="7" t="s">
        <v>24</v>
      </c>
      <c r="F559" s="7" t="s">
        <v>25</v>
      </c>
      <c r="G559" s="7" t="s">
        <v>74</v>
      </c>
      <c r="H559" s="7">
        <v>3</v>
      </c>
      <c r="I559" s="2">
        <v>504.62</v>
      </c>
      <c r="J559" s="2">
        <f>Tabla2[[#This Row],[Quantity]]*I559</f>
        <v>1513.8600000000001</v>
      </c>
      <c r="K559" s="6">
        <f>MONTH(Tabla2[[#This Row],[OrderDate]])</f>
        <v>3</v>
      </c>
      <c r="L559" s="6">
        <f>YEAR(Tabla2[[#This Row],[OrderDate]])</f>
        <v>2026</v>
      </c>
      <c r="M559" s="7" t="s">
        <v>1483</v>
      </c>
      <c r="N559" s="7" t="s">
        <v>28</v>
      </c>
    </row>
    <row r="560" spans="1:14" x14ac:dyDescent="0.35">
      <c r="A560" s="7" t="s">
        <v>1484</v>
      </c>
      <c r="B560" s="7" t="s">
        <v>206</v>
      </c>
      <c r="C560" s="7" t="s">
        <v>207</v>
      </c>
      <c r="D560" s="7" t="s">
        <v>67</v>
      </c>
      <c r="E560" s="7" t="s">
        <v>68</v>
      </c>
      <c r="F560" s="7" t="s">
        <v>50</v>
      </c>
      <c r="G560" s="7" t="s">
        <v>170</v>
      </c>
      <c r="H560" s="7">
        <v>4</v>
      </c>
      <c r="I560" s="2">
        <v>852.25</v>
      </c>
      <c r="J560" s="2">
        <f>Tabla2[[#This Row],[Quantity]]*I560</f>
        <v>3409</v>
      </c>
      <c r="K560" s="6">
        <f>MONTH(Tabla2[[#This Row],[OrderDate]])</f>
        <v>10</v>
      </c>
      <c r="L560" s="6">
        <f>YEAR(Tabla2[[#This Row],[OrderDate]])</f>
        <v>2025</v>
      </c>
      <c r="M560" s="7" t="s">
        <v>1485</v>
      </c>
      <c r="N560" s="7" t="s">
        <v>36</v>
      </c>
    </row>
    <row r="561" spans="1:14" x14ac:dyDescent="0.35">
      <c r="A561" s="7" t="s">
        <v>1486</v>
      </c>
      <c r="B561" s="7" t="s">
        <v>446</v>
      </c>
      <c r="C561" s="7" t="s">
        <v>447</v>
      </c>
      <c r="D561" s="7" t="s">
        <v>32</v>
      </c>
      <c r="E561" s="7" t="s">
        <v>33</v>
      </c>
      <c r="F561" s="7" t="s">
        <v>42</v>
      </c>
      <c r="G561" s="7" t="s">
        <v>80</v>
      </c>
      <c r="H561" s="7">
        <v>5</v>
      </c>
      <c r="I561" s="2">
        <v>682.54</v>
      </c>
      <c r="J561" s="2">
        <f>Tabla2[[#This Row],[Quantity]]*I561</f>
        <v>3412.7</v>
      </c>
      <c r="K561" s="6">
        <f>MONTH(Tabla2[[#This Row],[OrderDate]])</f>
        <v>3</v>
      </c>
      <c r="L561" s="6">
        <f>YEAR(Tabla2[[#This Row],[OrderDate]])</f>
        <v>2025</v>
      </c>
      <c r="M561" s="7" t="s">
        <v>1487</v>
      </c>
      <c r="N561" s="7" t="s">
        <v>28</v>
      </c>
    </row>
    <row r="562" spans="1:14" x14ac:dyDescent="0.35">
      <c r="A562" s="7" t="s">
        <v>1488</v>
      </c>
      <c r="B562" s="7" t="s">
        <v>1046</v>
      </c>
      <c r="C562" s="7" t="s">
        <v>1047</v>
      </c>
      <c r="D562" s="7" t="s">
        <v>67</v>
      </c>
      <c r="E562" s="7" t="s">
        <v>115</v>
      </c>
      <c r="F562" s="7" t="s">
        <v>50</v>
      </c>
      <c r="G562" s="7" t="s">
        <v>216</v>
      </c>
      <c r="H562" s="7">
        <v>4</v>
      </c>
      <c r="I562" s="2">
        <v>752.43</v>
      </c>
      <c r="J562" s="2">
        <f>Tabla2[[#This Row],[Quantity]]*I562</f>
        <v>3009.72</v>
      </c>
      <c r="K562" s="6">
        <f>MONTH(Tabla2[[#This Row],[OrderDate]])</f>
        <v>2</v>
      </c>
      <c r="L562" s="6">
        <f>YEAR(Tabla2[[#This Row],[OrderDate]])</f>
        <v>2026</v>
      </c>
      <c r="M562" s="7" t="s">
        <v>1489</v>
      </c>
      <c r="N562" s="7" t="s">
        <v>45</v>
      </c>
    </row>
    <row r="563" spans="1:14" x14ac:dyDescent="0.35">
      <c r="A563" s="7" t="s">
        <v>1490</v>
      </c>
      <c r="B563" s="7" t="s">
        <v>1179</v>
      </c>
      <c r="C563" s="7" t="s">
        <v>1180</v>
      </c>
      <c r="D563" s="7" t="s">
        <v>67</v>
      </c>
      <c r="E563" s="7" t="s">
        <v>130</v>
      </c>
      <c r="F563" s="7" t="s">
        <v>50</v>
      </c>
      <c r="G563" s="7" t="s">
        <v>216</v>
      </c>
      <c r="H563" s="7">
        <v>4</v>
      </c>
      <c r="I563" s="2">
        <v>525.16</v>
      </c>
      <c r="J563" s="2">
        <f>Tabla2[[#This Row],[Quantity]]*I563</f>
        <v>2100.64</v>
      </c>
      <c r="K563" s="6">
        <f>MONTH(Tabla2[[#This Row],[OrderDate]])</f>
        <v>12</v>
      </c>
      <c r="L563" s="6">
        <f>YEAR(Tabla2[[#This Row],[OrderDate]])</f>
        <v>2025</v>
      </c>
      <c r="M563" s="7" t="s">
        <v>1491</v>
      </c>
      <c r="N563" s="7" t="s">
        <v>19</v>
      </c>
    </row>
    <row r="564" spans="1:14" x14ac:dyDescent="0.35">
      <c r="A564" s="7" t="s">
        <v>1492</v>
      </c>
      <c r="B564" s="7" t="s">
        <v>791</v>
      </c>
      <c r="C564" s="7" t="s">
        <v>792</v>
      </c>
      <c r="D564" s="7" t="s">
        <v>67</v>
      </c>
      <c r="E564" s="7" t="s">
        <v>115</v>
      </c>
      <c r="F564" s="7" t="s">
        <v>25</v>
      </c>
      <c r="G564" s="7" t="s">
        <v>34</v>
      </c>
      <c r="H564" s="7">
        <v>4</v>
      </c>
      <c r="I564" s="2">
        <v>495.86</v>
      </c>
      <c r="J564" s="2">
        <f>Tabla2[[#This Row],[Quantity]]*I564</f>
        <v>1983.44</v>
      </c>
      <c r="K564" s="6">
        <f>MONTH(Tabla2[[#This Row],[OrderDate]])</f>
        <v>11</v>
      </c>
      <c r="L564" s="6">
        <f>YEAR(Tabla2[[#This Row],[OrderDate]])</f>
        <v>2024</v>
      </c>
      <c r="M564" s="7" t="s">
        <v>906</v>
      </c>
      <c r="N564" s="7" t="s">
        <v>91</v>
      </c>
    </row>
    <row r="565" spans="1:14" x14ac:dyDescent="0.35">
      <c r="A565" s="7" t="s">
        <v>1493</v>
      </c>
      <c r="B565" s="7" t="s">
        <v>686</v>
      </c>
      <c r="C565" s="7" t="s">
        <v>687</v>
      </c>
      <c r="D565" s="7" t="s">
        <v>32</v>
      </c>
      <c r="E565" s="7" t="s">
        <v>203</v>
      </c>
      <c r="F565" s="7" t="s">
        <v>50</v>
      </c>
      <c r="G565" s="7" t="s">
        <v>56</v>
      </c>
      <c r="H565" s="7">
        <v>5</v>
      </c>
      <c r="I565" s="2">
        <v>177.93</v>
      </c>
      <c r="J565" s="2">
        <f>Tabla2[[#This Row],[Quantity]]*I565</f>
        <v>889.65000000000009</v>
      </c>
      <c r="K565" s="6">
        <f>MONTH(Tabla2[[#This Row],[OrderDate]])</f>
        <v>11</v>
      </c>
      <c r="L565" s="6">
        <f>YEAR(Tabla2[[#This Row],[OrderDate]])</f>
        <v>2024</v>
      </c>
      <c r="M565" s="7" t="s">
        <v>1494</v>
      </c>
      <c r="N565" s="7" t="s">
        <v>19</v>
      </c>
    </row>
    <row r="566" spans="1:14" x14ac:dyDescent="0.35">
      <c r="A566" s="7" t="s">
        <v>1495</v>
      </c>
      <c r="B566" s="7" t="s">
        <v>1496</v>
      </c>
      <c r="C566" s="7" t="s">
        <v>1497</v>
      </c>
      <c r="D566" s="7" t="s">
        <v>67</v>
      </c>
      <c r="E566" s="7" t="s">
        <v>68</v>
      </c>
      <c r="F566" s="7" t="s">
        <v>25</v>
      </c>
      <c r="G566" s="7" t="s">
        <v>139</v>
      </c>
      <c r="H566" s="7">
        <v>5</v>
      </c>
      <c r="I566" s="2">
        <v>125.97</v>
      </c>
      <c r="J566" s="2">
        <f>Tabla2[[#This Row],[Quantity]]*I566</f>
        <v>629.85</v>
      </c>
      <c r="K566" s="6">
        <f>MONTH(Tabla2[[#This Row],[OrderDate]])</f>
        <v>7</v>
      </c>
      <c r="L566" s="6">
        <f>YEAR(Tabla2[[#This Row],[OrderDate]])</f>
        <v>2024</v>
      </c>
      <c r="M566" s="7" t="s">
        <v>1498</v>
      </c>
      <c r="N566" s="7" t="s">
        <v>28</v>
      </c>
    </row>
    <row r="567" spans="1:14" x14ac:dyDescent="0.35">
      <c r="A567" s="7" t="s">
        <v>1499</v>
      </c>
      <c r="B567" s="7" t="s">
        <v>755</v>
      </c>
      <c r="C567" s="7" t="s">
        <v>756</v>
      </c>
      <c r="D567" s="7" t="s">
        <v>23</v>
      </c>
      <c r="E567" s="7" t="s">
        <v>24</v>
      </c>
      <c r="F567" s="7" t="s">
        <v>16</v>
      </c>
      <c r="G567" s="7" t="s">
        <v>17</v>
      </c>
      <c r="H567" s="7">
        <v>5</v>
      </c>
      <c r="I567" s="2">
        <v>887.4</v>
      </c>
      <c r="J567" s="2">
        <f>Tabla2[[#This Row],[Quantity]]*I567</f>
        <v>4437</v>
      </c>
      <c r="K567" s="6">
        <f>MONTH(Tabla2[[#This Row],[OrderDate]])</f>
        <v>9</v>
      </c>
      <c r="L567" s="6">
        <f>YEAR(Tabla2[[#This Row],[OrderDate]])</f>
        <v>2024</v>
      </c>
      <c r="M567" s="7" t="s">
        <v>1336</v>
      </c>
      <c r="N567" s="7" t="s">
        <v>45</v>
      </c>
    </row>
    <row r="568" spans="1:14" x14ac:dyDescent="0.35">
      <c r="A568" s="7" t="s">
        <v>1500</v>
      </c>
      <c r="B568" s="7" t="s">
        <v>1191</v>
      </c>
      <c r="C568" s="7" t="s">
        <v>1192</v>
      </c>
      <c r="D568" s="7" t="s">
        <v>14</v>
      </c>
      <c r="E568" s="7" t="s">
        <v>100</v>
      </c>
      <c r="F568" s="7" t="s">
        <v>25</v>
      </c>
      <c r="G568" s="7" t="s">
        <v>34</v>
      </c>
      <c r="H568" s="7">
        <v>2</v>
      </c>
      <c r="I568" s="2">
        <v>588.36</v>
      </c>
      <c r="J568" s="2">
        <f>Tabla2[[#This Row],[Quantity]]*I568</f>
        <v>1176.72</v>
      </c>
      <c r="K568" s="6">
        <f>MONTH(Tabla2[[#This Row],[OrderDate]])</f>
        <v>7</v>
      </c>
      <c r="L568" s="6">
        <f>YEAR(Tabla2[[#This Row],[OrderDate]])</f>
        <v>2025</v>
      </c>
      <c r="M568" s="7" t="s">
        <v>1501</v>
      </c>
      <c r="N568" s="7" t="s">
        <v>19</v>
      </c>
    </row>
    <row r="569" spans="1:14" x14ac:dyDescent="0.35">
      <c r="A569" s="7" t="s">
        <v>1502</v>
      </c>
      <c r="B569" s="7" t="s">
        <v>228</v>
      </c>
      <c r="C569" s="7" t="s">
        <v>229</v>
      </c>
      <c r="D569" s="7" t="s">
        <v>32</v>
      </c>
      <c r="E569" s="7" t="s">
        <v>33</v>
      </c>
      <c r="F569" s="7" t="s">
        <v>16</v>
      </c>
      <c r="G569" s="7" t="s">
        <v>230</v>
      </c>
      <c r="H569" s="7">
        <v>5</v>
      </c>
      <c r="I569" s="2">
        <v>324.95999999999998</v>
      </c>
      <c r="J569" s="2">
        <f>Tabla2[[#This Row],[Quantity]]*I569</f>
        <v>1624.8</v>
      </c>
      <c r="K569" s="6">
        <f>MONTH(Tabla2[[#This Row],[OrderDate]])</f>
        <v>6</v>
      </c>
      <c r="L569" s="6">
        <f>YEAR(Tabla2[[#This Row],[OrderDate]])</f>
        <v>2024</v>
      </c>
      <c r="M569" s="7" t="s">
        <v>1503</v>
      </c>
      <c r="N569" s="7" t="s">
        <v>19</v>
      </c>
    </row>
    <row r="570" spans="1:14" x14ac:dyDescent="0.35">
      <c r="A570" s="7" t="s">
        <v>1504</v>
      </c>
      <c r="B570" s="7" t="s">
        <v>77</v>
      </c>
      <c r="C570" s="7" t="s">
        <v>78</v>
      </c>
      <c r="D570" s="7" t="s">
        <v>32</v>
      </c>
      <c r="E570" s="7" t="s">
        <v>33</v>
      </c>
      <c r="F570" s="7" t="s">
        <v>50</v>
      </c>
      <c r="G570" s="7" t="s">
        <v>216</v>
      </c>
      <c r="H570" s="7">
        <v>5</v>
      </c>
      <c r="I570" s="2">
        <v>599.14</v>
      </c>
      <c r="J570" s="2">
        <f>Tabla2[[#This Row],[Quantity]]*I570</f>
        <v>2995.7</v>
      </c>
      <c r="K570" s="6">
        <f>MONTH(Tabla2[[#This Row],[OrderDate]])</f>
        <v>11</v>
      </c>
      <c r="L570" s="6">
        <f>YEAR(Tabla2[[#This Row],[OrderDate]])</f>
        <v>2025</v>
      </c>
      <c r="M570" s="7" t="s">
        <v>1505</v>
      </c>
      <c r="N570" s="7" t="s">
        <v>36</v>
      </c>
    </row>
    <row r="571" spans="1:14" x14ac:dyDescent="0.35">
      <c r="A571" s="7" t="s">
        <v>1506</v>
      </c>
      <c r="B571" s="7" t="s">
        <v>189</v>
      </c>
      <c r="C571" s="7" t="s">
        <v>190</v>
      </c>
      <c r="D571" s="7" t="s">
        <v>40</v>
      </c>
      <c r="E571" s="7" t="s">
        <v>79</v>
      </c>
      <c r="F571" s="7" t="s">
        <v>101</v>
      </c>
      <c r="G571" s="7" t="s">
        <v>237</v>
      </c>
      <c r="H571" s="7">
        <v>1</v>
      </c>
      <c r="I571" s="2">
        <v>1493.16</v>
      </c>
      <c r="J571" s="2">
        <f>Tabla2[[#This Row],[Quantity]]*I571</f>
        <v>1493.16</v>
      </c>
      <c r="K571" s="6">
        <f>MONTH(Tabla2[[#This Row],[OrderDate]])</f>
        <v>2</v>
      </c>
      <c r="L571" s="6">
        <f>YEAR(Tabla2[[#This Row],[OrderDate]])</f>
        <v>2026</v>
      </c>
      <c r="M571" s="7" t="s">
        <v>1507</v>
      </c>
      <c r="N571" s="7" t="s">
        <v>19</v>
      </c>
    </row>
    <row r="572" spans="1:14" x14ac:dyDescent="0.35">
      <c r="A572" s="7" t="s">
        <v>1508</v>
      </c>
      <c r="B572" s="7" t="s">
        <v>47</v>
      </c>
      <c r="C572" s="7" t="s">
        <v>48</v>
      </c>
      <c r="D572" s="7" t="s">
        <v>14</v>
      </c>
      <c r="E572" s="7" t="s">
        <v>95</v>
      </c>
      <c r="F572" s="7" t="s">
        <v>25</v>
      </c>
      <c r="G572" s="7" t="s">
        <v>26</v>
      </c>
      <c r="H572" s="7">
        <v>1</v>
      </c>
      <c r="I572" s="2">
        <v>1376.21</v>
      </c>
      <c r="J572" s="2">
        <f>Tabla2[[#This Row],[Quantity]]*I572</f>
        <v>1376.21</v>
      </c>
      <c r="K572" s="6">
        <f>MONTH(Tabla2[[#This Row],[OrderDate]])</f>
        <v>2</v>
      </c>
      <c r="L572" s="6">
        <f>YEAR(Tabla2[[#This Row],[OrderDate]])</f>
        <v>2024</v>
      </c>
      <c r="M572" s="7" t="s">
        <v>107</v>
      </c>
      <c r="N572" s="7" t="s">
        <v>36</v>
      </c>
    </row>
    <row r="573" spans="1:14" x14ac:dyDescent="0.35">
      <c r="A573" s="7" t="s">
        <v>1509</v>
      </c>
      <c r="B573" s="7" t="s">
        <v>1510</v>
      </c>
      <c r="C573" s="7" t="s">
        <v>1511</v>
      </c>
      <c r="D573" s="7" t="s">
        <v>67</v>
      </c>
      <c r="E573" s="7" t="s">
        <v>68</v>
      </c>
      <c r="F573" s="7" t="s">
        <v>42</v>
      </c>
      <c r="G573" s="7" t="s">
        <v>170</v>
      </c>
      <c r="H573" s="7">
        <v>2</v>
      </c>
      <c r="I573" s="2">
        <v>493.84</v>
      </c>
      <c r="J573" s="2">
        <f>Tabla2[[#This Row],[Quantity]]*I573</f>
        <v>987.68</v>
      </c>
      <c r="K573" s="6">
        <f>MONTH(Tabla2[[#This Row],[OrderDate]])</f>
        <v>11</v>
      </c>
      <c r="L573" s="6">
        <f>YEAR(Tabla2[[#This Row],[OrderDate]])</f>
        <v>2024</v>
      </c>
      <c r="M573" s="7" t="s">
        <v>1512</v>
      </c>
      <c r="N573" s="7" t="s">
        <v>19</v>
      </c>
    </row>
    <row r="574" spans="1:14" x14ac:dyDescent="0.35">
      <c r="A574" s="7" t="s">
        <v>1513</v>
      </c>
      <c r="B574" s="7" t="s">
        <v>180</v>
      </c>
      <c r="C574" s="7" t="s">
        <v>181</v>
      </c>
      <c r="D574" s="7" t="s">
        <v>67</v>
      </c>
      <c r="E574" s="7" t="s">
        <v>115</v>
      </c>
      <c r="F574" s="7" t="s">
        <v>16</v>
      </c>
      <c r="G574" s="7" t="s">
        <v>230</v>
      </c>
      <c r="H574" s="7">
        <v>1</v>
      </c>
      <c r="I574" s="2">
        <v>1222.45</v>
      </c>
      <c r="J574" s="2">
        <f>Tabla2[[#This Row],[Quantity]]*I574</f>
        <v>1222.45</v>
      </c>
      <c r="K574" s="6">
        <f>MONTH(Tabla2[[#This Row],[OrderDate]])</f>
        <v>3</v>
      </c>
      <c r="L574" s="6">
        <f>YEAR(Tabla2[[#This Row],[OrderDate]])</f>
        <v>2025</v>
      </c>
      <c r="M574" s="7" t="s">
        <v>952</v>
      </c>
      <c r="N574" s="7" t="s">
        <v>28</v>
      </c>
    </row>
    <row r="575" spans="1:14" x14ac:dyDescent="0.35">
      <c r="A575" s="7" t="s">
        <v>1514</v>
      </c>
      <c r="B575" s="7" t="s">
        <v>1496</v>
      </c>
      <c r="C575" s="7" t="s">
        <v>1497</v>
      </c>
      <c r="D575" s="7" t="s">
        <v>14</v>
      </c>
      <c r="E575" s="7" t="s">
        <v>15</v>
      </c>
      <c r="F575" s="7" t="s">
        <v>50</v>
      </c>
      <c r="G575" s="7" t="s">
        <v>51</v>
      </c>
      <c r="H575" s="7">
        <v>3</v>
      </c>
      <c r="I575" s="2">
        <v>1251</v>
      </c>
      <c r="J575" s="2">
        <f>Tabla2[[#This Row],[Quantity]]*I575</f>
        <v>3753</v>
      </c>
      <c r="K575" s="6">
        <f>MONTH(Tabla2[[#This Row],[OrderDate]])</f>
        <v>1</v>
      </c>
      <c r="L575" s="6">
        <f>YEAR(Tabla2[[#This Row],[OrderDate]])</f>
        <v>2026</v>
      </c>
      <c r="M575" s="7" t="s">
        <v>1048</v>
      </c>
      <c r="N575" s="7" t="s">
        <v>45</v>
      </c>
    </row>
    <row r="576" spans="1:14" x14ac:dyDescent="0.35">
      <c r="A576" s="7" t="s">
        <v>1515</v>
      </c>
      <c r="B576" s="7" t="s">
        <v>1516</v>
      </c>
      <c r="C576" s="7" t="s">
        <v>1517</v>
      </c>
      <c r="D576" s="7" t="s">
        <v>14</v>
      </c>
      <c r="E576" s="7" t="s">
        <v>125</v>
      </c>
      <c r="F576" s="7" t="s">
        <v>16</v>
      </c>
      <c r="G576" s="7" t="s">
        <v>230</v>
      </c>
      <c r="H576" s="7">
        <v>4</v>
      </c>
      <c r="I576" s="2">
        <v>1028.29</v>
      </c>
      <c r="J576" s="2">
        <f>Tabla2[[#This Row],[Quantity]]*I576</f>
        <v>4113.16</v>
      </c>
      <c r="K576" s="6">
        <f>MONTH(Tabla2[[#This Row],[OrderDate]])</f>
        <v>8</v>
      </c>
      <c r="L576" s="6">
        <f>YEAR(Tabla2[[#This Row],[OrderDate]])</f>
        <v>2024</v>
      </c>
      <c r="M576" s="7" t="s">
        <v>1518</v>
      </c>
      <c r="N576" s="7" t="s">
        <v>28</v>
      </c>
    </row>
    <row r="577" spans="1:14" x14ac:dyDescent="0.35">
      <c r="A577" s="7" t="s">
        <v>1519</v>
      </c>
      <c r="B577" s="7" t="s">
        <v>435</v>
      </c>
      <c r="C577" s="7" t="s">
        <v>436</v>
      </c>
      <c r="D577" s="7" t="s">
        <v>67</v>
      </c>
      <c r="E577" s="7" t="s">
        <v>130</v>
      </c>
      <c r="F577" s="7" t="s">
        <v>42</v>
      </c>
      <c r="G577" s="7" t="s">
        <v>170</v>
      </c>
      <c r="H577" s="7">
        <v>5</v>
      </c>
      <c r="I577" s="2">
        <v>1387.23</v>
      </c>
      <c r="J577" s="2">
        <f>Tabla2[[#This Row],[Quantity]]*I577</f>
        <v>6936.15</v>
      </c>
      <c r="K577" s="6">
        <f>MONTH(Tabla2[[#This Row],[OrderDate]])</f>
        <v>8</v>
      </c>
      <c r="L577" s="6">
        <f>YEAR(Tabla2[[#This Row],[OrderDate]])</f>
        <v>2024</v>
      </c>
      <c r="M577" s="7" t="s">
        <v>1520</v>
      </c>
      <c r="N577" s="7" t="s">
        <v>36</v>
      </c>
    </row>
    <row r="578" spans="1:14" x14ac:dyDescent="0.35">
      <c r="A578" s="7" t="s">
        <v>1521</v>
      </c>
      <c r="B578" s="7" t="s">
        <v>470</v>
      </c>
      <c r="C578" s="7" t="s">
        <v>471</v>
      </c>
      <c r="D578" s="7" t="s">
        <v>23</v>
      </c>
      <c r="E578" s="7" t="s">
        <v>338</v>
      </c>
      <c r="F578" s="7" t="s">
        <v>101</v>
      </c>
      <c r="G578" s="7" t="s">
        <v>237</v>
      </c>
      <c r="H578" s="7">
        <v>2</v>
      </c>
      <c r="I578" s="2">
        <v>613.28</v>
      </c>
      <c r="J578" s="2">
        <f>Tabla2[[#This Row],[Quantity]]*I578</f>
        <v>1226.56</v>
      </c>
      <c r="K578" s="6">
        <f>MONTH(Tabla2[[#This Row],[OrderDate]])</f>
        <v>7</v>
      </c>
      <c r="L578" s="6">
        <f>YEAR(Tabla2[[#This Row],[OrderDate]])</f>
        <v>2025</v>
      </c>
      <c r="M578" s="7" t="s">
        <v>371</v>
      </c>
      <c r="N578" s="7" t="s">
        <v>45</v>
      </c>
    </row>
    <row r="579" spans="1:14" x14ac:dyDescent="0.35">
      <c r="A579" s="7" t="s">
        <v>1522</v>
      </c>
      <c r="B579" s="7" t="s">
        <v>1523</v>
      </c>
      <c r="C579" s="7" t="s">
        <v>1524</v>
      </c>
      <c r="D579" s="7" t="s">
        <v>32</v>
      </c>
      <c r="E579" s="7" t="s">
        <v>203</v>
      </c>
      <c r="F579" s="7" t="s">
        <v>16</v>
      </c>
      <c r="G579" s="7" t="s">
        <v>177</v>
      </c>
      <c r="H579" s="7">
        <v>3</v>
      </c>
      <c r="I579" s="2">
        <v>450.84</v>
      </c>
      <c r="J579" s="2">
        <f>Tabla2[[#This Row],[Quantity]]*I579</f>
        <v>1352.52</v>
      </c>
      <c r="K579" s="6">
        <f>MONTH(Tabla2[[#This Row],[OrderDate]])</f>
        <v>5</v>
      </c>
      <c r="L579" s="6">
        <f>YEAR(Tabla2[[#This Row],[OrderDate]])</f>
        <v>2025</v>
      </c>
      <c r="M579" s="7" t="s">
        <v>1103</v>
      </c>
      <c r="N579" s="7" t="s">
        <v>36</v>
      </c>
    </row>
    <row r="580" spans="1:14" x14ac:dyDescent="0.35">
      <c r="A580" s="7" t="s">
        <v>1525</v>
      </c>
      <c r="B580" s="7" t="s">
        <v>785</v>
      </c>
      <c r="C580" s="7" t="s">
        <v>786</v>
      </c>
      <c r="D580" s="7" t="s">
        <v>32</v>
      </c>
      <c r="E580" s="7" t="s">
        <v>203</v>
      </c>
      <c r="F580" s="7" t="s">
        <v>16</v>
      </c>
      <c r="G580" s="7" t="s">
        <v>230</v>
      </c>
      <c r="H580" s="7">
        <v>1</v>
      </c>
      <c r="I580" s="2">
        <v>77.56</v>
      </c>
      <c r="J580" s="2">
        <f>Tabla2[[#This Row],[Quantity]]*I580</f>
        <v>77.56</v>
      </c>
      <c r="K580" s="6">
        <f>MONTH(Tabla2[[#This Row],[OrderDate]])</f>
        <v>9</v>
      </c>
      <c r="L580" s="6">
        <f>YEAR(Tabla2[[#This Row],[OrderDate]])</f>
        <v>2025</v>
      </c>
      <c r="M580" s="7" t="s">
        <v>1032</v>
      </c>
      <c r="N580" s="7" t="s">
        <v>91</v>
      </c>
    </row>
    <row r="581" spans="1:14" x14ac:dyDescent="0.35">
      <c r="A581" s="7" t="s">
        <v>1526</v>
      </c>
      <c r="B581" s="7" t="s">
        <v>1340</v>
      </c>
      <c r="C581" s="7" t="s">
        <v>1341</v>
      </c>
      <c r="D581" s="7" t="s">
        <v>23</v>
      </c>
      <c r="E581" s="7" t="s">
        <v>338</v>
      </c>
      <c r="F581" s="7" t="s">
        <v>16</v>
      </c>
      <c r="G581" s="7" t="s">
        <v>230</v>
      </c>
      <c r="H581" s="7">
        <v>2</v>
      </c>
      <c r="I581" s="2">
        <v>1286.54</v>
      </c>
      <c r="J581" s="2">
        <f>Tabla2[[#This Row],[Quantity]]*I581</f>
        <v>2573.08</v>
      </c>
      <c r="K581" s="6">
        <f>MONTH(Tabla2[[#This Row],[OrderDate]])</f>
        <v>12</v>
      </c>
      <c r="L581" s="6">
        <f>YEAR(Tabla2[[#This Row],[OrderDate]])</f>
        <v>2024</v>
      </c>
      <c r="M581" s="7" t="s">
        <v>697</v>
      </c>
      <c r="N581" s="7" t="s">
        <v>91</v>
      </c>
    </row>
    <row r="582" spans="1:14" x14ac:dyDescent="0.35">
      <c r="A582" s="7" t="s">
        <v>1527</v>
      </c>
      <c r="B582" s="7" t="s">
        <v>711</v>
      </c>
      <c r="C582" s="7" t="s">
        <v>712</v>
      </c>
      <c r="D582" s="7" t="s">
        <v>14</v>
      </c>
      <c r="E582" s="7" t="s">
        <v>100</v>
      </c>
      <c r="F582" s="7" t="s">
        <v>101</v>
      </c>
      <c r="G582" s="7" t="s">
        <v>373</v>
      </c>
      <c r="H582" s="7">
        <v>1</v>
      </c>
      <c r="I582" s="2">
        <v>1422.83</v>
      </c>
      <c r="J582" s="2">
        <f>Tabla2[[#This Row],[Quantity]]*I582</f>
        <v>1422.83</v>
      </c>
      <c r="K582" s="6">
        <f>MONTH(Tabla2[[#This Row],[OrderDate]])</f>
        <v>12</v>
      </c>
      <c r="L582" s="6">
        <f>YEAR(Tabla2[[#This Row],[OrderDate]])</f>
        <v>2024</v>
      </c>
      <c r="M582" s="7" t="s">
        <v>1528</v>
      </c>
      <c r="N582" s="7" t="s">
        <v>36</v>
      </c>
    </row>
    <row r="583" spans="1:14" x14ac:dyDescent="0.35">
      <c r="A583" s="7" t="s">
        <v>1529</v>
      </c>
      <c r="B583" s="7" t="s">
        <v>703</v>
      </c>
      <c r="C583" s="7" t="s">
        <v>704</v>
      </c>
      <c r="D583" s="7" t="s">
        <v>14</v>
      </c>
      <c r="E583" s="7" t="s">
        <v>15</v>
      </c>
      <c r="F583" s="7" t="s">
        <v>25</v>
      </c>
      <c r="G583" s="7" t="s">
        <v>74</v>
      </c>
      <c r="H583" s="7">
        <v>3</v>
      </c>
      <c r="I583" s="2">
        <v>133.82</v>
      </c>
      <c r="J583" s="2">
        <f>Tabla2[[#This Row],[Quantity]]*I583</f>
        <v>401.46</v>
      </c>
      <c r="K583" s="6">
        <f>MONTH(Tabla2[[#This Row],[OrderDate]])</f>
        <v>10</v>
      </c>
      <c r="L583" s="6">
        <f>YEAR(Tabla2[[#This Row],[OrderDate]])</f>
        <v>2024</v>
      </c>
      <c r="M583" s="7" t="s">
        <v>1530</v>
      </c>
      <c r="N583" s="7" t="s">
        <v>45</v>
      </c>
    </row>
    <row r="584" spans="1:14" x14ac:dyDescent="0.35">
      <c r="A584" s="7" t="s">
        <v>1531</v>
      </c>
      <c r="B584" s="7" t="s">
        <v>1532</v>
      </c>
      <c r="C584" s="7" t="s">
        <v>1533</v>
      </c>
      <c r="D584" s="7" t="s">
        <v>14</v>
      </c>
      <c r="E584" s="7" t="s">
        <v>15</v>
      </c>
      <c r="F584" s="7" t="s">
        <v>42</v>
      </c>
      <c r="G584" s="7" t="s">
        <v>80</v>
      </c>
      <c r="H584" s="7">
        <v>4</v>
      </c>
      <c r="I584" s="2">
        <v>264.35000000000002</v>
      </c>
      <c r="J584" s="2">
        <f>Tabla2[[#This Row],[Quantity]]*I584</f>
        <v>1057.4000000000001</v>
      </c>
      <c r="K584" s="6">
        <f>MONTH(Tabla2[[#This Row],[OrderDate]])</f>
        <v>6</v>
      </c>
      <c r="L584" s="6">
        <f>YEAR(Tabla2[[#This Row],[OrderDate]])</f>
        <v>2024</v>
      </c>
      <c r="M584" s="7" t="s">
        <v>1534</v>
      </c>
      <c r="N584" s="7" t="s">
        <v>91</v>
      </c>
    </row>
    <row r="585" spans="1:14" x14ac:dyDescent="0.35">
      <c r="A585" s="7" t="s">
        <v>1535</v>
      </c>
      <c r="B585" s="7" t="s">
        <v>87</v>
      </c>
      <c r="C585" s="7" t="s">
        <v>88</v>
      </c>
      <c r="D585" s="7" t="s">
        <v>67</v>
      </c>
      <c r="E585" s="7" t="s">
        <v>130</v>
      </c>
      <c r="F585" s="7" t="s">
        <v>50</v>
      </c>
      <c r="G585" s="7" t="s">
        <v>51</v>
      </c>
      <c r="H585" s="7">
        <v>1</v>
      </c>
      <c r="I585" s="2">
        <v>1346.64</v>
      </c>
      <c r="J585" s="2">
        <f>Tabla2[[#This Row],[Quantity]]*I585</f>
        <v>1346.64</v>
      </c>
      <c r="K585" s="6">
        <f>MONTH(Tabla2[[#This Row],[OrderDate]])</f>
        <v>8</v>
      </c>
      <c r="L585" s="6">
        <f>YEAR(Tabla2[[#This Row],[OrderDate]])</f>
        <v>2024</v>
      </c>
      <c r="M585" s="7" t="s">
        <v>1536</v>
      </c>
      <c r="N585" s="7" t="s">
        <v>91</v>
      </c>
    </row>
    <row r="586" spans="1:14" x14ac:dyDescent="0.35">
      <c r="A586" s="7" t="s">
        <v>1537</v>
      </c>
      <c r="B586" s="7" t="s">
        <v>1159</v>
      </c>
      <c r="C586" s="7" t="s">
        <v>1160</v>
      </c>
      <c r="D586" s="7" t="s">
        <v>23</v>
      </c>
      <c r="E586" s="7" t="s">
        <v>338</v>
      </c>
      <c r="F586" s="7" t="s">
        <v>42</v>
      </c>
      <c r="G586" s="7" t="s">
        <v>225</v>
      </c>
      <c r="H586" s="7">
        <v>2</v>
      </c>
      <c r="I586" s="2">
        <v>1449.05</v>
      </c>
      <c r="J586" s="2">
        <f>Tabla2[[#This Row],[Quantity]]*I586</f>
        <v>2898.1</v>
      </c>
      <c r="K586" s="6">
        <f>MONTH(Tabla2[[#This Row],[OrderDate]])</f>
        <v>6</v>
      </c>
      <c r="L586" s="6">
        <f>YEAR(Tabla2[[#This Row],[OrderDate]])</f>
        <v>2025</v>
      </c>
      <c r="M586" s="7" t="s">
        <v>679</v>
      </c>
      <c r="N586" s="7" t="s">
        <v>45</v>
      </c>
    </row>
    <row r="587" spans="1:14" x14ac:dyDescent="0.35">
      <c r="A587" s="7" t="s">
        <v>1538</v>
      </c>
      <c r="B587" s="7" t="s">
        <v>1153</v>
      </c>
      <c r="C587" s="7" t="s">
        <v>1154</v>
      </c>
      <c r="D587" s="7" t="s">
        <v>23</v>
      </c>
      <c r="E587" s="7" t="s">
        <v>24</v>
      </c>
      <c r="F587" s="7" t="s">
        <v>16</v>
      </c>
      <c r="G587" s="7" t="s">
        <v>182</v>
      </c>
      <c r="H587" s="7">
        <v>4</v>
      </c>
      <c r="I587" s="2">
        <v>914.54</v>
      </c>
      <c r="J587" s="2">
        <f>Tabla2[[#This Row],[Quantity]]*I587</f>
        <v>3658.16</v>
      </c>
      <c r="K587" s="6">
        <f>MONTH(Tabla2[[#This Row],[OrderDate]])</f>
        <v>5</v>
      </c>
      <c r="L587" s="6">
        <f>YEAR(Tabla2[[#This Row],[OrderDate]])</f>
        <v>2025</v>
      </c>
      <c r="M587" s="7" t="s">
        <v>662</v>
      </c>
      <c r="N587" s="7" t="s">
        <v>36</v>
      </c>
    </row>
    <row r="588" spans="1:14" x14ac:dyDescent="0.35">
      <c r="A588" s="7" t="s">
        <v>1539</v>
      </c>
      <c r="B588" s="7" t="s">
        <v>412</v>
      </c>
      <c r="C588" s="7" t="s">
        <v>413</v>
      </c>
      <c r="D588" s="7" t="s">
        <v>14</v>
      </c>
      <c r="E588" s="7" t="s">
        <v>266</v>
      </c>
      <c r="F588" s="7" t="s">
        <v>50</v>
      </c>
      <c r="G588" s="7" t="s">
        <v>69</v>
      </c>
      <c r="H588" s="7">
        <v>4</v>
      </c>
      <c r="I588" s="2">
        <v>1476.69</v>
      </c>
      <c r="J588" s="2">
        <f>Tabla2[[#This Row],[Quantity]]*I588</f>
        <v>5906.76</v>
      </c>
      <c r="K588" s="6">
        <f>MONTH(Tabla2[[#This Row],[OrderDate]])</f>
        <v>10</v>
      </c>
      <c r="L588" s="6">
        <f>YEAR(Tabla2[[#This Row],[OrderDate]])</f>
        <v>2025</v>
      </c>
      <c r="M588" s="7" t="s">
        <v>1540</v>
      </c>
      <c r="N588" s="7" t="s">
        <v>36</v>
      </c>
    </row>
    <row r="589" spans="1:14" x14ac:dyDescent="0.35">
      <c r="A589" s="7" t="s">
        <v>1541</v>
      </c>
      <c r="B589" s="7" t="s">
        <v>146</v>
      </c>
      <c r="C589" s="7" t="s">
        <v>147</v>
      </c>
      <c r="D589" s="7" t="s">
        <v>32</v>
      </c>
      <c r="E589" s="7" t="s">
        <v>33</v>
      </c>
      <c r="F589" s="7" t="s">
        <v>101</v>
      </c>
      <c r="G589" s="7" t="s">
        <v>237</v>
      </c>
      <c r="H589" s="7">
        <v>3</v>
      </c>
      <c r="I589" s="2">
        <v>782.71</v>
      </c>
      <c r="J589" s="2">
        <f>Tabla2[[#This Row],[Quantity]]*I589</f>
        <v>2348.13</v>
      </c>
      <c r="K589" s="6">
        <f>MONTH(Tabla2[[#This Row],[OrderDate]])</f>
        <v>5</v>
      </c>
      <c r="L589" s="6">
        <f>YEAR(Tabla2[[#This Row],[OrderDate]])</f>
        <v>2024</v>
      </c>
      <c r="M589" s="7" t="s">
        <v>1542</v>
      </c>
      <c r="N589" s="7" t="s">
        <v>45</v>
      </c>
    </row>
    <row r="590" spans="1:14" x14ac:dyDescent="0.35">
      <c r="A590" s="7" t="s">
        <v>1543</v>
      </c>
      <c r="B590" s="7" t="s">
        <v>1464</v>
      </c>
      <c r="C590" s="7" t="s">
        <v>1465</v>
      </c>
      <c r="D590" s="7" t="s">
        <v>23</v>
      </c>
      <c r="E590" s="7" t="s">
        <v>338</v>
      </c>
      <c r="F590" s="7" t="s">
        <v>25</v>
      </c>
      <c r="G590" s="7" t="s">
        <v>74</v>
      </c>
      <c r="H590" s="7">
        <v>4</v>
      </c>
      <c r="I590" s="2">
        <v>1358.09</v>
      </c>
      <c r="J590" s="2">
        <f>Tabla2[[#This Row],[Quantity]]*I590</f>
        <v>5432.36</v>
      </c>
      <c r="K590" s="6">
        <f>MONTH(Tabla2[[#This Row],[OrderDate]])</f>
        <v>9</v>
      </c>
      <c r="L590" s="6">
        <f>YEAR(Tabla2[[#This Row],[OrderDate]])</f>
        <v>2025</v>
      </c>
      <c r="M590" s="7" t="s">
        <v>1544</v>
      </c>
      <c r="N590" s="7" t="s">
        <v>36</v>
      </c>
    </row>
    <row r="591" spans="1:14" x14ac:dyDescent="0.35">
      <c r="A591" s="7" t="s">
        <v>1545</v>
      </c>
      <c r="B591" s="7" t="s">
        <v>1428</v>
      </c>
      <c r="C591" s="7" t="s">
        <v>1429</v>
      </c>
      <c r="D591" s="7" t="s">
        <v>23</v>
      </c>
      <c r="E591" s="7" t="s">
        <v>24</v>
      </c>
      <c r="F591" s="7" t="s">
        <v>42</v>
      </c>
      <c r="G591" s="7" t="s">
        <v>43</v>
      </c>
      <c r="H591" s="7">
        <v>5</v>
      </c>
      <c r="I591" s="2">
        <v>383.1</v>
      </c>
      <c r="J591" s="2">
        <f>Tabla2[[#This Row],[Quantity]]*I591</f>
        <v>1915.5</v>
      </c>
      <c r="K591" s="6">
        <f>MONTH(Tabla2[[#This Row],[OrderDate]])</f>
        <v>12</v>
      </c>
      <c r="L591" s="6">
        <f>YEAR(Tabla2[[#This Row],[OrderDate]])</f>
        <v>2024</v>
      </c>
      <c r="M591" s="7" t="s">
        <v>27</v>
      </c>
      <c r="N591" s="7" t="s">
        <v>28</v>
      </c>
    </row>
    <row r="592" spans="1:14" x14ac:dyDescent="0.35">
      <c r="A592" s="7" t="s">
        <v>1546</v>
      </c>
      <c r="B592" s="7" t="s">
        <v>1191</v>
      </c>
      <c r="C592" s="7" t="s">
        <v>1192</v>
      </c>
      <c r="D592" s="7" t="s">
        <v>40</v>
      </c>
      <c r="E592" s="7" t="s">
        <v>41</v>
      </c>
      <c r="F592" s="7" t="s">
        <v>16</v>
      </c>
      <c r="G592" s="7" t="s">
        <v>17</v>
      </c>
      <c r="H592" s="7">
        <v>5</v>
      </c>
      <c r="I592" s="2">
        <v>1399.21</v>
      </c>
      <c r="J592" s="2">
        <f>Tabla2[[#This Row],[Quantity]]*I592</f>
        <v>6996.05</v>
      </c>
      <c r="K592" s="6">
        <f>MONTH(Tabla2[[#This Row],[OrderDate]])</f>
        <v>1</v>
      </c>
      <c r="L592" s="6">
        <f>YEAR(Tabla2[[#This Row],[OrderDate]])</f>
        <v>2025</v>
      </c>
      <c r="M592" s="7" t="s">
        <v>1547</v>
      </c>
      <c r="N592" s="7" t="s">
        <v>45</v>
      </c>
    </row>
    <row r="593" spans="1:14" x14ac:dyDescent="0.35">
      <c r="A593" s="7" t="s">
        <v>1548</v>
      </c>
      <c r="B593" s="7" t="s">
        <v>853</v>
      </c>
      <c r="C593" s="7" t="s">
        <v>854</v>
      </c>
      <c r="D593" s="7" t="s">
        <v>32</v>
      </c>
      <c r="E593" s="7" t="s">
        <v>33</v>
      </c>
      <c r="F593" s="7" t="s">
        <v>50</v>
      </c>
      <c r="G593" s="7" t="s">
        <v>69</v>
      </c>
      <c r="H593" s="7">
        <v>1</v>
      </c>
      <c r="I593" s="2">
        <v>563.28</v>
      </c>
      <c r="J593" s="2">
        <f>Tabla2[[#This Row],[Quantity]]*I593</f>
        <v>563.28</v>
      </c>
      <c r="K593" s="6">
        <f>MONTH(Tabla2[[#This Row],[OrderDate]])</f>
        <v>8</v>
      </c>
      <c r="L593" s="6">
        <f>YEAR(Tabla2[[#This Row],[OrderDate]])</f>
        <v>2024</v>
      </c>
      <c r="M593" s="7" t="s">
        <v>1549</v>
      </c>
      <c r="N593" s="7" t="s">
        <v>45</v>
      </c>
    </row>
    <row r="594" spans="1:14" x14ac:dyDescent="0.35">
      <c r="A594" s="7" t="s">
        <v>1550</v>
      </c>
      <c r="B594" s="7" t="s">
        <v>1149</v>
      </c>
      <c r="C594" s="7" t="s">
        <v>1150</v>
      </c>
      <c r="D594" s="7" t="s">
        <v>23</v>
      </c>
      <c r="E594" s="7" t="s">
        <v>24</v>
      </c>
      <c r="F594" s="7" t="s">
        <v>50</v>
      </c>
      <c r="G594" s="7" t="s">
        <v>56</v>
      </c>
      <c r="H594" s="7">
        <v>1</v>
      </c>
      <c r="I594" s="2">
        <v>979.64</v>
      </c>
      <c r="J594" s="2">
        <f>Tabla2[[#This Row],[Quantity]]*I594</f>
        <v>979.64</v>
      </c>
      <c r="K594" s="6">
        <f>MONTH(Tabla2[[#This Row],[OrderDate]])</f>
        <v>2</v>
      </c>
      <c r="L594" s="6">
        <f>YEAR(Tabla2[[#This Row],[OrderDate]])</f>
        <v>2026</v>
      </c>
      <c r="M594" s="7" t="s">
        <v>1551</v>
      </c>
      <c r="N594" s="7" t="s">
        <v>91</v>
      </c>
    </row>
    <row r="595" spans="1:14" x14ac:dyDescent="0.35">
      <c r="A595" s="7" t="s">
        <v>1552</v>
      </c>
      <c r="B595" s="7" t="s">
        <v>98</v>
      </c>
      <c r="C595" s="7" t="s">
        <v>99</v>
      </c>
      <c r="D595" s="7" t="s">
        <v>67</v>
      </c>
      <c r="E595" s="7" t="s">
        <v>115</v>
      </c>
      <c r="F595" s="7" t="s">
        <v>101</v>
      </c>
      <c r="G595" s="7" t="s">
        <v>165</v>
      </c>
      <c r="H595" s="7">
        <v>1</v>
      </c>
      <c r="I595" s="2">
        <v>301.27999999999997</v>
      </c>
      <c r="J595" s="2">
        <f>Tabla2[[#This Row],[Quantity]]*I595</f>
        <v>301.27999999999997</v>
      </c>
      <c r="K595" s="6">
        <f>MONTH(Tabla2[[#This Row],[OrderDate]])</f>
        <v>8</v>
      </c>
      <c r="L595" s="6">
        <f>YEAR(Tabla2[[#This Row],[OrderDate]])</f>
        <v>2025</v>
      </c>
      <c r="M595" s="7" t="s">
        <v>1553</v>
      </c>
      <c r="N595" s="7" t="s">
        <v>45</v>
      </c>
    </row>
    <row r="596" spans="1:14" x14ac:dyDescent="0.35">
      <c r="A596" s="7" t="s">
        <v>1554</v>
      </c>
      <c r="B596" s="7" t="s">
        <v>904</v>
      </c>
      <c r="C596" s="7" t="s">
        <v>905</v>
      </c>
      <c r="D596" s="7" t="s">
        <v>40</v>
      </c>
      <c r="E596" s="7" t="s">
        <v>79</v>
      </c>
      <c r="F596" s="7" t="s">
        <v>16</v>
      </c>
      <c r="G596" s="7" t="s">
        <v>177</v>
      </c>
      <c r="H596" s="7">
        <v>1</v>
      </c>
      <c r="I596" s="2">
        <v>437.48</v>
      </c>
      <c r="J596" s="2">
        <f>Tabla2[[#This Row],[Quantity]]*I596</f>
        <v>437.48</v>
      </c>
      <c r="K596" s="6">
        <f>MONTH(Tabla2[[#This Row],[OrderDate]])</f>
        <v>4</v>
      </c>
      <c r="L596" s="6">
        <f>YEAR(Tabla2[[#This Row],[OrderDate]])</f>
        <v>2024</v>
      </c>
      <c r="M596" s="7" t="s">
        <v>862</v>
      </c>
      <c r="N596" s="7" t="s">
        <v>19</v>
      </c>
    </row>
    <row r="597" spans="1:14" x14ac:dyDescent="0.35">
      <c r="A597" s="7" t="s">
        <v>1555</v>
      </c>
      <c r="B597" s="7" t="s">
        <v>1444</v>
      </c>
      <c r="C597" s="7" t="s">
        <v>1445</v>
      </c>
      <c r="D597" s="7" t="s">
        <v>32</v>
      </c>
      <c r="E597" s="7" t="s">
        <v>33</v>
      </c>
      <c r="F597" s="7" t="s">
        <v>42</v>
      </c>
      <c r="G597" s="7" t="s">
        <v>225</v>
      </c>
      <c r="H597" s="7">
        <v>3</v>
      </c>
      <c r="I597" s="2">
        <v>717.95</v>
      </c>
      <c r="J597" s="2">
        <f>Tabla2[[#This Row],[Quantity]]*I597</f>
        <v>2153.8500000000004</v>
      </c>
      <c r="K597" s="6">
        <f>MONTH(Tabla2[[#This Row],[OrderDate]])</f>
        <v>12</v>
      </c>
      <c r="L597" s="6">
        <f>YEAR(Tabla2[[#This Row],[OrderDate]])</f>
        <v>2024</v>
      </c>
      <c r="M597" s="7" t="s">
        <v>277</v>
      </c>
      <c r="N597" s="7" t="s">
        <v>19</v>
      </c>
    </row>
    <row r="598" spans="1:14" x14ac:dyDescent="0.35">
      <c r="A598" s="7" t="s">
        <v>1556</v>
      </c>
      <c r="B598" s="7" t="s">
        <v>751</v>
      </c>
      <c r="C598" s="7" t="s">
        <v>752</v>
      </c>
      <c r="D598" s="7" t="s">
        <v>32</v>
      </c>
      <c r="E598" s="7" t="s">
        <v>61</v>
      </c>
      <c r="F598" s="7" t="s">
        <v>42</v>
      </c>
      <c r="G598" s="7" t="s">
        <v>89</v>
      </c>
      <c r="H598" s="7">
        <v>5</v>
      </c>
      <c r="I598" s="2">
        <v>1293.53</v>
      </c>
      <c r="J598" s="2">
        <f>Tabla2[[#This Row],[Quantity]]*I598</f>
        <v>6467.65</v>
      </c>
      <c r="K598" s="6">
        <f>MONTH(Tabla2[[#This Row],[OrderDate]])</f>
        <v>2</v>
      </c>
      <c r="L598" s="6">
        <f>YEAR(Tabla2[[#This Row],[OrderDate]])</f>
        <v>2024</v>
      </c>
      <c r="M598" s="7" t="s">
        <v>546</v>
      </c>
      <c r="N598" s="7" t="s">
        <v>91</v>
      </c>
    </row>
    <row r="599" spans="1:14" x14ac:dyDescent="0.35">
      <c r="A599" s="7" t="s">
        <v>1557</v>
      </c>
      <c r="B599" s="7" t="s">
        <v>105</v>
      </c>
      <c r="C599" s="7" t="s">
        <v>106</v>
      </c>
      <c r="D599" s="7" t="s">
        <v>23</v>
      </c>
      <c r="E599" s="7" t="s">
        <v>338</v>
      </c>
      <c r="F599" s="7" t="s">
        <v>25</v>
      </c>
      <c r="G599" s="7" t="s">
        <v>62</v>
      </c>
      <c r="H599" s="7">
        <v>3</v>
      </c>
      <c r="I599" s="2">
        <v>148.72</v>
      </c>
      <c r="J599" s="2">
        <f>Tabla2[[#This Row],[Quantity]]*I599</f>
        <v>446.15999999999997</v>
      </c>
      <c r="K599" s="6">
        <f>MONTH(Tabla2[[#This Row],[OrderDate]])</f>
        <v>7</v>
      </c>
      <c r="L599" s="6">
        <f>YEAR(Tabla2[[#This Row],[OrderDate]])</f>
        <v>2024</v>
      </c>
      <c r="M599" s="7" t="s">
        <v>1558</v>
      </c>
      <c r="N599" s="7" t="s">
        <v>28</v>
      </c>
    </row>
    <row r="600" spans="1:14" x14ac:dyDescent="0.35">
      <c r="A600" s="7" t="s">
        <v>1559</v>
      </c>
      <c r="B600" s="7" t="s">
        <v>109</v>
      </c>
      <c r="C600" s="7" t="s">
        <v>110</v>
      </c>
      <c r="D600" s="7" t="s">
        <v>67</v>
      </c>
      <c r="E600" s="7" t="s">
        <v>68</v>
      </c>
      <c r="F600" s="7" t="s">
        <v>42</v>
      </c>
      <c r="G600" s="7" t="s">
        <v>43</v>
      </c>
      <c r="H600" s="7">
        <v>3</v>
      </c>
      <c r="I600" s="2">
        <v>811.33</v>
      </c>
      <c r="J600" s="2">
        <f>Tabla2[[#This Row],[Quantity]]*I600</f>
        <v>2433.9900000000002</v>
      </c>
      <c r="K600" s="6">
        <f>MONTH(Tabla2[[#This Row],[OrderDate]])</f>
        <v>10</v>
      </c>
      <c r="L600" s="6">
        <f>YEAR(Tabla2[[#This Row],[OrderDate]])</f>
        <v>2024</v>
      </c>
      <c r="M600" s="7" t="s">
        <v>1560</v>
      </c>
      <c r="N600" s="7" t="s">
        <v>91</v>
      </c>
    </row>
    <row r="601" spans="1:14" x14ac:dyDescent="0.35">
      <c r="A601" s="7" t="s">
        <v>1561</v>
      </c>
      <c r="B601" s="7" t="s">
        <v>751</v>
      </c>
      <c r="C601" s="7" t="s">
        <v>752</v>
      </c>
      <c r="D601" s="7" t="s">
        <v>67</v>
      </c>
      <c r="E601" s="7" t="s">
        <v>115</v>
      </c>
      <c r="F601" s="7" t="s">
        <v>25</v>
      </c>
      <c r="G601" s="7" t="s">
        <v>74</v>
      </c>
      <c r="H601" s="7">
        <v>3</v>
      </c>
      <c r="I601" s="2">
        <v>1029.08</v>
      </c>
      <c r="J601" s="2">
        <f>Tabla2[[#This Row],[Quantity]]*I601</f>
        <v>3087.24</v>
      </c>
      <c r="K601" s="6">
        <f>MONTH(Tabla2[[#This Row],[OrderDate]])</f>
        <v>6</v>
      </c>
      <c r="L601" s="6">
        <f>YEAR(Tabla2[[#This Row],[OrderDate]])</f>
        <v>2025</v>
      </c>
      <c r="M601" s="7" t="s">
        <v>1562</v>
      </c>
      <c r="N601" s="7" t="s">
        <v>28</v>
      </c>
    </row>
    <row r="602" spans="1:14" x14ac:dyDescent="0.35">
      <c r="A602" s="7" t="s">
        <v>1563</v>
      </c>
      <c r="B602" s="7" t="s">
        <v>699</v>
      </c>
      <c r="C602" s="7" t="s">
        <v>700</v>
      </c>
      <c r="D602" s="7" t="s">
        <v>67</v>
      </c>
      <c r="E602" s="7" t="s">
        <v>130</v>
      </c>
      <c r="F602" s="7" t="s">
        <v>50</v>
      </c>
      <c r="G602" s="7" t="s">
        <v>56</v>
      </c>
      <c r="H602" s="7">
        <v>4</v>
      </c>
      <c r="I602" s="2">
        <v>731.28</v>
      </c>
      <c r="J602" s="2">
        <f>Tabla2[[#This Row],[Quantity]]*I602</f>
        <v>2925.12</v>
      </c>
      <c r="K602" s="6">
        <f>MONTH(Tabla2[[#This Row],[OrderDate]])</f>
        <v>8</v>
      </c>
      <c r="L602" s="6">
        <f>YEAR(Tabla2[[#This Row],[OrderDate]])</f>
        <v>2024</v>
      </c>
      <c r="M602" s="7" t="s">
        <v>1564</v>
      </c>
      <c r="N602" s="7" t="s">
        <v>45</v>
      </c>
    </row>
    <row r="603" spans="1:14" x14ac:dyDescent="0.35">
      <c r="A603" s="7" t="s">
        <v>1565</v>
      </c>
      <c r="B603" s="7" t="s">
        <v>602</v>
      </c>
      <c r="C603" s="7" t="s">
        <v>603</v>
      </c>
      <c r="D603" s="7" t="s">
        <v>67</v>
      </c>
      <c r="E603" s="7" t="s">
        <v>68</v>
      </c>
      <c r="F603" s="7" t="s">
        <v>42</v>
      </c>
      <c r="G603" s="7" t="s">
        <v>170</v>
      </c>
      <c r="H603" s="7">
        <v>5</v>
      </c>
      <c r="I603" s="2">
        <v>987.87</v>
      </c>
      <c r="J603" s="2">
        <f>Tabla2[[#This Row],[Quantity]]*I603</f>
        <v>4939.3500000000004</v>
      </c>
      <c r="K603" s="6">
        <f>MONTH(Tabla2[[#This Row],[OrderDate]])</f>
        <v>2</v>
      </c>
      <c r="L603" s="6">
        <f>YEAR(Tabla2[[#This Row],[OrderDate]])</f>
        <v>2025</v>
      </c>
      <c r="M603" s="7" t="s">
        <v>777</v>
      </c>
      <c r="N603" s="7" t="s">
        <v>28</v>
      </c>
    </row>
    <row r="604" spans="1:14" x14ac:dyDescent="0.35">
      <c r="A604" s="7" t="s">
        <v>1566</v>
      </c>
      <c r="B604" s="7" t="s">
        <v>552</v>
      </c>
      <c r="C604" s="7" t="s">
        <v>553</v>
      </c>
      <c r="D604" s="7" t="s">
        <v>40</v>
      </c>
      <c r="E604" s="7" t="s">
        <v>120</v>
      </c>
      <c r="F604" s="7" t="s">
        <v>42</v>
      </c>
      <c r="G604" s="7" t="s">
        <v>43</v>
      </c>
      <c r="H604" s="7">
        <v>5</v>
      </c>
      <c r="I604" s="2">
        <v>1375.61</v>
      </c>
      <c r="J604" s="2">
        <f>Tabla2[[#This Row],[Quantity]]*I604</f>
        <v>6878.0499999999993</v>
      </c>
      <c r="K604" s="6">
        <f>MONTH(Tabla2[[#This Row],[OrderDate]])</f>
        <v>3</v>
      </c>
      <c r="L604" s="6">
        <f>YEAR(Tabla2[[#This Row],[OrderDate]])</f>
        <v>2025</v>
      </c>
      <c r="M604" s="7" t="s">
        <v>1567</v>
      </c>
      <c r="N604" s="7" t="s">
        <v>36</v>
      </c>
    </row>
    <row r="605" spans="1:14" x14ac:dyDescent="0.35">
      <c r="A605" s="7" t="s">
        <v>1568</v>
      </c>
      <c r="B605" s="7" t="s">
        <v>868</v>
      </c>
      <c r="C605" s="7" t="s">
        <v>869</v>
      </c>
      <c r="D605" s="7" t="s">
        <v>23</v>
      </c>
      <c r="E605" s="7" t="s">
        <v>24</v>
      </c>
      <c r="F605" s="7" t="s">
        <v>25</v>
      </c>
      <c r="G605" s="7" t="s">
        <v>26</v>
      </c>
      <c r="H605" s="7">
        <v>5</v>
      </c>
      <c r="I605" s="2">
        <v>1375.24</v>
      </c>
      <c r="J605" s="2">
        <f>Tabla2[[#This Row],[Quantity]]*I605</f>
        <v>6876.2</v>
      </c>
      <c r="K605" s="6">
        <f>MONTH(Tabla2[[#This Row],[OrderDate]])</f>
        <v>3</v>
      </c>
      <c r="L605" s="6">
        <f>YEAR(Tabla2[[#This Row],[OrderDate]])</f>
        <v>2026</v>
      </c>
      <c r="M605" s="7" t="s">
        <v>1569</v>
      </c>
      <c r="N605" s="7" t="s">
        <v>19</v>
      </c>
    </row>
    <row r="606" spans="1:14" x14ac:dyDescent="0.35">
      <c r="A606" s="7" t="s">
        <v>1570</v>
      </c>
      <c r="B606" s="7" t="s">
        <v>291</v>
      </c>
      <c r="C606" s="7" t="s">
        <v>292</v>
      </c>
      <c r="D606" s="7" t="s">
        <v>23</v>
      </c>
      <c r="E606" s="7" t="s">
        <v>49</v>
      </c>
      <c r="F606" s="7" t="s">
        <v>42</v>
      </c>
      <c r="G606" s="7" t="s">
        <v>170</v>
      </c>
      <c r="H606" s="7">
        <v>2</v>
      </c>
      <c r="I606" s="2">
        <v>820.77</v>
      </c>
      <c r="J606" s="2">
        <f>Tabla2[[#This Row],[Quantity]]*I606</f>
        <v>1641.54</v>
      </c>
      <c r="K606" s="6">
        <f>MONTH(Tabla2[[#This Row],[OrderDate]])</f>
        <v>12</v>
      </c>
      <c r="L606" s="6">
        <f>YEAR(Tabla2[[#This Row],[OrderDate]])</f>
        <v>2024</v>
      </c>
      <c r="M606" s="7" t="s">
        <v>277</v>
      </c>
      <c r="N606" s="7" t="s">
        <v>45</v>
      </c>
    </row>
    <row r="607" spans="1:14" x14ac:dyDescent="0.35">
      <c r="A607" s="7" t="s">
        <v>1571</v>
      </c>
      <c r="B607" s="7" t="s">
        <v>598</v>
      </c>
      <c r="C607" s="7" t="s">
        <v>599</v>
      </c>
      <c r="D607" s="7" t="s">
        <v>32</v>
      </c>
      <c r="E607" s="7" t="s">
        <v>61</v>
      </c>
      <c r="F607" s="7" t="s">
        <v>42</v>
      </c>
      <c r="G607" s="7" t="s">
        <v>225</v>
      </c>
      <c r="H607" s="7">
        <v>4</v>
      </c>
      <c r="I607" s="2">
        <v>184.37</v>
      </c>
      <c r="J607" s="2">
        <f>Tabla2[[#This Row],[Quantity]]*I607</f>
        <v>737.48</v>
      </c>
      <c r="K607" s="6">
        <f>MONTH(Tabla2[[#This Row],[OrderDate]])</f>
        <v>3</v>
      </c>
      <c r="L607" s="6">
        <f>YEAR(Tabla2[[#This Row],[OrderDate]])</f>
        <v>2025</v>
      </c>
      <c r="M607" s="7" t="s">
        <v>675</v>
      </c>
      <c r="N607" s="7" t="s">
        <v>45</v>
      </c>
    </row>
    <row r="608" spans="1:14" x14ac:dyDescent="0.35">
      <c r="A608" s="7" t="s">
        <v>1572</v>
      </c>
      <c r="B608" s="7" t="s">
        <v>1523</v>
      </c>
      <c r="C608" s="7" t="s">
        <v>1524</v>
      </c>
      <c r="D608" s="7" t="s">
        <v>14</v>
      </c>
      <c r="E608" s="7" t="s">
        <v>95</v>
      </c>
      <c r="F608" s="7" t="s">
        <v>101</v>
      </c>
      <c r="G608" s="7" t="s">
        <v>165</v>
      </c>
      <c r="H608" s="7">
        <v>1</v>
      </c>
      <c r="I608" s="2">
        <v>420.93</v>
      </c>
      <c r="J608" s="2">
        <f>Tabla2[[#This Row],[Quantity]]*I608</f>
        <v>420.93</v>
      </c>
      <c r="K608" s="6">
        <f>MONTH(Tabla2[[#This Row],[OrderDate]])</f>
        <v>9</v>
      </c>
      <c r="L608" s="6">
        <f>YEAR(Tabla2[[#This Row],[OrderDate]])</f>
        <v>2025</v>
      </c>
      <c r="M608" s="7" t="s">
        <v>157</v>
      </c>
      <c r="N608" s="7" t="s">
        <v>36</v>
      </c>
    </row>
    <row r="609" spans="1:14" x14ac:dyDescent="0.35">
      <c r="A609" s="7" t="s">
        <v>1573</v>
      </c>
      <c r="B609" s="7" t="s">
        <v>779</v>
      </c>
      <c r="C609" s="7" t="s">
        <v>780</v>
      </c>
      <c r="D609" s="7" t="s">
        <v>32</v>
      </c>
      <c r="E609" s="7" t="s">
        <v>33</v>
      </c>
      <c r="F609" s="7" t="s">
        <v>25</v>
      </c>
      <c r="G609" s="7" t="s">
        <v>139</v>
      </c>
      <c r="H609" s="7">
        <v>5</v>
      </c>
      <c r="I609" s="2">
        <v>1132.54</v>
      </c>
      <c r="J609" s="2">
        <f>Tabla2[[#This Row],[Quantity]]*I609</f>
        <v>5662.7</v>
      </c>
      <c r="K609" s="6">
        <f>MONTH(Tabla2[[#This Row],[OrderDate]])</f>
        <v>4</v>
      </c>
      <c r="L609" s="6">
        <f>YEAR(Tabla2[[#This Row],[OrderDate]])</f>
        <v>2024</v>
      </c>
      <c r="M609" s="7" t="s">
        <v>1040</v>
      </c>
      <c r="N609" s="7" t="s">
        <v>36</v>
      </c>
    </row>
    <row r="610" spans="1:14" x14ac:dyDescent="0.35">
      <c r="A610" s="7" t="s">
        <v>1574</v>
      </c>
      <c r="B610" s="7" t="s">
        <v>47</v>
      </c>
      <c r="C610" s="7" t="s">
        <v>48</v>
      </c>
      <c r="D610" s="7" t="s">
        <v>23</v>
      </c>
      <c r="E610" s="7" t="s">
        <v>338</v>
      </c>
      <c r="F610" s="7" t="s">
        <v>101</v>
      </c>
      <c r="G610" s="7" t="s">
        <v>165</v>
      </c>
      <c r="H610" s="7">
        <v>5</v>
      </c>
      <c r="I610" s="2">
        <v>1219.0899999999999</v>
      </c>
      <c r="J610" s="2">
        <f>Tabla2[[#This Row],[Quantity]]*I610</f>
        <v>6095.45</v>
      </c>
      <c r="K610" s="6">
        <f>MONTH(Tabla2[[#This Row],[OrderDate]])</f>
        <v>9</v>
      </c>
      <c r="L610" s="6">
        <f>YEAR(Tabla2[[#This Row],[OrderDate]])</f>
        <v>2024</v>
      </c>
      <c r="M610" s="7" t="s">
        <v>1575</v>
      </c>
      <c r="N610" s="7" t="s">
        <v>45</v>
      </c>
    </row>
    <row r="611" spans="1:14" x14ac:dyDescent="0.35">
      <c r="A611" s="7" t="s">
        <v>1576</v>
      </c>
      <c r="B611" s="7" t="s">
        <v>817</v>
      </c>
      <c r="C611" s="7" t="s">
        <v>818</v>
      </c>
      <c r="D611" s="7" t="s">
        <v>23</v>
      </c>
      <c r="E611" s="7" t="s">
        <v>49</v>
      </c>
      <c r="F611" s="7" t="s">
        <v>25</v>
      </c>
      <c r="G611" s="7" t="s">
        <v>34</v>
      </c>
      <c r="H611" s="7">
        <v>5</v>
      </c>
      <c r="I611" s="2">
        <v>926.54</v>
      </c>
      <c r="J611" s="2">
        <f>Tabla2[[#This Row],[Quantity]]*I611</f>
        <v>4632.7</v>
      </c>
      <c r="K611" s="6">
        <f>MONTH(Tabla2[[#This Row],[OrderDate]])</f>
        <v>1</v>
      </c>
      <c r="L611" s="6">
        <f>YEAR(Tabla2[[#This Row],[OrderDate]])</f>
        <v>2024</v>
      </c>
      <c r="M611" s="7" t="s">
        <v>1577</v>
      </c>
      <c r="N611" s="7" t="s">
        <v>28</v>
      </c>
    </row>
    <row r="612" spans="1:14" x14ac:dyDescent="0.35">
      <c r="A612" s="7" t="s">
        <v>1578</v>
      </c>
      <c r="B612" s="7" t="s">
        <v>1179</v>
      </c>
      <c r="C612" s="7" t="s">
        <v>1180</v>
      </c>
      <c r="D612" s="7" t="s">
        <v>40</v>
      </c>
      <c r="E612" s="7" t="s">
        <v>41</v>
      </c>
      <c r="F612" s="7" t="s">
        <v>42</v>
      </c>
      <c r="G612" s="7" t="s">
        <v>80</v>
      </c>
      <c r="H612" s="7">
        <v>2</v>
      </c>
      <c r="I612" s="2">
        <v>583.23</v>
      </c>
      <c r="J612" s="2">
        <f>Tabla2[[#This Row],[Quantity]]*I612</f>
        <v>1166.46</v>
      </c>
      <c r="K612" s="6">
        <f>MONTH(Tabla2[[#This Row],[OrderDate]])</f>
        <v>3</v>
      </c>
      <c r="L612" s="6">
        <f>YEAR(Tabla2[[#This Row],[OrderDate]])</f>
        <v>2024</v>
      </c>
      <c r="M612" s="7" t="s">
        <v>1579</v>
      </c>
      <c r="N612" s="7" t="s">
        <v>19</v>
      </c>
    </row>
    <row r="613" spans="1:14" x14ac:dyDescent="0.35">
      <c r="A613" s="7" t="s">
        <v>1580</v>
      </c>
      <c r="B613" s="7" t="s">
        <v>544</v>
      </c>
      <c r="C613" s="7" t="s">
        <v>545</v>
      </c>
      <c r="D613" s="7" t="s">
        <v>67</v>
      </c>
      <c r="E613" s="7" t="s">
        <v>115</v>
      </c>
      <c r="F613" s="7" t="s">
        <v>25</v>
      </c>
      <c r="G613" s="7" t="s">
        <v>139</v>
      </c>
      <c r="H613" s="7">
        <v>3</v>
      </c>
      <c r="I613" s="2">
        <v>81.319999999999993</v>
      </c>
      <c r="J613" s="2">
        <f>Tabla2[[#This Row],[Quantity]]*I613</f>
        <v>243.95999999999998</v>
      </c>
      <c r="K613" s="6">
        <f>MONTH(Tabla2[[#This Row],[OrderDate]])</f>
        <v>11</v>
      </c>
      <c r="L613" s="6">
        <f>YEAR(Tabla2[[#This Row],[OrderDate]])</f>
        <v>2024</v>
      </c>
      <c r="M613" s="7" t="s">
        <v>1581</v>
      </c>
      <c r="N613" s="7" t="s">
        <v>91</v>
      </c>
    </row>
    <row r="614" spans="1:14" x14ac:dyDescent="0.35">
      <c r="A614" s="7" t="s">
        <v>1582</v>
      </c>
      <c r="B614" s="7" t="s">
        <v>201</v>
      </c>
      <c r="C614" s="7" t="s">
        <v>202</v>
      </c>
      <c r="D614" s="7" t="s">
        <v>67</v>
      </c>
      <c r="E614" s="7" t="s">
        <v>115</v>
      </c>
      <c r="F614" s="7" t="s">
        <v>25</v>
      </c>
      <c r="G614" s="7" t="s">
        <v>62</v>
      </c>
      <c r="H614" s="7">
        <v>1</v>
      </c>
      <c r="I614" s="2">
        <v>189.57</v>
      </c>
      <c r="J614" s="2">
        <f>Tabla2[[#This Row],[Quantity]]*I614</f>
        <v>189.57</v>
      </c>
      <c r="K614" s="6">
        <f>MONTH(Tabla2[[#This Row],[OrderDate]])</f>
        <v>1</v>
      </c>
      <c r="L614" s="6">
        <f>YEAR(Tabla2[[#This Row],[OrderDate]])</f>
        <v>2026</v>
      </c>
      <c r="M614" s="7" t="s">
        <v>1583</v>
      </c>
      <c r="N614" s="7" t="s">
        <v>19</v>
      </c>
    </row>
    <row r="615" spans="1:14" x14ac:dyDescent="0.35">
      <c r="A615" s="7" t="s">
        <v>1584</v>
      </c>
      <c r="B615" s="7" t="s">
        <v>1523</v>
      </c>
      <c r="C615" s="7" t="s">
        <v>1524</v>
      </c>
      <c r="D615" s="7" t="s">
        <v>32</v>
      </c>
      <c r="E615" s="7" t="s">
        <v>33</v>
      </c>
      <c r="F615" s="7" t="s">
        <v>101</v>
      </c>
      <c r="G615" s="7" t="s">
        <v>237</v>
      </c>
      <c r="H615" s="7">
        <v>5</v>
      </c>
      <c r="I615" s="2">
        <v>59.54</v>
      </c>
      <c r="J615" s="2">
        <f>Tabla2[[#This Row],[Quantity]]*I615</f>
        <v>297.7</v>
      </c>
      <c r="K615" s="6">
        <f>MONTH(Tabla2[[#This Row],[OrderDate]])</f>
        <v>4</v>
      </c>
      <c r="L615" s="6">
        <f>YEAR(Tabla2[[#This Row],[OrderDate]])</f>
        <v>2024</v>
      </c>
      <c r="M615" s="7" t="s">
        <v>1585</v>
      </c>
      <c r="N615" s="7" t="s">
        <v>36</v>
      </c>
    </row>
    <row r="616" spans="1:14" x14ac:dyDescent="0.35">
      <c r="A616" s="7" t="s">
        <v>1586</v>
      </c>
      <c r="B616" s="7" t="s">
        <v>518</v>
      </c>
      <c r="C616" s="7" t="s">
        <v>519</v>
      </c>
      <c r="D616" s="7" t="s">
        <v>32</v>
      </c>
      <c r="E616" s="7" t="s">
        <v>61</v>
      </c>
      <c r="F616" s="7" t="s">
        <v>50</v>
      </c>
      <c r="G616" s="7" t="s">
        <v>170</v>
      </c>
      <c r="H616" s="7">
        <v>4</v>
      </c>
      <c r="I616" s="2">
        <v>1402.58</v>
      </c>
      <c r="J616" s="2">
        <f>Tabla2[[#This Row],[Quantity]]*I616</f>
        <v>5610.32</v>
      </c>
      <c r="K616" s="6">
        <f>MONTH(Tabla2[[#This Row],[OrderDate]])</f>
        <v>7</v>
      </c>
      <c r="L616" s="6">
        <f>YEAR(Tabla2[[#This Row],[OrderDate]])</f>
        <v>2024</v>
      </c>
      <c r="M616" s="7" t="s">
        <v>1452</v>
      </c>
      <c r="N616" s="7" t="s">
        <v>36</v>
      </c>
    </row>
    <row r="617" spans="1:14" x14ac:dyDescent="0.35">
      <c r="A617" s="7" t="s">
        <v>1587</v>
      </c>
      <c r="B617" s="7" t="s">
        <v>742</v>
      </c>
      <c r="C617" s="7" t="s">
        <v>743</v>
      </c>
      <c r="D617" s="7" t="s">
        <v>67</v>
      </c>
      <c r="E617" s="7" t="s">
        <v>130</v>
      </c>
      <c r="F617" s="7" t="s">
        <v>25</v>
      </c>
      <c r="G617" s="7" t="s">
        <v>139</v>
      </c>
      <c r="H617" s="7">
        <v>5</v>
      </c>
      <c r="I617" s="2">
        <v>895.47</v>
      </c>
      <c r="J617" s="2">
        <f>Tabla2[[#This Row],[Quantity]]*I617</f>
        <v>4477.3500000000004</v>
      </c>
      <c r="K617" s="6">
        <f>MONTH(Tabla2[[#This Row],[OrderDate]])</f>
        <v>2</v>
      </c>
      <c r="L617" s="6">
        <f>YEAR(Tabla2[[#This Row],[OrderDate]])</f>
        <v>2024</v>
      </c>
      <c r="M617" s="7" t="s">
        <v>1588</v>
      </c>
      <c r="N617" s="7" t="s">
        <v>19</v>
      </c>
    </row>
    <row r="618" spans="1:14" x14ac:dyDescent="0.35">
      <c r="A618" s="7" t="s">
        <v>1589</v>
      </c>
      <c r="B618" s="7" t="s">
        <v>210</v>
      </c>
      <c r="C618" s="7" t="s">
        <v>211</v>
      </c>
      <c r="D618" s="7" t="s">
        <v>32</v>
      </c>
      <c r="E618" s="7" t="s">
        <v>203</v>
      </c>
      <c r="F618" s="7" t="s">
        <v>101</v>
      </c>
      <c r="G618" s="7" t="s">
        <v>102</v>
      </c>
      <c r="H618" s="7">
        <v>1</v>
      </c>
      <c r="I618" s="2">
        <v>1226.8699999999999</v>
      </c>
      <c r="J618" s="2">
        <f>Tabla2[[#This Row],[Quantity]]*I618</f>
        <v>1226.8699999999999</v>
      </c>
      <c r="K618" s="6">
        <f>MONTH(Tabla2[[#This Row],[OrderDate]])</f>
        <v>12</v>
      </c>
      <c r="L618" s="6">
        <f>YEAR(Tabla2[[#This Row],[OrderDate]])</f>
        <v>2025</v>
      </c>
      <c r="M618" s="7" t="s">
        <v>131</v>
      </c>
      <c r="N618" s="7" t="s">
        <v>91</v>
      </c>
    </row>
    <row r="619" spans="1:14" x14ac:dyDescent="0.35">
      <c r="A619" s="7" t="s">
        <v>1590</v>
      </c>
      <c r="B619" s="7" t="s">
        <v>450</v>
      </c>
      <c r="C619" s="7" t="s">
        <v>451</v>
      </c>
      <c r="D619" s="7" t="s">
        <v>67</v>
      </c>
      <c r="E619" s="7" t="s">
        <v>115</v>
      </c>
      <c r="F619" s="7" t="s">
        <v>42</v>
      </c>
      <c r="G619" s="7" t="s">
        <v>89</v>
      </c>
      <c r="H619" s="7">
        <v>5</v>
      </c>
      <c r="I619" s="2">
        <v>1390.5</v>
      </c>
      <c r="J619" s="2">
        <f>Tabla2[[#This Row],[Quantity]]*I619</f>
        <v>6952.5</v>
      </c>
      <c r="K619" s="6">
        <f>MONTH(Tabla2[[#This Row],[OrderDate]])</f>
        <v>3</v>
      </c>
      <c r="L619" s="6">
        <f>YEAR(Tabla2[[#This Row],[OrderDate]])</f>
        <v>2025</v>
      </c>
      <c r="M619" s="7" t="s">
        <v>952</v>
      </c>
      <c r="N619" s="7" t="s">
        <v>19</v>
      </c>
    </row>
    <row r="620" spans="1:14" x14ac:dyDescent="0.35">
      <c r="A620" s="7" t="s">
        <v>1591</v>
      </c>
      <c r="B620" s="7" t="s">
        <v>1176</v>
      </c>
      <c r="C620" s="7" t="s">
        <v>1177</v>
      </c>
      <c r="D620" s="7" t="s">
        <v>14</v>
      </c>
      <c r="E620" s="7" t="s">
        <v>125</v>
      </c>
      <c r="F620" s="7" t="s">
        <v>16</v>
      </c>
      <c r="G620" s="7" t="s">
        <v>182</v>
      </c>
      <c r="H620" s="7">
        <v>5</v>
      </c>
      <c r="I620" s="2">
        <v>1272.1300000000001</v>
      </c>
      <c r="J620" s="2">
        <f>Tabla2[[#This Row],[Quantity]]*I620</f>
        <v>6360.6500000000005</v>
      </c>
      <c r="K620" s="6">
        <f>MONTH(Tabla2[[#This Row],[OrderDate]])</f>
        <v>5</v>
      </c>
      <c r="L620" s="6">
        <f>YEAR(Tabla2[[#This Row],[OrderDate]])</f>
        <v>2025</v>
      </c>
      <c r="M620" s="7" t="s">
        <v>662</v>
      </c>
      <c r="N620" s="7" t="s">
        <v>91</v>
      </c>
    </row>
    <row r="621" spans="1:14" x14ac:dyDescent="0.35">
      <c r="A621" s="7" t="s">
        <v>1592</v>
      </c>
      <c r="B621" s="7" t="s">
        <v>325</v>
      </c>
      <c r="C621" s="7" t="s">
        <v>326</v>
      </c>
      <c r="D621" s="7" t="s">
        <v>40</v>
      </c>
      <c r="E621" s="7" t="s">
        <v>120</v>
      </c>
      <c r="F621" s="7" t="s">
        <v>16</v>
      </c>
      <c r="G621" s="7" t="s">
        <v>148</v>
      </c>
      <c r="H621" s="7">
        <v>2</v>
      </c>
      <c r="I621" s="2">
        <v>208.25</v>
      </c>
      <c r="J621" s="2">
        <f>Tabla2[[#This Row],[Quantity]]*I621</f>
        <v>416.5</v>
      </c>
      <c r="K621" s="6">
        <f>MONTH(Tabla2[[#This Row],[OrderDate]])</f>
        <v>3</v>
      </c>
      <c r="L621" s="6">
        <f>YEAR(Tabla2[[#This Row],[OrderDate]])</f>
        <v>2026</v>
      </c>
      <c r="M621" s="7" t="s">
        <v>512</v>
      </c>
      <c r="N621" s="7" t="s">
        <v>36</v>
      </c>
    </row>
    <row r="622" spans="1:14" x14ac:dyDescent="0.35">
      <c r="A622" s="7" t="s">
        <v>1593</v>
      </c>
      <c r="B622" s="7" t="s">
        <v>1594</v>
      </c>
      <c r="C622" s="7" t="s">
        <v>1595</v>
      </c>
      <c r="D622" s="7" t="s">
        <v>40</v>
      </c>
      <c r="E622" s="7" t="s">
        <v>120</v>
      </c>
      <c r="F622" s="7" t="s">
        <v>16</v>
      </c>
      <c r="G622" s="7" t="s">
        <v>17</v>
      </c>
      <c r="H622" s="7">
        <v>1</v>
      </c>
      <c r="I622" s="2">
        <v>307.17</v>
      </c>
      <c r="J622" s="2">
        <f>Tabla2[[#This Row],[Quantity]]*I622</f>
        <v>307.17</v>
      </c>
      <c r="K622" s="6">
        <f>MONTH(Tabla2[[#This Row],[OrderDate]])</f>
        <v>7</v>
      </c>
      <c r="L622" s="6">
        <f>YEAR(Tabla2[[#This Row],[OrderDate]])</f>
        <v>2024</v>
      </c>
      <c r="M622" s="7" t="s">
        <v>1596</v>
      </c>
      <c r="N622" s="7" t="s">
        <v>91</v>
      </c>
    </row>
    <row r="623" spans="1:14" x14ac:dyDescent="0.35">
      <c r="A623" s="7" t="s">
        <v>1597</v>
      </c>
      <c r="B623" s="7" t="s">
        <v>291</v>
      </c>
      <c r="C623" s="7" t="s">
        <v>292</v>
      </c>
      <c r="D623" s="7" t="s">
        <v>14</v>
      </c>
      <c r="E623" s="7" t="s">
        <v>125</v>
      </c>
      <c r="F623" s="7" t="s">
        <v>42</v>
      </c>
      <c r="G623" s="7" t="s">
        <v>225</v>
      </c>
      <c r="H623" s="7">
        <v>2</v>
      </c>
      <c r="I623" s="2">
        <v>445.45</v>
      </c>
      <c r="J623" s="2">
        <f>Tabla2[[#This Row],[Quantity]]*I623</f>
        <v>890.9</v>
      </c>
      <c r="K623" s="6">
        <f>MONTH(Tabla2[[#This Row],[OrderDate]])</f>
        <v>9</v>
      </c>
      <c r="L623" s="6">
        <f>YEAR(Tabla2[[#This Row],[OrderDate]])</f>
        <v>2025</v>
      </c>
      <c r="M623" s="7" t="s">
        <v>1598</v>
      </c>
      <c r="N623" s="7" t="s">
        <v>91</v>
      </c>
    </row>
    <row r="624" spans="1:14" x14ac:dyDescent="0.35">
      <c r="A624" s="7" t="s">
        <v>1599</v>
      </c>
      <c r="B624" s="7" t="s">
        <v>677</v>
      </c>
      <c r="C624" s="7" t="s">
        <v>678</v>
      </c>
      <c r="D624" s="7" t="s">
        <v>23</v>
      </c>
      <c r="E624" s="7" t="s">
        <v>49</v>
      </c>
      <c r="F624" s="7" t="s">
        <v>25</v>
      </c>
      <c r="G624" s="7" t="s">
        <v>34</v>
      </c>
      <c r="H624" s="7">
        <v>5</v>
      </c>
      <c r="I624" s="2">
        <v>281.68</v>
      </c>
      <c r="J624" s="2">
        <f>Tabla2[[#This Row],[Quantity]]*I624</f>
        <v>1408.4</v>
      </c>
      <c r="K624" s="6">
        <f>MONTH(Tabla2[[#This Row],[OrderDate]])</f>
        <v>2</v>
      </c>
      <c r="L624" s="6">
        <f>YEAR(Tabla2[[#This Row],[OrderDate]])</f>
        <v>2026</v>
      </c>
      <c r="M624" s="7" t="s">
        <v>1600</v>
      </c>
      <c r="N624" s="7" t="s">
        <v>91</v>
      </c>
    </row>
    <row r="625" spans="1:14" x14ac:dyDescent="0.35">
      <c r="A625" s="7" t="s">
        <v>1601</v>
      </c>
      <c r="B625" s="7" t="s">
        <v>590</v>
      </c>
      <c r="C625" s="7" t="s">
        <v>591</v>
      </c>
      <c r="D625" s="7" t="s">
        <v>14</v>
      </c>
      <c r="E625" s="7" t="s">
        <v>266</v>
      </c>
      <c r="F625" s="7" t="s">
        <v>16</v>
      </c>
      <c r="G625" s="7" t="s">
        <v>148</v>
      </c>
      <c r="H625" s="7">
        <v>4</v>
      </c>
      <c r="I625" s="2">
        <v>438.62</v>
      </c>
      <c r="J625" s="2">
        <f>Tabla2[[#This Row],[Quantity]]*I625</f>
        <v>1754.48</v>
      </c>
      <c r="K625" s="6">
        <f>MONTH(Tabla2[[#This Row],[OrderDate]])</f>
        <v>2</v>
      </c>
      <c r="L625" s="6">
        <f>YEAR(Tabla2[[#This Row],[OrderDate]])</f>
        <v>2026</v>
      </c>
      <c r="M625" s="7" t="s">
        <v>1367</v>
      </c>
      <c r="N625" s="7" t="s">
        <v>91</v>
      </c>
    </row>
    <row r="626" spans="1:14" x14ac:dyDescent="0.35">
      <c r="A626" s="7" t="s">
        <v>1602</v>
      </c>
      <c r="B626" s="7" t="s">
        <v>1144</v>
      </c>
      <c r="C626" s="7" t="s">
        <v>1145</v>
      </c>
      <c r="D626" s="7" t="s">
        <v>40</v>
      </c>
      <c r="E626" s="7" t="s">
        <v>79</v>
      </c>
      <c r="F626" s="7" t="s">
        <v>50</v>
      </c>
      <c r="G626" s="7" t="s">
        <v>170</v>
      </c>
      <c r="H626" s="7">
        <v>1</v>
      </c>
      <c r="I626" s="2">
        <v>17.63</v>
      </c>
      <c r="J626" s="2">
        <f>Tabla2[[#This Row],[Quantity]]*I626</f>
        <v>17.63</v>
      </c>
      <c r="K626" s="6">
        <f>MONTH(Tabla2[[#This Row],[OrderDate]])</f>
        <v>1</v>
      </c>
      <c r="L626" s="6">
        <f>YEAR(Tabla2[[#This Row],[OrderDate]])</f>
        <v>2025</v>
      </c>
      <c r="M626" s="7" t="s">
        <v>1603</v>
      </c>
      <c r="N626" s="7" t="s">
        <v>36</v>
      </c>
    </row>
    <row r="627" spans="1:14" x14ac:dyDescent="0.35">
      <c r="A627" s="7" t="s">
        <v>1604</v>
      </c>
      <c r="B627" s="7" t="s">
        <v>860</v>
      </c>
      <c r="C627" s="7" t="s">
        <v>861</v>
      </c>
      <c r="D627" s="7" t="s">
        <v>32</v>
      </c>
      <c r="E627" s="7" t="s">
        <v>33</v>
      </c>
      <c r="F627" s="7" t="s">
        <v>101</v>
      </c>
      <c r="G627" s="7" t="s">
        <v>165</v>
      </c>
      <c r="H627" s="7">
        <v>5</v>
      </c>
      <c r="I627" s="2">
        <v>1486.35</v>
      </c>
      <c r="J627" s="2">
        <f>Tabla2[[#This Row],[Quantity]]*I627</f>
        <v>7431.75</v>
      </c>
      <c r="K627" s="6">
        <f>MONTH(Tabla2[[#This Row],[OrderDate]])</f>
        <v>6</v>
      </c>
      <c r="L627" s="6">
        <f>YEAR(Tabla2[[#This Row],[OrderDate]])</f>
        <v>2025</v>
      </c>
      <c r="M627" s="7" t="s">
        <v>1605</v>
      </c>
      <c r="N627" s="7" t="s">
        <v>36</v>
      </c>
    </row>
    <row r="628" spans="1:14" x14ac:dyDescent="0.35">
      <c r="A628" s="7" t="s">
        <v>1606</v>
      </c>
      <c r="B628" s="7" t="s">
        <v>137</v>
      </c>
      <c r="C628" s="7" t="s">
        <v>138</v>
      </c>
      <c r="D628" s="7" t="s">
        <v>23</v>
      </c>
      <c r="E628" s="7" t="s">
        <v>49</v>
      </c>
      <c r="F628" s="7" t="s">
        <v>50</v>
      </c>
      <c r="G628" s="7" t="s">
        <v>216</v>
      </c>
      <c r="H628" s="7">
        <v>4</v>
      </c>
      <c r="I628" s="2">
        <v>1170.96</v>
      </c>
      <c r="J628" s="2">
        <f>Tabla2[[#This Row],[Quantity]]*I628</f>
        <v>4683.84</v>
      </c>
      <c r="K628" s="6">
        <f>MONTH(Tabla2[[#This Row],[OrderDate]])</f>
        <v>10</v>
      </c>
      <c r="L628" s="6">
        <f>YEAR(Tabla2[[#This Row],[OrderDate]])</f>
        <v>2025</v>
      </c>
      <c r="M628" s="7" t="s">
        <v>1540</v>
      </c>
      <c r="N628" s="7" t="s">
        <v>91</v>
      </c>
    </row>
    <row r="629" spans="1:14" x14ac:dyDescent="0.35">
      <c r="A629" s="7" t="s">
        <v>1607</v>
      </c>
      <c r="B629" s="7" t="s">
        <v>677</v>
      </c>
      <c r="C629" s="7" t="s">
        <v>678</v>
      </c>
      <c r="D629" s="7" t="s">
        <v>40</v>
      </c>
      <c r="E629" s="7" t="s">
        <v>79</v>
      </c>
      <c r="F629" s="7" t="s">
        <v>16</v>
      </c>
      <c r="G629" s="7" t="s">
        <v>177</v>
      </c>
      <c r="H629" s="7">
        <v>3</v>
      </c>
      <c r="I629" s="2">
        <v>1381.36</v>
      </c>
      <c r="J629" s="2">
        <f>Tabla2[[#This Row],[Quantity]]*I629</f>
        <v>4144.08</v>
      </c>
      <c r="K629" s="6">
        <f>MONTH(Tabla2[[#This Row],[OrderDate]])</f>
        <v>7</v>
      </c>
      <c r="L629" s="6">
        <f>YEAR(Tabla2[[#This Row],[OrderDate]])</f>
        <v>2025</v>
      </c>
      <c r="M629" s="7" t="s">
        <v>1608</v>
      </c>
      <c r="N629" s="7" t="s">
        <v>19</v>
      </c>
    </row>
    <row r="630" spans="1:14" x14ac:dyDescent="0.35">
      <c r="A630" s="7" t="s">
        <v>1609</v>
      </c>
      <c r="B630" s="7" t="s">
        <v>677</v>
      </c>
      <c r="C630" s="7" t="s">
        <v>678</v>
      </c>
      <c r="D630" s="7" t="s">
        <v>67</v>
      </c>
      <c r="E630" s="7" t="s">
        <v>115</v>
      </c>
      <c r="F630" s="7" t="s">
        <v>42</v>
      </c>
      <c r="G630" s="7" t="s">
        <v>89</v>
      </c>
      <c r="H630" s="7">
        <v>1</v>
      </c>
      <c r="I630" s="2">
        <v>1192.6500000000001</v>
      </c>
      <c r="J630" s="2">
        <f>Tabla2[[#This Row],[Quantity]]*I630</f>
        <v>1192.6500000000001</v>
      </c>
      <c r="K630" s="6">
        <f>MONTH(Tabla2[[#This Row],[OrderDate]])</f>
        <v>1</v>
      </c>
      <c r="L630" s="6">
        <f>YEAR(Tabla2[[#This Row],[OrderDate]])</f>
        <v>2024</v>
      </c>
      <c r="M630" s="7" t="s">
        <v>1610</v>
      </c>
      <c r="N630" s="7" t="s">
        <v>45</v>
      </c>
    </row>
    <row r="631" spans="1:14" x14ac:dyDescent="0.35">
      <c r="A631" s="7" t="s">
        <v>1611</v>
      </c>
      <c r="B631" s="7" t="s">
        <v>779</v>
      </c>
      <c r="C631" s="7" t="s">
        <v>780</v>
      </c>
      <c r="D631" s="7" t="s">
        <v>23</v>
      </c>
      <c r="E631" s="7" t="s">
        <v>24</v>
      </c>
      <c r="F631" s="7" t="s">
        <v>16</v>
      </c>
      <c r="G631" s="7" t="s">
        <v>177</v>
      </c>
      <c r="H631" s="7">
        <v>5</v>
      </c>
      <c r="I631" s="2">
        <v>1476.68</v>
      </c>
      <c r="J631" s="2">
        <f>Tabla2[[#This Row],[Quantity]]*I631</f>
        <v>7383.4000000000005</v>
      </c>
      <c r="K631" s="6">
        <f>MONTH(Tabla2[[#This Row],[OrderDate]])</f>
        <v>4</v>
      </c>
      <c r="L631" s="6">
        <f>YEAR(Tabla2[[#This Row],[OrderDate]])</f>
        <v>2025</v>
      </c>
      <c r="M631" s="7" t="s">
        <v>1612</v>
      </c>
      <c r="N631" s="7" t="s">
        <v>36</v>
      </c>
    </row>
    <row r="632" spans="1:14" x14ac:dyDescent="0.35">
      <c r="A632" s="7" t="s">
        <v>1613</v>
      </c>
      <c r="B632" s="7" t="s">
        <v>429</v>
      </c>
      <c r="C632" s="7" t="s">
        <v>430</v>
      </c>
      <c r="D632" s="7" t="s">
        <v>14</v>
      </c>
      <c r="E632" s="7" t="s">
        <v>95</v>
      </c>
      <c r="F632" s="7" t="s">
        <v>25</v>
      </c>
      <c r="G632" s="7" t="s">
        <v>74</v>
      </c>
      <c r="H632" s="7">
        <v>1</v>
      </c>
      <c r="I632" s="2">
        <v>892.43</v>
      </c>
      <c r="J632" s="2">
        <f>Tabla2[[#This Row],[Quantity]]*I632</f>
        <v>892.43</v>
      </c>
      <c r="K632" s="6">
        <f>MONTH(Tabla2[[#This Row],[OrderDate]])</f>
        <v>4</v>
      </c>
      <c r="L632" s="6">
        <f>YEAR(Tabla2[[#This Row],[OrderDate]])</f>
        <v>2025</v>
      </c>
      <c r="M632" s="7" t="s">
        <v>1614</v>
      </c>
      <c r="N632" s="7" t="s">
        <v>28</v>
      </c>
    </row>
    <row r="633" spans="1:14" x14ac:dyDescent="0.35">
      <c r="A633" s="7" t="s">
        <v>1615</v>
      </c>
      <c r="B633" s="7" t="s">
        <v>1079</v>
      </c>
      <c r="C633" s="7" t="s">
        <v>1080</v>
      </c>
      <c r="D633" s="7" t="s">
        <v>40</v>
      </c>
      <c r="E633" s="7" t="s">
        <v>120</v>
      </c>
      <c r="F633" s="7" t="s">
        <v>50</v>
      </c>
      <c r="G633" s="7" t="s">
        <v>216</v>
      </c>
      <c r="H633" s="7">
        <v>3</v>
      </c>
      <c r="I633" s="2">
        <v>9.49</v>
      </c>
      <c r="J633" s="2">
        <f>Tabla2[[#This Row],[Quantity]]*I633</f>
        <v>28.47</v>
      </c>
      <c r="K633" s="6">
        <f>MONTH(Tabla2[[#This Row],[OrderDate]])</f>
        <v>6</v>
      </c>
      <c r="L633" s="6">
        <f>YEAR(Tabla2[[#This Row],[OrderDate]])</f>
        <v>2025</v>
      </c>
      <c r="M633" s="7" t="s">
        <v>374</v>
      </c>
      <c r="N633" s="7" t="s">
        <v>91</v>
      </c>
    </row>
    <row r="634" spans="1:14" x14ac:dyDescent="0.35">
      <c r="A634" s="7" t="s">
        <v>1616</v>
      </c>
      <c r="B634" s="7" t="s">
        <v>536</v>
      </c>
      <c r="C634" s="7" t="s">
        <v>537</v>
      </c>
      <c r="D634" s="7" t="s">
        <v>23</v>
      </c>
      <c r="E634" s="7" t="s">
        <v>338</v>
      </c>
      <c r="F634" s="7" t="s">
        <v>42</v>
      </c>
      <c r="G634" s="7" t="s">
        <v>89</v>
      </c>
      <c r="H634" s="7">
        <v>5</v>
      </c>
      <c r="I634" s="2">
        <v>146.93</v>
      </c>
      <c r="J634" s="2">
        <f>Tabla2[[#This Row],[Quantity]]*I634</f>
        <v>734.65000000000009</v>
      </c>
      <c r="K634" s="6">
        <f>MONTH(Tabla2[[#This Row],[OrderDate]])</f>
        <v>6</v>
      </c>
      <c r="L634" s="6">
        <f>YEAR(Tabla2[[#This Row],[OrderDate]])</f>
        <v>2024</v>
      </c>
      <c r="M634" s="7" t="s">
        <v>846</v>
      </c>
      <c r="N634" s="7" t="s">
        <v>28</v>
      </c>
    </row>
    <row r="635" spans="1:14" x14ac:dyDescent="0.35">
      <c r="A635" s="7" t="s">
        <v>1617</v>
      </c>
      <c r="B635" s="7" t="s">
        <v>303</v>
      </c>
      <c r="C635" s="7" t="s">
        <v>304</v>
      </c>
      <c r="D635" s="7" t="s">
        <v>40</v>
      </c>
      <c r="E635" s="7" t="s">
        <v>120</v>
      </c>
      <c r="F635" s="7" t="s">
        <v>101</v>
      </c>
      <c r="G635" s="7" t="s">
        <v>165</v>
      </c>
      <c r="H635" s="7">
        <v>4</v>
      </c>
      <c r="I635" s="2">
        <v>1499.6</v>
      </c>
      <c r="J635" s="2">
        <f>Tabla2[[#This Row],[Quantity]]*I635</f>
        <v>5998.4</v>
      </c>
      <c r="K635" s="6">
        <f>MONTH(Tabla2[[#This Row],[OrderDate]])</f>
        <v>3</v>
      </c>
      <c r="L635" s="6">
        <f>YEAR(Tabla2[[#This Row],[OrderDate]])</f>
        <v>2024</v>
      </c>
      <c r="M635" s="7" t="s">
        <v>254</v>
      </c>
      <c r="N635" s="7" t="s">
        <v>19</v>
      </c>
    </row>
    <row r="636" spans="1:14" x14ac:dyDescent="0.35">
      <c r="A636" s="7" t="s">
        <v>1618</v>
      </c>
      <c r="B636" s="7" t="s">
        <v>878</v>
      </c>
      <c r="C636" s="7" t="s">
        <v>879</v>
      </c>
      <c r="D636" s="7" t="s">
        <v>23</v>
      </c>
      <c r="E636" s="7" t="s">
        <v>49</v>
      </c>
      <c r="F636" s="7" t="s">
        <v>16</v>
      </c>
      <c r="G636" s="7" t="s">
        <v>177</v>
      </c>
      <c r="H636" s="7">
        <v>3</v>
      </c>
      <c r="I636" s="2">
        <v>491.36</v>
      </c>
      <c r="J636" s="2">
        <f>Tabla2[[#This Row],[Quantity]]*I636</f>
        <v>1474.08</v>
      </c>
      <c r="K636" s="6">
        <f>MONTH(Tabla2[[#This Row],[OrderDate]])</f>
        <v>12</v>
      </c>
      <c r="L636" s="6">
        <f>YEAR(Tabla2[[#This Row],[OrderDate]])</f>
        <v>2025</v>
      </c>
      <c r="M636" s="7" t="s">
        <v>709</v>
      </c>
      <c r="N636" s="7" t="s">
        <v>28</v>
      </c>
    </row>
    <row r="637" spans="1:14" x14ac:dyDescent="0.35">
      <c r="A637" s="7" t="s">
        <v>1619</v>
      </c>
      <c r="B637" s="7" t="s">
        <v>47</v>
      </c>
      <c r="C637" s="7" t="s">
        <v>48</v>
      </c>
      <c r="D637" s="7" t="s">
        <v>67</v>
      </c>
      <c r="E637" s="7" t="s">
        <v>130</v>
      </c>
      <c r="F637" s="7" t="s">
        <v>25</v>
      </c>
      <c r="G637" s="7" t="s">
        <v>62</v>
      </c>
      <c r="H637" s="7">
        <v>2</v>
      </c>
      <c r="I637" s="2">
        <v>226.71</v>
      </c>
      <c r="J637" s="2">
        <f>Tabla2[[#This Row],[Quantity]]*I637</f>
        <v>453.42</v>
      </c>
      <c r="K637" s="6">
        <f>MONTH(Tabla2[[#This Row],[OrderDate]])</f>
        <v>1</v>
      </c>
      <c r="L637" s="6">
        <f>YEAR(Tabla2[[#This Row],[OrderDate]])</f>
        <v>2026</v>
      </c>
      <c r="M637" s="7" t="s">
        <v>1235</v>
      </c>
      <c r="N637" s="7" t="s">
        <v>45</v>
      </c>
    </row>
    <row r="638" spans="1:14" x14ac:dyDescent="0.35">
      <c r="A638" s="7" t="s">
        <v>1620</v>
      </c>
      <c r="B638" s="7" t="s">
        <v>552</v>
      </c>
      <c r="C638" s="7" t="s">
        <v>553</v>
      </c>
      <c r="D638" s="7" t="s">
        <v>14</v>
      </c>
      <c r="E638" s="7" t="s">
        <v>100</v>
      </c>
      <c r="F638" s="7" t="s">
        <v>42</v>
      </c>
      <c r="G638" s="7" t="s">
        <v>170</v>
      </c>
      <c r="H638" s="7">
        <v>1</v>
      </c>
      <c r="I638" s="2">
        <v>573.35</v>
      </c>
      <c r="J638" s="2">
        <f>Tabla2[[#This Row],[Quantity]]*I638</f>
        <v>573.35</v>
      </c>
      <c r="K638" s="6">
        <f>MONTH(Tabla2[[#This Row],[OrderDate]])</f>
        <v>11</v>
      </c>
      <c r="L638" s="6">
        <f>YEAR(Tabla2[[#This Row],[OrderDate]])</f>
        <v>2025</v>
      </c>
      <c r="M638" s="7" t="s">
        <v>1026</v>
      </c>
      <c r="N638" s="7" t="s">
        <v>91</v>
      </c>
    </row>
    <row r="639" spans="1:14" x14ac:dyDescent="0.35">
      <c r="A639" s="7" t="s">
        <v>1621</v>
      </c>
      <c r="B639" s="7" t="s">
        <v>832</v>
      </c>
      <c r="C639" s="7" t="s">
        <v>833</v>
      </c>
      <c r="D639" s="7" t="s">
        <v>40</v>
      </c>
      <c r="E639" s="7" t="s">
        <v>120</v>
      </c>
      <c r="F639" s="7" t="s">
        <v>42</v>
      </c>
      <c r="G639" s="7" t="s">
        <v>225</v>
      </c>
      <c r="H639" s="7">
        <v>4</v>
      </c>
      <c r="I639" s="2">
        <v>1132.1600000000001</v>
      </c>
      <c r="J639" s="2">
        <f>Tabla2[[#This Row],[Quantity]]*I639</f>
        <v>4528.6400000000003</v>
      </c>
      <c r="K639" s="6">
        <f>MONTH(Tabla2[[#This Row],[OrderDate]])</f>
        <v>1</v>
      </c>
      <c r="L639" s="6">
        <f>YEAR(Tabla2[[#This Row],[OrderDate]])</f>
        <v>2026</v>
      </c>
      <c r="M639" s="7" t="s">
        <v>1622</v>
      </c>
      <c r="N639" s="7" t="s">
        <v>45</v>
      </c>
    </row>
    <row r="640" spans="1:14" x14ac:dyDescent="0.35">
      <c r="A640" s="7" t="s">
        <v>1623</v>
      </c>
      <c r="B640" s="7" t="s">
        <v>450</v>
      </c>
      <c r="C640" s="7" t="s">
        <v>451</v>
      </c>
      <c r="D640" s="7" t="s">
        <v>14</v>
      </c>
      <c r="E640" s="7" t="s">
        <v>100</v>
      </c>
      <c r="F640" s="7" t="s">
        <v>101</v>
      </c>
      <c r="G640" s="7" t="s">
        <v>649</v>
      </c>
      <c r="H640" s="7">
        <v>5</v>
      </c>
      <c r="I640" s="2">
        <v>968.27</v>
      </c>
      <c r="J640" s="2">
        <f>Tabla2[[#This Row],[Quantity]]*I640</f>
        <v>4841.3500000000004</v>
      </c>
      <c r="K640" s="6">
        <f>MONTH(Tabla2[[#This Row],[OrderDate]])</f>
        <v>12</v>
      </c>
      <c r="L640" s="6">
        <f>YEAR(Tabla2[[#This Row],[OrderDate]])</f>
        <v>2025</v>
      </c>
      <c r="M640" s="7" t="s">
        <v>1624</v>
      </c>
      <c r="N640" s="7" t="s">
        <v>28</v>
      </c>
    </row>
    <row r="641" spans="1:14" x14ac:dyDescent="0.35">
      <c r="A641" s="7" t="s">
        <v>1625</v>
      </c>
      <c r="B641" s="7" t="s">
        <v>1423</v>
      </c>
      <c r="C641" s="7" t="s">
        <v>1424</v>
      </c>
      <c r="D641" s="7" t="s">
        <v>40</v>
      </c>
      <c r="E641" s="7" t="s">
        <v>79</v>
      </c>
      <c r="F641" s="7" t="s">
        <v>101</v>
      </c>
      <c r="G641" s="7" t="s">
        <v>165</v>
      </c>
      <c r="H641" s="7">
        <v>3</v>
      </c>
      <c r="I641" s="2">
        <v>618.26</v>
      </c>
      <c r="J641" s="2">
        <f>Tabla2[[#This Row],[Quantity]]*I641</f>
        <v>1854.78</v>
      </c>
      <c r="K641" s="6">
        <f>MONTH(Tabla2[[#This Row],[OrderDate]])</f>
        <v>7</v>
      </c>
      <c r="L641" s="6">
        <f>YEAR(Tabla2[[#This Row],[OrderDate]])</f>
        <v>2024</v>
      </c>
      <c r="M641" s="7" t="s">
        <v>420</v>
      </c>
      <c r="N641" s="7" t="s">
        <v>45</v>
      </c>
    </row>
    <row r="642" spans="1:14" x14ac:dyDescent="0.35">
      <c r="A642" s="7" t="s">
        <v>1626</v>
      </c>
      <c r="B642" s="7" t="s">
        <v>548</v>
      </c>
      <c r="C642" s="7" t="s">
        <v>549</v>
      </c>
      <c r="D642" s="7" t="s">
        <v>14</v>
      </c>
      <c r="E642" s="7" t="s">
        <v>266</v>
      </c>
      <c r="F642" s="7" t="s">
        <v>16</v>
      </c>
      <c r="G642" s="7" t="s">
        <v>17</v>
      </c>
      <c r="H642" s="7">
        <v>3</v>
      </c>
      <c r="I642" s="2">
        <v>998.88</v>
      </c>
      <c r="J642" s="2">
        <f>Tabla2[[#This Row],[Quantity]]*I642</f>
        <v>2996.64</v>
      </c>
      <c r="K642" s="6">
        <f>MONTH(Tabla2[[#This Row],[OrderDate]])</f>
        <v>6</v>
      </c>
      <c r="L642" s="6">
        <f>YEAR(Tabla2[[#This Row],[OrderDate]])</f>
        <v>2024</v>
      </c>
      <c r="M642" s="7" t="s">
        <v>1258</v>
      </c>
      <c r="N642" s="7" t="s">
        <v>45</v>
      </c>
    </row>
    <row r="643" spans="1:14" x14ac:dyDescent="0.35">
      <c r="A643" s="7" t="s">
        <v>1627</v>
      </c>
      <c r="B643" s="7" t="s">
        <v>518</v>
      </c>
      <c r="C643" s="7" t="s">
        <v>519</v>
      </c>
      <c r="D643" s="7" t="s">
        <v>23</v>
      </c>
      <c r="E643" s="7" t="s">
        <v>49</v>
      </c>
      <c r="F643" s="7" t="s">
        <v>50</v>
      </c>
      <c r="G643" s="7" t="s">
        <v>216</v>
      </c>
      <c r="H643" s="7">
        <v>1</v>
      </c>
      <c r="I643" s="2">
        <v>320.63</v>
      </c>
      <c r="J643" s="2">
        <f>Tabla2[[#This Row],[Quantity]]*I643</f>
        <v>320.63</v>
      </c>
      <c r="K643" s="6">
        <f>MONTH(Tabla2[[#This Row],[OrderDate]])</f>
        <v>6</v>
      </c>
      <c r="L643" s="6">
        <f>YEAR(Tabla2[[#This Row],[OrderDate]])</f>
        <v>2024</v>
      </c>
      <c r="M643" s="7" t="s">
        <v>283</v>
      </c>
      <c r="N643" s="7" t="s">
        <v>36</v>
      </c>
    </row>
    <row r="644" spans="1:14" x14ac:dyDescent="0.35">
      <c r="A644" s="7" t="s">
        <v>1628</v>
      </c>
      <c r="B644" s="7" t="s">
        <v>856</v>
      </c>
      <c r="C644" s="7" t="s">
        <v>857</v>
      </c>
      <c r="D644" s="7" t="s">
        <v>23</v>
      </c>
      <c r="E644" s="7" t="s">
        <v>24</v>
      </c>
      <c r="F644" s="7" t="s">
        <v>25</v>
      </c>
      <c r="G644" s="7" t="s">
        <v>74</v>
      </c>
      <c r="H644" s="7">
        <v>4</v>
      </c>
      <c r="I644" s="2">
        <v>975.06</v>
      </c>
      <c r="J644" s="2">
        <f>Tabla2[[#This Row],[Quantity]]*I644</f>
        <v>3900.24</v>
      </c>
      <c r="K644" s="6">
        <f>MONTH(Tabla2[[#This Row],[OrderDate]])</f>
        <v>2</v>
      </c>
      <c r="L644" s="6">
        <f>YEAR(Tabla2[[#This Row],[OrderDate]])</f>
        <v>2026</v>
      </c>
      <c r="M644" s="7" t="s">
        <v>1629</v>
      </c>
      <c r="N644" s="7" t="s">
        <v>45</v>
      </c>
    </row>
    <row r="645" spans="1:14" x14ac:dyDescent="0.35">
      <c r="A645" s="7" t="s">
        <v>1630</v>
      </c>
      <c r="B645" s="7" t="s">
        <v>801</v>
      </c>
      <c r="C645" s="7" t="s">
        <v>802</v>
      </c>
      <c r="D645" s="7" t="s">
        <v>40</v>
      </c>
      <c r="E645" s="7" t="s">
        <v>79</v>
      </c>
      <c r="F645" s="7" t="s">
        <v>50</v>
      </c>
      <c r="G645" s="7" t="s">
        <v>56</v>
      </c>
      <c r="H645" s="7">
        <v>3</v>
      </c>
      <c r="I645" s="2">
        <v>1278.8499999999999</v>
      </c>
      <c r="J645" s="2">
        <f>Tabla2[[#This Row],[Quantity]]*I645</f>
        <v>3836.5499999999997</v>
      </c>
      <c r="K645" s="6">
        <f>MONTH(Tabla2[[#This Row],[OrderDate]])</f>
        <v>5</v>
      </c>
      <c r="L645" s="6">
        <f>YEAR(Tabla2[[#This Row],[OrderDate]])</f>
        <v>2025</v>
      </c>
      <c r="M645" s="7" t="s">
        <v>1631</v>
      </c>
      <c r="N645" s="7" t="s">
        <v>19</v>
      </c>
    </row>
    <row r="646" spans="1:14" x14ac:dyDescent="0.35">
      <c r="A646" s="7" t="s">
        <v>1632</v>
      </c>
      <c r="B646" s="7" t="s">
        <v>633</v>
      </c>
      <c r="C646" s="7" t="s">
        <v>634</v>
      </c>
      <c r="D646" s="7" t="s">
        <v>32</v>
      </c>
      <c r="E646" s="7" t="s">
        <v>61</v>
      </c>
      <c r="F646" s="7" t="s">
        <v>50</v>
      </c>
      <c r="G646" s="7" t="s">
        <v>51</v>
      </c>
      <c r="H646" s="7">
        <v>1</v>
      </c>
      <c r="I646" s="2">
        <v>967.2</v>
      </c>
      <c r="J646" s="2">
        <f>Tabla2[[#This Row],[Quantity]]*I646</f>
        <v>967.2</v>
      </c>
      <c r="K646" s="6">
        <f>MONTH(Tabla2[[#This Row],[OrderDate]])</f>
        <v>3</v>
      </c>
      <c r="L646" s="6">
        <f>YEAR(Tabla2[[#This Row],[OrderDate]])</f>
        <v>2025</v>
      </c>
      <c r="M646" s="7" t="s">
        <v>577</v>
      </c>
      <c r="N646" s="7" t="s">
        <v>45</v>
      </c>
    </row>
    <row r="647" spans="1:14" x14ac:dyDescent="0.35">
      <c r="A647" s="7" t="s">
        <v>1633</v>
      </c>
      <c r="B647" s="7" t="s">
        <v>248</v>
      </c>
      <c r="C647" s="7" t="s">
        <v>249</v>
      </c>
      <c r="D647" s="7" t="s">
        <v>14</v>
      </c>
      <c r="E647" s="7" t="s">
        <v>125</v>
      </c>
      <c r="F647" s="7" t="s">
        <v>16</v>
      </c>
      <c r="G647" s="7" t="s">
        <v>148</v>
      </c>
      <c r="H647" s="7">
        <v>4</v>
      </c>
      <c r="I647" s="2">
        <v>553.14</v>
      </c>
      <c r="J647" s="2">
        <f>Tabla2[[#This Row],[Quantity]]*I647</f>
        <v>2212.56</v>
      </c>
      <c r="K647" s="6">
        <f>MONTH(Tabla2[[#This Row],[OrderDate]])</f>
        <v>8</v>
      </c>
      <c r="L647" s="6">
        <f>YEAR(Tabla2[[#This Row],[OrderDate]])</f>
        <v>2024</v>
      </c>
      <c r="M647" s="7" t="s">
        <v>866</v>
      </c>
      <c r="N647" s="7" t="s">
        <v>28</v>
      </c>
    </row>
    <row r="648" spans="1:14" x14ac:dyDescent="0.35">
      <c r="A648" s="7" t="s">
        <v>1634</v>
      </c>
      <c r="B648" s="7" t="s">
        <v>180</v>
      </c>
      <c r="C648" s="7" t="s">
        <v>181</v>
      </c>
      <c r="D648" s="7" t="s">
        <v>14</v>
      </c>
      <c r="E648" s="7" t="s">
        <v>100</v>
      </c>
      <c r="F648" s="7" t="s">
        <v>16</v>
      </c>
      <c r="G648" s="7" t="s">
        <v>148</v>
      </c>
      <c r="H648" s="7">
        <v>2</v>
      </c>
      <c r="I648" s="2">
        <v>984.54</v>
      </c>
      <c r="J648" s="2">
        <f>Tabla2[[#This Row],[Quantity]]*I648</f>
        <v>1969.08</v>
      </c>
      <c r="K648" s="6">
        <f>MONTH(Tabla2[[#This Row],[OrderDate]])</f>
        <v>4</v>
      </c>
      <c r="L648" s="6">
        <f>YEAR(Tabla2[[#This Row],[OrderDate]])</f>
        <v>2025</v>
      </c>
      <c r="M648" s="7" t="s">
        <v>1635</v>
      </c>
      <c r="N648" s="7" t="s">
        <v>91</v>
      </c>
    </row>
    <row r="649" spans="1:14" x14ac:dyDescent="0.35">
      <c r="A649" s="7" t="s">
        <v>1636</v>
      </c>
      <c r="B649" s="7" t="s">
        <v>579</v>
      </c>
      <c r="C649" s="7" t="s">
        <v>580</v>
      </c>
      <c r="D649" s="7" t="s">
        <v>14</v>
      </c>
      <c r="E649" s="7" t="s">
        <v>100</v>
      </c>
      <c r="F649" s="7" t="s">
        <v>101</v>
      </c>
      <c r="G649" s="7" t="s">
        <v>373</v>
      </c>
      <c r="H649" s="7">
        <v>3</v>
      </c>
      <c r="I649" s="2">
        <v>432.15</v>
      </c>
      <c r="J649" s="2">
        <f>Tabla2[[#This Row],[Quantity]]*I649</f>
        <v>1296.4499999999998</v>
      </c>
      <c r="K649" s="6">
        <f>MONTH(Tabla2[[#This Row],[OrderDate]])</f>
        <v>5</v>
      </c>
      <c r="L649" s="6">
        <f>YEAR(Tabla2[[#This Row],[OrderDate]])</f>
        <v>2024</v>
      </c>
      <c r="M649" s="7" t="s">
        <v>1230</v>
      </c>
      <c r="N649" s="7" t="s">
        <v>91</v>
      </c>
    </row>
    <row r="650" spans="1:14" x14ac:dyDescent="0.35">
      <c r="A650" s="7" t="s">
        <v>1637</v>
      </c>
      <c r="B650" s="7" t="s">
        <v>352</v>
      </c>
      <c r="C650" s="7" t="s">
        <v>353</v>
      </c>
      <c r="D650" s="7" t="s">
        <v>23</v>
      </c>
      <c r="E650" s="7" t="s">
        <v>338</v>
      </c>
      <c r="F650" s="7" t="s">
        <v>50</v>
      </c>
      <c r="G650" s="7" t="s">
        <v>216</v>
      </c>
      <c r="H650" s="7">
        <v>3</v>
      </c>
      <c r="I650" s="2">
        <v>60.5</v>
      </c>
      <c r="J650" s="2">
        <f>Tabla2[[#This Row],[Quantity]]*I650</f>
        <v>181.5</v>
      </c>
      <c r="K650" s="6">
        <f>MONTH(Tabla2[[#This Row],[OrderDate]])</f>
        <v>1</v>
      </c>
      <c r="L650" s="6">
        <f>YEAR(Tabla2[[#This Row],[OrderDate]])</f>
        <v>2025</v>
      </c>
      <c r="M650" s="7" t="s">
        <v>654</v>
      </c>
      <c r="N650" s="7" t="s">
        <v>19</v>
      </c>
    </row>
    <row r="651" spans="1:14" x14ac:dyDescent="0.35">
      <c r="A651" s="7" t="s">
        <v>1638</v>
      </c>
      <c r="B651" s="7" t="s">
        <v>856</v>
      </c>
      <c r="C651" s="7" t="s">
        <v>857</v>
      </c>
      <c r="D651" s="7" t="s">
        <v>14</v>
      </c>
      <c r="E651" s="7" t="s">
        <v>100</v>
      </c>
      <c r="F651" s="7" t="s">
        <v>101</v>
      </c>
      <c r="G651" s="7" t="s">
        <v>165</v>
      </c>
      <c r="H651" s="7">
        <v>4</v>
      </c>
      <c r="I651" s="2">
        <v>845.66</v>
      </c>
      <c r="J651" s="2">
        <f>Tabla2[[#This Row],[Quantity]]*I651</f>
        <v>3382.64</v>
      </c>
      <c r="K651" s="6">
        <f>MONTH(Tabla2[[#This Row],[OrderDate]])</f>
        <v>2</v>
      </c>
      <c r="L651" s="6">
        <f>YEAR(Tabla2[[#This Row],[OrderDate]])</f>
        <v>2024</v>
      </c>
      <c r="M651" s="7" t="s">
        <v>1639</v>
      </c>
      <c r="N651" s="7" t="s">
        <v>19</v>
      </c>
    </row>
    <row r="652" spans="1:14" x14ac:dyDescent="0.35">
      <c r="A652" s="7" t="s">
        <v>1640</v>
      </c>
      <c r="B652" s="7" t="s">
        <v>1428</v>
      </c>
      <c r="C652" s="7" t="s">
        <v>1429</v>
      </c>
      <c r="D652" s="7" t="s">
        <v>67</v>
      </c>
      <c r="E652" s="7" t="s">
        <v>115</v>
      </c>
      <c r="F652" s="7" t="s">
        <v>101</v>
      </c>
      <c r="G652" s="7" t="s">
        <v>373</v>
      </c>
      <c r="H652" s="7">
        <v>3</v>
      </c>
      <c r="I652" s="2">
        <v>1122.6600000000001</v>
      </c>
      <c r="J652" s="2">
        <f>Tabla2[[#This Row],[Quantity]]*I652</f>
        <v>3367.9800000000005</v>
      </c>
      <c r="K652" s="6">
        <f>MONTH(Tabla2[[#This Row],[OrderDate]])</f>
        <v>6</v>
      </c>
      <c r="L652" s="6">
        <f>YEAR(Tabla2[[#This Row],[OrderDate]])</f>
        <v>2025</v>
      </c>
      <c r="M652" s="7" t="s">
        <v>510</v>
      </c>
      <c r="N652" s="7" t="s">
        <v>91</v>
      </c>
    </row>
    <row r="653" spans="1:14" x14ac:dyDescent="0.35">
      <c r="A653" s="7" t="s">
        <v>1641</v>
      </c>
      <c r="B653" s="7" t="s">
        <v>321</v>
      </c>
      <c r="C653" s="7" t="s">
        <v>322</v>
      </c>
      <c r="D653" s="7" t="s">
        <v>14</v>
      </c>
      <c r="E653" s="7" t="s">
        <v>266</v>
      </c>
      <c r="F653" s="7" t="s">
        <v>50</v>
      </c>
      <c r="G653" s="7" t="s">
        <v>56</v>
      </c>
      <c r="H653" s="7">
        <v>2</v>
      </c>
      <c r="I653" s="2">
        <v>99.57</v>
      </c>
      <c r="J653" s="2">
        <f>Tabla2[[#This Row],[Quantity]]*I653</f>
        <v>199.14</v>
      </c>
      <c r="K653" s="6">
        <f>MONTH(Tabla2[[#This Row],[OrderDate]])</f>
        <v>2</v>
      </c>
      <c r="L653" s="6">
        <f>YEAR(Tabla2[[#This Row],[OrderDate]])</f>
        <v>2025</v>
      </c>
      <c r="M653" s="7" t="s">
        <v>927</v>
      </c>
      <c r="N653" s="7" t="s">
        <v>36</v>
      </c>
    </row>
    <row r="654" spans="1:14" x14ac:dyDescent="0.35">
      <c r="A654" s="7" t="s">
        <v>1642</v>
      </c>
      <c r="B654" s="7" t="s">
        <v>536</v>
      </c>
      <c r="C654" s="7" t="s">
        <v>537</v>
      </c>
      <c r="D654" s="7" t="s">
        <v>14</v>
      </c>
      <c r="E654" s="7" t="s">
        <v>95</v>
      </c>
      <c r="F654" s="7" t="s">
        <v>101</v>
      </c>
      <c r="G654" s="7" t="s">
        <v>373</v>
      </c>
      <c r="H654" s="7">
        <v>3</v>
      </c>
      <c r="I654" s="2">
        <v>1043.25</v>
      </c>
      <c r="J654" s="2">
        <f>Tabla2[[#This Row],[Quantity]]*I654</f>
        <v>3129.75</v>
      </c>
      <c r="K654" s="6">
        <f>MONTH(Tabla2[[#This Row],[OrderDate]])</f>
        <v>4</v>
      </c>
      <c r="L654" s="6">
        <f>YEAR(Tabla2[[#This Row],[OrderDate]])</f>
        <v>2024</v>
      </c>
      <c r="M654" s="7" t="s">
        <v>327</v>
      </c>
      <c r="N654" s="7" t="s">
        <v>28</v>
      </c>
    </row>
    <row r="655" spans="1:14" x14ac:dyDescent="0.35">
      <c r="A655" s="7" t="s">
        <v>1643</v>
      </c>
      <c r="B655" s="7" t="s">
        <v>868</v>
      </c>
      <c r="C655" s="7" t="s">
        <v>869</v>
      </c>
      <c r="D655" s="7" t="s">
        <v>40</v>
      </c>
      <c r="E655" s="7" t="s">
        <v>120</v>
      </c>
      <c r="F655" s="7" t="s">
        <v>101</v>
      </c>
      <c r="G655" s="7" t="s">
        <v>102</v>
      </c>
      <c r="H655" s="7">
        <v>5</v>
      </c>
      <c r="I655" s="2">
        <v>488.08</v>
      </c>
      <c r="J655" s="2">
        <f>Tabla2[[#This Row],[Quantity]]*I655</f>
        <v>2440.4</v>
      </c>
      <c r="K655" s="6">
        <f>MONTH(Tabla2[[#This Row],[OrderDate]])</f>
        <v>8</v>
      </c>
      <c r="L655" s="6">
        <f>YEAR(Tabla2[[#This Row],[OrderDate]])</f>
        <v>2024</v>
      </c>
      <c r="M655" s="7" t="s">
        <v>892</v>
      </c>
      <c r="N655" s="7" t="s">
        <v>19</v>
      </c>
    </row>
    <row r="656" spans="1:14" x14ac:dyDescent="0.35">
      <c r="A656" s="7" t="s">
        <v>1644</v>
      </c>
      <c r="B656" s="7" t="s">
        <v>201</v>
      </c>
      <c r="C656" s="7" t="s">
        <v>202</v>
      </c>
      <c r="D656" s="7" t="s">
        <v>67</v>
      </c>
      <c r="E656" s="7" t="s">
        <v>130</v>
      </c>
      <c r="F656" s="7" t="s">
        <v>16</v>
      </c>
      <c r="G656" s="7" t="s">
        <v>17</v>
      </c>
      <c r="H656" s="7">
        <v>4</v>
      </c>
      <c r="I656" s="2">
        <v>326.93</v>
      </c>
      <c r="J656" s="2">
        <f>Tabla2[[#This Row],[Quantity]]*I656</f>
        <v>1307.72</v>
      </c>
      <c r="K656" s="6">
        <f>MONTH(Tabla2[[#This Row],[OrderDate]])</f>
        <v>2</v>
      </c>
      <c r="L656" s="6">
        <f>YEAR(Tabla2[[#This Row],[OrderDate]])</f>
        <v>2025</v>
      </c>
      <c r="M656" s="7" t="s">
        <v>357</v>
      </c>
      <c r="N656" s="7" t="s">
        <v>28</v>
      </c>
    </row>
    <row r="657" spans="1:14" x14ac:dyDescent="0.35">
      <c r="A657" s="7" t="s">
        <v>1645</v>
      </c>
      <c r="B657" s="7" t="s">
        <v>1516</v>
      </c>
      <c r="C657" s="7" t="s">
        <v>1517</v>
      </c>
      <c r="D657" s="7" t="s">
        <v>67</v>
      </c>
      <c r="E657" s="7" t="s">
        <v>68</v>
      </c>
      <c r="F657" s="7" t="s">
        <v>25</v>
      </c>
      <c r="G657" s="7" t="s">
        <v>62</v>
      </c>
      <c r="H657" s="7">
        <v>4</v>
      </c>
      <c r="I657" s="2">
        <v>856.58</v>
      </c>
      <c r="J657" s="2">
        <f>Tabla2[[#This Row],[Quantity]]*I657</f>
        <v>3426.32</v>
      </c>
      <c r="K657" s="6">
        <f>MONTH(Tabla2[[#This Row],[OrderDate]])</f>
        <v>11</v>
      </c>
      <c r="L657" s="6">
        <f>YEAR(Tabla2[[#This Row],[OrderDate]])</f>
        <v>2024</v>
      </c>
      <c r="M657" s="7" t="s">
        <v>1494</v>
      </c>
      <c r="N657" s="7" t="s">
        <v>45</v>
      </c>
    </row>
    <row r="658" spans="1:14" x14ac:dyDescent="0.35">
      <c r="A658" s="7" t="s">
        <v>1646</v>
      </c>
      <c r="B658" s="7" t="s">
        <v>602</v>
      </c>
      <c r="C658" s="7" t="s">
        <v>603</v>
      </c>
      <c r="D658" s="7" t="s">
        <v>32</v>
      </c>
      <c r="E658" s="7" t="s">
        <v>203</v>
      </c>
      <c r="F658" s="7" t="s">
        <v>42</v>
      </c>
      <c r="G658" s="7" t="s">
        <v>89</v>
      </c>
      <c r="H658" s="7">
        <v>2</v>
      </c>
      <c r="I658" s="2">
        <v>1237.53</v>
      </c>
      <c r="J658" s="2">
        <f>Tabla2[[#This Row],[Quantity]]*I658</f>
        <v>2475.06</v>
      </c>
      <c r="K658" s="6">
        <f>MONTH(Tabla2[[#This Row],[OrderDate]])</f>
        <v>8</v>
      </c>
      <c r="L658" s="6">
        <f>YEAR(Tabla2[[#This Row],[OrderDate]])</f>
        <v>2025</v>
      </c>
      <c r="M658" s="7" t="s">
        <v>331</v>
      </c>
      <c r="N658" s="7" t="s">
        <v>45</v>
      </c>
    </row>
    <row r="659" spans="1:14" x14ac:dyDescent="0.35">
      <c r="A659" s="7" t="s">
        <v>1647</v>
      </c>
      <c r="B659" s="7" t="s">
        <v>163</v>
      </c>
      <c r="C659" s="7" t="s">
        <v>164</v>
      </c>
      <c r="D659" s="7" t="s">
        <v>40</v>
      </c>
      <c r="E659" s="7" t="s">
        <v>79</v>
      </c>
      <c r="F659" s="7" t="s">
        <v>50</v>
      </c>
      <c r="G659" s="7" t="s">
        <v>69</v>
      </c>
      <c r="H659" s="7">
        <v>1</v>
      </c>
      <c r="I659" s="2">
        <v>872.34</v>
      </c>
      <c r="J659" s="2">
        <f>Tabla2[[#This Row],[Quantity]]*I659</f>
        <v>872.34</v>
      </c>
      <c r="K659" s="6">
        <f>MONTH(Tabla2[[#This Row],[OrderDate]])</f>
        <v>6</v>
      </c>
      <c r="L659" s="6">
        <f>YEAR(Tabla2[[#This Row],[OrderDate]])</f>
        <v>2025</v>
      </c>
      <c r="M659" s="7" t="s">
        <v>692</v>
      </c>
      <c r="N659" s="7" t="s">
        <v>36</v>
      </c>
    </row>
    <row r="660" spans="1:14" x14ac:dyDescent="0.35">
      <c r="A660" s="7" t="s">
        <v>1648</v>
      </c>
      <c r="B660" s="7" t="s">
        <v>738</v>
      </c>
      <c r="C660" s="7" t="s">
        <v>739</v>
      </c>
      <c r="D660" s="7" t="s">
        <v>14</v>
      </c>
      <c r="E660" s="7" t="s">
        <v>15</v>
      </c>
      <c r="F660" s="7" t="s">
        <v>101</v>
      </c>
      <c r="G660" s="7" t="s">
        <v>649</v>
      </c>
      <c r="H660" s="7">
        <v>2</v>
      </c>
      <c r="I660" s="2">
        <v>1467.5</v>
      </c>
      <c r="J660" s="2">
        <f>Tabla2[[#This Row],[Quantity]]*I660</f>
        <v>2935</v>
      </c>
      <c r="K660" s="6">
        <f>MONTH(Tabla2[[#This Row],[OrderDate]])</f>
        <v>1</v>
      </c>
      <c r="L660" s="6">
        <f>YEAR(Tabla2[[#This Row],[OrderDate]])</f>
        <v>2025</v>
      </c>
      <c r="M660" s="7" t="s">
        <v>1649</v>
      </c>
      <c r="N660" s="7" t="s">
        <v>19</v>
      </c>
    </row>
    <row r="661" spans="1:14" x14ac:dyDescent="0.35">
      <c r="A661" s="7" t="s">
        <v>1650</v>
      </c>
      <c r="B661" s="7" t="s">
        <v>252</v>
      </c>
      <c r="C661" s="7" t="s">
        <v>253</v>
      </c>
      <c r="D661" s="7" t="s">
        <v>23</v>
      </c>
      <c r="E661" s="7" t="s">
        <v>338</v>
      </c>
      <c r="F661" s="7" t="s">
        <v>16</v>
      </c>
      <c r="G661" s="7" t="s">
        <v>177</v>
      </c>
      <c r="H661" s="7">
        <v>5</v>
      </c>
      <c r="I661" s="2">
        <v>1246</v>
      </c>
      <c r="J661" s="2">
        <f>Tabla2[[#This Row],[Quantity]]*I661</f>
        <v>6230</v>
      </c>
      <c r="K661" s="6">
        <f>MONTH(Tabla2[[#This Row],[OrderDate]])</f>
        <v>3</v>
      </c>
      <c r="L661" s="6">
        <f>YEAR(Tabla2[[#This Row],[OrderDate]])</f>
        <v>2026</v>
      </c>
      <c r="M661" s="7" t="s">
        <v>749</v>
      </c>
      <c r="N661" s="7" t="s">
        <v>36</v>
      </c>
    </row>
    <row r="662" spans="1:14" x14ac:dyDescent="0.35">
      <c r="A662" s="7" t="s">
        <v>1651</v>
      </c>
      <c r="B662" s="7" t="s">
        <v>1307</v>
      </c>
      <c r="C662" s="7" t="s">
        <v>1308</v>
      </c>
      <c r="D662" s="7" t="s">
        <v>67</v>
      </c>
      <c r="E662" s="7" t="s">
        <v>115</v>
      </c>
      <c r="F662" s="7" t="s">
        <v>101</v>
      </c>
      <c r="G662" s="7" t="s">
        <v>237</v>
      </c>
      <c r="H662" s="7">
        <v>1</v>
      </c>
      <c r="I662" s="2">
        <v>487.58</v>
      </c>
      <c r="J662" s="2">
        <f>Tabla2[[#This Row],[Quantity]]*I662</f>
        <v>487.58</v>
      </c>
      <c r="K662" s="6">
        <f>MONTH(Tabla2[[#This Row],[OrderDate]])</f>
        <v>11</v>
      </c>
      <c r="L662" s="6">
        <f>YEAR(Tabla2[[#This Row],[OrderDate]])</f>
        <v>2025</v>
      </c>
      <c r="M662" s="7" t="s">
        <v>956</v>
      </c>
      <c r="N662" s="7" t="s">
        <v>28</v>
      </c>
    </row>
    <row r="663" spans="1:14" x14ac:dyDescent="0.35">
      <c r="A663" s="7" t="s">
        <v>1652</v>
      </c>
      <c r="B663" s="7" t="s">
        <v>878</v>
      </c>
      <c r="C663" s="7" t="s">
        <v>879</v>
      </c>
      <c r="D663" s="7" t="s">
        <v>40</v>
      </c>
      <c r="E663" s="7" t="s">
        <v>120</v>
      </c>
      <c r="F663" s="7" t="s">
        <v>25</v>
      </c>
      <c r="G663" s="7" t="s">
        <v>139</v>
      </c>
      <c r="H663" s="7">
        <v>1</v>
      </c>
      <c r="I663" s="2">
        <v>1258.8</v>
      </c>
      <c r="J663" s="2">
        <f>Tabla2[[#This Row],[Quantity]]*I663</f>
        <v>1258.8</v>
      </c>
      <c r="K663" s="6">
        <f>MONTH(Tabla2[[#This Row],[OrderDate]])</f>
        <v>5</v>
      </c>
      <c r="L663" s="6">
        <f>YEAR(Tabla2[[#This Row],[OrderDate]])</f>
        <v>2024</v>
      </c>
      <c r="M663" s="7" t="s">
        <v>317</v>
      </c>
      <c r="N663" s="7" t="s">
        <v>36</v>
      </c>
    </row>
    <row r="664" spans="1:14" x14ac:dyDescent="0.35">
      <c r="A664" s="7" t="s">
        <v>1653</v>
      </c>
      <c r="B664" s="7" t="s">
        <v>715</v>
      </c>
      <c r="C664" s="7" t="s">
        <v>716</v>
      </c>
      <c r="D664" s="7" t="s">
        <v>67</v>
      </c>
      <c r="E664" s="7" t="s">
        <v>115</v>
      </c>
      <c r="F664" s="7" t="s">
        <v>50</v>
      </c>
      <c r="G664" s="7" t="s">
        <v>216</v>
      </c>
      <c r="H664" s="7">
        <v>3</v>
      </c>
      <c r="I664" s="2">
        <v>245.28</v>
      </c>
      <c r="J664" s="2">
        <f>Tabla2[[#This Row],[Quantity]]*I664</f>
        <v>735.84</v>
      </c>
      <c r="K664" s="6">
        <f>MONTH(Tabla2[[#This Row],[OrderDate]])</f>
        <v>5</v>
      </c>
      <c r="L664" s="6">
        <f>YEAR(Tabla2[[#This Row],[OrderDate]])</f>
        <v>2024</v>
      </c>
      <c r="M664" s="7" t="s">
        <v>1654</v>
      </c>
      <c r="N664" s="7" t="s">
        <v>45</v>
      </c>
    </row>
    <row r="665" spans="1:14" x14ac:dyDescent="0.35">
      <c r="A665" s="7" t="s">
        <v>1655</v>
      </c>
      <c r="B665" s="7" t="s">
        <v>299</v>
      </c>
      <c r="C665" s="7" t="s">
        <v>300</v>
      </c>
      <c r="D665" s="7" t="s">
        <v>40</v>
      </c>
      <c r="E665" s="7" t="s">
        <v>120</v>
      </c>
      <c r="F665" s="7" t="s">
        <v>42</v>
      </c>
      <c r="G665" s="7" t="s">
        <v>89</v>
      </c>
      <c r="H665" s="7">
        <v>3</v>
      </c>
      <c r="I665" s="2">
        <v>562.92999999999995</v>
      </c>
      <c r="J665" s="2">
        <f>Tabla2[[#This Row],[Quantity]]*I665</f>
        <v>1688.79</v>
      </c>
      <c r="K665" s="6">
        <f>MONTH(Tabla2[[#This Row],[OrderDate]])</f>
        <v>8</v>
      </c>
      <c r="L665" s="6">
        <f>YEAR(Tabla2[[#This Row],[OrderDate]])</f>
        <v>2025</v>
      </c>
      <c r="M665" s="7" t="s">
        <v>1656</v>
      </c>
      <c r="N665" s="7" t="s">
        <v>36</v>
      </c>
    </row>
    <row r="666" spans="1:14" x14ac:dyDescent="0.35">
      <c r="A666" s="7" t="s">
        <v>1657</v>
      </c>
      <c r="B666" s="7" t="s">
        <v>827</v>
      </c>
      <c r="C666" s="7" t="s">
        <v>828</v>
      </c>
      <c r="D666" s="7" t="s">
        <v>32</v>
      </c>
      <c r="E666" s="7" t="s">
        <v>61</v>
      </c>
      <c r="F666" s="7" t="s">
        <v>101</v>
      </c>
      <c r="G666" s="7" t="s">
        <v>102</v>
      </c>
      <c r="H666" s="7">
        <v>5</v>
      </c>
      <c r="I666" s="2">
        <v>514.92999999999995</v>
      </c>
      <c r="J666" s="2">
        <f>Tabla2[[#This Row],[Quantity]]*I666</f>
        <v>2574.6499999999996</v>
      </c>
      <c r="K666" s="6">
        <f>MONTH(Tabla2[[#This Row],[OrderDate]])</f>
        <v>1</v>
      </c>
      <c r="L666" s="6">
        <f>YEAR(Tabla2[[#This Row],[OrderDate]])</f>
        <v>2026</v>
      </c>
      <c r="M666" s="7" t="s">
        <v>1406</v>
      </c>
      <c r="N666" s="7" t="s">
        <v>91</v>
      </c>
    </row>
    <row r="667" spans="1:14" x14ac:dyDescent="0.35">
      <c r="A667" s="7" t="s">
        <v>1658</v>
      </c>
      <c r="B667" s="7" t="s">
        <v>1203</v>
      </c>
      <c r="C667" s="7" t="s">
        <v>1204</v>
      </c>
      <c r="D667" s="7" t="s">
        <v>23</v>
      </c>
      <c r="E667" s="7" t="s">
        <v>338</v>
      </c>
      <c r="F667" s="7" t="s">
        <v>101</v>
      </c>
      <c r="G667" s="7" t="s">
        <v>165</v>
      </c>
      <c r="H667" s="7">
        <v>2</v>
      </c>
      <c r="I667" s="2">
        <v>328.17</v>
      </c>
      <c r="J667" s="2">
        <f>Tabla2[[#This Row],[Quantity]]*I667</f>
        <v>656.34</v>
      </c>
      <c r="K667" s="6">
        <f>MONTH(Tabla2[[#This Row],[OrderDate]])</f>
        <v>7</v>
      </c>
      <c r="L667" s="6">
        <f>YEAR(Tabla2[[#This Row],[OrderDate]])</f>
        <v>2025</v>
      </c>
      <c r="M667" s="7" t="s">
        <v>262</v>
      </c>
      <c r="N667" s="7" t="s">
        <v>28</v>
      </c>
    </row>
    <row r="668" spans="1:14" x14ac:dyDescent="0.35">
      <c r="A668" s="7" t="s">
        <v>1659</v>
      </c>
      <c r="B668" s="7" t="s">
        <v>446</v>
      </c>
      <c r="C668" s="7" t="s">
        <v>447</v>
      </c>
      <c r="D668" s="7" t="s">
        <v>67</v>
      </c>
      <c r="E668" s="7" t="s">
        <v>115</v>
      </c>
      <c r="F668" s="7" t="s">
        <v>25</v>
      </c>
      <c r="G668" s="7" t="s">
        <v>139</v>
      </c>
      <c r="H668" s="7">
        <v>4</v>
      </c>
      <c r="I668" s="2">
        <v>1106.67</v>
      </c>
      <c r="J668" s="2">
        <f>Tabla2[[#This Row],[Quantity]]*I668</f>
        <v>4426.68</v>
      </c>
      <c r="K668" s="6">
        <f>MONTH(Tabla2[[#This Row],[OrderDate]])</f>
        <v>1</v>
      </c>
      <c r="L668" s="6">
        <f>YEAR(Tabla2[[#This Row],[OrderDate]])</f>
        <v>2026</v>
      </c>
      <c r="M668" s="7" t="s">
        <v>1660</v>
      </c>
      <c r="N668" s="7" t="s">
        <v>28</v>
      </c>
    </row>
    <row r="669" spans="1:14" x14ac:dyDescent="0.35">
      <c r="A669" s="7" t="s">
        <v>1661</v>
      </c>
      <c r="B669" s="7" t="s">
        <v>1662</v>
      </c>
      <c r="C669" s="7" t="s">
        <v>1663</v>
      </c>
      <c r="D669" s="7" t="s">
        <v>67</v>
      </c>
      <c r="E669" s="7" t="s">
        <v>130</v>
      </c>
      <c r="F669" s="7" t="s">
        <v>25</v>
      </c>
      <c r="G669" s="7" t="s">
        <v>62</v>
      </c>
      <c r="H669" s="7">
        <v>1</v>
      </c>
      <c r="I669" s="2">
        <v>497.82</v>
      </c>
      <c r="J669" s="2">
        <f>Tabla2[[#This Row],[Quantity]]*I669</f>
        <v>497.82</v>
      </c>
      <c r="K669" s="6">
        <f>MONTH(Tabla2[[#This Row],[OrderDate]])</f>
        <v>2</v>
      </c>
      <c r="L669" s="6">
        <f>YEAR(Tabla2[[#This Row],[OrderDate]])</f>
        <v>2025</v>
      </c>
      <c r="M669" s="7" t="s">
        <v>103</v>
      </c>
      <c r="N669" s="7" t="s">
        <v>28</v>
      </c>
    </row>
    <row r="670" spans="1:14" x14ac:dyDescent="0.35">
      <c r="A670" s="7" t="s">
        <v>1664</v>
      </c>
      <c r="B670" s="7" t="s">
        <v>969</v>
      </c>
      <c r="C670" s="7" t="s">
        <v>970</v>
      </c>
      <c r="D670" s="7" t="s">
        <v>67</v>
      </c>
      <c r="E670" s="7" t="s">
        <v>130</v>
      </c>
      <c r="F670" s="7" t="s">
        <v>16</v>
      </c>
      <c r="G670" s="7" t="s">
        <v>177</v>
      </c>
      <c r="H670" s="7">
        <v>1</v>
      </c>
      <c r="I670" s="2">
        <v>415.94</v>
      </c>
      <c r="J670" s="2">
        <f>Tabla2[[#This Row],[Quantity]]*I670</f>
        <v>415.94</v>
      </c>
      <c r="K670" s="6">
        <f>MONTH(Tabla2[[#This Row],[OrderDate]])</f>
        <v>10</v>
      </c>
      <c r="L670" s="6">
        <f>YEAR(Tabla2[[#This Row],[OrderDate]])</f>
        <v>2024</v>
      </c>
      <c r="M670" s="7" t="s">
        <v>1665</v>
      </c>
      <c r="N670" s="7" t="s">
        <v>36</v>
      </c>
    </row>
    <row r="671" spans="1:14" x14ac:dyDescent="0.35">
      <c r="A671" s="7" t="s">
        <v>1666</v>
      </c>
      <c r="B671" s="7" t="s">
        <v>1369</v>
      </c>
      <c r="C671" s="7" t="s">
        <v>1370</v>
      </c>
      <c r="D671" s="7" t="s">
        <v>32</v>
      </c>
      <c r="E671" s="7" t="s">
        <v>203</v>
      </c>
      <c r="F671" s="7" t="s">
        <v>50</v>
      </c>
      <c r="G671" s="7" t="s">
        <v>170</v>
      </c>
      <c r="H671" s="7">
        <v>3</v>
      </c>
      <c r="I671" s="2">
        <v>968.56</v>
      </c>
      <c r="J671" s="2">
        <f>Tabla2[[#This Row],[Quantity]]*I671</f>
        <v>2905.68</v>
      </c>
      <c r="K671" s="6">
        <f>MONTH(Tabla2[[#This Row],[OrderDate]])</f>
        <v>11</v>
      </c>
      <c r="L671" s="6">
        <f>YEAR(Tabla2[[#This Row],[OrderDate]])</f>
        <v>2025</v>
      </c>
      <c r="M671" s="7" t="s">
        <v>175</v>
      </c>
      <c r="N671" s="7" t="s">
        <v>19</v>
      </c>
    </row>
    <row r="672" spans="1:14" x14ac:dyDescent="0.35">
      <c r="A672" s="7" t="s">
        <v>1667</v>
      </c>
      <c r="B672" s="7" t="s">
        <v>562</v>
      </c>
      <c r="C672" s="7" t="s">
        <v>563</v>
      </c>
      <c r="D672" s="7" t="s">
        <v>23</v>
      </c>
      <c r="E672" s="7" t="s">
        <v>24</v>
      </c>
      <c r="F672" s="7" t="s">
        <v>50</v>
      </c>
      <c r="G672" s="7" t="s">
        <v>56</v>
      </c>
      <c r="H672" s="7">
        <v>3</v>
      </c>
      <c r="I672" s="2">
        <v>1079.72</v>
      </c>
      <c r="J672" s="2">
        <f>Tabla2[[#This Row],[Quantity]]*I672</f>
        <v>3239.16</v>
      </c>
      <c r="K672" s="6">
        <f>MONTH(Tabla2[[#This Row],[OrderDate]])</f>
        <v>5</v>
      </c>
      <c r="L672" s="6">
        <f>YEAR(Tabla2[[#This Row],[OrderDate]])</f>
        <v>2024</v>
      </c>
      <c r="M672" s="7" t="s">
        <v>530</v>
      </c>
      <c r="N672" s="7" t="s">
        <v>91</v>
      </c>
    </row>
    <row r="673" spans="1:14" x14ac:dyDescent="0.35">
      <c r="A673" s="7" t="s">
        <v>1668</v>
      </c>
      <c r="B673" s="7" t="s">
        <v>72</v>
      </c>
      <c r="C673" s="7" t="s">
        <v>73</v>
      </c>
      <c r="D673" s="7" t="s">
        <v>67</v>
      </c>
      <c r="E673" s="7" t="s">
        <v>68</v>
      </c>
      <c r="F673" s="7" t="s">
        <v>50</v>
      </c>
      <c r="G673" s="7" t="s">
        <v>69</v>
      </c>
      <c r="H673" s="7">
        <v>3</v>
      </c>
      <c r="I673" s="2">
        <v>458.19</v>
      </c>
      <c r="J673" s="2">
        <f>Tabla2[[#This Row],[Quantity]]*I673</f>
        <v>1374.57</v>
      </c>
      <c r="K673" s="6">
        <f>MONTH(Tabla2[[#This Row],[OrderDate]])</f>
        <v>2</v>
      </c>
      <c r="L673" s="6">
        <f>YEAR(Tabla2[[#This Row],[OrderDate]])</f>
        <v>2024</v>
      </c>
      <c r="M673" s="7" t="s">
        <v>1669</v>
      </c>
      <c r="N673" s="7" t="s">
        <v>91</v>
      </c>
    </row>
    <row r="674" spans="1:14" x14ac:dyDescent="0.35">
      <c r="A674" s="7" t="s">
        <v>1670</v>
      </c>
      <c r="B674" s="7" t="s">
        <v>146</v>
      </c>
      <c r="C674" s="7" t="s">
        <v>147</v>
      </c>
      <c r="D674" s="7" t="s">
        <v>67</v>
      </c>
      <c r="E674" s="7" t="s">
        <v>115</v>
      </c>
      <c r="F674" s="7" t="s">
        <v>25</v>
      </c>
      <c r="G674" s="7" t="s">
        <v>139</v>
      </c>
      <c r="H674" s="7">
        <v>2</v>
      </c>
      <c r="I674" s="2">
        <v>1178.8800000000001</v>
      </c>
      <c r="J674" s="2">
        <f>Tabla2[[#This Row],[Quantity]]*I674</f>
        <v>2357.7600000000002</v>
      </c>
      <c r="K674" s="6">
        <f>MONTH(Tabla2[[#This Row],[OrderDate]])</f>
        <v>1</v>
      </c>
      <c r="L674" s="6">
        <f>YEAR(Tabla2[[#This Row],[OrderDate]])</f>
        <v>2024</v>
      </c>
      <c r="M674" s="7" t="s">
        <v>75</v>
      </c>
      <c r="N674" s="7" t="s">
        <v>91</v>
      </c>
    </row>
    <row r="675" spans="1:14" x14ac:dyDescent="0.35">
      <c r="A675" s="7" t="s">
        <v>1671</v>
      </c>
      <c r="B675" s="7" t="s">
        <v>842</v>
      </c>
      <c r="C675" s="7" t="s">
        <v>843</v>
      </c>
      <c r="D675" s="7" t="s">
        <v>40</v>
      </c>
      <c r="E675" s="7" t="s">
        <v>79</v>
      </c>
      <c r="F675" s="7" t="s">
        <v>42</v>
      </c>
      <c r="G675" s="7" t="s">
        <v>170</v>
      </c>
      <c r="H675" s="7">
        <v>2</v>
      </c>
      <c r="I675" s="2">
        <v>642.19000000000005</v>
      </c>
      <c r="J675" s="2">
        <f>Tabla2[[#This Row],[Quantity]]*I675</f>
        <v>1284.3800000000001</v>
      </c>
      <c r="K675" s="6">
        <f>MONTH(Tabla2[[#This Row],[OrderDate]])</f>
        <v>3</v>
      </c>
      <c r="L675" s="6">
        <f>YEAR(Tabla2[[#This Row],[OrderDate]])</f>
        <v>2025</v>
      </c>
      <c r="M675" s="7" t="s">
        <v>1672</v>
      </c>
      <c r="N675" s="7" t="s">
        <v>36</v>
      </c>
    </row>
    <row r="676" spans="1:14" x14ac:dyDescent="0.35">
      <c r="A676" s="7" t="s">
        <v>1673</v>
      </c>
      <c r="B676" s="7" t="s">
        <v>1281</v>
      </c>
      <c r="C676" s="7" t="s">
        <v>1282</v>
      </c>
      <c r="D676" s="7" t="s">
        <v>14</v>
      </c>
      <c r="E676" s="7" t="s">
        <v>266</v>
      </c>
      <c r="F676" s="7" t="s">
        <v>42</v>
      </c>
      <c r="G676" s="7" t="s">
        <v>80</v>
      </c>
      <c r="H676" s="7">
        <v>2</v>
      </c>
      <c r="I676" s="2">
        <v>909.59</v>
      </c>
      <c r="J676" s="2">
        <f>Tabla2[[#This Row],[Quantity]]*I676</f>
        <v>1819.18</v>
      </c>
      <c r="K676" s="6">
        <f>MONTH(Tabla2[[#This Row],[OrderDate]])</f>
        <v>7</v>
      </c>
      <c r="L676" s="6">
        <f>YEAR(Tabla2[[#This Row],[OrderDate]])</f>
        <v>2025</v>
      </c>
      <c r="M676" s="7" t="s">
        <v>1270</v>
      </c>
      <c r="N676" s="7" t="s">
        <v>36</v>
      </c>
    </row>
    <row r="677" spans="1:14" x14ac:dyDescent="0.35">
      <c r="A677" s="7" t="s">
        <v>1674</v>
      </c>
      <c r="B677" s="7" t="s">
        <v>128</v>
      </c>
      <c r="C677" s="7" t="s">
        <v>129</v>
      </c>
      <c r="D677" s="7" t="s">
        <v>67</v>
      </c>
      <c r="E677" s="7" t="s">
        <v>115</v>
      </c>
      <c r="F677" s="7" t="s">
        <v>101</v>
      </c>
      <c r="G677" s="7" t="s">
        <v>165</v>
      </c>
      <c r="H677" s="7">
        <v>3</v>
      </c>
      <c r="I677" s="2">
        <v>449.42</v>
      </c>
      <c r="J677" s="2">
        <f>Tabla2[[#This Row],[Quantity]]*I677</f>
        <v>1348.26</v>
      </c>
      <c r="K677" s="6">
        <f>MONTH(Tabla2[[#This Row],[OrderDate]])</f>
        <v>5</v>
      </c>
      <c r="L677" s="6">
        <f>YEAR(Tabla2[[#This Row],[OrderDate]])</f>
        <v>2025</v>
      </c>
      <c r="M677" s="7" t="s">
        <v>1675</v>
      </c>
      <c r="N677" s="7" t="s">
        <v>45</v>
      </c>
    </row>
    <row r="678" spans="1:14" x14ac:dyDescent="0.35">
      <c r="A678" s="7" t="s">
        <v>1676</v>
      </c>
      <c r="B678" s="7" t="s">
        <v>1677</v>
      </c>
      <c r="C678" s="7" t="s">
        <v>1678</v>
      </c>
      <c r="D678" s="7" t="s">
        <v>67</v>
      </c>
      <c r="E678" s="7" t="s">
        <v>115</v>
      </c>
      <c r="F678" s="7" t="s">
        <v>42</v>
      </c>
      <c r="G678" s="7" t="s">
        <v>43</v>
      </c>
      <c r="H678" s="7">
        <v>2</v>
      </c>
      <c r="I678" s="2">
        <v>916.31</v>
      </c>
      <c r="J678" s="2">
        <f>Tabla2[[#This Row],[Quantity]]*I678</f>
        <v>1832.62</v>
      </c>
      <c r="K678" s="6">
        <f>MONTH(Tabla2[[#This Row],[OrderDate]])</f>
        <v>7</v>
      </c>
      <c r="L678" s="6">
        <f>YEAR(Tabla2[[#This Row],[OrderDate]])</f>
        <v>2025</v>
      </c>
      <c r="M678" s="7" t="s">
        <v>572</v>
      </c>
      <c r="N678" s="7" t="s">
        <v>36</v>
      </c>
    </row>
    <row r="679" spans="1:14" x14ac:dyDescent="0.35">
      <c r="A679" s="7" t="s">
        <v>1679</v>
      </c>
      <c r="B679" s="7" t="s">
        <v>201</v>
      </c>
      <c r="C679" s="7" t="s">
        <v>202</v>
      </c>
      <c r="D679" s="7" t="s">
        <v>67</v>
      </c>
      <c r="E679" s="7" t="s">
        <v>68</v>
      </c>
      <c r="F679" s="7" t="s">
        <v>50</v>
      </c>
      <c r="G679" s="7" t="s">
        <v>51</v>
      </c>
      <c r="H679" s="7">
        <v>4</v>
      </c>
      <c r="I679" s="2">
        <v>359.55</v>
      </c>
      <c r="J679" s="2">
        <f>Tabla2[[#This Row],[Quantity]]*I679</f>
        <v>1438.2</v>
      </c>
      <c r="K679" s="6">
        <f>MONTH(Tabla2[[#This Row],[OrderDate]])</f>
        <v>1</v>
      </c>
      <c r="L679" s="6">
        <f>YEAR(Tabla2[[#This Row],[OrderDate]])</f>
        <v>2024</v>
      </c>
      <c r="M679" s="7" t="s">
        <v>1610</v>
      </c>
      <c r="N679" s="7" t="s">
        <v>19</v>
      </c>
    </row>
    <row r="680" spans="1:14" x14ac:dyDescent="0.35">
      <c r="A680" s="7" t="s">
        <v>1680</v>
      </c>
      <c r="B680" s="7" t="s">
        <v>1681</v>
      </c>
      <c r="C680" s="7" t="s">
        <v>1682</v>
      </c>
      <c r="D680" s="7" t="s">
        <v>67</v>
      </c>
      <c r="E680" s="7" t="s">
        <v>115</v>
      </c>
      <c r="F680" s="7" t="s">
        <v>50</v>
      </c>
      <c r="G680" s="7" t="s">
        <v>69</v>
      </c>
      <c r="H680" s="7">
        <v>4</v>
      </c>
      <c r="I680" s="2">
        <v>1327.92</v>
      </c>
      <c r="J680" s="2">
        <f>Tabla2[[#This Row],[Quantity]]*I680</f>
        <v>5311.68</v>
      </c>
      <c r="K680" s="6">
        <f>MONTH(Tabla2[[#This Row],[OrderDate]])</f>
        <v>8</v>
      </c>
      <c r="L680" s="6">
        <f>YEAR(Tabla2[[#This Row],[OrderDate]])</f>
        <v>2024</v>
      </c>
      <c r="M680" s="7" t="s">
        <v>1683</v>
      </c>
      <c r="N680" s="7" t="s">
        <v>45</v>
      </c>
    </row>
    <row r="681" spans="1:14" x14ac:dyDescent="0.35">
      <c r="A681" s="7" t="s">
        <v>1684</v>
      </c>
      <c r="B681" s="7" t="s">
        <v>1312</v>
      </c>
      <c r="C681" s="7" t="s">
        <v>1313</v>
      </c>
      <c r="D681" s="7" t="s">
        <v>23</v>
      </c>
      <c r="E681" s="7" t="s">
        <v>49</v>
      </c>
      <c r="F681" s="7" t="s">
        <v>16</v>
      </c>
      <c r="G681" s="7" t="s">
        <v>182</v>
      </c>
      <c r="H681" s="7">
        <v>5</v>
      </c>
      <c r="I681" s="2">
        <v>291.36</v>
      </c>
      <c r="J681" s="2">
        <f>Tabla2[[#This Row],[Quantity]]*I681</f>
        <v>1456.8000000000002</v>
      </c>
      <c r="K681" s="6">
        <f>MONTH(Tabla2[[#This Row],[OrderDate]])</f>
        <v>3</v>
      </c>
      <c r="L681" s="6">
        <f>YEAR(Tabla2[[#This Row],[OrderDate]])</f>
        <v>2024</v>
      </c>
      <c r="M681" s="7" t="s">
        <v>1579</v>
      </c>
      <c r="N681" s="7" t="s">
        <v>91</v>
      </c>
    </row>
    <row r="682" spans="1:14" x14ac:dyDescent="0.35">
      <c r="A682" s="7" t="s">
        <v>1685</v>
      </c>
      <c r="B682" s="7" t="s">
        <v>454</v>
      </c>
      <c r="C682" s="7" t="s">
        <v>455</v>
      </c>
      <c r="D682" s="7" t="s">
        <v>67</v>
      </c>
      <c r="E682" s="7" t="s">
        <v>130</v>
      </c>
      <c r="F682" s="7" t="s">
        <v>42</v>
      </c>
      <c r="G682" s="7" t="s">
        <v>43</v>
      </c>
      <c r="H682" s="7">
        <v>5</v>
      </c>
      <c r="I682" s="2">
        <v>807.17</v>
      </c>
      <c r="J682" s="2">
        <f>Tabla2[[#This Row],[Quantity]]*I682</f>
        <v>4035.85</v>
      </c>
      <c r="K682" s="6">
        <f>MONTH(Tabla2[[#This Row],[OrderDate]])</f>
        <v>3</v>
      </c>
      <c r="L682" s="6">
        <f>YEAR(Tabla2[[#This Row],[OrderDate]])</f>
        <v>2025</v>
      </c>
      <c r="M682" s="7" t="s">
        <v>1487</v>
      </c>
      <c r="N682" s="7" t="s">
        <v>36</v>
      </c>
    </row>
    <row r="683" spans="1:14" x14ac:dyDescent="0.35">
      <c r="A683" s="7" t="s">
        <v>1686</v>
      </c>
      <c r="B683" s="7" t="s">
        <v>1246</v>
      </c>
      <c r="C683" s="7" t="s">
        <v>1247</v>
      </c>
      <c r="D683" s="7" t="s">
        <v>23</v>
      </c>
      <c r="E683" s="7" t="s">
        <v>49</v>
      </c>
      <c r="F683" s="7" t="s">
        <v>42</v>
      </c>
      <c r="G683" s="7" t="s">
        <v>170</v>
      </c>
      <c r="H683" s="7">
        <v>3</v>
      </c>
      <c r="I683" s="2">
        <v>295.20999999999998</v>
      </c>
      <c r="J683" s="2">
        <f>Tabla2[[#This Row],[Quantity]]*I683</f>
        <v>885.62999999999988</v>
      </c>
      <c r="K683" s="6">
        <f>MONTH(Tabla2[[#This Row],[OrderDate]])</f>
        <v>7</v>
      </c>
      <c r="L683" s="6">
        <f>YEAR(Tabla2[[#This Row],[OrderDate]])</f>
        <v>2024</v>
      </c>
      <c r="M683" s="7" t="s">
        <v>448</v>
      </c>
      <c r="N683" s="7" t="s">
        <v>36</v>
      </c>
    </row>
    <row r="684" spans="1:14" x14ac:dyDescent="0.35">
      <c r="A684" s="7" t="s">
        <v>1687</v>
      </c>
      <c r="B684" s="7" t="s">
        <v>832</v>
      </c>
      <c r="C684" s="7" t="s">
        <v>833</v>
      </c>
      <c r="D684" s="7" t="s">
        <v>40</v>
      </c>
      <c r="E684" s="7" t="s">
        <v>79</v>
      </c>
      <c r="F684" s="7" t="s">
        <v>16</v>
      </c>
      <c r="G684" s="7" t="s">
        <v>177</v>
      </c>
      <c r="H684" s="7">
        <v>1</v>
      </c>
      <c r="I684" s="2">
        <v>786.56</v>
      </c>
      <c r="J684" s="2">
        <f>Tabla2[[#This Row],[Quantity]]*I684</f>
        <v>786.56</v>
      </c>
      <c r="K684" s="6">
        <f>MONTH(Tabla2[[#This Row],[OrderDate]])</f>
        <v>5</v>
      </c>
      <c r="L684" s="6">
        <f>YEAR(Tabla2[[#This Row],[OrderDate]])</f>
        <v>2025</v>
      </c>
      <c r="M684" s="7" t="s">
        <v>662</v>
      </c>
      <c r="N684" s="7" t="s">
        <v>45</v>
      </c>
    </row>
    <row r="685" spans="1:14" x14ac:dyDescent="0.35">
      <c r="A685" s="7" t="s">
        <v>1688</v>
      </c>
      <c r="B685" s="7" t="s">
        <v>355</v>
      </c>
      <c r="C685" s="7" t="s">
        <v>356</v>
      </c>
      <c r="D685" s="7" t="s">
        <v>32</v>
      </c>
      <c r="E685" s="7" t="s">
        <v>61</v>
      </c>
      <c r="F685" s="7" t="s">
        <v>42</v>
      </c>
      <c r="G685" s="7" t="s">
        <v>89</v>
      </c>
      <c r="H685" s="7">
        <v>2</v>
      </c>
      <c r="I685" s="2">
        <v>1239.6099999999999</v>
      </c>
      <c r="J685" s="2">
        <f>Tabla2[[#This Row],[Quantity]]*I685</f>
        <v>2479.2199999999998</v>
      </c>
      <c r="K685" s="6">
        <f>MONTH(Tabla2[[#This Row],[OrderDate]])</f>
        <v>9</v>
      </c>
      <c r="L685" s="6">
        <f>YEAR(Tabla2[[#This Row],[OrderDate]])</f>
        <v>2024</v>
      </c>
      <c r="M685" s="7" t="s">
        <v>799</v>
      </c>
      <c r="N685" s="7" t="s">
        <v>19</v>
      </c>
    </row>
    <row r="686" spans="1:14" x14ac:dyDescent="0.35">
      <c r="A686" s="7" t="s">
        <v>1689</v>
      </c>
      <c r="B686" s="7" t="s">
        <v>72</v>
      </c>
      <c r="C686" s="7" t="s">
        <v>73</v>
      </c>
      <c r="D686" s="7" t="s">
        <v>14</v>
      </c>
      <c r="E686" s="7" t="s">
        <v>100</v>
      </c>
      <c r="F686" s="7" t="s">
        <v>101</v>
      </c>
      <c r="G686" s="7" t="s">
        <v>649</v>
      </c>
      <c r="H686" s="7">
        <v>4</v>
      </c>
      <c r="I686" s="2">
        <v>201.6</v>
      </c>
      <c r="J686" s="2">
        <f>Tabla2[[#This Row],[Quantity]]*I686</f>
        <v>806.4</v>
      </c>
      <c r="K686" s="6">
        <f>MONTH(Tabla2[[#This Row],[OrderDate]])</f>
        <v>10</v>
      </c>
      <c r="L686" s="6">
        <f>YEAR(Tabla2[[#This Row],[OrderDate]])</f>
        <v>2024</v>
      </c>
      <c r="M686" s="7" t="s">
        <v>811</v>
      </c>
      <c r="N686" s="7" t="s">
        <v>28</v>
      </c>
    </row>
    <row r="687" spans="1:14" x14ac:dyDescent="0.35">
      <c r="A687" s="7" t="s">
        <v>1690</v>
      </c>
      <c r="B687" s="7" t="s">
        <v>128</v>
      </c>
      <c r="C687" s="7" t="s">
        <v>129</v>
      </c>
      <c r="D687" s="7" t="s">
        <v>14</v>
      </c>
      <c r="E687" s="7" t="s">
        <v>95</v>
      </c>
      <c r="F687" s="7" t="s">
        <v>16</v>
      </c>
      <c r="G687" s="7" t="s">
        <v>148</v>
      </c>
      <c r="H687" s="7">
        <v>3</v>
      </c>
      <c r="I687" s="2">
        <v>815.02</v>
      </c>
      <c r="J687" s="2">
        <f>Tabla2[[#This Row],[Quantity]]*I687</f>
        <v>2445.06</v>
      </c>
      <c r="K687" s="6">
        <f>MONTH(Tabla2[[#This Row],[OrderDate]])</f>
        <v>4</v>
      </c>
      <c r="L687" s="6">
        <f>YEAR(Tabla2[[#This Row],[OrderDate]])</f>
        <v>2025</v>
      </c>
      <c r="M687" s="7" t="s">
        <v>1691</v>
      </c>
      <c r="N687" s="7" t="s">
        <v>91</v>
      </c>
    </row>
    <row r="688" spans="1:14" x14ac:dyDescent="0.35">
      <c r="A688" s="7" t="s">
        <v>1692</v>
      </c>
      <c r="B688" s="7" t="s">
        <v>586</v>
      </c>
      <c r="C688" s="7" t="s">
        <v>587</v>
      </c>
      <c r="D688" s="7" t="s">
        <v>14</v>
      </c>
      <c r="E688" s="7" t="s">
        <v>125</v>
      </c>
      <c r="F688" s="7" t="s">
        <v>101</v>
      </c>
      <c r="G688" s="7" t="s">
        <v>649</v>
      </c>
      <c r="H688" s="7">
        <v>4</v>
      </c>
      <c r="I688" s="2">
        <v>1147.6099999999999</v>
      </c>
      <c r="J688" s="2">
        <f>Tabla2[[#This Row],[Quantity]]*I688</f>
        <v>4590.4399999999996</v>
      </c>
      <c r="K688" s="6">
        <f>MONTH(Tabla2[[#This Row],[OrderDate]])</f>
        <v>3</v>
      </c>
      <c r="L688" s="6">
        <f>YEAR(Tabla2[[#This Row],[OrderDate]])</f>
        <v>2024</v>
      </c>
      <c r="M688" s="7" t="s">
        <v>1693</v>
      </c>
      <c r="N688" s="7" t="s">
        <v>36</v>
      </c>
    </row>
    <row r="689" spans="1:14" x14ac:dyDescent="0.35">
      <c r="A689" s="7" t="s">
        <v>1694</v>
      </c>
      <c r="B689" s="7" t="s">
        <v>210</v>
      </c>
      <c r="C689" s="7" t="s">
        <v>211</v>
      </c>
      <c r="D689" s="7" t="s">
        <v>67</v>
      </c>
      <c r="E689" s="7" t="s">
        <v>68</v>
      </c>
      <c r="F689" s="7" t="s">
        <v>50</v>
      </c>
      <c r="G689" s="7" t="s">
        <v>56</v>
      </c>
      <c r="H689" s="7">
        <v>2</v>
      </c>
      <c r="I689" s="2">
        <v>1196.05</v>
      </c>
      <c r="J689" s="2">
        <f>Tabla2[[#This Row],[Quantity]]*I689</f>
        <v>2392.1</v>
      </c>
      <c r="K689" s="6">
        <f>MONTH(Tabla2[[#This Row],[OrderDate]])</f>
        <v>4</v>
      </c>
      <c r="L689" s="6">
        <f>YEAR(Tabla2[[#This Row],[OrderDate]])</f>
        <v>2024</v>
      </c>
      <c r="M689" s="7" t="s">
        <v>1219</v>
      </c>
      <c r="N689" s="7" t="s">
        <v>45</v>
      </c>
    </row>
    <row r="690" spans="1:14" x14ac:dyDescent="0.35">
      <c r="A690" s="7" t="s">
        <v>1695</v>
      </c>
      <c r="B690" s="7" t="s">
        <v>767</v>
      </c>
      <c r="C690" s="7" t="s">
        <v>768</v>
      </c>
      <c r="D690" s="7" t="s">
        <v>32</v>
      </c>
      <c r="E690" s="7" t="s">
        <v>203</v>
      </c>
      <c r="F690" s="7" t="s">
        <v>50</v>
      </c>
      <c r="G690" s="7" t="s">
        <v>170</v>
      </c>
      <c r="H690" s="7">
        <v>5</v>
      </c>
      <c r="I690" s="2">
        <v>445.07</v>
      </c>
      <c r="J690" s="2">
        <f>Tabla2[[#This Row],[Quantity]]*I690</f>
        <v>2225.35</v>
      </c>
      <c r="K690" s="6">
        <f>MONTH(Tabla2[[#This Row],[OrderDate]])</f>
        <v>9</v>
      </c>
      <c r="L690" s="6">
        <f>YEAR(Tabla2[[#This Row],[OrderDate]])</f>
        <v>2024</v>
      </c>
      <c r="M690" s="7" t="s">
        <v>1293</v>
      </c>
      <c r="N690" s="7" t="s">
        <v>19</v>
      </c>
    </row>
    <row r="691" spans="1:14" x14ac:dyDescent="0.35">
      <c r="A691" s="7" t="s">
        <v>1696</v>
      </c>
      <c r="B691" s="7" t="s">
        <v>809</v>
      </c>
      <c r="C691" s="7" t="s">
        <v>810</v>
      </c>
      <c r="D691" s="7" t="s">
        <v>32</v>
      </c>
      <c r="E691" s="7" t="s">
        <v>61</v>
      </c>
      <c r="F691" s="7" t="s">
        <v>16</v>
      </c>
      <c r="G691" s="7" t="s">
        <v>182</v>
      </c>
      <c r="H691" s="7">
        <v>1</v>
      </c>
      <c r="I691" s="2">
        <v>409.39</v>
      </c>
      <c r="J691" s="2">
        <f>Tabla2[[#This Row],[Quantity]]*I691</f>
        <v>409.39</v>
      </c>
      <c r="K691" s="6">
        <f>MONTH(Tabla2[[#This Row],[OrderDate]])</f>
        <v>8</v>
      </c>
      <c r="L691" s="6">
        <f>YEAR(Tabla2[[#This Row],[OrderDate]])</f>
        <v>2024</v>
      </c>
      <c r="M691" s="7" t="s">
        <v>757</v>
      </c>
      <c r="N691" s="7" t="s">
        <v>36</v>
      </c>
    </row>
    <row r="692" spans="1:14" x14ac:dyDescent="0.35">
      <c r="A692" s="7" t="s">
        <v>1697</v>
      </c>
      <c r="B692" s="7" t="s">
        <v>1246</v>
      </c>
      <c r="C692" s="7" t="s">
        <v>1247</v>
      </c>
      <c r="D692" s="7" t="s">
        <v>23</v>
      </c>
      <c r="E692" s="7" t="s">
        <v>49</v>
      </c>
      <c r="F692" s="7" t="s">
        <v>101</v>
      </c>
      <c r="G692" s="7" t="s">
        <v>165</v>
      </c>
      <c r="H692" s="7">
        <v>1</v>
      </c>
      <c r="I692" s="2">
        <v>513.25</v>
      </c>
      <c r="J692" s="2">
        <f>Tabla2[[#This Row],[Quantity]]*I692</f>
        <v>513.25</v>
      </c>
      <c r="K692" s="6">
        <f>MONTH(Tabla2[[#This Row],[OrderDate]])</f>
        <v>12</v>
      </c>
      <c r="L692" s="6">
        <f>YEAR(Tabla2[[#This Row],[OrderDate]])</f>
        <v>2024</v>
      </c>
      <c r="M692" s="7" t="s">
        <v>1172</v>
      </c>
      <c r="N692" s="7" t="s">
        <v>28</v>
      </c>
    </row>
    <row r="693" spans="1:14" x14ac:dyDescent="0.35">
      <c r="A693" s="7" t="s">
        <v>1698</v>
      </c>
      <c r="B693" s="7" t="s">
        <v>1167</v>
      </c>
      <c r="C693" s="7" t="s">
        <v>1168</v>
      </c>
      <c r="D693" s="7" t="s">
        <v>40</v>
      </c>
      <c r="E693" s="7" t="s">
        <v>41</v>
      </c>
      <c r="F693" s="7" t="s">
        <v>101</v>
      </c>
      <c r="G693" s="7" t="s">
        <v>649</v>
      </c>
      <c r="H693" s="7">
        <v>2</v>
      </c>
      <c r="I693" s="2">
        <v>910.38</v>
      </c>
      <c r="J693" s="2">
        <f>Tabla2[[#This Row],[Quantity]]*I693</f>
        <v>1820.76</v>
      </c>
      <c r="K693" s="6">
        <f>MONTH(Tabla2[[#This Row],[OrderDate]])</f>
        <v>2</v>
      </c>
      <c r="L693" s="6">
        <f>YEAR(Tabla2[[#This Row],[OrderDate]])</f>
        <v>2025</v>
      </c>
      <c r="M693" s="7" t="s">
        <v>973</v>
      </c>
      <c r="N693" s="7" t="s">
        <v>36</v>
      </c>
    </row>
    <row r="694" spans="1:14" x14ac:dyDescent="0.35">
      <c r="A694" s="7" t="s">
        <v>1699</v>
      </c>
      <c r="B694" s="7" t="s">
        <v>1149</v>
      </c>
      <c r="C694" s="7" t="s">
        <v>1150</v>
      </c>
      <c r="D694" s="7" t="s">
        <v>40</v>
      </c>
      <c r="E694" s="7" t="s">
        <v>79</v>
      </c>
      <c r="F694" s="7" t="s">
        <v>42</v>
      </c>
      <c r="G694" s="7" t="s">
        <v>43</v>
      </c>
      <c r="H694" s="7">
        <v>2</v>
      </c>
      <c r="I694" s="2">
        <v>630.57000000000005</v>
      </c>
      <c r="J694" s="2">
        <f>Tabla2[[#This Row],[Quantity]]*I694</f>
        <v>1261.1400000000001</v>
      </c>
      <c r="K694" s="6">
        <f>MONTH(Tabla2[[#This Row],[OrderDate]])</f>
        <v>9</v>
      </c>
      <c r="L694" s="6">
        <f>YEAR(Tabla2[[#This Row],[OrderDate]])</f>
        <v>2025</v>
      </c>
      <c r="M694" s="7" t="s">
        <v>153</v>
      </c>
      <c r="N694" s="7" t="s">
        <v>45</v>
      </c>
    </row>
    <row r="695" spans="1:14" x14ac:dyDescent="0.35">
      <c r="A695" s="7" t="s">
        <v>1700</v>
      </c>
      <c r="B695" s="7" t="s">
        <v>443</v>
      </c>
      <c r="C695" s="7" t="s">
        <v>444</v>
      </c>
      <c r="D695" s="7" t="s">
        <v>14</v>
      </c>
      <c r="E695" s="7" t="s">
        <v>95</v>
      </c>
      <c r="F695" s="7" t="s">
        <v>42</v>
      </c>
      <c r="G695" s="7" t="s">
        <v>89</v>
      </c>
      <c r="H695" s="7">
        <v>2</v>
      </c>
      <c r="I695" s="2">
        <v>70.7</v>
      </c>
      <c r="J695" s="2">
        <f>Tabla2[[#This Row],[Quantity]]*I695</f>
        <v>141.4</v>
      </c>
      <c r="K695" s="6">
        <f>MONTH(Tabla2[[#This Row],[OrderDate]])</f>
        <v>9</v>
      </c>
      <c r="L695" s="6">
        <f>YEAR(Tabla2[[#This Row],[OrderDate]])</f>
        <v>2025</v>
      </c>
      <c r="M695" s="7" t="s">
        <v>1701</v>
      </c>
      <c r="N695" s="7" t="s">
        <v>91</v>
      </c>
    </row>
    <row r="696" spans="1:14" x14ac:dyDescent="0.35">
      <c r="A696" s="7" t="s">
        <v>1702</v>
      </c>
      <c r="B696" s="7" t="s">
        <v>611</v>
      </c>
      <c r="C696" s="7" t="s">
        <v>612</v>
      </c>
      <c r="D696" s="7" t="s">
        <v>23</v>
      </c>
      <c r="E696" s="7" t="s">
        <v>338</v>
      </c>
      <c r="F696" s="7" t="s">
        <v>101</v>
      </c>
      <c r="G696" s="7" t="s">
        <v>165</v>
      </c>
      <c r="H696" s="7">
        <v>2</v>
      </c>
      <c r="I696" s="2">
        <v>1100.47</v>
      </c>
      <c r="J696" s="2">
        <f>Tabla2[[#This Row],[Quantity]]*I696</f>
        <v>2200.94</v>
      </c>
      <c r="K696" s="6">
        <f>MONTH(Tabla2[[#This Row],[OrderDate]])</f>
        <v>10</v>
      </c>
      <c r="L696" s="6">
        <f>YEAR(Tabla2[[#This Row],[OrderDate]])</f>
        <v>2024</v>
      </c>
      <c r="M696" s="7" t="s">
        <v>1703</v>
      </c>
      <c r="N696" s="7" t="s">
        <v>28</v>
      </c>
    </row>
    <row r="697" spans="1:14" x14ac:dyDescent="0.35">
      <c r="A697" s="7" t="s">
        <v>1704</v>
      </c>
      <c r="B697" s="7" t="s">
        <v>359</v>
      </c>
      <c r="C697" s="7" t="s">
        <v>360</v>
      </c>
      <c r="D697" s="7" t="s">
        <v>23</v>
      </c>
      <c r="E697" s="7" t="s">
        <v>338</v>
      </c>
      <c r="F697" s="7" t="s">
        <v>42</v>
      </c>
      <c r="G697" s="7" t="s">
        <v>89</v>
      </c>
      <c r="H697" s="7">
        <v>5</v>
      </c>
      <c r="I697" s="2">
        <v>556.80999999999995</v>
      </c>
      <c r="J697" s="2">
        <f>Tabla2[[#This Row],[Quantity]]*I697</f>
        <v>2784.0499999999997</v>
      </c>
      <c r="K697" s="6">
        <f>MONTH(Tabla2[[#This Row],[OrderDate]])</f>
        <v>10</v>
      </c>
      <c r="L697" s="6">
        <f>YEAR(Tabla2[[#This Row],[OrderDate]])</f>
        <v>2024</v>
      </c>
      <c r="M697" s="7" t="s">
        <v>1264</v>
      </c>
      <c r="N697" s="7" t="s">
        <v>36</v>
      </c>
    </row>
    <row r="698" spans="1:14" x14ac:dyDescent="0.35">
      <c r="A698" s="7" t="s">
        <v>1705</v>
      </c>
      <c r="B698" s="7" t="s">
        <v>1203</v>
      </c>
      <c r="C698" s="7" t="s">
        <v>1204</v>
      </c>
      <c r="D698" s="7" t="s">
        <v>40</v>
      </c>
      <c r="E698" s="7" t="s">
        <v>79</v>
      </c>
      <c r="F698" s="7" t="s">
        <v>50</v>
      </c>
      <c r="G698" s="7" t="s">
        <v>216</v>
      </c>
      <c r="H698" s="7">
        <v>4</v>
      </c>
      <c r="I698" s="2">
        <v>497.99</v>
      </c>
      <c r="J698" s="2">
        <f>Tabla2[[#This Row],[Quantity]]*I698</f>
        <v>1991.96</v>
      </c>
      <c r="K698" s="6">
        <f>MONTH(Tabla2[[#This Row],[OrderDate]])</f>
        <v>4</v>
      </c>
      <c r="L698" s="6">
        <f>YEAR(Tabla2[[#This Row],[OrderDate]])</f>
        <v>2025</v>
      </c>
      <c r="M698" s="7" t="s">
        <v>1034</v>
      </c>
      <c r="N698" s="7" t="s">
        <v>45</v>
      </c>
    </row>
    <row r="699" spans="1:14" x14ac:dyDescent="0.35">
      <c r="A699" s="7" t="s">
        <v>1706</v>
      </c>
      <c r="B699" s="7" t="s">
        <v>1707</v>
      </c>
      <c r="C699" s="7" t="s">
        <v>1708</v>
      </c>
      <c r="D699" s="7" t="s">
        <v>14</v>
      </c>
      <c r="E699" s="7" t="s">
        <v>15</v>
      </c>
      <c r="F699" s="7" t="s">
        <v>25</v>
      </c>
      <c r="G699" s="7" t="s">
        <v>62</v>
      </c>
      <c r="H699" s="7">
        <v>5</v>
      </c>
      <c r="I699" s="2">
        <v>1013.89</v>
      </c>
      <c r="J699" s="2">
        <f>Tabla2[[#This Row],[Quantity]]*I699</f>
        <v>5069.45</v>
      </c>
      <c r="K699" s="6">
        <f>MONTH(Tabla2[[#This Row],[OrderDate]])</f>
        <v>12</v>
      </c>
      <c r="L699" s="6">
        <f>YEAR(Tabla2[[#This Row],[OrderDate]])</f>
        <v>2024</v>
      </c>
      <c r="M699" s="7" t="s">
        <v>1479</v>
      </c>
      <c r="N699" s="7" t="s">
        <v>19</v>
      </c>
    </row>
    <row r="700" spans="1:14" x14ac:dyDescent="0.35">
      <c r="A700" s="7" t="s">
        <v>1709</v>
      </c>
      <c r="B700" s="7" t="s">
        <v>252</v>
      </c>
      <c r="C700" s="7" t="s">
        <v>253</v>
      </c>
      <c r="D700" s="7" t="s">
        <v>67</v>
      </c>
      <c r="E700" s="7" t="s">
        <v>115</v>
      </c>
      <c r="F700" s="7" t="s">
        <v>16</v>
      </c>
      <c r="G700" s="7" t="s">
        <v>148</v>
      </c>
      <c r="H700" s="7">
        <v>2</v>
      </c>
      <c r="I700" s="2">
        <v>968.61</v>
      </c>
      <c r="J700" s="2">
        <f>Tabla2[[#This Row],[Quantity]]*I700</f>
        <v>1937.22</v>
      </c>
      <c r="K700" s="6">
        <f>MONTH(Tabla2[[#This Row],[OrderDate]])</f>
        <v>6</v>
      </c>
      <c r="L700" s="6">
        <f>YEAR(Tabla2[[#This Row],[OrderDate]])</f>
        <v>2025</v>
      </c>
      <c r="M700" s="7" t="s">
        <v>692</v>
      </c>
      <c r="N700" s="7" t="s">
        <v>45</v>
      </c>
    </row>
    <row r="701" spans="1:14" x14ac:dyDescent="0.35">
      <c r="A701" s="7" t="s">
        <v>1710</v>
      </c>
      <c r="B701" s="7" t="s">
        <v>574</v>
      </c>
      <c r="C701" s="7" t="s">
        <v>575</v>
      </c>
      <c r="D701" s="7" t="s">
        <v>40</v>
      </c>
      <c r="E701" s="7" t="s">
        <v>120</v>
      </c>
      <c r="F701" s="7" t="s">
        <v>16</v>
      </c>
      <c r="G701" s="7" t="s">
        <v>182</v>
      </c>
      <c r="H701" s="7">
        <v>2</v>
      </c>
      <c r="I701" s="2">
        <v>1201.21</v>
      </c>
      <c r="J701" s="2">
        <f>Tabla2[[#This Row],[Quantity]]*I701</f>
        <v>2402.42</v>
      </c>
      <c r="K701" s="6">
        <f>MONTH(Tabla2[[#This Row],[OrderDate]])</f>
        <v>8</v>
      </c>
      <c r="L701" s="6">
        <f>YEAR(Tabla2[[#This Row],[OrderDate]])</f>
        <v>2024</v>
      </c>
      <c r="M701" s="7" t="s">
        <v>1536</v>
      </c>
      <c r="N701" s="7" t="s">
        <v>28</v>
      </c>
    </row>
    <row r="702" spans="1:14" x14ac:dyDescent="0.35">
      <c r="A702" s="7" t="s">
        <v>1711</v>
      </c>
      <c r="B702" s="7" t="s">
        <v>159</v>
      </c>
      <c r="C702" s="7" t="s">
        <v>160</v>
      </c>
      <c r="D702" s="7" t="s">
        <v>32</v>
      </c>
      <c r="E702" s="7" t="s">
        <v>33</v>
      </c>
      <c r="F702" s="7" t="s">
        <v>42</v>
      </c>
      <c r="G702" s="7" t="s">
        <v>170</v>
      </c>
      <c r="H702" s="7">
        <v>1</v>
      </c>
      <c r="I702" s="2">
        <v>96.9</v>
      </c>
      <c r="J702" s="2">
        <f>Tabla2[[#This Row],[Quantity]]*I702</f>
        <v>96.9</v>
      </c>
      <c r="K702" s="6">
        <f>MONTH(Tabla2[[#This Row],[OrderDate]])</f>
        <v>1</v>
      </c>
      <c r="L702" s="6">
        <f>YEAR(Tabla2[[#This Row],[OrderDate]])</f>
        <v>2024</v>
      </c>
      <c r="M702" s="7" t="s">
        <v>550</v>
      </c>
      <c r="N702" s="7" t="s">
        <v>45</v>
      </c>
    </row>
    <row r="703" spans="1:14" x14ac:dyDescent="0.35">
      <c r="A703" s="7" t="s">
        <v>1712</v>
      </c>
      <c r="B703" s="7" t="s">
        <v>536</v>
      </c>
      <c r="C703" s="7" t="s">
        <v>537</v>
      </c>
      <c r="D703" s="7" t="s">
        <v>23</v>
      </c>
      <c r="E703" s="7" t="s">
        <v>338</v>
      </c>
      <c r="F703" s="7" t="s">
        <v>101</v>
      </c>
      <c r="G703" s="7" t="s">
        <v>102</v>
      </c>
      <c r="H703" s="7">
        <v>3</v>
      </c>
      <c r="I703" s="2">
        <v>608.33000000000004</v>
      </c>
      <c r="J703" s="2">
        <f>Tabla2[[#This Row],[Quantity]]*I703</f>
        <v>1824.9900000000002</v>
      </c>
      <c r="K703" s="6">
        <f>MONTH(Tabla2[[#This Row],[OrderDate]])</f>
        <v>2</v>
      </c>
      <c r="L703" s="6">
        <f>YEAR(Tabla2[[#This Row],[OrderDate]])</f>
        <v>2026</v>
      </c>
      <c r="M703" s="7" t="s">
        <v>35</v>
      </c>
      <c r="N703" s="7" t="s">
        <v>36</v>
      </c>
    </row>
    <row r="704" spans="1:14" x14ac:dyDescent="0.35">
      <c r="A704" s="7" t="s">
        <v>1713</v>
      </c>
      <c r="B704" s="7" t="s">
        <v>1058</v>
      </c>
      <c r="C704" s="7" t="s">
        <v>1059</v>
      </c>
      <c r="D704" s="7" t="s">
        <v>14</v>
      </c>
      <c r="E704" s="7" t="s">
        <v>15</v>
      </c>
      <c r="F704" s="7" t="s">
        <v>25</v>
      </c>
      <c r="G704" s="7" t="s">
        <v>62</v>
      </c>
      <c r="H704" s="7">
        <v>5</v>
      </c>
      <c r="I704" s="2">
        <v>363.01</v>
      </c>
      <c r="J704" s="2">
        <f>Tabla2[[#This Row],[Quantity]]*I704</f>
        <v>1815.05</v>
      </c>
      <c r="K704" s="6">
        <f>MONTH(Tabla2[[#This Row],[OrderDate]])</f>
        <v>2</v>
      </c>
      <c r="L704" s="6">
        <f>YEAR(Tabla2[[#This Row],[OrderDate]])</f>
        <v>2025</v>
      </c>
      <c r="M704" s="7" t="s">
        <v>1714</v>
      </c>
      <c r="N704" s="7" t="s">
        <v>91</v>
      </c>
    </row>
    <row r="705" spans="1:14" x14ac:dyDescent="0.35">
      <c r="A705" s="7" t="s">
        <v>1715</v>
      </c>
      <c r="B705" s="7" t="s">
        <v>435</v>
      </c>
      <c r="C705" s="7" t="s">
        <v>436</v>
      </c>
      <c r="D705" s="7" t="s">
        <v>14</v>
      </c>
      <c r="E705" s="7" t="s">
        <v>15</v>
      </c>
      <c r="F705" s="7" t="s">
        <v>50</v>
      </c>
      <c r="G705" s="7" t="s">
        <v>51</v>
      </c>
      <c r="H705" s="7">
        <v>4</v>
      </c>
      <c r="I705" s="2">
        <v>434.1</v>
      </c>
      <c r="J705" s="2">
        <f>Tabla2[[#This Row],[Quantity]]*I705</f>
        <v>1736.4</v>
      </c>
      <c r="K705" s="6">
        <f>MONTH(Tabla2[[#This Row],[OrderDate]])</f>
        <v>9</v>
      </c>
      <c r="L705" s="6">
        <f>YEAR(Tabla2[[#This Row],[OrderDate]])</f>
        <v>2025</v>
      </c>
      <c r="M705" s="7" t="s">
        <v>1716</v>
      </c>
      <c r="N705" s="7" t="s">
        <v>91</v>
      </c>
    </row>
    <row r="706" spans="1:14" x14ac:dyDescent="0.35">
      <c r="A706" s="7" t="s">
        <v>1717</v>
      </c>
      <c r="B706" s="7" t="s">
        <v>652</v>
      </c>
      <c r="C706" s="7" t="s">
        <v>653</v>
      </c>
      <c r="D706" s="7" t="s">
        <v>23</v>
      </c>
      <c r="E706" s="7" t="s">
        <v>49</v>
      </c>
      <c r="F706" s="7" t="s">
        <v>101</v>
      </c>
      <c r="G706" s="7" t="s">
        <v>102</v>
      </c>
      <c r="H706" s="7">
        <v>4</v>
      </c>
      <c r="I706" s="2">
        <v>1039.49</v>
      </c>
      <c r="J706" s="2">
        <f>Tabla2[[#This Row],[Quantity]]*I706</f>
        <v>4157.96</v>
      </c>
      <c r="K706" s="6">
        <f>MONTH(Tabla2[[#This Row],[OrderDate]])</f>
        <v>12</v>
      </c>
      <c r="L706" s="6">
        <f>YEAR(Tabla2[[#This Row],[OrderDate]])</f>
        <v>2025</v>
      </c>
      <c r="M706" s="7" t="s">
        <v>1228</v>
      </c>
      <c r="N706" s="7" t="s">
        <v>91</v>
      </c>
    </row>
    <row r="707" spans="1:14" x14ac:dyDescent="0.35">
      <c r="A707" s="7" t="s">
        <v>1718</v>
      </c>
      <c r="B707" s="7" t="s">
        <v>1087</v>
      </c>
      <c r="C707" s="7" t="s">
        <v>1088</v>
      </c>
      <c r="D707" s="7" t="s">
        <v>23</v>
      </c>
      <c r="E707" s="7" t="s">
        <v>24</v>
      </c>
      <c r="F707" s="7" t="s">
        <v>16</v>
      </c>
      <c r="G707" s="7" t="s">
        <v>148</v>
      </c>
      <c r="H707" s="7">
        <v>2</v>
      </c>
      <c r="I707" s="2">
        <v>511.05</v>
      </c>
      <c r="J707" s="2">
        <f>Tabla2[[#This Row],[Quantity]]*I707</f>
        <v>1022.1</v>
      </c>
      <c r="K707" s="6">
        <f>MONTH(Tabla2[[#This Row],[OrderDate]])</f>
        <v>1</v>
      </c>
      <c r="L707" s="6">
        <f>YEAR(Tabla2[[#This Row],[OrderDate]])</f>
        <v>2024</v>
      </c>
      <c r="M707" s="7" t="s">
        <v>468</v>
      </c>
      <c r="N707" s="7" t="s">
        <v>45</v>
      </c>
    </row>
    <row r="708" spans="1:14" x14ac:dyDescent="0.35">
      <c r="A708" s="7" t="s">
        <v>1719</v>
      </c>
      <c r="B708" s="7" t="s">
        <v>922</v>
      </c>
      <c r="C708" s="7" t="s">
        <v>923</v>
      </c>
      <c r="D708" s="7" t="s">
        <v>32</v>
      </c>
      <c r="E708" s="7" t="s">
        <v>33</v>
      </c>
      <c r="F708" s="7" t="s">
        <v>50</v>
      </c>
      <c r="G708" s="7" t="s">
        <v>216</v>
      </c>
      <c r="H708" s="7">
        <v>5</v>
      </c>
      <c r="I708" s="2">
        <v>1058.1400000000001</v>
      </c>
      <c r="J708" s="2">
        <f>Tabla2[[#This Row],[Quantity]]*I708</f>
        <v>5290.7000000000007</v>
      </c>
      <c r="K708" s="6">
        <f>MONTH(Tabla2[[#This Row],[OrderDate]])</f>
        <v>6</v>
      </c>
      <c r="L708" s="6">
        <f>YEAR(Tabla2[[#This Row],[OrderDate]])</f>
        <v>2024</v>
      </c>
      <c r="M708" s="7" t="s">
        <v>361</v>
      </c>
      <c r="N708" s="7" t="s">
        <v>19</v>
      </c>
    </row>
    <row r="709" spans="1:14" x14ac:dyDescent="0.35">
      <c r="A709" s="7" t="s">
        <v>1720</v>
      </c>
      <c r="B709" s="7" t="s">
        <v>536</v>
      </c>
      <c r="C709" s="7" t="s">
        <v>537</v>
      </c>
      <c r="D709" s="7" t="s">
        <v>32</v>
      </c>
      <c r="E709" s="7" t="s">
        <v>33</v>
      </c>
      <c r="F709" s="7" t="s">
        <v>101</v>
      </c>
      <c r="G709" s="7" t="s">
        <v>165</v>
      </c>
      <c r="H709" s="7">
        <v>3</v>
      </c>
      <c r="I709" s="2">
        <v>231.78</v>
      </c>
      <c r="J709" s="2">
        <f>Tabla2[[#This Row],[Quantity]]*I709</f>
        <v>695.34</v>
      </c>
      <c r="K709" s="6">
        <f>MONTH(Tabla2[[#This Row],[OrderDate]])</f>
        <v>11</v>
      </c>
      <c r="L709" s="6">
        <f>YEAR(Tabla2[[#This Row],[OrderDate]])</f>
        <v>2024</v>
      </c>
      <c r="M709" s="7" t="s">
        <v>1181</v>
      </c>
      <c r="N709" s="7" t="s">
        <v>36</v>
      </c>
    </row>
    <row r="710" spans="1:14" x14ac:dyDescent="0.35">
      <c r="A710" s="7" t="s">
        <v>1721</v>
      </c>
      <c r="B710" s="7" t="s">
        <v>1159</v>
      </c>
      <c r="C710" s="7" t="s">
        <v>1160</v>
      </c>
      <c r="D710" s="7" t="s">
        <v>14</v>
      </c>
      <c r="E710" s="7" t="s">
        <v>100</v>
      </c>
      <c r="F710" s="7" t="s">
        <v>50</v>
      </c>
      <c r="G710" s="7" t="s">
        <v>56</v>
      </c>
      <c r="H710" s="7">
        <v>2</v>
      </c>
      <c r="I710" s="2">
        <v>1188.3900000000001</v>
      </c>
      <c r="J710" s="2">
        <f>Tabla2[[#This Row],[Quantity]]*I710</f>
        <v>2376.7800000000002</v>
      </c>
      <c r="K710" s="6">
        <f>MONTH(Tabla2[[#This Row],[OrderDate]])</f>
        <v>3</v>
      </c>
      <c r="L710" s="6">
        <f>YEAR(Tabla2[[#This Row],[OrderDate]])</f>
        <v>2024</v>
      </c>
      <c r="M710" s="7" t="s">
        <v>1722</v>
      </c>
      <c r="N710" s="7" t="s">
        <v>36</v>
      </c>
    </row>
    <row r="711" spans="1:14" x14ac:dyDescent="0.35">
      <c r="A711" s="7" t="s">
        <v>1723</v>
      </c>
      <c r="B711" s="7" t="s">
        <v>1281</v>
      </c>
      <c r="C711" s="7" t="s">
        <v>1282</v>
      </c>
      <c r="D711" s="7" t="s">
        <v>40</v>
      </c>
      <c r="E711" s="7" t="s">
        <v>79</v>
      </c>
      <c r="F711" s="7" t="s">
        <v>25</v>
      </c>
      <c r="G711" s="7" t="s">
        <v>74</v>
      </c>
      <c r="H711" s="7">
        <v>3</v>
      </c>
      <c r="I711" s="2">
        <v>146.03</v>
      </c>
      <c r="J711" s="2">
        <f>Tabla2[[#This Row],[Quantity]]*I711</f>
        <v>438.09000000000003</v>
      </c>
      <c r="K711" s="6">
        <f>MONTH(Tabla2[[#This Row],[OrderDate]])</f>
        <v>2</v>
      </c>
      <c r="L711" s="6">
        <f>YEAR(Tabla2[[#This Row],[OrderDate]])</f>
        <v>2024</v>
      </c>
      <c r="M711" s="7" t="s">
        <v>850</v>
      </c>
      <c r="N711" s="7" t="s">
        <v>19</v>
      </c>
    </row>
    <row r="712" spans="1:14" x14ac:dyDescent="0.35">
      <c r="A712" s="7" t="s">
        <v>1724</v>
      </c>
      <c r="B712" s="7" t="s">
        <v>755</v>
      </c>
      <c r="C712" s="7" t="s">
        <v>756</v>
      </c>
      <c r="D712" s="7" t="s">
        <v>32</v>
      </c>
      <c r="E712" s="7" t="s">
        <v>203</v>
      </c>
      <c r="F712" s="7" t="s">
        <v>16</v>
      </c>
      <c r="G712" s="7" t="s">
        <v>17</v>
      </c>
      <c r="H712" s="7">
        <v>5</v>
      </c>
      <c r="I712" s="2">
        <v>78.31</v>
      </c>
      <c r="J712" s="2">
        <f>Tabla2[[#This Row],[Quantity]]*I712</f>
        <v>391.55</v>
      </c>
      <c r="K712" s="6">
        <f>MONTH(Tabla2[[#This Row],[OrderDate]])</f>
        <v>9</v>
      </c>
      <c r="L712" s="6">
        <f>YEAR(Tabla2[[#This Row],[OrderDate]])</f>
        <v>2025</v>
      </c>
      <c r="M712" s="7" t="s">
        <v>1716</v>
      </c>
      <c r="N712" s="7" t="s">
        <v>28</v>
      </c>
    </row>
    <row r="713" spans="1:14" x14ac:dyDescent="0.35">
      <c r="A713" s="7" t="s">
        <v>1725</v>
      </c>
      <c r="B713" s="7" t="s">
        <v>960</v>
      </c>
      <c r="C713" s="7" t="s">
        <v>961</v>
      </c>
      <c r="D713" s="7" t="s">
        <v>14</v>
      </c>
      <c r="E713" s="7" t="s">
        <v>15</v>
      </c>
      <c r="F713" s="7" t="s">
        <v>16</v>
      </c>
      <c r="G713" s="7" t="s">
        <v>17</v>
      </c>
      <c r="H713" s="7">
        <v>5</v>
      </c>
      <c r="I713" s="2">
        <v>820.06</v>
      </c>
      <c r="J713" s="2">
        <f>Tabla2[[#This Row],[Quantity]]*I713</f>
        <v>4100.2999999999993</v>
      </c>
      <c r="K713" s="6">
        <f>MONTH(Tabla2[[#This Row],[OrderDate]])</f>
        <v>1</v>
      </c>
      <c r="L713" s="6">
        <f>YEAR(Tabla2[[#This Row],[OrderDate]])</f>
        <v>2026</v>
      </c>
      <c r="M713" s="7" t="s">
        <v>912</v>
      </c>
      <c r="N713" s="7" t="s">
        <v>28</v>
      </c>
    </row>
    <row r="714" spans="1:14" x14ac:dyDescent="0.35">
      <c r="A714" s="7" t="s">
        <v>1726</v>
      </c>
      <c r="B714" s="7" t="s">
        <v>113</v>
      </c>
      <c r="C714" s="7" t="s">
        <v>114</v>
      </c>
      <c r="D714" s="7" t="s">
        <v>23</v>
      </c>
      <c r="E714" s="7" t="s">
        <v>24</v>
      </c>
      <c r="F714" s="7" t="s">
        <v>101</v>
      </c>
      <c r="G714" s="7" t="s">
        <v>373</v>
      </c>
      <c r="H714" s="7">
        <v>1</v>
      </c>
      <c r="I714" s="2">
        <v>138.81</v>
      </c>
      <c r="J714" s="2">
        <f>Tabla2[[#This Row],[Quantity]]*I714</f>
        <v>138.81</v>
      </c>
      <c r="K714" s="6">
        <f>MONTH(Tabla2[[#This Row],[OrderDate]])</f>
        <v>7</v>
      </c>
      <c r="L714" s="6">
        <f>YEAR(Tabla2[[#This Row],[OrderDate]])</f>
        <v>2024</v>
      </c>
      <c r="M714" s="7" t="s">
        <v>1727</v>
      </c>
      <c r="N714" s="7" t="s">
        <v>91</v>
      </c>
    </row>
    <row r="715" spans="1:14" x14ac:dyDescent="0.35">
      <c r="A715" s="7" t="s">
        <v>1728</v>
      </c>
      <c r="B715" s="7" t="s">
        <v>105</v>
      </c>
      <c r="C715" s="7" t="s">
        <v>106</v>
      </c>
      <c r="D715" s="7" t="s">
        <v>67</v>
      </c>
      <c r="E715" s="7" t="s">
        <v>115</v>
      </c>
      <c r="F715" s="7" t="s">
        <v>101</v>
      </c>
      <c r="G715" s="7" t="s">
        <v>165</v>
      </c>
      <c r="H715" s="7">
        <v>3</v>
      </c>
      <c r="I715" s="2">
        <v>1436.55</v>
      </c>
      <c r="J715" s="2">
        <f>Tabla2[[#This Row],[Quantity]]*I715</f>
        <v>4309.6499999999996</v>
      </c>
      <c r="K715" s="6">
        <f>MONTH(Tabla2[[#This Row],[OrderDate]])</f>
        <v>1</v>
      </c>
      <c r="L715" s="6">
        <f>YEAR(Tabla2[[#This Row],[OrderDate]])</f>
        <v>2024</v>
      </c>
      <c r="M715" s="7" t="s">
        <v>468</v>
      </c>
      <c r="N715" s="7" t="s">
        <v>28</v>
      </c>
    </row>
    <row r="716" spans="1:14" x14ac:dyDescent="0.35">
      <c r="A716" s="7" t="s">
        <v>1729</v>
      </c>
      <c r="B716" s="7" t="s">
        <v>396</v>
      </c>
      <c r="C716" s="7" t="s">
        <v>397</v>
      </c>
      <c r="D716" s="7" t="s">
        <v>40</v>
      </c>
      <c r="E716" s="7" t="s">
        <v>120</v>
      </c>
      <c r="F716" s="7" t="s">
        <v>25</v>
      </c>
      <c r="G716" s="7" t="s">
        <v>139</v>
      </c>
      <c r="H716" s="7">
        <v>5</v>
      </c>
      <c r="I716" s="2">
        <v>930.35</v>
      </c>
      <c r="J716" s="2">
        <f>Tabla2[[#This Row],[Quantity]]*I716</f>
        <v>4651.75</v>
      </c>
      <c r="K716" s="6">
        <f>MONTH(Tabla2[[#This Row],[OrderDate]])</f>
        <v>5</v>
      </c>
      <c r="L716" s="6">
        <f>YEAR(Tabla2[[#This Row],[OrderDate]])</f>
        <v>2024</v>
      </c>
      <c r="M716" s="7" t="s">
        <v>1542</v>
      </c>
      <c r="N716" s="7" t="s">
        <v>91</v>
      </c>
    </row>
    <row r="717" spans="1:14" x14ac:dyDescent="0.35">
      <c r="A717" s="7" t="s">
        <v>1730</v>
      </c>
      <c r="B717" s="7" t="s">
        <v>686</v>
      </c>
      <c r="C717" s="7" t="s">
        <v>687</v>
      </c>
      <c r="D717" s="7" t="s">
        <v>67</v>
      </c>
      <c r="E717" s="7" t="s">
        <v>130</v>
      </c>
      <c r="F717" s="7" t="s">
        <v>25</v>
      </c>
      <c r="G717" s="7" t="s">
        <v>62</v>
      </c>
      <c r="H717" s="7">
        <v>2</v>
      </c>
      <c r="I717" s="2">
        <v>1095.54</v>
      </c>
      <c r="J717" s="2">
        <f>Tabla2[[#This Row],[Quantity]]*I717</f>
        <v>2191.08</v>
      </c>
      <c r="K717" s="6">
        <f>MONTH(Tabla2[[#This Row],[OrderDate]])</f>
        <v>3</v>
      </c>
      <c r="L717" s="6">
        <f>YEAR(Tabla2[[#This Row],[OrderDate]])</f>
        <v>2024</v>
      </c>
      <c r="M717" s="7" t="s">
        <v>1731</v>
      </c>
      <c r="N717" s="7" t="s">
        <v>91</v>
      </c>
    </row>
    <row r="718" spans="1:14" x14ac:dyDescent="0.35">
      <c r="A718" s="7" t="s">
        <v>1732</v>
      </c>
      <c r="B718" s="7" t="s">
        <v>723</v>
      </c>
      <c r="C718" s="7" t="s">
        <v>724</v>
      </c>
      <c r="D718" s="7" t="s">
        <v>40</v>
      </c>
      <c r="E718" s="7" t="s">
        <v>41</v>
      </c>
      <c r="F718" s="7" t="s">
        <v>16</v>
      </c>
      <c r="G718" s="7" t="s">
        <v>230</v>
      </c>
      <c r="H718" s="7">
        <v>4</v>
      </c>
      <c r="I718" s="2">
        <v>168.6</v>
      </c>
      <c r="J718" s="2">
        <f>Tabla2[[#This Row],[Quantity]]*I718</f>
        <v>674.4</v>
      </c>
      <c r="K718" s="6">
        <f>MONTH(Tabla2[[#This Row],[OrderDate]])</f>
        <v>6</v>
      </c>
      <c r="L718" s="6">
        <f>YEAR(Tabla2[[#This Row],[OrderDate]])</f>
        <v>2024</v>
      </c>
      <c r="M718" s="7" t="s">
        <v>1733</v>
      </c>
      <c r="N718" s="7" t="s">
        <v>91</v>
      </c>
    </row>
    <row r="719" spans="1:14" x14ac:dyDescent="0.35">
      <c r="A719" s="7" t="s">
        <v>1734</v>
      </c>
      <c r="B719" s="7" t="s">
        <v>1153</v>
      </c>
      <c r="C719" s="7" t="s">
        <v>1154</v>
      </c>
      <c r="D719" s="7" t="s">
        <v>32</v>
      </c>
      <c r="E719" s="7" t="s">
        <v>203</v>
      </c>
      <c r="F719" s="7" t="s">
        <v>42</v>
      </c>
      <c r="G719" s="7" t="s">
        <v>80</v>
      </c>
      <c r="H719" s="7">
        <v>1</v>
      </c>
      <c r="I719" s="2">
        <v>1024.06</v>
      </c>
      <c r="J719" s="2">
        <f>Tabla2[[#This Row],[Quantity]]*I719</f>
        <v>1024.06</v>
      </c>
      <c r="K719" s="6">
        <f>MONTH(Tabla2[[#This Row],[OrderDate]])</f>
        <v>11</v>
      </c>
      <c r="L719" s="6">
        <f>YEAR(Tabla2[[#This Row],[OrderDate]])</f>
        <v>2024</v>
      </c>
      <c r="M719" s="7" t="s">
        <v>1735</v>
      </c>
      <c r="N719" s="7" t="s">
        <v>19</v>
      </c>
    </row>
    <row r="720" spans="1:14" x14ac:dyDescent="0.35">
      <c r="A720" s="7" t="s">
        <v>1736</v>
      </c>
      <c r="B720" s="7" t="s">
        <v>460</v>
      </c>
      <c r="C720" s="7" t="s">
        <v>461</v>
      </c>
      <c r="D720" s="7" t="s">
        <v>67</v>
      </c>
      <c r="E720" s="7" t="s">
        <v>68</v>
      </c>
      <c r="F720" s="7" t="s">
        <v>50</v>
      </c>
      <c r="G720" s="7" t="s">
        <v>170</v>
      </c>
      <c r="H720" s="7">
        <v>2</v>
      </c>
      <c r="I720" s="2">
        <v>567.33000000000004</v>
      </c>
      <c r="J720" s="2">
        <f>Tabla2[[#This Row],[Quantity]]*I720</f>
        <v>1134.6600000000001</v>
      </c>
      <c r="K720" s="6">
        <f>MONTH(Tabla2[[#This Row],[OrderDate]])</f>
        <v>8</v>
      </c>
      <c r="L720" s="6">
        <f>YEAR(Tabla2[[#This Row],[OrderDate]])</f>
        <v>2025</v>
      </c>
      <c r="M720" s="7" t="s">
        <v>1737</v>
      </c>
      <c r="N720" s="7" t="s">
        <v>45</v>
      </c>
    </row>
    <row r="721" spans="1:14" x14ac:dyDescent="0.35">
      <c r="A721" s="7" t="s">
        <v>1738</v>
      </c>
      <c r="B721" s="7" t="s">
        <v>1005</v>
      </c>
      <c r="C721" s="7" t="s">
        <v>1006</v>
      </c>
      <c r="D721" s="7" t="s">
        <v>40</v>
      </c>
      <c r="E721" s="7" t="s">
        <v>41</v>
      </c>
      <c r="F721" s="7" t="s">
        <v>16</v>
      </c>
      <c r="G721" s="7" t="s">
        <v>177</v>
      </c>
      <c r="H721" s="7">
        <v>4</v>
      </c>
      <c r="I721" s="2">
        <v>1041.58</v>
      </c>
      <c r="J721" s="2">
        <f>Tabla2[[#This Row],[Quantity]]*I721</f>
        <v>4166.32</v>
      </c>
      <c r="K721" s="6">
        <f>MONTH(Tabla2[[#This Row],[OrderDate]])</f>
        <v>9</v>
      </c>
      <c r="L721" s="6">
        <f>YEAR(Tabla2[[#This Row],[OrderDate]])</f>
        <v>2024</v>
      </c>
      <c r="M721" s="7" t="s">
        <v>70</v>
      </c>
      <c r="N721" s="7" t="s">
        <v>28</v>
      </c>
    </row>
    <row r="722" spans="1:14" x14ac:dyDescent="0.35">
      <c r="A722" s="7" t="s">
        <v>1739</v>
      </c>
      <c r="B722" s="7" t="s">
        <v>248</v>
      </c>
      <c r="C722" s="7" t="s">
        <v>249</v>
      </c>
      <c r="D722" s="7" t="s">
        <v>67</v>
      </c>
      <c r="E722" s="7" t="s">
        <v>115</v>
      </c>
      <c r="F722" s="7" t="s">
        <v>101</v>
      </c>
      <c r="G722" s="7" t="s">
        <v>165</v>
      </c>
      <c r="H722" s="7">
        <v>5</v>
      </c>
      <c r="I722" s="2">
        <v>602.66</v>
      </c>
      <c r="J722" s="2">
        <f>Tabla2[[#This Row],[Quantity]]*I722</f>
        <v>3013.2999999999997</v>
      </c>
      <c r="K722" s="6">
        <f>MONTH(Tabla2[[#This Row],[OrderDate]])</f>
        <v>8</v>
      </c>
      <c r="L722" s="6">
        <f>YEAR(Tabla2[[#This Row],[OrderDate]])</f>
        <v>2024</v>
      </c>
      <c r="M722" s="7" t="s">
        <v>757</v>
      </c>
      <c r="N722" s="7" t="s">
        <v>28</v>
      </c>
    </row>
    <row r="723" spans="1:14" x14ac:dyDescent="0.35">
      <c r="A723" s="7" t="s">
        <v>1740</v>
      </c>
      <c r="B723" s="7" t="s">
        <v>1260</v>
      </c>
      <c r="C723" s="7" t="s">
        <v>1261</v>
      </c>
      <c r="D723" s="7" t="s">
        <v>14</v>
      </c>
      <c r="E723" s="7" t="s">
        <v>125</v>
      </c>
      <c r="F723" s="7" t="s">
        <v>16</v>
      </c>
      <c r="G723" s="7" t="s">
        <v>177</v>
      </c>
      <c r="H723" s="7">
        <v>2</v>
      </c>
      <c r="I723" s="2">
        <v>1452.01</v>
      </c>
      <c r="J723" s="2">
        <f>Tabla2[[#This Row],[Quantity]]*I723</f>
        <v>2904.02</v>
      </c>
      <c r="K723" s="6">
        <f>MONTH(Tabla2[[#This Row],[OrderDate]])</f>
        <v>3</v>
      </c>
      <c r="L723" s="6">
        <f>YEAR(Tabla2[[#This Row],[OrderDate]])</f>
        <v>2024</v>
      </c>
      <c r="M723" s="7" t="s">
        <v>1741</v>
      </c>
      <c r="N723" s="7" t="s">
        <v>19</v>
      </c>
    </row>
    <row r="724" spans="1:14" x14ac:dyDescent="0.35">
      <c r="A724" s="7" t="s">
        <v>1742</v>
      </c>
      <c r="B724" s="7" t="s">
        <v>1743</v>
      </c>
      <c r="C724" s="7" t="s">
        <v>1744</v>
      </c>
      <c r="D724" s="7" t="s">
        <v>23</v>
      </c>
      <c r="E724" s="7" t="s">
        <v>338</v>
      </c>
      <c r="F724" s="7" t="s">
        <v>42</v>
      </c>
      <c r="G724" s="7" t="s">
        <v>89</v>
      </c>
      <c r="H724" s="7">
        <v>4</v>
      </c>
      <c r="I724" s="2">
        <v>586.48</v>
      </c>
      <c r="J724" s="2">
        <f>Tabla2[[#This Row],[Quantity]]*I724</f>
        <v>2345.92</v>
      </c>
      <c r="K724" s="6">
        <f>MONTH(Tabla2[[#This Row],[OrderDate]])</f>
        <v>2</v>
      </c>
      <c r="L724" s="6">
        <f>YEAR(Tabla2[[#This Row],[OrderDate]])</f>
        <v>2025</v>
      </c>
      <c r="M724" s="7" t="s">
        <v>309</v>
      </c>
      <c r="N724" s="7" t="s">
        <v>91</v>
      </c>
    </row>
    <row r="725" spans="1:14" x14ac:dyDescent="0.35">
      <c r="A725" s="7" t="s">
        <v>1745</v>
      </c>
      <c r="B725" s="7" t="s">
        <v>481</v>
      </c>
      <c r="C725" s="7" t="s">
        <v>482</v>
      </c>
      <c r="D725" s="7" t="s">
        <v>40</v>
      </c>
      <c r="E725" s="7" t="s">
        <v>79</v>
      </c>
      <c r="F725" s="7" t="s">
        <v>25</v>
      </c>
      <c r="G725" s="7" t="s">
        <v>74</v>
      </c>
      <c r="H725" s="7">
        <v>1</v>
      </c>
      <c r="I725" s="2">
        <v>731.53</v>
      </c>
      <c r="J725" s="2">
        <f>Tabla2[[#This Row],[Quantity]]*I725</f>
        <v>731.53</v>
      </c>
      <c r="K725" s="6">
        <f>MONTH(Tabla2[[#This Row],[OrderDate]])</f>
        <v>8</v>
      </c>
      <c r="L725" s="6">
        <f>YEAR(Tabla2[[#This Row],[OrderDate]])</f>
        <v>2024</v>
      </c>
      <c r="M725" s="7" t="s">
        <v>624</v>
      </c>
      <c r="N725" s="7" t="s">
        <v>36</v>
      </c>
    </row>
    <row r="726" spans="1:14" x14ac:dyDescent="0.35">
      <c r="A726" s="7" t="s">
        <v>1746</v>
      </c>
      <c r="B726" s="7" t="s">
        <v>690</v>
      </c>
      <c r="C726" s="7" t="s">
        <v>691</v>
      </c>
      <c r="D726" s="7" t="s">
        <v>40</v>
      </c>
      <c r="E726" s="7" t="s">
        <v>41</v>
      </c>
      <c r="F726" s="7" t="s">
        <v>25</v>
      </c>
      <c r="G726" s="7" t="s">
        <v>74</v>
      </c>
      <c r="H726" s="7">
        <v>3</v>
      </c>
      <c r="I726" s="2">
        <v>851.78</v>
      </c>
      <c r="J726" s="2">
        <f>Tabla2[[#This Row],[Quantity]]*I726</f>
        <v>2555.34</v>
      </c>
      <c r="K726" s="6">
        <f>MONTH(Tabla2[[#This Row],[OrderDate]])</f>
        <v>6</v>
      </c>
      <c r="L726" s="6">
        <f>YEAR(Tabla2[[#This Row],[OrderDate]])</f>
        <v>2025</v>
      </c>
      <c r="M726" s="7" t="s">
        <v>1747</v>
      </c>
      <c r="N726" s="7" t="s">
        <v>45</v>
      </c>
    </row>
    <row r="727" spans="1:14" x14ac:dyDescent="0.35">
      <c r="A727" s="7" t="s">
        <v>1748</v>
      </c>
      <c r="B727" s="7" t="s">
        <v>1749</v>
      </c>
      <c r="C727" s="7" t="s">
        <v>1750</v>
      </c>
      <c r="D727" s="7" t="s">
        <v>14</v>
      </c>
      <c r="E727" s="7" t="s">
        <v>125</v>
      </c>
      <c r="F727" s="7" t="s">
        <v>50</v>
      </c>
      <c r="G727" s="7" t="s">
        <v>51</v>
      </c>
      <c r="H727" s="7">
        <v>5</v>
      </c>
      <c r="I727" s="2">
        <v>652.11</v>
      </c>
      <c r="J727" s="2">
        <f>Tabla2[[#This Row],[Quantity]]*I727</f>
        <v>3260.55</v>
      </c>
      <c r="K727" s="6">
        <f>MONTH(Tabla2[[#This Row],[OrderDate]])</f>
        <v>11</v>
      </c>
      <c r="L727" s="6">
        <f>YEAR(Tabla2[[#This Row],[OrderDate]])</f>
        <v>2024</v>
      </c>
      <c r="M727" s="7" t="s">
        <v>1287</v>
      </c>
      <c r="N727" s="7" t="s">
        <v>45</v>
      </c>
    </row>
    <row r="728" spans="1:14" x14ac:dyDescent="0.35">
      <c r="A728" s="7" t="s">
        <v>1751</v>
      </c>
      <c r="B728" s="7" t="s">
        <v>180</v>
      </c>
      <c r="C728" s="7" t="s">
        <v>181</v>
      </c>
      <c r="D728" s="7" t="s">
        <v>14</v>
      </c>
      <c r="E728" s="7" t="s">
        <v>95</v>
      </c>
      <c r="F728" s="7" t="s">
        <v>25</v>
      </c>
      <c r="G728" s="7" t="s">
        <v>139</v>
      </c>
      <c r="H728" s="7">
        <v>1</v>
      </c>
      <c r="I728" s="2">
        <v>584.95000000000005</v>
      </c>
      <c r="J728" s="2">
        <f>Tabla2[[#This Row],[Quantity]]*I728</f>
        <v>584.95000000000005</v>
      </c>
      <c r="K728" s="6">
        <f>MONTH(Tabla2[[#This Row],[OrderDate]])</f>
        <v>6</v>
      </c>
      <c r="L728" s="6">
        <f>YEAR(Tabla2[[#This Row],[OrderDate]])</f>
        <v>2024</v>
      </c>
      <c r="M728" s="7" t="s">
        <v>283</v>
      </c>
      <c r="N728" s="7" t="s">
        <v>36</v>
      </c>
    </row>
    <row r="729" spans="1:14" x14ac:dyDescent="0.35">
      <c r="A729" s="7" t="s">
        <v>1752</v>
      </c>
      <c r="B729" s="7" t="s">
        <v>936</v>
      </c>
      <c r="C729" s="7" t="s">
        <v>937</v>
      </c>
      <c r="D729" s="7" t="s">
        <v>67</v>
      </c>
      <c r="E729" s="7" t="s">
        <v>115</v>
      </c>
      <c r="F729" s="7" t="s">
        <v>25</v>
      </c>
      <c r="G729" s="7" t="s">
        <v>62</v>
      </c>
      <c r="H729" s="7">
        <v>1</v>
      </c>
      <c r="I729" s="2">
        <v>1291.7</v>
      </c>
      <c r="J729" s="2">
        <f>Tabla2[[#This Row],[Quantity]]*I729</f>
        <v>1291.7</v>
      </c>
      <c r="K729" s="6">
        <f>MONTH(Tabla2[[#This Row],[OrderDate]])</f>
        <v>7</v>
      </c>
      <c r="L729" s="6">
        <f>YEAR(Tabla2[[#This Row],[OrderDate]])</f>
        <v>2024</v>
      </c>
      <c r="M729" s="7" t="s">
        <v>1498</v>
      </c>
      <c r="N729" s="7" t="s">
        <v>28</v>
      </c>
    </row>
    <row r="730" spans="1:14" x14ac:dyDescent="0.35">
      <c r="A730" s="7" t="s">
        <v>1753</v>
      </c>
      <c r="B730" s="7" t="s">
        <v>936</v>
      </c>
      <c r="C730" s="7" t="s">
        <v>937</v>
      </c>
      <c r="D730" s="7" t="s">
        <v>32</v>
      </c>
      <c r="E730" s="7" t="s">
        <v>33</v>
      </c>
      <c r="F730" s="7" t="s">
        <v>50</v>
      </c>
      <c r="G730" s="7" t="s">
        <v>170</v>
      </c>
      <c r="H730" s="7">
        <v>4</v>
      </c>
      <c r="I730" s="2">
        <v>523.36</v>
      </c>
      <c r="J730" s="2">
        <f>Tabla2[[#This Row],[Quantity]]*I730</f>
        <v>2093.44</v>
      </c>
      <c r="K730" s="6">
        <f>MONTH(Tabla2[[#This Row],[OrderDate]])</f>
        <v>9</v>
      </c>
      <c r="L730" s="6">
        <f>YEAR(Tabla2[[#This Row],[OrderDate]])</f>
        <v>2024</v>
      </c>
      <c r="M730" s="7" t="s">
        <v>1754</v>
      </c>
      <c r="N730" s="7" t="s">
        <v>91</v>
      </c>
    </row>
    <row r="731" spans="1:14" x14ac:dyDescent="0.35">
      <c r="A731" s="7" t="s">
        <v>1755</v>
      </c>
      <c r="B731" s="7" t="s">
        <v>93</v>
      </c>
      <c r="C731" s="7" t="s">
        <v>94</v>
      </c>
      <c r="D731" s="7" t="s">
        <v>67</v>
      </c>
      <c r="E731" s="7" t="s">
        <v>130</v>
      </c>
      <c r="F731" s="7" t="s">
        <v>25</v>
      </c>
      <c r="G731" s="7" t="s">
        <v>34</v>
      </c>
      <c r="H731" s="7">
        <v>3</v>
      </c>
      <c r="I731" s="2">
        <v>1244.1500000000001</v>
      </c>
      <c r="J731" s="2">
        <f>Tabla2[[#This Row],[Quantity]]*I731</f>
        <v>3732.4500000000003</v>
      </c>
      <c r="K731" s="6">
        <f>MONTH(Tabla2[[#This Row],[OrderDate]])</f>
        <v>1</v>
      </c>
      <c r="L731" s="6">
        <f>YEAR(Tabla2[[#This Row],[OrderDate]])</f>
        <v>2024</v>
      </c>
      <c r="M731" s="7" t="s">
        <v>1756</v>
      </c>
      <c r="N731" s="7" t="s">
        <v>36</v>
      </c>
    </row>
    <row r="732" spans="1:14" x14ac:dyDescent="0.35">
      <c r="A732" s="7" t="s">
        <v>1757</v>
      </c>
      <c r="B732" s="7" t="s">
        <v>1042</v>
      </c>
      <c r="C732" s="7" t="s">
        <v>1043</v>
      </c>
      <c r="D732" s="7" t="s">
        <v>14</v>
      </c>
      <c r="E732" s="7" t="s">
        <v>266</v>
      </c>
      <c r="F732" s="7" t="s">
        <v>25</v>
      </c>
      <c r="G732" s="7" t="s">
        <v>62</v>
      </c>
      <c r="H732" s="7">
        <v>2</v>
      </c>
      <c r="I732" s="2">
        <v>247.93</v>
      </c>
      <c r="J732" s="2">
        <f>Tabla2[[#This Row],[Quantity]]*I732</f>
        <v>495.86</v>
      </c>
      <c r="K732" s="6">
        <f>MONTH(Tabla2[[#This Row],[OrderDate]])</f>
        <v>5</v>
      </c>
      <c r="L732" s="6">
        <f>YEAR(Tabla2[[#This Row],[OrderDate]])</f>
        <v>2024</v>
      </c>
      <c r="M732" s="7" t="s">
        <v>1758</v>
      </c>
      <c r="N732" s="7" t="s">
        <v>91</v>
      </c>
    </row>
    <row r="733" spans="1:14" x14ac:dyDescent="0.35">
      <c r="A733" s="7" t="s">
        <v>1759</v>
      </c>
      <c r="B733" s="7" t="s">
        <v>54</v>
      </c>
      <c r="C733" s="7" t="s">
        <v>55</v>
      </c>
      <c r="D733" s="7" t="s">
        <v>23</v>
      </c>
      <c r="E733" s="7" t="s">
        <v>49</v>
      </c>
      <c r="F733" s="7" t="s">
        <v>101</v>
      </c>
      <c r="G733" s="7" t="s">
        <v>237</v>
      </c>
      <c r="H733" s="7">
        <v>5</v>
      </c>
      <c r="I733" s="2">
        <v>1489.71</v>
      </c>
      <c r="J733" s="2">
        <f>Tabla2[[#This Row],[Quantity]]*I733</f>
        <v>7448.55</v>
      </c>
      <c r="K733" s="6">
        <f>MONTH(Tabla2[[#This Row],[OrderDate]])</f>
        <v>7</v>
      </c>
      <c r="L733" s="6">
        <f>YEAR(Tabla2[[#This Row],[OrderDate]])</f>
        <v>2025</v>
      </c>
      <c r="M733" s="7" t="s">
        <v>1186</v>
      </c>
      <c r="N733" s="7" t="s">
        <v>36</v>
      </c>
    </row>
    <row r="734" spans="1:14" x14ac:dyDescent="0.35">
      <c r="A734" s="7" t="s">
        <v>1760</v>
      </c>
      <c r="B734" s="7" t="s">
        <v>77</v>
      </c>
      <c r="C734" s="7" t="s">
        <v>78</v>
      </c>
      <c r="D734" s="7" t="s">
        <v>40</v>
      </c>
      <c r="E734" s="7" t="s">
        <v>120</v>
      </c>
      <c r="F734" s="7" t="s">
        <v>42</v>
      </c>
      <c r="G734" s="7" t="s">
        <v>225</v>
      </c>
      <c r="H734" s="7">
        <v>2</v>
      </c>
      <c r="I734" s="2">
        <v>263.08</v>
      </c>
      <c r="J734" s="2">
        <f>Tabla2[[#This Row],[Quantity]]*I734</f>
        <v>526.16</v>
      </c>
      <c r="K734" s="6">
        <f>MONTH(Tabla2[[#This Row],[OrderDate]])</f>
        <v>8</v>
      </c>
      <c r="L734" s="6">
        <f>YEAR(Tabla2[[#This Row],[OrderDate]])</f>
        <v>2024</v>
      </c>
      <c r="M734" s="7" t="s">
        <v>1761</v>
      </c>
      <c r="N734" s="7" t="s">
        <v>19</v>
      </c>
    </row>
    <row r="735" spans="1:14" x14ac:dyDescent="0.35">
      <c r="A735" s="7" t="s">
        <v>1762</v>
      </c>
      <c r="B735" s="7" t="s">
        <v>113</v>
      </c>
      <c r="C735" s="7" t="s">
        <v>114</v>
      </c>
      <c r="D735" s="7" t="s">
        <v>40</v>
      </c>
      <c r="E735" s="7" t="s">
        <v>79</v>
      </c>
      <c r="F735" s="7" t="s">
        <v>42</v>
      </c>
      <c r="G735" s="7" t="s">
        <v>89</v>
      </c>
      <c r="H735" s="7">
        <v>4</v>
      </c>
      <c r="I735" s="2">
        <v>249.4</v>
      </c>
      <c r="J735" s="2">
        <f>Tabla2[[#This Row],[Quantity]]*I735</f>
        <v>997.6</v>
      </c>
      <c r="K735" s="6">
        <f>MONTH(Tabla2[[#This Row],[OrderDate]])</f>
        <v>12</v>
      </c>
      <c r="L735" s="6">
        <f>YEAR(Tabla2[[#This Row],[OrderDate]])</f>
        <v>2025</v>
      </c>
      <c r="M735" s="7" t="s">
        <v>1763</v>
      </c>
      <c r="N735" s="7" t="s">
        <v>91</v>
      </c>
    </row>
    <row r="736" spans="1:14" x14ac:dyDescent="0.35">
      <c r="A736" s="7" t="s">
        <v>1764</v>
      </c>
      <c r="B736" s="7" t="s">
        <v>197</v>
      </c>
      <c r="C736" s="7" t="s">
        <v>198</v>
      </c>
      <c r="D736" s="7" t="s">
        <v>40</v>
      </c>
      <c r="E736" s="7" t="s">
        <v>41</v>
      </c>
      <c r="F736" s="7" t="s">
        <v>25</v>
      </c>
      <c r="G736" s="7" t="s">
        <v>26</v>
      </c>
      <c r="H736" s="7">
        <v>2</v>
      </c>
      <c r="I736" s="2">
        <v>1195.05</v>
      </c>
      <c r="J736" s="2">
        <f>Tabla2[[#This Row],[Quantity]]*I736</f>
        <v>2390.1</v>
      </c>
      <c r="K736" s="6">
        <f>MONTH(Tabla2[[#This Row],[OrderDate]])</f>
        <v>6</v>
      </c>
      <c r="L736" s="6">
        <f>YEAR(Tabla2[[#This Row],[OrderDate]])</f>
        <v>2024</v>
      </c>
      <c r="M736" s="7" t="s">
        <v>437</v>
      </c>
      <c r="N736" s="7" t="s">
        <v>28</v>
      </c>
    </row>
    <row r="737" spans="1:14" x14ac:dyDescent="0.35">
      <c r="A737" s="7" t="s">
        <v>1765</v>
      </c>
      <c r="B737" s="7" t="s">
        <v>1212</v>
      </c>
      <c r="C737" s="7" t="s">
        <v>1213</v>
      </c>
      <c r="D737" s="7" t="s">
        <v>14</v>
      </c>
      <c r="E737" s="7" t="s">
        <v>15</v>
      </c>
      <c r="F737" s="7" t="s">
        <v>42</v>
      </c>
      <c r="G737" s="7" t="s">
        <v>170</v>
      </c>
      <c r="H737" s="7">
        <v>5</v>
      </c>
      <c r="I737" s="2">
        <v>833.13</v>
      </c>
      <c r="J737" s="2">
        <f>Tabla2[[#This Row],[Quantity]]*I737</f>
        <v>4165.6499999999996</v>
      </c>
      <c r="K737" s="6">
        <f>MONTH(Tabla2[[#This Row],[OrderDate]])</f>
        <v>4</v>
      </c>
      <c r="L737" s="6">
        <f>YEAR(Tabla2[[#This Row],[OrderDate]])</f>
        <v>2025</v>
      </c>
      <c r="M737" s="7" t="s">
        <v>490</v>
      </c>
      <c r="N737" s="7" t="s">
        <v>19</v>
      </c>
    </row>
    <row r="738" spans="1:14" x14ac:dyDescent="0.35">
      <c r="A738" s="7" t="s">
        <v>1766</v>
      </c>
      <c r="B738" s="7" t="s">
        <v>1307</v>
      </c>
      <c r="C738" s="7" t="s">
        <v>1308</v>
      </c>
      <c r="D738" s="7" t="s">
        <v>40</v>
      </c>
      <c r="E738" s="7" t="s">
        <v>120</v>
      </c>
      <c r="F738" s="7" t="s">
        <v>101</v>
      </c>
      <c r="G738" s="7" t="s">
        <v>237</v>
      </c>
      <c r="H738" s="7">
        <v>5</v>
      </c>
      <c r="I738" s="2">
        <v>171.98</v>
      </c>
      <c r="J738" s="2">
        <f>Tabla2[[#This Row],[Quantity]]*I738</f>
        <v>859.9</v>
      </c>
      <c r="K738" s="6">
        <f>MONTH(Tabla2[[#This Row],[OrderDate]])</f>
        <v>6</v>
      </c>
      <c r="L738" s="6">
        <f>YEAR(Tabla2[[#This Row],[OrderDate]])</f>
        <v>2025</v>
      </c>
      <c r="M738" s="7" t="s">
        <v>1254</v>
      </c>
      <c r="N738" s="7" t="s">
        <v>91</v>
      </c>
    </row>
    <row r="739" spans="1:14" x14ac:dyDescent="0.35">
      <c r="A739" s="7" t="s">
        <v>1767</v>
      </c>
      <c r="B739" s="7" t="s">
        <v>367</v>
      </c>
      <c r="C739" s="7" t="s">
        <v>368</v>
      </c>
      <c r="D739" s="7" t="s">
        <v>40</v>
      </c>
      <c r="E739" s="7" t="s">
        <v>41</v>
      </c>
      <c r="F739" s="7" t="s">
        <v>16</v>
      </c>
      <c r="G739" s="7" t="s">
        <v>148</v>
      </c>
      <c r="H739" s="7">
        <v>5</v>
      </c>
      <c r="I739" s="2">
        <v>55.55</v>
      </c>
      <c r="J739" s="2">
        <f>Tabla2[[#This Row],[Quantity]]*I739</f>
        <v>277.75</v>
      </c>
      <c r="K739" s="6">
        <f>MONTH(Tabla2[[#This Row],[OrderDate]])</f>
        <v>1</v>
      </c>
      <c r="L739" s="6">
        <f>YEAR(Tabla2[[#This Row],[OrderDate]])</f>
        <v>2025</v>
      </c>
      <c r="M739" s="7" t="s">
        <v>1305</v>
      </c>
      <c r="N739" s="7" t="s">
        <v>36</v>
      </c>
    </row>
    <row r="740" spans="1:14" x14ac:dyDescent="0.35">
      <c r="A740" s="7" t="s">
        <v>1768</v>
      </c>
      <c r="B740" s="7" t="s">
        <v>12</v>
      </c>
      <c r="C740" s="7" t="s">
        <v>13</v>
      </c>
      <c r="D740" s="7" t="s">
        <v>32</v>
      </c>
      <c r="E740" s="7" t="s">
        <v>203</v>
      </c>
      <c r="F740" s="7" t="s">
        <v>25</v>
      </c>
      <c r="G740" s="7" t="s">
        <v>74</v>
      </c>
      <c r="H740" s="7">
        <v>5</v>
      </c>
      <c r="I740" s="2">
        <v>716.41</v>
      </c>
      <c r="J740" s="2">
        <f>Tabla2[[#This Row],[Quantity]]*I740</f>
        <v>3582.0499999999997</v>
      </c>
      <c r="K740" s="6">
        <f>MONTH(Tabla2[[#This Row],[OrderDate]])</f>
        <v>4</v>
      </c>
      <c r="L740" s="6">
        <f>YEAR(Tabla2[[#This Row],[OrderDate]])</f>
        <v>2025</v>
      </c>
      <c r="M740" s="7" t="s">
        <v>490</v>
      </c>
      <c r="N740" s="7" t="s">
        <v>28</v>
      </c>
    </row>
    <row r="741" spans="1:14" x14ac:dyDescent="0.35">
      <c r="A741" s="7" t="s">
        <v>1769</v>
      </c>
      <c r="B741" s="7" t="s">
        <v>791</v>
      </c>
      <c r="C741" s="7" t="s">
        <v>792</v>
      </c>
      <c r="D741" s="7" t="s">
        <v>32</v>
      </c>
      <c r="E741" s="7" t="s">
        <v>61</v>
      </c>
      <c r="F741" s="7" t="s">
        <v>16</v>
      </c>
      <c r="G741" s="7" t="s">
        <v>177</v>
      </c>
      <c r="H741" s="7">
        <v>2</v>
      </c>
      <c r="I741" s="2">
        <v>542.37</v>
      </c>
      <c r="J741" s="2">
        <f>Tabla2[[#This Row],[Quantity]]*I741</f>
        <v>1084.74</v>
      </c>
      <c r="K741" s="6">
        <f>MONTH(Tabla2[[#This Row],[OrderDate]])</f>
        <v>12</v>
      </c>
      <c r="L741" s="6">
        <f>YEAR(Tabla2[[#This Row],[OrderDate]])</f>
        <v>2025</v>
      </c>
      <c r="M741" s="7" t="s">
        <v>1770</v>
      </c>
      <c r="N741" s="7" t="s">
        <v>36</v>
      </c>
    </row>
    <row r="742" spans="1:14" x14ac:dyDescent="0.35">
      <c r="A742" s="7" t="s">
        <v>1771</v>
      </c>
      <c r="B742" s="7" t="s">
        <v>1046</v>
      </c>
      <c r="C742" s="7" t="s">
        <v>1047</v>
      </c>
      <c r="D742" s="7" t="s">
        <v>23</v>
      </c>
      <c r="E742" s="7" t="s">
        <v>24</v>
      </c>
      <c r="F742" s="7" t="s">
        <v>42</v>
      </c>
      <c r="G742" s="7" t="s">
        <v>225</v>
      </c>
      <c r="H742" s="7">
        <v>1</v>
      </c>
      <c r="I742" s="2">
        <v>1229.22</v>
      </c>
      <c r="J742" s="2">
        <f>Tabla2[[#This Row],[Quantity]]*I742</f>
        <v>1229.22</v>
      </c>
      <c r="K742" s="6">
        <f>MONTH(Tabla2[[#This Row],[OrderDate]])</f>
        <v>12</v>
      </c>
      <c r="L742" s="6">
        <f>YEAR(Tabla2[[#This Row],[OrderDate]])</f>
        <v>2025</v>
      </c>
      <c r="M742" s="7" t="s">
        <v>581</v>
      </c>
      <c r="N742" s="7" t="s">
        <v>19</v>
      </c>
    </row>
    <row r="743" spans="1:14" x14ac:dyDescent="0.35">
      <c r="A743" s="7" t="s">
        <v>1772</v>
      </c>
      <c r="B743" s="7" t="s">
        <v>439</v>
      </c>
      <c r="C743" s="7" t="s">
        <v>440</v>
      </c>
      <c r="D743" s="7" t="s">
        <v>14</v>
      </c>
      <c r="E743" s="7" t="s">
        <v>95</v>
      </c>
      <c r="F743" s="7" t="s">
        <v>101</v>
      </c>
      <c r="G743" s="7" t="s">
        <v>102</v>
      </c>
      <c r="H743" s="7">
        <v>3</v>
      </c>
      <c r="I743" s="2">
        <v>812.99</v>
      </c>
      <c r="J743" s="2">
        <f>Tabla2[[#This Row],[Quantity]]*I743</f>
        <v>2438.9700000000003</v>
      </c>
      <c r="K743" s="6">
        <f>MONTH(Tabla2[[#This Row],[OrderDate]])</f>
        <v>6</v>
      </c>
      <c r="L743" s="6">
        <f>YEAR(Tabla2[[#This Row],[OrderDate]])</f>
        <v>2025</v>
      </c>
      <c r="M743" s="7" t="s">
        <v>199</v>
      </c>
      <c r="N743" s="7" t="s">
        <v>91</v>
      </c>
    </row>
    <row r="744" spans="1:14" x14ac:dyDescent="0.35">
      <c r="A744" s="7" t="s">
        <v>1773</v>
      </c>
      <c r="B744" s="7" t="s">
        <v>904</v>
      </c>
      <c r="C744" s="7" t="s">
        <v>905</v>
      </c>
      <c r="D744" s="7" t="s">
        <v>14</v>
      </c>
      <c r="E744" s="7" t="s">
        <v>266</v>
      </c>
      <c r="F744" s="7" t="s">
        <v>25</v>
      </c>
      <c r="G744" s="7" t="s">
        <v>34</v>
      </c>
      <c r="H744" s="7">
        <v>2</v>
      </c>
      <c r="I744" s="2">
        <v>1199.28</v>
      </c>
      <c r="J744" s="2">
        <f>Tabla2[[#This Row],[Quantity]]*I744</f>
        <v>2398.56</v>
      </c>
      <c r="K744" s="6">
        <f>MONTH(Tabla2[[#This Row],[OrderDate]])</f>
        <v>10</v>
      </c>
      <c r="L744" s="6">
        <f>YEAR(Tabla2[[#This Row],[OrderDate]])</f>
        <v>2024</v>
      </c>
      <c r="M744" s="7" t="s">
        <v>667</v>
      </c>
      <c r="N744" s="7" t="s">
        <v>36</v>
      </c>
    </row>
    <row r="745" spans="1:14" x14ac:dyDescent="0.35">
      <c r="A745" s="7" t="s">
        <v>1774</v>
      </c>
      <c r="B745" s="7" t="s">
        <v>1312</v>
      </c>
      <c r="C745" s="7" t="s">
        <v>1313</v>
      </c>
      <c r="D745" s="7" t="s">
        <v>40</v>
      </c>
      <c r="E745" s="7" t="s">
        <v>120</v>
      </c>
      <c r="F745" s="7" t="s">
        <v>25</v>
      </c>
      <c r="G745" s="7" t="s">
        <v>62</v>
      </c>
      <c r="H745" s="7">
        <v>4</v>
      </c>
      <c r="I745" s="2">
        <v>69.400000000000006</v>
      </c>
      <c r="J745" s="2">
        <f>Tabla2[[#This Row],[Quantity]]*I745</f>
        <v>277.60000000000002</v>
      </c>
      <c r="K745" s="6">
        <f>MONTH(Tabla2[[#This Row],[OrderDate]])</f>
        <v>7</v>
      </c>
      <c r="L745" s="6">
        <f>YEAR(Tabla2[[#This Row],[OrderDate]])</f>
        <v>2024</v>
      </c>
      <c r="M745" s="7" t="s">
        <v>1775</v>
      </c>
      <c r="N745" s="7" t="s">
        <v>91</v>
      </c>
    </row>
    <row r="746" spans="1:14" x14ac:dyDescent="0.35">
      <c r="A746" s="7" t="s">
        <v>1776</v>
      </c>
      <c r="B746" s="7" t="s">
        <v>173</v>
      </c>
      <c r="C746" s="7" t="s">
        <v>174</v>
      </c>
      <c r="D746" s="7" t="s">
        <v>67</v>
      </c>
      <c r="E746" s="7" t="s">
        <v>68</v>
      </c>
      <c r="F746" s="7" t="s">
        <v>50</v>
      </c>
      <c r="G746" s="7" t="s">
        <v>51</v>
      </c>
      <c r="H746" s="7">
        <v>1</v>
      </c>
      <c r="I746" s="2">
        <v>1122.99</v>
      </c>
      <c r="J746" s="2">
        <f>Tabla2[[#This Row],[Quantity]]*I746</f>
        <v>1122.99</v>
      </c>
      <c r="K746" s="6">
        <f>MONTH(Tabla2[[#This Row],[OrderDate]])</f>
        <v>9</v>
      </c>
      <c r="L746" s="6">
        <f>YEAR(Tabla2[[#This Row],[OrderDate]])</f>
        <v>2025</v>
      </c>
      <c r="M746" s="7" t="s">
        <v>1598</v>
      </c>
      <c r="N746" s="7" t="s">
        <v>28</v>
      </c>
    </row>
    <row r="747" spans="1:14" x14ac:dyDescent="0.35">
      <c r="A747" s="7" t="s">
        <v>1777</v>
      </c>
      <c r="B747" s="7" t="s">
        <v>594</v>
      </c>
      <c r="C747" s="7" t="s">
        <v>595</v>
      </c>
      <c r="D747" s="7" t="s">
        <v>40</v>
      </c>
      <c r="E747" s="7" t="s">
        <v>79</v>
      </c>
      <c r="F747" s="7" t="s">
        <v>25</v>
      </c>
      <c r="G747" s="7" t="s">
        <v>62</v>
      </c>
      <c r="H747" s="7">
        <v>2</v>
      </c>
      <c r="I747" s="2">
        <v>1209.6300000000001</v>
      </c>
      <c r="J747" s="2">
        <f>Tabla2[[#This Row],[Quantity]]*I747</f>
        <v>2419.2600000000002</v>
      </c>
      <c r="K747" s="6">
        <f>MONTH(Tabla2[[#This Row],[OrderDate]])</f>
        <v>2</v>
      </c>
      <c r="L747" s="6">
        <f>YEAR(Tabla2[[#This Row],[OrderDate]])</f>
        <v>2026</v>
      </c>
      <c r="M747" s="7" t="s">
        <v>1262</v>
      </c>
      <c r="N747" s="7" t="s">
        <v>45</v>
      </c>
    </row>
    <row r="748" spans="1:14" x14ac:dyDescent="0.35">
      <c r="A748" s="7" t="s">
        <v>1778</v>
      </c>
      <c r="B748" s="7" t="s">
        <v>1369</v>
      </c>
      <c r="C748" s="7" t="s">
        <v>1370</v>
      </c>
      <c r="D748" s="7" t="s">
        <v>14</v>
      </c>
      <c r="E748" s="7" t="s">
        <v>100</v>
      </c>
      <c r="F748" s="7" t="s">
        <v>42</v>
      </c>
      <c r="G748" s="7" t="s">
        <v>89</v>
      </c>
      <c r="H748" s="7">
        <v>2</v>
      </c>
      <c r="I748" s="2">
        <v>1410.87</v>
      </c>
      <c r="J748" s="2">
        <f>Tabla2[[#This Row],[Quantity]]*I748</f>
        <v>2821.74</v>
      </c>
      <c r="K748" s="6">
        <f>MONTH(Tabla2[[#This Row],[OrderDate]])</f>
        <v>4</v>
      </c>
      <c r="L748" s="6">
        <f>YEAR(Tabla2[[#This Row],[OrderDate]])</f>
        <v>2026</v>
      </c>
      <c r="M748" s="7" t="s">
        <v>1779</v>
      </c>
      <c r="N748" s="7" t="s">
        <v>45</v>
      </c>
    </row>
    <row r="749" spans="1:14" x14ac:dyDescent="0.35">
      <c r="A749" s="7" t="s">
        <v>1780</v>
      </c>
      <c r="B749" s="7" t="s">
        <v>435</v>
      </c>
      <c r="C749" s="7" t="s">
        <v>436</v>
      </c>
      <c r="D749" s="7" t="s">
        <v>14</v>
      </c>
      <c r="E749" s="7" t="s">
        <v>15</v>
      </c>
      <c r="F749" s="7" t="s">
        <v>16</v>
      </c>
      <c r="G749" s="7" t="s">
        <v>230</v>
      </c>
      <c r="H749" s="7">
        <v>4</v>
      </c>
      <c r="I749" s="2">
        <v>1347.25</v>
      </c>
      <c r="J749" s="2">
        <f>Tabla2[[#This Row],[Quantity]]*I749</f>
        <v>5389</v>
      </c>
      <c r="K749" s="6">
        <f>MONTH(Tabla2[[#This Row],[OrderDate]])</f>
        <v>11</v>
      </c>
      <c r="L749" s="6">
        <f>YEAR(Tabla2[[#This Row],[OrderDate]])</f>
        <v>2025</v>
      </c>
      <c r="M749" s="7" t="s">
        <v>1781</v>
      </c>
      <c r="N749" s="7" t="s">
        <v>19</v>
      </c>
    </row>
    <row r="750" spans="1:14" x14ac:dyDescent="0.35">
      <c r="A750" s="7" t="s">
        <v>1782</v>
      </c>
      <c r="B750" s="7" t="s">
        <v>791</v>
      </c>
      <c r="C750" s="7" t="s">
        <v>792</v>
      </c>
      <c r="D750" s="7" t="s">
        <v>14</v>
      </c>
      <c r="E750" s="7" t="s">
        <v>15</v>
      </c>
      <c r="F750" s="7" t="s">
        <v>50</v>
      </c>
      <c r="G750" s="7" t="s">
        <v>170</v>
      </c>
      <c r="H750" s="7">
        <v>3</v>
      </c>
      <c r="I750" s="2">
        <v>1007.82</v>
      </c>
      <c r="J750" s="2">
        <f>Tabla2[[#This Row],[Quantity]]*I750</f>
        <v>3023.46</v>
      </c>
      <c r="K750" s="6">
        <f>MONTH(Tabla2[[#This Row],[OrderDate]])</f>
        <v>11</v>
      </c>
      <c r="L750" s="6">
        <f>YEAR(Tabla2[[#This Row],[OrderDate]])</f>
        <v>2024</v>
      </c>
      <c r="M750" s="7" t="s">
        <v>1512</v>
      </c>
      <c r="N750" s="7" t="s">
        <v>36</v>
      </c>
    </row>
    <row r="751" spans="1:14" x14ac:dyDescent="0.35">
      <c r="A751" s="7" t="s">
        <v>1783</v>
      </c>
      <c r="B751" s="7" t="s">
        <v>633</v>
      </c>
      <c r="C751" s="7" t="s">
        <v>634</v>
      </c>
      <c r="D751" s="7" t="s">
        <v>67</v>
      </c>
      <c r="E751" s="7" t="s">
        <v>68</v>
      </c>
      <c r="F751" s="7" t="s">
        <v>16</v>
      </c>
      <c r="G751" s="7" t="s">
        <v>148</v>
      </c>
      <c r="H751" s="7">
        <v>4</v>
      </c>
      <c r="I751" s="2">
        <v>29.96</v>
      </c>
      <c r="J751" s="2">
        <f>Tabla2[[#This Row],[Quantity]]*I751</f>
        <v>119.84</v>
      </c>
      <c r="K751" s="6">
        <f>MONTH(Tabla2[[#This Row],[OrderDate]])</f>
        <v>12</v>
      </c>
      <c r="L751" s="6">
        <f>YEAR(Tabla2[[#This Row],[OrderDate]])</f>
        <v>2024</v>
      </c>
      <c r="M751" s="7" t="s">
        <v>1784</v>
      </c>
      <c r="N751" s="7" t="s">
        <v>28</v>
      </c>
    </row>
    <row r="752" spans="1:14" x14ac:dyDescent="0.35">
      <c r="A752" s="7" t="s">
        <v>1785</v>
      </c>
      <c r="B752" s="7" t="s">
        <v>817</v>
      </c>
      <c r="C752" s="7" t="s">
        <v>818</v>
      </c>
      <c r="D752" s="7" t="s">
        <v>67</v>
      </c>
      <c r="E752" s="7" t="s">
        <v>115</v>
      </c>
      <c r="F752" s="7" t="s">
        <v>16</v>
      </c>
      <c r="G752" s="7" t="s">
        <v>17</v>
      </c>
      <c r="H752" s="7">
        <v>2</v>
      </c>
      <c r="I752" s="2">
        <v>30.98</v>
      </c>
      <c r="J752" s="2">
        <f>Tabla2[[#This Row],[Quantity]]*I752</f>
        <v>61.96</v>
      </c>
      <c r="K752" s="6">
        <f>MONTH(Tabla2[[#This Row],[OrderDate]])</f>
        <v>8</v>
      </c>
      <c r="L752" s="6">
        <f>YEAR(Tabla2[[#This Row],[OrderDate]])</f>
        <v>2025</v>
      </c>
      <c r="M752" s="7" t="s">
        <v>231</v>
      </c>
      <c r="N752" s="7" t="s">
        <v>36</v>
      </c>
    </row>
    <row r="753" spans="1:14" x14ac:dyDescent="0.35">
      <c r="A753" s="7" t="s">
        <v>1786</v>
      </c>
      <c r="B753" s="7" t="s">
        <v>83</v>
      </c>
      <c r="C753" s="7" t="s">
        <v>84</v>
      </c>
      <c r="D753" s="7" t="s">
        <v>40</v>
      </c>
      <c r="E753" s="7" t="s">
        <v>79</v>
      </c>
      <c r="F753" s="7" t="s">
        <v>50</v>
      </c>
      <c r="G753" s="7" t="s">
        <v>216</v>
      </c>
      <c r="H753" s="7">
        <v>5</v>
      </c>
      <c r="I753" s="2">
        <v>1043.81</v>
      </c>
      <c r="J753" s="2">
        <f>Tabla2[[#This Row],[Quantity]]*I753</f>
        <v>5219.0499999999993</v>
      </c>
      <c r="K753" s="6">
        <f>MONTH(Tabla2[[#This Row],[OrderDate]])</f>
        <v>9</v>
      </c>
      <c r="L753" s="6">
        <f>YEAR(Tabla2[[#This Row],[OrderDate]])</f>
        <v>2025</v>
      </c>
      <c r="M753" s="7" t="s">
        <v>1787</v>
      </c>
      <c r="N753" s="7" t="s">
        <v>45</v>
      </c>
    </row>
    <row r="754" spans="1:14" x14ac:dyDescent="0.35">
      <c r="A754" s="7" t="s">
        <v>1788</v>
      </c>
      <c r="B754" s="7" t="s">
        <v>703</v>
      </c>
      <c r="C754" s="7" t="s">
        <v>704</v>
      </c>
      <c r="D754" s="7" t="s">
        <v>67</v>
      </c>
      <c r="E754" s="7" t="s">
        <v>115</v>
      </c>
      <c r="F754" s="7" t="s">
        <v>101</v>
      </c>
      <c r="G754" s="7" t="s">
        <v>373</v>
      </c>
      <c r="H754" s="7">
        <v>4</v>
      </c>
      <c r="I754" s="2">
        <v>45.27</v>
      </c>
      <c r="J754" s="2">
        <f>Tabla2[[#This Row],[Quantity]]*I754</f>
        <v>181.08</v>
      </c>
      <c r="K754" s="6">
        <f>MONTH(Tabla2[[#This Row],[OrderDate]])</f>
        <v>10</v>
      </c>
      <c r="L754" s="6">
        <f>YEAR(Tabla2[[#This Row],[OrderDate]])</f>
        <v>2025</v>
      </c>
      <c r="M754" s="7" t="s">
        <v>1485</v>
      </c>
      <c r="N754" s="7" t="s">
        <v>19</v>
      </c>
    </row>
    <row r="755" spans="1:14" x14ac:dyDescent="0.35">
      <c r="A755" s="7" t="s">
        <v>1789</v>
      </c>
      <c r="B755" s="7" t="s">
        <v>418</v>
      </c>
      <c r="C755" s="7" t="s">
        <v>419</v>
      </c>
      <c r="D755" s="7" t="s">
        <v>14</v>
      </c>
      <c r="E755" s="7" t="s">
        <v>100</v>
      </c>
      <c r="F755" s="7" t="s">
        <v>42</v>
      </c>
      <c r="G755" s="7" t="s">
        <v>89</v>
      </c>
      <c r="H755" s="7">
        <v>5</v>
      </c>
      <c r="I755" s="2">
        <v>1232.2</v>
      </c>
      <c r="J755" s="2">
        <f>Tabla2[[#This Row],[Quantity]]*I755</f>
        <v>6161</v>
      </c>
      <c r="K755" s="6">
        <f>MONTH(Tabla2[[#This Row],[OrderDate]])</f>
        <v>6</v>
      </c>
      <c r="L755" s="6">
        <f>YEAR(Tabla2[[#This Row],[OrderDate]])</f>
        <v>2024</v>
      </c>
      <c r="M755" s="7" t="s">
        <v>1733</v>
      </c>
      <c r="N755" s="7" t="s">
        <v>36</v>
      </c>
    </row>
    <row r="756" spans="1:14" x14ac:dyDescent="0.35">
      <c r="A756" s="7" t="s">
        <v>1790</v>
      </c>
      <c r="B756" s="7" t="s">
        <v>827</v>
      </c>
      <c r="C756" s="7" t="s">
        <v>828</v>
      </c>
      <c r="D756" s="7" t="s">
        <v>23</v>
      </c>
      <c r="E756" s="7" t="s">
        <v>24</v>
      </c>
      <c r="F756" s="7" t="s">
        <v>16</v>
      </c>
      <c r="G756" s="7" t="s">
        <v>230</v>
      </c>
      <c r="H756" s="7">
        <v>2</v>
      </c>
      <c r="I756" s="2">
        <v>780.33</v>
      </c>
      <c r="J756" s="2">
        <f>Tabla2[[#This Row],[Quantity]]*I756</f>
        <v>1560.66</v>
      </c>
      <c r="K756" s="6">
        <f>MONTH(Tabla2[[#This Row],[OrderDate]])</f>
        <v>1</v>
      </c>
      <c r="L756" s="6">
        <f>YEAR(Tabla2[[#This Row],[OrderDate]])</f>
        <v>2024</v>
      </c>
      <c r="M756" s="7" t="s">
        <v>1791</v>
      </c>
      <c r="N756" s="7" t="s">
        <v>45</v>
      </c>
    </row>
    <row r="757" spans="1:14" x14ac:dyDescent="0.35">
      <c r="A757" s="7" t="s">
        <v>1792</v>
      </c>
      <c r="B757" s="7" t="s">
        <v>1793</v>
      </c>
      <c r="C757" s="7" t="s">
        <v>1794</v>
      </c>
      <c r="D757" s="7" t="s">
        <v>23</v>
      </c>
      <c r="E757" s="7" t="s">
        <v>49</v>
      </c>
      <c r="F757" s="7" t="s">
        <v>50</v>
      </c>
      <c r="G757" s="7" t="s">
        <v>69</v>
      </c>
      <c r="H757" s="7">
        <v>3</v>
      </c>
      <c r="I757" s="2">
        <v>1392.88</v>
      </c>
      <c r="J757" s="2">
        <f>Tabla2[[#This Row],[Quantity]]*I757</f>
        <v>4178.6400000000003</v>
      </c>
      <c r="K757" s="6">
        <f>MONTH(Tabla2[[#This Row],[OrderDate]])</f>
        <v>9</v>
      </c>
      <c r="L757" s="6">
        <f>YEAR(Tabla2[[#This Row],[OrderDate]])</f>
        <v>2025</v>
      </c>
      <c r="M757" s="7" t="s">
        <v>1544</v>
      </c>
      <c r="N757" s="7" t="s">
        <v>45</v>
      </c>
    </row>
    <row r="758" spans="1:14" x14ac:dyDescent="0.35">
      <c r="A758" s="7" t="s">
        <v>1795</v>
      </c>
      <c r="B758" s="7" t="s">
        <v>1042</v>
      </c>
      <c r="C758" s="7" t="s">
        <v>1043</v>
      </c>
      <c r="D758" s="7" t="s">
        <v>23</v>
      </c>
      <c r="E758" s="7" t="s">
        <v>49</v>
      </c>
      <c r="F758" s="7" t="s">
        <v>16</v>
      </c>
      <c r="G758" s="7" t="s">
        <v>182</v>
      </c>
      <c r="H758" s="7">
        <v>5</v>
      </c>
      <c r="I758" s="2">
        <v>1167.4000000000001</v>
      </c>
      <c r="J758" s="2">
        <f>Tabla2[[#This Row],[Quantity]]*I758</f>
        <v>5837</v>
      </c>
      <c r="K758" s="6">
        <f>MONTH(Tabla2[[#This Row],[OrderDate]])</f>
        <v>4</v>
      </c>
      <c r="L758" s="6">
        <f>YEAR(Tabla2[[#This Row],[OrderDate]])</f>
        <v>2025</v>
      </c>
      <c r="M758" s="7" t="s">
        <v>1796</v>
      </c>
      <c r="N758" s="7" t="s">
        <v>28</v>
      </c>
    </row>
    <row r="759" spans="1:14" x14ac:dyDescent="0.35">
      <c r="A759" s="7" t="s">
        <v>1797</v>
      </c>
      <c r="B759" s="7" t="s">
        <v>137</v>
      </c>
      <c r="C759" s="7" t="s">
        <v>138</v>
      </c>
      <c r="D759" s="7" t="s">
        <v>40</v>
      </c>
      <c r="E759" s="7" t="s">
        <v>120</v>
      </c>
      <c r="F759" s="7" t="s">
        <v>101</v>
      </c>
      <c r="G759" s="7" t="s">
        <v>373</v>
      </c>
      <c r="H759" s="7">
        <v>1</v>
      </c>
      <c r="I759" s="2">
        <v>1114.19</v>
      </c>
      <c r="J759" s="2">
        <f>Tabla2[[#This Row],[Quantity]]*I759</f>
        <v>1114.19</v>
      </c>
      <c r="K759" s="6">
        <f>MONTH(Tabla2[[#This Row],[OrderDate]])</f>
        <v>5</v>
      </c>
      <c r="L759" s="6">
        <f>YEAR(Tabla2[[#This Row],[OrderDate]])</f>
        <v>2024</v>
      </c>
      <c r="M759" s="7" t="s">
        <v>96</v>
      </c>
      <c r="N759" s="7" t="s">
        <v>19</v>
      </c>
    </row>
    <row r="760" spans="1:14" x14ac:dyDescent="0.35">
      <c r="A760" s="7" t="s">
        <v>1798</v>
      </c>
      <c r="B760" s="7" t="s">
        <v>359</v>
      </c>
      <c r="C760" s="7" t="s">
        <v>360</v>
      </c>
      <c r="D760" s="7" t="s">
        <v>32</v>
      </c>
      <c r="E760" s="7" t="s">
        <v>33</v>
      </c>
      <c r="F760" s="7" t="s">
        <v>101</v>
      </c>
      <c r="G760" s="7" t="s">
        <v>237</v>
      </c>
      <c r="H760" s="7">
        <v>1</v>
      </c>
      <c r="I760" s="2">
        <v>625.4</v>
      </c>
      <c r="J760" s="2">
        <f>Tabla2[[#This Row],[Quantity]]*I760</f>
        <v>625.4</v>
      </c>
      <c r="K760" s="6">
        <f>MONTH(Tabla2[[#This Row],[OrderDate]])</f>
        <v>7</v>
      </c>
      <c r="L760" s="6">
        <f>YEAR(Tabla2[[#This Row],[OrderDate]])</f>
        <v>2025</v>
      </c>
      <c r="M760" s="7" t="s">
        <v>262</v>
      </c>
      <c r="N760" s="7" t="s">
        <v>45</v>
      </c>
    </row>
    <row r="761" spans="1:14" x14ac:dyDescent="0.35">
      <c r="A761" s="7" t="s">
        <v>1799</v>
      </c>
      <c r="B761" s="7" t="s">
        <v>536</v>
      </c>
      <c r="C761" s="7" t="s">
        <v>537</v>
      </c>
      <c r="D761" s="7" t="s">
        <v>32</v>
      </c>
      <c r="E761" s="7" t="s">
        <v>61</v>
      </c>
      <c r="F761" s="7" t="s">
        <v>16</v>
      </c>
      <c r="G761" s="7" t="s">
        <v>230</v>
      </c>
      <c r="H761" s="7">
        <v>2</v>
      </c>
      <c r="I761" s="2">
        <v>159.12</v>
      </c>
      <c r="J761" s="2">
        <f>Tabla2[[#This Row],[Quantity]]*I761</f>
        <v>318.24</v>
      </c>
      <c r="K761" s="6">
        <f>MONTH(Tabla2[[#This Row],[OrderDate]])</f>
        <v>9</v>
      </c>
      <c r="L761" s="6">
        <f>YEAR(Tabla2[[#This Row],[OrderDate]])</f>
        <v>2025</v>
      </c>
      <c r="M761" s="7" t="s">
        <v>701</v>
      </c>
      <c r="N761" s="7" t="s">
        <v>36</v>
      </c>
    </row>
    <row r="762" spans="1:14" x14ac:dyDescent="0.35">
      <c r="A762" s="7" t="s">
        <v>1800</v>
      </c>
      <c r="B762" s="7" t="s">
        <v>295</v>
      </c>
      <c r="C762" s="7" t="s">
        <v>296</v>
      </c>
      <c r="D762" s="7" t="s">
        <v>40</v>
      </c>
      <c r="E762" s="7" t="s">
        <v>79</v>
      </c>
      <c r="F762" s="7" t="s">
        <v>42</v>
      </c>
      <c r="G762" s="7" t="s">
        <v>43</v>
      </c>
      <c r="H762" s="7">
        <v>5</v>
      </c>
      <c r="I762" s="2">
        <v>865.7</v>
      </c>
      <c r="J762" s="2">
        <f>Tabla2[[#This Row],[Quantity]]*I762</f>
        <v>4328.5</v>
      </c>
      <c r="K762" s="6">
        <f>MONTH(Tabla2[[#This Row],[OrderDate]])</f>
        <v>1</v>
      </c>
      <c r="L762" s="6">
        <f>YEAR(Tabla2[[#This Row],[OrderDate]])</f>
        <v>2026</v>
      </c>
      <c r="M762" s="7" t="s">
        <v>1014</v>
      </c>
      <c r="N762" s="7" t="s">
        <v>91</v>
      </c>
    </row>
    <row r="763" spans="1:14" x14ac:dyDescent="0.35">
      <c r="A763" s="7" t="s">
        <v>1801</v>
      </c>
      <c r="B763" s="7" t="s">
        <v>751</v>
      </c>
      <c r="C763" s="7" t="s">
        <v>752</v>
      </c>
      <c r="D763" s="7" t="s">
        <v>32</v>
      </c>
      <c r="E763" s="7" t="s">
        <v>61</v>
      </c>
      <c r="F763" s="7" t="s">
        <v>42</v>
      </c>
      <c r="G763" s="7" t="s">
        <v>80</v>
      </c>
      <c r="H763" s="7">
        <v>5</v>
      </c>
      <c r="I763" s="2">
        <v>1263.26</v>
      </c>
      <c r="J763" s="2">
        <f>Tabla2[[#This Row],[Quantity]]*I763</f>
        <v>6316.3</v>
      </c>
      <c r="K763" s="6">
        <f>MONTH(Tabla2[[#This Row],[OrderDate]])</f>
        <v>1</v>
      </c>
      <c r="L763" s="6">
        <f>YEAR(Tabla2[[#This Row],[OrderDate]])</f>
        <v>2024</v>
      </c>
      <c r="M763" s="7" t="s">
        <v>386</v>
      </c>
      <c r="N763" s="7" t="s">
        <v>28</v>
      </c>
    </row>
    <row r="764" spans="1:14" x14ac:dyDescent="0.35">
      <c r="A764" s="7" t="s">
        <v>1802</v>
      </c>
      <c r="B764" s="7" t="s">
        <v>299</v>
      </c>
      <c r="C764" s="7" t="s">
        <v>300</v>
      </c>
      <c r="D764" s="7" t="s">
        <v>14</v>
      </c>
      <c r="E764" s="7" t="s">
        <v>15</v>
      </c>
      <c r="F764" s="7" t="s">
        <v>42</v>
      </c>
      <c r="G764" s="7" t="s">
        <v>80</v>
      </c>
      <c r="H764" s="7">
        <v>3</v>
      </c>
      <c r="I764" s="2">
        <v>271.74</v>
      </c>
      <c r="J764" s="2">
        <f>Tabla2[[#This Row],[Quantity]]*I764</f>
        <v>815.22</v>
      </c>
      <c r="K764" s="6">
        <f>MONTH(Tabla2[[#This Row],[OrderDate]])</f>
        <v>5</v>
      </c>
      <c r="L764" s="6">
        <f>YEAR(Tabla2[[#This Row],[OrderDate]])</f>
        <v>2024</v>
      </c>
      <c r="M764" s="7" t="s">
        <v>1803</v>
      </c>
      <c r="N764" s="7" t="s">
        <v>28</v>
      </c>
    </row>
    <row r="765" spans="1:14" x14ac:dyDescent="0.35">
      <c r="A765" s="7" t="s">
        <v>1804</v>
      </c>
      <c r="B765" s="7" t="s">
        <v>412</v>
      </c>
      <c r="C765" s="7" t="s">
        <v>413</v>
      </c>
      <c r="D765" s="7" t="s">
        <v>14</v>
      </c>
      <c r="E765" s="7" t="s">
        <v>95</v>
      </c>
      <c r="F765" s="7" t="s">
        <v>42</v>
      </c>
      <c r="G765" s="7" t="s">
        <v>225</v>
      </c>
      <c r="H765" s="7">
        <v>1</v>
      </c>
      <c r="I765" s="2">
        <v>273.98</v>
      </c>
      <c r="J765" s="2">
        <f>Tabla2[[#This Row],[Quantity]]*I765</f>
        <v>273.98</v>
      </c>
      <c r="K765" s="6">
        <f>MONTH(Tabla2[[#This Row],[OrderDate]])</f>
        <v>11</v>
      </c>
      <c r="L765" s="6">
        <f>YEAR(Tabla2[[#This Row],[OrderDate]])</f>
        <v>2024</v>
      </c>
      <c r="M765" s="7" t="s">
        <v>1805</v>
      </c>
      <c r="N765" s="7" t="s">
        <v>45</v>
      </c>
    </row>
    <row r="766" spans="1:14" x14ac:dyDescent="0.35">
      <c r="A766" s="7" t="s">
        <v>1806</v>
      </c>
      <c r="B766" s="7" t="s">
        <v>820</v>
      </c>
      <c r="C766" s="7" t="s">
        <v>821</v>
      </c>
      <c r="D766" s="7" t="s">
        <v>67</v>
      </c>
      <c r="E766" s="7" t="s">
        <v>130</v>
      </c>
      <c r="F766" s="7" t="s">
        <v>16</v>
      </c>
      <c r="G766" s="7" t="s">
        <v>148</v>
      </c>
      <c r="H766" s="7">
        <v>4</v>
      </c>
      <c r="I766" s="2">
        <v>1248.31</v>
      </c>
      <c r="J766" s="2">
        <f>Tabla2[[#This Row],[Quantity]]*I766</f>
        <v>4993.24</v>
      </c>
      <c r="K766" s="6">
        <f>MONTH(Tabla2[[#This Row],[OrderDate]])</f>
        <v>12</v>
      </c>
      <c r="L766" s="6">
        <f>YEAR(Tabla2[[#This Row],[OrderDate]])</f>
        <v>2024</v>
      </c>
      <c r="M766" s="7" t="s">
        <v>27</v>
      </c>
      <c r="N766" s="7" t="s">
        <v>19</v>
      </c>
    </row>
    <row r="767" spans="1:14" x14ac:dyDescent="0.35">
      <c r="A767" s="7" t="s">
        <v>1807</v>
      </c>
      <c r="B767" s="7" t="s">
        <v>295</v>
      </c>
      <c r="C767" s="7" t="s">
        <v>296</v>
      </c>
      <c r="D767" s="7" t="s">
        <v>67</v>
      </c>
      <c r="E767" s="7" t="s">
        <v>115</v>
      </c>
      <c r="F767" s="7" t="s">
        <v>50</v>
      </c>
      <c r="G767" s="7" t="s">
        <v>170</v>
      </c>
      <c r="H767" s="7">
        <v>3</v>
      </c>
      <c r="I767" s="2">
        <v>1249.6099999999999</v>
      </c>
      <c r="J767" s="2">
        <f>Tabla2[[#This Row],[Quantity]]*I767</f>
        <v>3748.83</v>
      </c>
      <c r="K767" s="6">
        <f>MONTH(Tabla2[[#This Row],[OrderDate]])</f>
        <v>12</v>
      </c>
      <c r="L767" s="6">
        <f>YEAR(Tabla2[[#This Row],[OrderDate]])</f>
        <v>2024</v>
      </c>
      <c r="M767" s="7" t="s">
        <v>697</v>
      </c>
      <c r="N767" s="7" t="s">
        <v>19</v>
      </c>
    </row>
    <row r="768" spans="1:14" x14ac:dyDescent="0.35">
      <c r="A768" s="7" t="s">
        <v>1808</v>
      </c>
      <c r="B768" s="7" t="s">
        <v>536</v>
      </c>
      <c r="C768" s="7" t="s">
        <v>537</v>
      </c>
      <c r="D768" s="7" t="s">
        <v>14</v>
      </c>
      <c r="E768" s="7" t="s">
        <v>95</v>
      </c>
      <c r="F768" s="7" t="s">
        <v>101</v>
      </c>
      <c r="G768" s="7" t="s">
        <v>102</v>
      </c>
      <c r="H768" s="7">
        <v>3</v>
      </c>
      <c r="I768" s="2">
        <v>1482.58</v>
      </c>
      <c r="J768" s="2">
        <f>Tabla2[[#This Row],[Quantity]]*I768</f>
        <v>4447.74</v>
      </c>
      <c r="K768" s="6">
        <f>MONTH(Tabla2[[#This Row],[OrderDate]])</f>
        <v>1</v>
      </c>
      <c r="L768" s="6">
        <f>YEAR(Tabla2[[#This Row],[OrderDate]])</f>
        <v>2025</v>
      </c>
      <c r="M768" s="7" t="s">
        <v>1809</v>
      </c>
      <c r="N768" s="7" t="s">
        <v>19</v>
      </c>
    </row>
    <row r="769" spans="1:14" x14ac:dyDescent="0.35">
      <c r="A769" s="7" t="s">
        <v>1810</v>
      </c>
      <c r="B769" s="7" t="s">
        <v>579</v>
      </c>
      <c r="C769" s="7" t="s">
        <v>580</v>
      </c>
      <c r="D769" s="7" t="s">
        <v>32</v>
      </c>
      <c r="E769" s="7" t="s">
        <v>61</v>
      </c>
      <c r="F769" s="7" t="s">
        <v>50</v>
      </c>
      <c r="G769" s="7" t="s">
        <v>56</v>
      </c>
      <c r="H769" s="7">
        <v>1</v>
      </c>
      <c r="I769" s="2">
        <v>687.77</v>
      </c>
      <c r="J769" s="2">
        <f>Tabla2[[#This Row],[Quantity]]*I769</f>
        <v>687.77</v>
      </c>
      <c r="K769" s="6">
        <f>MONTH(Tabla2[[#This Row],[OrderDate]])</f>
        <v>11</v>
      </c>
      <c r="L769" s="6">
        <f>YEAR(Tabla2[[#This Row],[OrderDate]])</f>
        <v>2025</v>
      </c>
      <c r="M769" s="7" t="s">
        <v>1811</v>
      </c>
      <c r="N769" s="7" t="s">
        <v>19</v>
      </c>
    </row>
    <row r="770" spans="1:14" x14ac:dyDescent="0.35">
      <c r="A770" s="7" t="s">
        <v>1812</v>
      </c>
      <c r="B770" s="7" t="s">
        <v>904</v>
      </c>
      <c r="C770" s="7" t="s">
        <v>905</v>
      </c>
      <c r="D770" s="7" t="s">
        <v>67</v>
      </c>
      <c r="E770" s="7" t="s">
        <v>130</v>
      </c>
      <c r="F770" s="7" t="s">
        <v>42</v>
      </c>
      <c r="G770" s="7" t="s">
        <v>89</v>
      </c>
      <c r="H770" s="7">
        <v>5</v>
      </c>
      <c r="I770" s="2">
        <v>917.71</v>
      </c>
      <c r="J770" s="2">
        <f>Tabla2[[#This Row],[Quantity]]*I770</f>
        <v>4588.55</v>
      </c>
      <c r="K770" s="6">
        <f>MONTH(Tabla2[[#This Row],[OrderDate]])</f>
        <v>3</v>
      </c>
      <c r="L770" s="6">
        <f>YEAR(Tabla2[[#This Row],[OrderDate]])</f>
        <v>2025</v>
      </c>
      <c r="M770" s="7" t="s">
        <v>1813</v>
      </c>
      <c r="N770" s="7" t="s">
        <v>45</v>
      </c>
    </row>
    <row r="771" spans="1:14" x14ac:dyDescent="0.35">
      <c r="A771" s="7" t="s">
        <v>1814</v>
      </c>
      <c r="B771" s="7" t="s">
        <v>481</v>
      </c>
      <c r="C771" s="7" t="s">
        <v>482</v>
      </c>
      <c r="D771" s="7" t="s">
        <v>23</v>
      </c>
      <c r="E771" s="7" t="s">
        <v>49</v>
      </c>
      <c r="F771" s="7" t="s">
        <v>42</v>
      </c>
      <c r="G771" s="7" t="s">
        <v>43</v>
      </c>
      <c r="H771" s="7">
        <v>5</v>
      </c>
      <c r="I771" s="2">
        <v>946.78</v>
      </c>
      <c r="J771" s="2">
        <f>Tabla2[[#This Row],[Quantity]]*I771</f>
        <v>4733.8999999999996</v>
      </c>
      <c r="K771" s="6">
        <f>MONTH(Tabla2[[#This Row],[OrderDate]])</f>
        <v>2</v>
      </c>
      <c r="L771" s="6">
        <f>YEAR(Tabla2[[#This Row],[OrderDate]])</f>
        <v>2024</v>
      </c>
      <c r="M771" s="7" t="s">
        <v>1815</v>
      </c>
      <c r="N771" s="7" t="s">
        <v>45</v>
      </c>
    </row>
    <row r="772" spans="1:14" x14ac:dyDescent="0.35">
      <c r="A772" s="7" t="s">
        <v>1816</v>
      </c>
      <c r="B772" s="7" t="s">
        <v>868</v>
      </c>
      <c r="C772" s="7" t="s">
        <v>869</v>
      </c>
      <c r="D772" s="7" t="s">
        <v>32</v>
      </c>
      <c r="E772" s="7" t="s">
        <v>203</v>
      </c>
      <c r="F772" s="7" t="s">
        <v>16</v>
      </c>
      <c r="G772" s="7" t="s">
        <v>182</v>
      </c>
      <c r="H772" s="7">
        <v>3</v>
      </c>
      <c r="I772" s="2">
        <v>1017.65</v>
      </c>
      <c r="J772" s="2">
        <f>Tabla2[[#This Row],[Quantity]]*I772</f>
        <v>3052.95</v>
      </c>
      <c r="K772" s="6">
        <f>MONTH(Tabla2[[#This Row],[OrderDate]])</f>
        <v>12</v>
      </c>
      <c r="L772" s="6">
        <f>YEAR(Tabla2[[#This Row],[OrderDate]])</f>
        <v>2025</v>
      </c>
      <c r="M772" s="7" t="s">
        <v>1817</v>
      </c>
      <c r="N772" s="7" t="s">
        <v>28</v>
      </c>
    </row>
    <row r="773" spans="1:14" x14ac:dyDescent="0.35">
      <c r="A773" s="7" t="s">
        <v>1818</v>
      </c>
      <c r="B773" s="7" t="s">
        <v>960</v>
      </c>
      <c r="C773" s="7" t="s">
        <v>961</v>
      </c>
      <c r="D773" s="7" t="s">
        <v>14</v>
      </c>
      <c r="E773" s="7" t="s">
        <v>266</v>
      </c>
      <c r="F773" s="7" t="s">
        <v>25</v>
      </c>
      <c r="G773" s="7" t="s">
        <v>139</v>
      </c>
      <c r="H773" s="7">
        <v>4</v>
      </c>
      <c r="I773" s="2">
        <v>509.63</v>
      </c>
      <c r="J773" s="2">
        <f>Tabla2[[#This Row],[Quantity]]*I773</f>
        <v>2038.52</v>
      </c>
      <c r="K773" s="6">
        <f>MONTH(Tabla2[[#This Row],[OrderDate]])</f>
        <v>5</v>
      </c>
      <c r="L773" s="6">
        <f>YEAR(Tabla2[[#This Row],[OrderDate]])</f>
        <v>2024</v>
      </c>
      <c r="M773" s="7" t="s">
        <v>592</v>
      </c>
      <c r="N773" s="7" t="s">
        <v>45</v>
      </c>
    </row>
    <row r="774" spans="1:14" x14ac:dyDescent="0.35">
      <c r="A774" s="7" t="s">
        <v>1819</v>
      </c>
      <c r="B774" s="7" t="s">
        <v>842</v>
      </c>
      <c r="C774" s="7" t="s">
        <v>843</v>
      </c>
      <c r="D774" s="7" t="s">
        <v>32</v>
      </c>
      <c r="E774" s="7" t="s">
        <v>203</v>
      </c>
      <c r="F774" s="7" t="s">
        <v>50</v>
      </c>
      <c r="G774" s="7" t="s">
        <v>170</v>
      </c>
      <c r="H774" s="7">
        <v>4</v>
      </c>
      <c r="I774" s="2">
        <v>1358.16</v>
      </c>
      <c r="J774" s="2">
        <f>Tabla2[[#This Row],[Quantity]]*I774</f>
        <v>5432.64</v>
      </c>
      <c r="K774" s="6">
        <f>MONTH(Tabla2[[#This Row],[OrderDate]])</f>
        <v>7</v>
      </c>
      <c r="L774" s="6">
        <f>YEAR(Tabla2[[#This Row],[OrderDate]])</f>
        <v>2025</v>
      </c>
      <c r="M774" s="7" t="s">
        <v>787</v>
      </c>
      <c r="N774" s="7" t="s">
        <v>91</v>
      </c>
    </row>
    <row r="775" spans="1:14" x14ac:dyDescent="0.35">
      <c r="A775" s="7" t="s">
        <v>1820</v>
      </c>
      <c r="B775" s="7" t="s">
        <v>1092</v>
      </c>
      <c r="C775" s="7" t="s">
        <v>1093</v>
      </c>
      <c r="D775" s="7" t="s">
        <v>40</v>
      </c>
      <c r="E775" s="7" t="s">
        <v>79</v>
      </c>
      <c r="F775" s="7" t="s">
        <v>25</v>
      </c>
      <c r="G775" s="7" t="s">
        <v>34</v>
      </c>
      <c r="H775" s="7">
        <v>5</v>
      </c>
      <c r="I775" s="2">
        <v>181.6</v>
      </c>
      <c r="J775" s="2">
        <f>Tabla2[[#This Row],[Quantity]]*I775</f>
        <v>908</v>
      </c>
      <c r="K775" s="6">
        <f>MONTH(Tabla2[[#This Row],[OrderDate]])</f>
        <v>3</v>
      </c>
      <c r="L775" s="6">
        <f>YEAR(Tabla2[[#This Row],[OrderDate]])</f>
        <v>2026</v>
      </c>
      <c r="M775" s="7" t="s">
        <v>749</v>
      </c>
      <c r="N775" s="7" t="s">
        <v>91</v>
      </c>
    </row>
    <row r="776" spans="1:14" x14ac:dyDescent="0.35">
      <c r="A776" s="7" t="s">
        <v>1821</v>
      </c>
      <c r="B776" s="7" t="s">
        <v>1226</v>
      </c>
      <c r="C776" s="7" t="s">
        <v>1227</v>
      </c>
      <c r="D776" s="7" t="s">
        <v>32</v>
      </c>
      <c r="E776" s="7" t="s">
        <v>203</v>
      </c>
      <c r="F776" s="7" t="s">
        <v>50</v>
      </c>
      <c r="G776" s="7" t="s">
        <v>216</v>
      </c>
      <c r="H776" s="7">
        <v>4</v>
      </c>
      <c r="I776" s="2">
        <v>1158.97</v>
      </c>
      <c r="J776" s="2">
        <f>Tabla2[[#This Row],[Quantity]]*I776</f>
        <v>4635.88</v>
      </c>
      <c r="K776" s="6">
        <f>MONTH(Tabla2[[#This Row],[OrderDate]])</f>
        <v>8</v>
      </c>
      <c r="L776" s="6">
        <f>YEAR(Tabla2[[#This Row],[OrderDate]])</f>
        <v>2024</v>
      </c>
      <c r="M776" s="7" t="s">
        <v>1822</v>
      </c>
      <c r="N776" s="7" t="s">
        <v>36</v>
      </c>
    </row>
    <row r="777" spans="1:14" x14ac:dyDescent="0.35">
      <c r="A777" s="7" t="s">
        <v>1823</v>
      </c>
      <c r="B777" s="7" t="s">
        <v>1532</v>
      </c>
      <c r="C777" s="7" t="s">
        <v>1533</v>
      </c>
      <c r="D777" s="7" t="s">
        <v>67</v>
      </c>
      <c r="E777" s="7" t="s">
        <v>130</v>
      </c>
      <c r="F777" s="7" t="s">
        <v>25</v>
      </c>
      <c r="G777" s="7" t="s">
        <v>139</v>
      </c>
      <c r="H777" s="7">
        <v>2</v>
      </c>
      <c r="I777" s="2">
        <v>1326.55</v>
      </c>
      <c r="J777" s="2">
        <f>Tabla2[[#This Row],[Quantity]]*I777</f>
        <v>2653.1</v>
      </c>
      <c r="K777" s="6">
        <f>MONTH(Tabla2[[#This Row],[OrderDate]])</f>
        <v>12</v>
      </c>
      <c r="L777" s="6">
        <f>YEAR(Tabla2[[#This Row],[OrderDate]])</f>
        <v>2024</v>
      </c>
      <c r="M777" s="7" t="s">
        <v>1824</v>
      </c>
      <c r="N777" s="7" t="s">
        <v>91</v>
      </c>
    </row>
    <row r="778" spans="1:14" x14ac:dyDescent="0.35">
      <c r="A778" s="7" t="s">
        <v>1825</v>
      </c>
      <c r="B778" s="7" t="s">
        <v>151</v>
      </c>
      <c r="C778" s="7" t="s">
        <v>152</v>
      </c>
      <c r="D778" s="7" t="s">
        <v>14</v>
      </c>
      <c r="E778" s="7" t="s">
        <v>266</v>
      </c>
      <c r="F778" s="7" t="s">
        <v>42</v>
      </c>
      <c r="G778" s="7" t="s">
        <v>170</v>
      </c>
      <c r="H778" s="7">
        <v>4</v>
      </c>
      <c r="I778" s="2">
        <v>60.51</v>
      </c>
      <c r="J778" s="2">
        <f>Tabla2[[#This Row],[Quantity]]*I778</f>
        <v>242.04</v>
      </c>
      <c r="K778" s="6">
        <f>MONTH(Tabla2[[#This Row],[OrderDate]])</f>
        <v>1</v>
      </c>
      <c r="L778" s="6">
        <f>YEAR(Tabla2[[#This Row],[OrderDate]])</f>
        <v>2026</v>
      </c>
      <c r="M778" s="7" t="s">
        <v>1826</v>
      </c>
      <c r="N778" s="7" t="s">
        <v>91</v>
      </c>
    </row>
    <row r="779" spans="1:14" x14ac:dyDescent="0.35">
      <c r="A779" s="7" t="s">
        <v>1827</v>
      </c>
      <c r="B779" s="7" t="s">
        <v>1828</v>
      </c>
      <c r="C779" s="7" t="s">
        <v>1829</v>
      </c>
      <c r="D779" s="7" t="s">
        <v>32</v>
      </c>
      <c r="E779" s="7" t="s">
        <v>61</v>
      </c>
      <c r="F779" s="7" t="s">
        <v>50</v>
      </c>
      <c r="G779" s="7" t="s">
        <v>69</v>
      </c>
      <c r="H779" s="7">
        <v>3</v>
      </c>
      <c r="I779" s="2">
        <v>133.19999999999999</v>
      </c>
      <c r="J779" s="2">
        <f>Tabla2[[#This Row],[Quantity]]*I779</f>
        <v>399.59999999999997</v>
      </c>
      <c r="K779" s="6">
        <f>MONTH(Tabla2[[#This Row],[OrderDate]])</f>
        <v>3</v>
      </c>
      <c r="L779" s="6">
        <f>YEAR(Tabla2[[#This Row],[OrderDate]])</f>
        <v>2024</v>
      </c>
      <c r="M779" s="7" t="s">
        <v>958</v>
      </c>
      <c r="N779" s="7" t="s">
        <v>19</v>
      </c>
    </row>
    <row r="780" spans="1:14" x14ac:dyDescent="0.35">
      <c r="A780" s="7" t="s">
        <v>1830</v>
      </c>
      <c r="B780" s="7" t="s">
        <v>1092</v>
      </c>
      <c r="C780" s="7" t="s">
        <v>1093</v>
      </c>
      <c r="D780" s="7" t="s">
        <v>67</v>
      </c>
      <c r="E780" s="7" t="s">
        <v>130</v>
      </c>
      <c r="F780" s="7" t="s">
        <v>25</v>
      </c>
      <c r="G780" s="7" t="s">
        <v>26</v>
      </c>
      <c r="H780" s="7">
        <v>4</v>
      </c>
      <c r="I780" s="2">
        <v>347.5</v>
      </c>
      <c r="J780" s="2">
        <f>Tabla2[[#This Row],[Quantity]]*I780</f>
        <v>1390</v>
      </c>
      <c r="K780" s="6">
        <f>MONTH(Tabla2[[#This Row],[OrderDate]])</f>
        <v>10</v>
      </c>
      <c r="L780" s="6">
        <f>YEAR(Tabla2[[#This Row],[OrderDate]])</f>
        <v>2025</v>
      </c>
      <c r="M780" s="7" t="s">
        <v>488</v>
      </c>
      <c r="N780" s="7" t="s">
        <v>45</v>
      </c>
    </row>
    <row r="781" spans="1:14" x14ac:dyDescent="0.35">
      <c r="A781" s="7" t="s">
        <v>1831</v>
      </c>
      <c r="B781" s="7" t="s">
        <v>355</v>
      </c>
      <c r="C781" s="7" t="s">
        <v>356</v>
      </c>
      <c r="D781" s="7" t="s">
        <v>67</v>
      </c>
      <c r="E781" s="7" t="s">
        <v>130</v>
      </c>
      <c r="F781" s="7" t="s">
        <v>50</v>
      </c>
      <c r="G781" s="7" t="s">
        <v>170</v>
      </c>
      <c r="H781" s="7">
        <v>2</v>
      </c>
      <c r="I781" s="2">
        <v>1487.87</v>
      </c>
      <c r="J781" s="2">
        <f>Tabla2[[#This Row],[Quantity]]*I781</f>
        <v>2975.74</v>
      </c>
      <c r="K781" s="6">
        <f>MONTH(Tabla2[[#This Row],[OrderDate]])</f>
        <v>5</v>
      </c>
      <c r="L781" s="6">
        <f>YEAR(Tabla2[[#This Row],[OrderDate]])</f>
        <v>2025</v>
      </c>
      <c r="M781" s="7" t="s">
        <v>408</v>
      </c>
      <c r="N781" s="7" t="s">
        <v>91</v>
      </c>
    </row>
    <row r="782" spans="1:14" x14ac:dyDescent="0.35">
      <c r="A782" s="7" t="s">
        <v>1832</v>
      </c>
      <c r="B782" s="7" t="s">
        <v>832</v>
      </c>
      <c r="C782" s="7" t="s">
        <v>833</v>
      </c>
      <c r="D782" s="7" t="s">
        <v>32</v>
      </c>
      <c r="E782" s="7" t="s">
        <v>61</v>
      </c>
      <c r="F782" s="7" t="s">
        <v>101</v>
      </c>
      <c r="G782" s="7" t="s">
        <v>373</v>
      </c>
      <c r="H782" s="7">
        <v>2</v>
      </c>
      <c r="I782" s="2">
        <v>664.07</v>
      </c>
      <c r="J782" s="2">
        <f>Tabla2[[#This Row],[Quantity]]*I782</f>
        <v>1328.14</v>
      </c>
      <c r="K782" s="6">
        <f>MONTH(Tabla2[[#This Row],[OrderDate]])</f>
        <v>7</v>
      </c>
      <c r="L782" s="6">
        <f>YEAR(Tabla2[[#This Row],[OrderDate]])</f>
        <v>2024</v>
      </c>
      <c r="M782" s="7" t="s">
        <v>1833</v>
      </c>
      <c r="N782" s="7" t="s">
        <v>28</v>
      </c>
    </row>
    <row r="783" spans="1:14" x14ac:dyDescent="0.35">
      <c r="A783" s="7" t="s">
        <v>1834</v>
      </c>
      <c r="B783" s="7" t="s">
        <v>633</v>
      </c>
      <c r="C783" s="7" t="s">
        <v>634</v>
      </c>
      <c r="D783" s="7" t="s">
        <v>32</v>
      </c>
      <c r="E783" s="7" t="s">
        <v>61</v>
      </c>
      <c r="F783" s="7" t="s">
        <v>25</v>
      </c>
      <c r="G783" s="7" t="s">
        <v>62</v>
      </c>
      <c r="H783" s="7">
        <v>4</v>
      </c>
      <c r="I783" s="2">
        <v>1255.71</v>
      </c>
      <c r="J783" s="2">
        <f>Tabla2[[#This Row],[Quantity]]*I783</f>
        <v>5022.84</v>
      </c>
      <c r="K783" s="6">
        <f>MONTH(Tabla2[[#This Row],[OrderDate]])</f>
        <v>11</v>
      </c>
      <c r="L783" s="6">
        <f>YEAR(Tabla2[[#This Row],[OrderDate]])</f>
        <v>2025</v>
      </c>
      <c r="M783" s="7" t="s">
        <v>1835</v>
      </c>
      <c r="N783" s="7" t="s">
        <v>36</v>
      </c>
    </row>
    <row r="784" spans="1:14" x14ac:dyDescent="0.35">
      <c r="A784" s="7" t="s">
        <v>1836</v>
      </c>
      <c r="B784" s="7" t="s">
        <v>763</v>
      </c>
      <c r="C784" s="7" t="s">
        <v>764</v>
      </c>
      <c r="D784" s="7" t="s">
        <v>14</v>
      </c>
      <c r="E784" s="7" t="s">
        <v>95</v>
      </c>
      <c r="F784" s="7" t="s">
        <v>16</v>
      </c>
      <c r="G784" s="7" t="s">
        <v>182</v>
      </c>
      <c r="H784" s="7">
        <v>1</v>
      </c>
      <c r="I784" s="2">
        <v>568.36</v>
      </c>
      <c r="J784" s="2">
        <f>Tabla2[[#This Row],[Quantity]]*I784</f>
        <v>568.36</v>
      </c>
      <c r="K784" s="6">
        <f>MONTH(Tabla2[[#This Row],[OrderDate]])</f>
        <v>2</v>
      </c>
      <c r="L784" s="6">
        <f>YEAR(Tabla2[[#This Row],[OrderDate]])</f>
        <v>2024</v>
      </c>
      <c r="M784" s="7" t="s">
        <v>1837</v>
      </c>
      <c r="N784" s="7" t="s">
        <v>19</v>
      </c>
    </row>
    <row r="785" spans="1:14" x14ac:dyDescent="0.35">
      <c r="A785" s="7" t="s">
        <v>1838</v>
      </c>
      <c r="B785" s="7" t="s">
        <v>376</v>
      </c>
      <c r="C785" s="7" t="s">
        <v>377</v>
      </c>
      <c r="D785" s="7" t="s">
        <v>67</v>
      </c>
      <c r="E785" s="7" t="s">
        <v>130</v>
      </c>
      <c r="F785" s="7" t="s">
        <v>50</v>
      </c>
      <c r="G785" s="7" t="s">
        <v>216</v>
      </c>
      <c r="H785" s="7">
        <v>2</v>
      </c>
      <c r="I785" s="2">
        <v>809.36</v>
      </c>
      <c r="J785" s="2">
        <f>Tabla2[[#This Row],[Quantity]]*I785</f>
        <v>1618.72</v>
      </c>
      <c r="K785" s="6">
        <f>MONTH(Tabla2[[#This Row],[OrderDate]])</f>
        <v>11</v>
      </c>
      <c r="L785" s="6">
        <f>YEAR(Tabla2[[#This Row],[OrderDate]])</f>
        <v>2024</v>
      </c>
      <c r="M785" s="7" t="s">
        <v>1839</v>
      </c>
      <c r="N785" s="7" t="s">
        <v>91</v>
      </c>
    </row>
    <row r="786" spans="1:14" x14ac:dyDescent="0.35">
      <c r="A786" s="7" t="s">
        <v>1840</v>
      </c>
      <c r="B786" s="7" t="s">
        <v>219</v>
      </c>
      <c r="C786" s="7" t="s">
        <v>220</v>
      </c>
      <c r="D786" s="7" t="s">
        <v>14</v>
      </c>
      <c r="E786" s="7" t="s">
        <v>15</v>
      </c>
      <c r="F786" s="7" t="s">
        <v>50</v>
      </c>
      <c r="G786" s="7" t="s">
        <v>216</v>
      </c>
      <c r="H786" s="7">
        <v>3</v>
      </c>
      <c r="I786" s="2">
        <v>1433.55</v>
      </c>
      <c r="J786" s="2">
        <f>Tabla2[[#This Row],[Quantity]]*I786</f>
        <v>4300.6499999999996</v>
      </c>
      <c r="K786" s="6">
        <f>MONTH(Tabla2[[#This Row],[OrderDate]])</f>
        <v>1</v>
      </c>
      <c r="L786" s="6">
        <f>YEAR(Tabla2[[#This Row],[OrderDate]])</f>
        <v>2024</v>
      </c>
      <c r="M786" s="7" t="s">
        <v>1841</v>
      </c>
      <c r="N786" s="7" t="s">
        <v>36</v>
      </c>
    </row>
    <row r="787" spans="1:14" x14ac:dyDescent="0.35">
      <c r="A787" s="7" t="s">
        <v>1842</v>
      </c>
      <c r="B787" s="7" t="s">
        <v>820</v>
      </c>
      <c r="C787" s="7" t="s">
        <v>821</v>
      </c>
      <c r="D787" s="7" t="s">
        <v>32</v>
      </c>
      <c r="E787" s="7" t="s">
        <v>61</v>
      </c>
      <c r="F787" s="7" t="s">
        <v>42</v>
      </c>
      <c r="G787" s="7" t="s">
        <v>170</v>
      </c>
      <c r="H787" s="7">
        <v>3</v>
      </c>
      <c r="I787" s="2">
        <v>930.53</v>
      </c>
      <c r="J787" s="2">
        <f>Tabla2[[#This Row],[Quantity]]*I787</f>
        <v>2791.59</v>
      </c>
      <c r="K787" s="6">
        <f>MONTH(Tabla2[[#This Row],[OrderDate]])</f>
        <v>8</v>
      </c>
      <c r="L787" s="6">
        <f>YEAR(Tabla2[[#This Row],[OrderDate]])</f>
        <v>2024</v>
      </c>
      <c r="M787" s="7" t="s">
        <v>1843</v>
      </c>
      <c r="N787" s="7" t="s">
        <v>91</v>
      </c>
    </row>
    <row r="788" spans="1:14" x14ac:dyDescent="0.35">
      <c r="A788" s="7" t="s">
        <v>1844</v>
      </c>
      <c r="B788" s="7" t="s">
        <v>1438</v>
      </c>
      <c r="C788" s="7" t="s">
        <v>1439</v>
      </c>
      <c r="D788" s="7" t="s">
        <v>40</v>
      </c>
      <c r="E788" s="7" t="s">
        <v>79</v>
      </c>
      <c r="F788" s="7" t="s">
        <v>50</v>
      </c>
      <c r="G788" s="7" t="s">
        <v>170</v>
      </c>
      <c r="H788" s="7">
        <v>1</v>
      </c>
      <c r="I788" s="2">
        <v>48.9</v>
      </c>
      <c r="J788" s="2">
        <f>Tabla2[[#This Row],[Quantity]]*I788</f>
        <v>48.9</v>
      </c>
      <c r="K788" s="6">
        <f>MONTH(Tabla2[[#This Row],[OrderDate]])</f>
        <v>9</v>
      </c>
      <c r="L788" s="6">
        <f>YEAR(Tabla2[[#This Row],[OrderDate]])</f>
        <v>2024</v>
      </c>
      <c r="M788" s="7" t="s">
        <v>1845</v>
      </c>
      <c r="N788" s="7" t="s">
        <v>91</v>
      </c>
    </row>
    <row r="789" spans="1:14" x14ac:dyDescent="0.35">
      <c r="A789" s="7" t="s">
        <v>1846</v>
      </c>
      <c r="B789" s="7" t="s">
        <v>429</v>
      </c>
      <c r="C789" s="7" t="s">
        <v>430</v>
      </c>
      <c r="D789" s="7" t="s">
        <v>23</v>
      </c>
      <c r="E789" s="7" t="s">
        <v>338</v>
      </c>
      <c r="F789" s="7" t="s">
        <v>16</v>
      </c>
      <c r="G789" s="7" t="s">
        <v>17</v>
      </c>
      <c r="H789" s="7">
        <v>5</v>
      </c>
      <c r="I789" s="2">
        <v>1172.47</v>
      </c>
      <c r="J789" s="2">
        <f>Tabla2[[#This Row],[Quantity]]*I789</f>
        <v>5862.35</v>
      </c>
      <c r="K789" s="6">
        <f>MONTH(Tabla2[[#This Row],[OrderDate]])</f>
        <v>9</v>
      </c>
      <c r="L789" s="6">
        <f>YEAR(Tabla2[[#This Row],[OrderDate]])</f>
        <v>2024</v>
      </c>
      <c r="M789" s="7" t="s">
        <v>1847</v>
      </c>
      <c r="N789" s="7" t="s">
        <v>91</v>
      </c>
    </row>
    <row r="790" spans="1:14" x14ac:dyDescent="0.35">
      <c r="A790" s="7" t="s">
        <v>1848</v>
      </c>
      <c r="B790" s="7" t="s">
        <v>348</v>
      </c>
      <c r="C790" s="7" t="s">
        <v>349</v>
      </c>
      <c r="D790" s="7" t="s">
        <v>23</v>
      </c>
      <c r="E790" s="7" t="s">
        <v>24</v>
      </c>
      <c r="F790" s="7" t="s">
        <v>101</v>
      </c>
      <c r="G790" s="7" t="s">
        <v>649</v>
      </c>
      <c r="H790" s="7">
        <v>4</v>
      </c>
      <c r="I790" s="2">
        <v>802.69</v>
      </c>
      <c r="J790" s="2">
        <f>Tabla2[[#This Row],[Quantity]]*I790</f>
        <v>3210.76</v>
      </c>
      <c r="K790" s="6">
        <f>MONTH(Tabla2[[#This Row],[OrderDate]])</f>
        <v>5</v>
      </c>
      <c r="L790" s="6">
        <f>YEAR(Tabla2[[#This Row],[OrderDate]])</f>
        <v>2025</v>
      </c>
      <c r="M790" s="7" t="s">
        <v>669</v>
      </c>
      <c r="N790" s="7" t="s">
        <v>91</v>
      </c>
    </row>
    <row r="791" spans="1:14" x14ac:dyDescent="0.35">
      <c r="A791" s="7" t="s">
        <v>1849</v>
      </c>
      <c r="B791" s="7" t="s">
        <v>1018</v>
      </c>
      <c r="C791" s="7" t="s">
        <v>1019</v>
      </c>
      <c r="D791" s="7" t="s">
        <v>14</v>
      </c>
      <c r="E791" s="7" t="s">
        <v>125</v>
      </c>
      <c r="F791" s="7" t="s">
        <v>50</v>
      </c>
      <c r="G791" s="7" t="s">
        <v>170</v>
      </c>
      <c r="H791" s="7">
        <v>1</v>
      </c>
      <c r="I791" s="2">
        <v>409.09</v>
      </c>
      <c r="J791" s="2">
        <f>Tabla2[[#This Row],[Quantity]]*I791</f>
        <v>409.09</v>
      </c>
      <c r="K791" s="6">
        <f>MONTH(Tabla2[[#This Row],[OrderDate]])</f>
        <v>3</v>
      </c>
      <c r="L791" s="6">
        <f>YEAR(Tabla2[[#This Row],[OrderDate]])</f>
        <v>2024</v>
      </c>
      <c r="M791" s="7" t="s">
        <v>1850</v>
      </c>
      <c r="N791" s="7" t="s">
        <v>19</v>
      </c>
    </row>
    <row r="792" spans="1:14" x14ac:dyDescent="0.35">
      <c r="A792" s="7" t="s">
        <v>1851</v>
      </c>
      <c r="B792" s="7" t="s">
        <v>1203</v>
      </c>
      <c r="C792" s="7" t="s">
        <v>1204</v>
      </c>
      <c r="D792" s="7" t="s">
        <v>40</v>
      </c>
      <c r="E792" s="7" t="s">
        <v>79</v>
      </c>
      <c r="F792" s="7" t="s">
        <v>42</v>
      </c>
      <c r="G792" s="7" t="s">
        <v>170</v>
      </c>
      <c r="H792" s="7">
        <v>4</v>
      </c>
      <c r="I792" s="2">
        <v>55.14</v>
      </c>
      <c r="J792" s="2">
        <f>Tabla2[[#This Row],[Quantity]]*I792</f>
        <v>220.56</v>
      </c>
      <c r="K792" s="6">
        <f>MONTH(Tabla2[[#This Row],[OrderDate]])</f>
        <v>2</v>
      </c>
      <c r="L792" s="6">
        <f>YEAR(Tabla2[[#This Row],[OrderDate]])</f>
        <v>2024</v>
      </c>
      <c r="M792" s="7" t="s">
        <v>1852</v>
      </c>
      <c r="N792" s="7" t="s">
        <v>28</v>
      </c>
    </row>
    <row r="793" spans="1:14" x14ac:dyDescent="0.35">
      <c r="A793" s="7" t="s">
        <v>1853</v>
      </c>
      <c r="B793" s="7" t="s">
        <v>87</v>
      </c>
      <c r="C793" s="7" t="s">
        <v>88</v>
      </c>
      <c r="D793" s="7" t="s">
        <v>40</v>
      </c>
      <c r="E793" s="7" t="s">
        <v>41</v>
      </c>
      <c r="F793" s="7" t="s">
        <v>42</v>
      </c>
      <c r="G793" s="7" t="s">
        <v>80</v>
      </c>
      <c r="H793" s="7">
        <v>1</v>
      </c>
      <c r="I793" s="2">
        <v>154.93</v>
      </c>
      <c r="J793" s="2">
        <f>Tabla2[[#This Row],[Quantity]]*I793</f>
        <v>154.93</v>
      </c>
      <c r="K793" s="6">
        <f>MONTH(Tabla2[[#This Row],[OrderDate]])</f>
        <v>10</v>
      </c>
      <c r="L793" s="6">
        <f>YEAR(Tabla2[[#This Row],[OrderDate]])</f>
        <v>2025</v>
      </c>
      <c r="M793" s="7" t="s">
        <v>1854</v>
      </c>
      <c r="N793" s="7" t="s">
        <v>19</v>
      </c>
    </row>
    <row r="794" spans="1:14" x14ac:dyDescent="0.35">
      <c r="A794" s="7" t="s">
        <v>1855</v>
      </c>
      <c r="B794" s="7" t="s">
        <v>1856</v>
      </c>
      <c r="C794" s="7" t="s">
        <v>1857</v>
      </c>
      <c r="D794" s="7" t="s">
        <v>67</v>
      </c>
      <c r="E794" s="7" t="s">
        <v>130</v>
      </c>
      <c r="F794" s="7" t="s">
        <v>42</v>
      </c>
      <c r="G794" s="7" t="s">
        <v>80</v>
      </c>
      <c r="H794" s="7">
        <v>2</v>
      </c>
      <c r="I794" s="2">
        <v>1044.94</v>
      </c>
      <c r="J794" s="2">
        <f>Tabla2[[#This Row],[Quantity]]*I794</f>
        <v>2089.88</v>
      </c>
      <c r="K794" s="6">
        <f>MONTH(Tabla2[[#This Row],[OrderDate]])</f>
        <v>4</v>
      </c>
      <c r="L794" s="6">
        <f>YEAR(Tabla2[[#This Row],[OrderDate]])</f>
        <v>2025</v>
      </c>
      <c r="M794" s="7" t="s">
        <v>1858</v>
      </c>
      <c r="N794" s="7" t="s">
        <v>19</v>
      </c>
    </row>
    <row r="795" spans="1:14" x14ac:dyDescent="0.35">
      <c r="A795" s="7" t="s">
        <v>1859</v>
      </c>
      <c r="B795" s="7" t="s">
        <v>842</v>
      </c>
      <c r="C795" s="7" t="s">
        <v>843</v>
      </c>
      <c r="D795" s="7" t="s">
        <v>40</v>
      </c>
      <c r="E795" s="7" t="s">
        <v>41</v>
      </c>
      <c r="F795" s="7" t="s">
        <v>25</v>
      </c>
      <c r="G795" s="7" t="s">
        <v>74</v>
      </c>
      <c r="H795" s="7">
        <v>1</v>
      </c>
      <c r="I795" s="2">
        <v>1372.12</v>
      </c>
      <c r="J795" s="2">
        <f>Tabla2[[#This Row],[Quantity]]*I795</f>
        <v>1372.12</v>
      </c>
      <c r="K795" s="6">
        <f>MONTH(Tabla2[[#This Row],[OrderDate]])</f>
        <v>8</v>
      </c>
      <c r="L795" s="6">
        <f>YEAR(Tabla2[[#This Row],[OrderDate]])</f>
        <v>2024</v>
      </c>
      <c r="M795" s="7" t="s">
        <v>1860</v>
      </c>
      <c r="N795" s="7" t="s">
        <v>28</v>
      </c>
    </row>
    <row r="796" spans="1:14" x14ac:dyDescent="0.35">
      <c r="A796" s="7" t="s">
        <v>1861</v>
      </c>
      <c r="B796" s="7" t="s">
        <v>1340</v>
      </c>
      <c r="C796" s="7" t="s">
        <v>1341</v>
      </c>
      <c r="D796" s="7" t="s">
        <v>67</v>
      </c>
      <c r="E796" s="7" t="s">
        <v>68</v>
      </c>
      <c r="F796" s="7" t="s">
        <v>25</v>
      </c>
      <c r="G796" s="7" t="s">
        <v>62</v>
      </c>
      <c r="H796" s="7">
        <v>4</v>
      </c>
      <c r="I796" s="2">
        <v>224.6</v>
      </c>
      <c r="J796" s="2">
        <f>Tabla2[[#This Row],[Quantity]]*I796</f>
        <v>898.4</v>
      </c>
      <c r="K796" s="6">
        <f>MONTH(Tabla2[[#This Row],[OrderDate]])</f>
        <v>8</v>
      </c>
      <c r="L796" s="6">
        <f>YEAR(Tabla2[[#This Row],[OrderDate]])</f>
        <v>2025</v>
      </c>
      <c r="M796" s="7" t="s">
        <v>1862</v>
      </c>
      <c r="N796" s="7" t="s">
        <v>28</v>
      </c>
    </row>
    <row r="797" spans="1:14" x14ac:dyDescent="0.35">
      <c r="A797" s="7" t="s">
        <v>1863</v>
      </c>
      <c r="B797" s="7" t="s">
        <v>1594</v>
      </c>
      <c r="C797" s="7" t="s">
        <v>1595</v>
      </c>
      <c r="D797" s="7" t="s">
        <v>32</v>
      </c>
      <c r="E797" s="7" t="s">
        <v>61</v>
      </c>
      <c r="F797" s="7" t="s">
        <v>16</v>
      </c>
      <c r="G797" s="7" t="s">
        <v>148</v>
      </c>
      <c r="H797" s="7">
        <v>2</v>
      </c>
      <c r="I797" s="2">
        <v>1157.74</v>
      </c>
      <c r="J797" s="2">
        <f>Tabla2[[#This Row],[Quantity]]*I797</f>
        <v>2315.48</v>
      </c>
      <c r="K797" s="6">
        <f>MONTH(Tabla2[[#This Row],[OrderDate]])</f>
        <v>8</v>
      </c>
      <c r="L797" s="6">
        <f>YEAR(Tabla2[[#This Row],[OrderDate]])</f>
        <v>2025</v>
      </c>
      <c r="M797" s="7" t="s">
        <v>1344</v>
      </c>
      <c r="N797" s="7" t="s">
        <v>36</v>
      </c>
    </row>
    <row r="798" spans="1:14" x14ac:dyDescent="0.35">
      <c r="A798" s="7" t="s">
        <v>1864</v>
      </c>
      <c r="B798" s="7" t="s">
        <v>173</v>
      </c>
      <c r="C798" s="7" t="s">
        <v>174</v>
      </c>
      <c r="D798" s="7" t="s">
        <v>32</v>
      </c>
      <c r="E798" s="7" t="s">
        <v>33</v>
      </c>
      <c r="F798" s="7" t="s">
        <v>101</v>
      </c>
      <c r="G798" s="7" t="s">
        <v>373</v>
      </c>
      <c r="H798" s="7">
        <v>5</v>
      </c>
      <c r="I798" s="2">
        <v>902.61</v>
      </c>
      <c r="J798" s="2">
        <f>Tabla2[[#This Row],[Quantity]]*I798</f>
        <v>4513.05</v>
      </c>
      <c r="K798" s="6">
        <f>MONTH(Tabla2[[#This Row],[OrderDate]])</f>
        <v>1</v>
      </c>
      <c r="L798" s="6">
        <f>YEAR(Tabla2[[#This Row],[OrderDate]])</f>
        <v>2026</v>
      </c>
      <c r="M798" s="7" t="s">
        <v>1622</v>
      </c>
      <c r="N798" s="7" t="s">
        <v>19</v>
      </c>
    </row>
    <row r="799" spans="1:14" x14ac:dyDescent="0.35">
      <c r="A799" s="7" t="s">
        <v>1865</v>
      </c>
      <c r="B799" s="7" t="s">
        <v>264</v>
      </c>
      <c r="C799" s="7" t="s">
        <v>265</v>
      </c>
      <c r="D799" s="7" t="s">
        <v>32</v>
      </c>
      <c r="E799" s="7" t="s">
        <v>61</v>
      </c>
      <c r="F799" s="7" t="s">
        <v>50</v>
      </c>
      <c r="G799" s="7" t="s">
        <v>170</v>
      </c>
      <c r="H799" s="7">
        <v>4</v>
      </c>
      <c r="I799" s="2">
        <v>1226.01</v>
      </c>
      <c r="J799" s="2">
        <f>Tabla2[[#This Row],[Quantity]]*I799</f>
        <v>4904.04</v>
      </c>
      <c r="K799" s="6">
        <f>MONTH(Tabla2[[#This Row],[OrderDate]])</f>
        <v>1</v>
      </c>
      <c r="L799" s="6">
        <f>YEAR(Tabla2[[#This Row],[OrderDate]])</f>
        <v>2024</v>
      </c>
      <c r="M799" s="7" t="s">
        <v>1866</v>
      </c>
      <c r="N799" s="7" t="s">
        <v>19</v>
      </c>
    </row>
    <row r="800" spans="1:14" x14ac:dyDescent="0.35">
      <c r="A800" s="7" t="s">
        <v>1867</v>
      </c>
      <c r="B800" s="7" t="s">
        <v>738</v>
      </c>
      <c r="C800" s="7" t="s">
        <v>739</v>
      </c>
      <c r="D800" s="7" t="s">
        <v>32</v>
      </c>
      <c r="E800" s="7" t="s">
        <v>203</v>
      </c>
      <c r="F800" s="7" t="s">
        <v>50</v>
      </c>
      <c r="G800" s="7" t="s">
        <v>69</v>
      </c>
      <c r="H800" s="7">
        <v>2</v>
      </c>
      <c r="I800" s="2">
        <v>1225.98</v>
      </c>
      <c r="J800" s="2">
        <f>Tabla2[[#This Row],[Quantity]]*I800</f>
        <v>2451.96</v>
      </c>
      <c r="K800" s="6">
        <f>MONTH(Tabla2[[#This Row],[OrderDate]])</f>
        <v>8</v>
      </c>
      <c r="L800" s="6">
        <f>YEAR(Tabla2[[#This Row],[OrderDate]])</f>
        <v>2025</v>
      </c>
      <c r="M800" s="7" t="s">
        <v>231</v>
      </c>
      <c r="N800" s="7" t="s">
        <v>19</v>
      </c>
    </row>
    <row r="801" spans="1:14" x14ac:dyDescent="0.35">
      <c r="A801" s="7" t="s">
        <v>1868</v>
      </c>
      <c r="B801" s="7" t="s">
        <v>629</v>
      </c>
      <c r="C801" s="7" t="s">
        <v>630</v>
      </c>
      <c r="D801" s="7" t="s">
        <v>14</v>
      </c>
      <c r="E801" s="7" t="s">
        <v>95</v>
      </c>
      <c r="F801" s="7" t="s">
        <v>50</v>
      </c>
      <c r="G801" s="7" t="s">
        <v>170</v>
      </c>
      <c r="H801" s="7">
        <v>5</v>
      </c>
      <c r="I801" s="2">
        <v>31.77</v>
      </c>
      <c r="J801" s="2">
        <f>Tabla2[[#This Row],[Quantity]]*I801</f>
        <v>158.85</v>
      </c>
      <c r="K801" s="6">
        <f>MONTH(Tabla2[[#This Row],[OrderDate]])</f>
        <v>8</v>
      </c>
      <c r="L801" s="6">
        <f>YEAR(Tabla2[[#This Row],[OrderDate]])</f>
        <v>2025</v>
      </c>
      <c r="M801" s="7" t="s">
        <v>940</v>
      </c>
      <c r="N801" s="7" t="s">
        <v>45</v>
      </c>
    </row>
    <row r="802" spans="1:14" x14ac:dyDescent="0.35">
      <c r="A802" s="7" t="s">
        <v>1869</v>
      </c>
      <c r="B802" s="7" t="s">
        <v>123</v>
      </c>
      <c r="C802" s="7" t="s">
        <v>124</v>
      </c>
      <c r="D802" s="7" t="s">
        <v>67</v>
      </c>
      <c r="E802" s="7" t="s">
        <v>68</v>
      </c>
      <c r="F802" s="7" t="s">
        <v>42</v>
      </c>
      <c r="G802" s="7" t="s">
        <v>80</v>
      </c>
      <c r="H802" s="7">
        <v>1</v>
      </c>
      <c r="I802" s="2">
        <v>411.84</v>
      </c>
      <c r="J802" s="2">
        <f>Tabla2[[#This Row],[Quantity]]*I802</f>
        <v>411.84</v>
      </c>
      <c r="K802" s="6">
        <f>MONTH(Tabla2[[#This Row],[OrderDate]])</f>
        <v>9</v>
      </c>
      <c r="L802" s="6">
        <f>YEAR(Tabla2[[#This Row],[OrderDate]])</f>
        <v>2024</v>
      </c>
      <c r="M802" s="7" t="s">
        <v>1575</v>
      </c>
      <c r="N802" s="7" t="s">
        <v>19</v>
      </c>
    </row>
    <row r="803" spans="1:14" x14ac:dyDescent="0.35">
      <c r="A803" s="7" t="s">
        <v>1870</v>
      </c>
      <c r="B803" s="7" t="s">
        <v>1066</v>
      </c>
      <c r="C803" s="7" t="s">
        <v>1067</v>
      </c>
      <c r="D803" s="7" t="s">
        <v>40</v>
      </c>
      <c r="E803" s="7" t="s">
        <v>41</v>
      </c>
      <c r="F803" s="7" t="s">
        <v>25</v>
      </c>
      <c r="G803" s="7" t="s">
        <v>74</v>
      </c>
      <c r="H803" s="7">
        <v>3</v>
      </c>
      <c r="I803" s="2">
        <v>307.18</v>
      </c>
      <c r="J803" s="2">
        <f>Tabla2[[#This Row],[Quantity]]*I803</f>
        <v>921.54</v>
      </c>
      <c r="K803" s="6">
        <f>MONTH(Tabla2[[#This Row],[OrderDate]])</f>
        <v>2</v>
      </c>
      <c r="L803" s="6">
        <f>YEAR(Tabla2[[#This Row],[OrderDate]])</f>
        <v>2024</v>
      </c>
      <c r="M803" s="7" t="s">
        <v>1174</v>
      </c>
      <c r="N803" s="7" t="s">
        <v>91</v>
      </c>
    </row>
    <row r="804" spans="1:14" x14ac:dyDescent="0.35">
      <c r="A804" s="7" t="s">
        <v>1871</v>
      </c>
      <c r="B804" s="7" t="s">
        <v>1346</v>
      </c>
      <c r="C804" s="7" t="s">
        <v>1347</v>
      </c>
      <c r="D804" s="7" t="s">
        <v>67</v>
      </c>
      <c r="E804" s="7" t="s">
        <v>115</v>
      </c>
      <c r="F804" s="7" t="s">
        <v>25</v>
      </c>
      <c r="G804" s="7" t="s">
        <v>62</v>
      </c>
      <c r="H804" s="7">
        <v>2</v>
      </c>
      <c r="I804" s="2">
        <v>414.7</v>
      </c>
      <c r="J804" s="2">
        <f>Tabla2[[#This Row],[Quantity]]*I804</f>
        <v>829.4</v>
      </c>
      <c r="K804" s="6">
        <f>MONTH(Tabla2[[#This Row],[OrderDate]])</f>
        <v>12</v>
      </c>
      <c r="L804" s="6">
        <f>YEAR(Tabla2[[#This Row],[OrderDate]])</f>
        <v>2024</v>
      </c>
      <c r="M804" s="7" t="s">
        <v>1470</v>
      </c>
      <c r="N804" s="7" t="s">
        <v>36</v>
      </c>
    </row>
    <row r="805" spans="1:14" x14ac:dyDescent="0.35">
      <c r="A805" s="7" t="s">
        <v>1872</v>
      </c>
      <c r="B805" s="7" t="s">
        <v>552</v>
      </c>
      <c r="C805" s="7" t="s">
        <v>553</v>
      </c>
      <c r="D805" s="7" t="s">
        <v>40</v>
      </c>
      <c r="E805" s="7" t="s">
        <v>79</v>
      </c>
      <c r="F805" s="7" t="s">
        <v>16</v>
      </c>
      <c r="G805" s="7" t="s">
        <v>17</v>
      </c>
      <c r="H805" s="7">
        <v>4</v>
      </c>
      <c r="I805" s="2">
        <v>971.7</v>
      </c>
      <c r="J805" s="2">
        <f>Tabla2[[#This Row],[Quantity]]*I805</f>
        <v>3886.8</v>
      </c>
      <c r="K805" s="6">
        <f>MONTH(Tabla2[[#This Row],[OrderDate]])</f>
        <v>1</v>
      </c>
      <c r="L805" s="6">
        <f>YEAR(Tabla2[[#This Row],[OrderDate]])</f>
        <v>2025</v>
      </c>
      <c r="M805" s="7" t="s">
        <v>1873</v>
      </c>
      <c r="N805" s="7" t="s">
        <v>45</v>
      </c>
    </row>
    <row r="806" spans="1:14" x14ac:dyDescent="0.35">
      <c r="A806" s="7" t="s">
        <v>1874</v>
      </c>
      <c r="B806" s="7" t="s">
        <v>1875</v>
      </c>
      <c r="C806" s="7" t="s">
        <v>1876</v>
      </c>
      <c r="D806" s="7" t="s">
        <v>23</v>
      </c>
      <c r="E806" s="7" t="s">
        <v>338</v>
      </c>
      <c r="F806" s="7" t="s">
        <v>50</v>
      </c>
      <c r="G806" s="7" t="s">
        <v>51</v>
      </c>
      <c r="H806" s="7">
        <v>5</v>
      </c>
      <c r="I806" s="2">
        <v>1166.52</v>
      </c>
      <c r="J806" s="2">
        <f>Tabla2[[#This Row],[Quantity]]*I806</f>
        <v>5832.6</v>
      </c>
      <c r="K806" s="6">
        <f>MONTH(Tabla2[[#This Row],[OrderDate]])</f>
        <v>6</v>
      </c>
      <c r="L806" s="6">
        <f>YEAR(Tabla2[[#This Row],[OrderDate]])</f>
        <v>2025</v>
      </c>
      <c r="M806" s="7" t="s">
        <v>1605</v>
      </c>
      <c r="N806" s="7" t="s">
        <v>45</v>
      </c>
    </row>
    <row r="807" spans="1:14" x14ac:dyDescent="0.35">
      <c r="A807" s="7" t="s">
        <v>1877</v>
      </c>
      <c r="B807" s="7" t="s">
        <v>446</v>
      </c>
      <c r="C807" s="7" t="s">
        <v>447</v>
      </c>
      <c r="D807" s="7" t="s">
        <v>67</v>
      </c>
      <c r="E807" s="7" t="s">
        <v>130</v>
      </c>
      <c r="F807" s="7" t="s">
        <v>25</v>
      </c>
      <c r="G807" s="7" t="s">
        <v>26</v>
      </c>
      <c r="H807" s="7">
        <v>4</v>
      </c>
      <c r="I807" s="2">
        <v>1394.1</v>
      </c>
      <c r="J807" s="2">
        <f>Tabla2[[#This Row],[Quantity]]*I807</f>
        <v>5576.4</v>
      </c>
      <c r="K807" s="6">
        <f>MONTH(Tabla2[[#This Row],[OrderDate]])</f>
        <v>8</v>
      </c>
      <c r="L807" s="6">
        <f>YEAR(Tabla2[[#This Row],[OrderDate]])</f>
        <v>2025</v>
      </c>
      <c r="M807" s="7" t="s">
        <v>238</v>
      </c>
      <c r="N807" s="7" t="s">
        <v>19</v>
      </c>
    </row>
    <row r="808" spans="1:14" x14ac:dyDescent="0.35">
      <c r="A808" s="7" t="s">
        <v>1878</v>
      </c>
      <c r="B808" s="7" t="s">
        <v>93</v>
      </c>
      <c r="C808" s="7" t="s">
        <v>94</v>
      </c>
      <c r="D808" s="7" t="s">
        <v>32</v>
      </c>
      <c r="E808" s="7" t="s">
        <v>203</v>
      </c>
      <c r="F808" s="7" t="s">
        <v>42</v>
      </c>
      <c r="G808" s="7" t="s">
        <v>89</v>
      </c>
      <c r="H808" s="7">
        <v>1</v>
      </c>
      <c r="I808" s="2">
        <v>1218.76</v>
      </c>
      <c r="J808" s="2">
        <f>Tabla2[[#This Row],[Quantity]]*I808</f>
        <v>1218.76</v>
      </c>
      <c r="K808" s="6">
        <f>MONTH(Tabla2[[#This Row],[OrderDate]])</f>
        <v>4</v>
      </c>
      <c r="L808" s="6">
        <f>YEAR(Tabla2[[#This Row],[OrderDate]])</f>
        <v>2025</v>
      </c>
      <c r="M808" s="7" t="s">
        <v>1879</v>
      </c>
      <c r="N808" s="7" t="s">
        <v>19</v>
      </c>
    </row>
    <row r="809" spans="1:14" x14ac:dyDescent="0.35">
      <c r="A809" s="7" t="s">
        <v>1880</v>
      </c>
      <c r="B809" s="7" t="s">
        <v>1278</v>
      </c>
      <c r="C809" s="7" t="s">
        <v>1279</v>
      </c>
      <c r="D809" s="7" t="s">
        <v>67</v>
      </c>
      <c r="E809" s="7" t="s">
        <v>115</v>
      </c>
      <c r="F809" s="7" t="s">
        <v>50</v>
      </c>
      <c r="G809" s="7" t="s">
        <v>56</v>
      </c>
      <c r="H809" s="7">
        <v>4</v>
      </c>
      <c r="I809" s="2">
        <v>1117.23</v>
      </c>
      <c r="J809" s="2">
        <f>Tabla2[[#This Row],[Quantity]]*I809</f>
        <v>4468.92</v>
      </c>
      <c r="K809" s="6">
        <f>MONTH(Tabla2[[#This Row],[OrderDate]])</f>
        <v>8</v>
      </c>
      <c r="L809" s="6">
        <f>YEAR(Tabla2[[#This Row],[OrderDate]])</f>
        <v>2025</v>
      </c>
      <c r="M809" s="7" t="s">
        <v>1350</v>
      </c>
      <c r="N809" s="7" t="s">
        <v>28</v>
      </c>
    </row>
    <row r="810" spans="1:14" x14ac:dyDescent="0.35">
      <c r="A810" s="7" t="s">
        <v>1881</v>
      </c>
      <c r="B810" s="7" t="s">
        <v>83</v>
      </c>
      <c r="C810" s="7" t="s">
        <v>84</v>
      </c>
      <c r="D810" s="7" t="s">
        <v>67</v>
      </c>
      <c r="E810" s="7" t="s">
        <v>130</v>
      </c>
      <c r="F810" s="7" t="s">
        <v>101</v>
      </c>
      <c r="G810" s="7" t="s">
        <v>649</v>
      </c>
      <c r="H810" s="7">
        <v>1</v>
      </c>
      <c r="I810" s="2">
        <v>1435.27</v>
      </c>
      <c r="J810" s="2">
        <f>Tabla2[[#This Row],[Quantity]]*I810</f>
        <v>1435.27</v>
      </c>
      <c r="K810" s="6">
        <f>MONTH(Tabla2[[#This Row],[OrderDate]])</f>
        <v>6</v>
      </c>
      <c r="L810" s="6">
        <f>YEAR(Tabla2[[#This Row],[OrderDate]])</f>
        <v>2024</v>
      </c>
      <c r="M810" s="7" t="s">
        <v>1882</v>
      </c>
      <c r="N810" s="7" t="s">
        <v>45</v>
      </c>
    </row>
    <row r="811" spans="1:14" x14ac:dyDescent="0.35">
      <c r="A811" s="7" t="s">
        <v>1883</v>
      </c>
      <c r="B811" s="7" t="s">
        <v>1170</v>
      </c>
      <c r="C811" s="7" t="s">
        <v>1171</v>
      </c>
      <c r="D811" s="7" t="s">
        <v>14</v>
      </c>
      <c r="E811" s="7" t="s">
        <v>15</v>
      </c>
      <c r="F811" s="7" t="s">
        <v>25</v>
      </c>
      <c r="G811" s="7" t="s">
        <v>34</v>
      </c>
      <c r="H811" s="7">
        <v>2</v>
      </c>
      <c r="I811" s="2">
        <v>392.72</v>
      </c>
      <c r="J811" s="2">
        <f>Tabla2[[#This Row],[Quantity]]*I811</f>
        <v>785.44</v>
      </c>
      <c r="K811" s="6">
        <f>MONTH(Tabla2[[#This Row],[OrderDate]])</f>
        <v>9</v>
      </c>
      <c r="L811" s="6">
        <f>YEAR(Tabla2[[#This Row],[OrderDate]])</f>
        <v>2025</v>
      </c>
      <c r="M811" s="7" t="s">
        <v>1716</v>
      </c>
      <c r="N811" s="7" t="s">
        <v>91</v>
      </c>
    </row>
    <row r="812" spans="1:14" x14ac:dyDescent="0.35">
      <c r="A812" s="7" t="s">
        <v>1884</v>
      </c>
      <c r="B812" s="7" t="s">
        <v>12</v>
      </c>
      <c r="C812" s="7" t="s">
        <v>13</v>
      </c>
      <c r="D812" s="7" t="s">
        <v>32</v>
      </c>
      <c r="E812" s="7" t="s">
        <v>203</v>
      </c>
      <c r="F812" s="7" t="s">
        <v>101</v>
      </c>
      <c r="G812" s="7" t="s">
        <v>237</v>
      </c>
      <c r="H812" s="7">
        <v>1</v>
      </c>
      <c r="I812" s="2">
        <v>1323.91</v>
      </c>
      <c r="J812" s="2">
        <f>Tabla2[[#This Row],[Quantity]]*I812</f>
        <v>1323.91</v>
      </c>
      <c r="K812" s="6">
        <f>MONTH(Tabla2[[#This Row],[OrderDate]])</f>
        <v>6</v>
      </c>
      <c r="L812" s="6">
        <f>YEAR(Tabla2[[#This Row],[OrderDate]])</f>
        <v>2025</v>
      </c>
      <c r="M812" s="7" t="s">
        <v>1378</v>
      </c>
      <c r="N812" s="7" t="s">
        <v>45</v>
      </c>
    </row>
    <row r="813" spans="1:14" x14ac:dyDescent="0.35">
      <c r="A813" s="7" t="s">
        <v>1885</v>
      </c>
      <c r="B813" s="7" t="s">
        <v>1532</v>
      </c>
      <c r="C813" s="7" t="s">
        <v>1533</v>
      </c>
      <c r="D813" s="7" t="s">
        <v>23</v>
      </c>
      <c r="E813" s="7" t="s">
        <v>49</v>
      </c>
      <c r="F813" s="7" t="s">
        <v>25</v>
      </c>
      <c r="G813" s="7" t="s">
        <v>34</v>
      </c>
      <c r="H813" s="7">
        <v>4</v>
      </c>
      <c r="I813" s="2">
        <v>570.99</v>
      </c>
      <c r="J813" s="2">
        <f>Tabla2[[#This Row],[Quantity]]*I813</f>
        <v>2283.96</v>
      </c>
      <c r="K813" s="6">
        <f>MONTH(Tabla2[[#This Row],[OrderDate]])</f>
        <v>1</v>
      </c>
      <c r="L813" s="6">
        <f>YEAR(Tabla2[[#This Row],[OrderDate]])</f>
        <v>2024</v>
      </c>
      <c r="M813" s="7" t="s">
        <v>1886</v>
      </c>
      <c r="N813" s="7" t="s">
        <v>91</v>
      </c>
    </row>
    <row r="814" spans="1:14" x14ac:dyDescent="0.35">
      <c r="A814" s="7" t="s">
        <v>1887</v>
      </c>
      <c r="B814" s="7" t="s">
        <v>922</v>
      </c>
      <c r="C814" s="7" t="s">
        <v>923</v>
      </c>
      <c r="D814" s="7" t="s">
        <v>23</v>
      </c>
      <c r="E814" s="7" t="s">
        <v>24</v>
      </c>
      <c r="F814" s="7" t="s">
        <v>25</v>
      </c>
      <c r="G814" s="7" t="s">
        <v>74</v>
      </c>
      <c r="H814" s="7">
        <v>1</v>
      </c>
      <c r="I814" s="2">
        <v>415.51</v>
      </c>
      <c r="J814" s="2">
        <f>Tabla2[[#This Row],[Quantity]]*I814</f>
        <v>415.51</v>
      </c>
      <c r="K814" s="6">
        <f>MONTH(Tabla2[[#This Row],[OrderDate]])</f>
        <v>1</v>
      </c>
      <c r="L814" s="6">
        <f>YEAR(Tabla2[[#This Row],[OrderDate]])</f>
        <v>2026</v>
      </c>
      <c r="M814" s="7" t="s">
        <v>720</v>
      </c>
      <c r="N814" s="7" t="s">
        <v>36</v>
      </c>
    </row>
    <row r="815" spans="1:14" x14ac:dyDescent="0.35">
      <c r="A815" s="7" t="s">
        <v>1888</v>
      </c>
      <c r="B815" s="7" t="s">
        <v>418</v>
      </c>
      <c r="C815" s="7" t="s">
        <v>419</v>
      </c>
      <c r="D815" s="7" t="s">
        <v>40</v>
      </c>
      <c r="E815" s="7" t="s">
        <v>41</v>
      </c>
      <c r="F815" s="7" t="s">
        <v>16</v>
      </c>
      <c r="G815" s="7" t="s">
        <v>177</v>
      </c>
      <c r="H815" s="7">
        <v>1</v>
      </c>
      <c r="I815" s="2">
        <v>100.38</v>
      </c>
      <c r="J815" s="2">
        <f>Tabla2[[#This Row],[Quantity]]*I815</f>
        <v>100.38</v>
      </c>
      <c r="K815" s="6">
        <f>MONTH(Tabla2[[#This Row],[OrderDate]])</f>
        <v>12</v>
      </c>
      <c r="L815" s="6">
        <f>YEAR(Tabla2[[#This Row],[OrderDate]])</f>
        <v>2024</v>
      </c>
      <c r="M815" s="7" t="s">
        <v>1889</v>
      </c>
      <c r="N815" s="7" t="s">
        <v>28</v>
      </c>
    </row>
    <row r="816" spans="1:14" x14ac:dyDescent="0.35">
      <c r="A816" s="7" t="s">
        <v>1890</v>
      </c>
      <c r="B816" s="7" t="s">
        <v>718</v>
      </c>
      <c r="C816" s="7" t="s">
        <v>719</v>
      </c>
      <c r="D816" s="7" t="s">
        <v>67</v>
      </c>
      <c r="E816" s="7" t="s">
        <v>130</v>
      </c>
      <c r="F816" s="7" t="s">
        <v>16</v>
      </c>
      <c r="G816" s="7" t="s">
        <v>182</v>
      </c>
      <c r="H816" s="7">
        <v>5</v>
      </c>
      <c r="I816" s="2">
        <v>797.49</v>
      </c>
      <c r="J816" s="2">
        <f>Tabla2[[#This Row],[Quantity]]*I816</f>
        <v>3987.45</v>
      </c>
      <c r="K816" s="6">
        <f>MONTH(Tabla2[[#This Row],[OrderDate]])</f>
        <v>1</v>
      </c>
      <c r="L816" s="6">
        <f>YEAR(Tabla2[[#This Row],[OrderDate]])</f>
        <v>2024</v>
      </c>
      <c r="M816" s="7" t="s">
        <v>462</v>
      </c>
      <c r="N816" s="7" t="s">
        <v>45</v>
      </c>
    </row>
    <row r="817" spans="1:14" x14ac:dyDescent="0.35">
      <c r="A817" s="7" t="s">
        <v>1891</v>
      </c>
      <c r="B817" s="7" t="s">
        <v>1226</v>
      </c>
      <c r="C817" s="7" t="s">
        <v>1227</v>
      </c>
      <c r="D817" s="7" t="s">
        <v>32</v>
      </c>
      <c r="E817" s="7" t="s">
        <v>33</v>
      </c>
      <c r="F817" s="7" t="s">
        <v>50</v>
      </c>
      <c r="G817" s="7" t="s">
        <v>69</v>
      </c>
      <c r="H817" s="7">
        <v>5</v>
      </c>
      <c r="I817" s="2">
        <v>389.14</v>
      </c>
      <c r="J817" s="2">
        <f>Tabla2[[#This Row],[Quantity]]*I817</f>
        <v>1945.6999999999998</v>
      </c>
      <c r="K817" s="6">
        <f>MONTH(Tabla2[[#This Row],[OrderDate]])</f>
        <v>10</v>
      </c>
      <c r="L817" s="6">
        <f>YEAR(Tabla2[[#This Row],[OrderDate]])</f>
        <v>2025</v>
      </c>
      <c r="M817" s="7" t="s">
        <v>1892</v>
      </c>
      <c r="N817" s="7" t="s">
        <v>28</v>
      </c>
    </row>
    <row r="818" spans="1:14" x14ac:dyDescent="0.35">
      <c r="A818" s="7" t="s">
        <v>1893</v>
      </c>
      <c r="B818" s="7" t="s">
        <v>555</v>
      </c>
      <c r="C818" s="7" t="s">
        <v>556</v>
      </c>
      <c r="D818" s="7" t="s">
        <v>23</v>
      </c>
      <c r="E818" s="7" t="s">
        <v>338</v>
      </c>
      <c r="F818" s="7" t="s">
        <v>50</v>
      </c>
      <c r="G818" s="7" t="s">
        <v>216</v>
      </c>
      <c r="H818" s="7">
        <v>4</v>
      </c>
      <c r="I818" s="2">
        <v>416.05</v>
      </c>
      <c r="J818" s="2">
        <f>Tabla2[[#This Row],[Quantity]]*I818</f>
        <v>1664.2</v>
      </c>
      <c r="K818" s="6">
        <f>MONTH(Tabla2[[#This Row],[OrderDate]])</f>
        <v>1</v>
      </c>
      <c r="L818" s="6">
        <f>YEAR(Tabla2[[#This Row],[OrderDate]])</f>
        <v>2024</v>
      </c>
      <c r="M818" s="7" t="s">
        <v>1894</v>
      </c>
      <c r="N818" s="7" t="s">
        <v>91</v>
      </c>
    </row>
    <row r="819" spans="1:14" x14ac:dyDescent="0.35">
      <c r="A819" s="7" t="s">
        <v>1895</v>
      </c>
      <c r="B819" s="7" t="s">
        <v>552</v>
      </c>
      <c r="C819" s="7" t="s">
        <v>553</v>
      </c>
      <c r="D819" s="7" t="s">
        <v>32</v>
      </c>
      <c r="E819" s="7" t="s">
        <v>33</v>
      </c>
      <c r="F819" s="7" t="s">
        <v>16</v>
      </c>
      <c r="G819" s="7" t="s">
        <v>148</v>
      </c>
      <c r="H819" s="7">
        <v>3</v>
      </c>
      <c r="I819" s="2">
        <v>408.11</v>
      </c>
      <c r="J819" s="2">
        <f>Tabla2[[#This Row],[Quantity]]*I819</f>
        <v>1224.33</v>
      </c>
      <c r="K819" s="6">
        <f>MONTH(Tabla2[[#This Row],[OrderDate]])</f>
        <v>3</v>
      </c>
      <c r="L819" s="6">
        <f>YEAR(Tabla2[[#This Row],[OrderDate]])</f>
        <v>2025</v>
      </c>
      <c r="M819" s="7" t="s">
        <v>761</v>
      </c>
      <c r="N819" s="7" t="s">
        <v>19</v>
      </c>
    </row>
    <row r="820" spans="1:14" x14ac:dyDescent="0.35">
      <c r="A820" s="7" t="s">
        <v>1896</v>
      </c>
      <c r="B820" s="7" t="s">
        <v>1281</v>
      </c>
      <c r="C820" s="7" t="s">
        <v>1282</v>
      </c>
      <c r="D820" s="7" t="s">
        <v>32</v>
      </c>
      <c r="E820" s="7" t="s">
        <v>61</v>
      </c>
      <c r="F820" s="7" t="s">
        <v>101</v>
      </c>
      <c r="G820" s="7" t="s">
        <v>649</v>
      </c>
      <c r="H820" s="7">
        <v>5</v>
      </c>
      <c r="I820" s="2">
        <v>1196.43</v>
      </c>
      <c r="J820" s="2">
        <f>Tabla2[[#This Row],[Quantity]]*I820</f>
        <v>5982.1500000000005</v>
      </c>
      <c r="K820" s="6">
        <f>MONTH(Tabla2[[#This Row],[OrderDate]])</f>
        <v>9</v>
      </c>
      <c r="L820" s="6">
        <f>YEAR(Tabla2[[#This Row],[OrderDate]])</f>
        <v>2024</v>
      </c>
      <c r="M820" s="7" t="s">
        <v>1363</v>
      </c>
      <c r="N820" s="7" t="s">
        <v>45</v>
      </c>
    </row>
    <row r="821" spans="1:14" x14ac:dyDescent="0.35">
      <c r="A821" s="7" t="s">
        <v>1897</v>
      </c>
      <c r="B821" s="7" t="s">
        <v>1510</v>
      </c>
      <c r="C821" s="7" t="s">
        <v>1511</v>
      </c>
      <c r="D821" s="7" t="s">
        <v>67</v>
      </c>
      <c r="E821" s="7" t="s">
        <v>68</v>
      </c>
      <c r="F821" s="7" t="s">
        <v>101</v>
      </c>
      <c r="G821" s="7" t="s">
        <v>237</v>
      </c>
      <c r="H821" s="7">
        <v>5</v>
      </c>
      <c r="I821" s="2">
        <v>598.46</v>
      </c>
      <c r="J821" s="2">
        <f>Tabla2[[#This Row],[Quantity]]*I821</f>
        <v>2992.3</v>
      </c>
      <c r="K821" s="6">
        <f>MONTH(Tabla2[[#This Row],[OrderDate]])</f>
        <v>6</v>
      </c>
      <c r="L821" s="6">
        <f>YEAR(Tabla2[[#This Row],[OrderDate]])</f>
        <v>2025</v>
      </c>
      <c r="M821" s="7" t="s">
        <v>1898</v>
      </c>
      <c r="N821" s="7" t="s">
        <v>45</v>
      </c>
    </row>
    <row r="822" spans="1:14" x14ac:dyDescent="0.35">
      <c r="A822" s="7" t="s">
        <v>1899</v>
      </c>
      <c r="B822" s="7" t="s">
        <v>853</v>
      </c>
      <c r="C822" s="7" t="s">
        <v>854</v>
      </c>
      <c r="D822" s="7" t="s">
        <v>32</v>
      </c>
      <c r="E822" s="7" t="s">
        <v>203</v>
      </c>
      <c r="F822" s="7" t="s">
        <v>50</v>
      </c>
      <c r="G822" s="7" t="s">
        <v>69</v>
      </c>
      <c r="H822" s="7">
        <v>1</v>
      </c>
      <c r="I822" s="2">
        <v>50.14</v>
      </c>
      <c r="J822" s="2">
        <f>Tabla2[[#This Row],[Quantity]]*I822</f>
        <v>50.14</v>
      </c>
      <c r="K822" s="6">
        <f>MONTH(Tabla2[[#This Row],[OrderDate]])</f>
        <v>4</v>
      </c>
      <c r="L822" s="6">
        <f>YEAR(Tabla2[[#This Row],[OrderDate]])</f>
        <v>2025</v>
      </c>
      <c r="M822" s="7" t="s">
        <v>1900</v>
      </c>
      <c r="N822" s="7" t="s">
        <v>19</v>
      </c>
    </row>
    <row r="823" spans="1:14" x14ac:dyDescent="0.35">
      <c r="A823" s="7" t="s">
        <v>1901</v>
      </c>
      <c r="B823" s="7" t="s">
        <v>767</v>
      </c>
      <c r="C823" s="7" t="s">
        <v>768</v>
      </c>
      <c r="D823" s="7" t="s">
        <v>40</v>
      </c>
      <c r="E823" s="7" t="s">
        <v>79</v>
      </c>
      <c r="F823" s="7" t="s">
        <v>101</v>
      </c>
      <c r="G823" s="7" t="s">
        <v>165</v>
      </c>
      <c r="H823" s="7">
        <v>1</v>
      </c>
      <c r="I823" s="2">
        <v>288.73</v>
      </c>
      <c r="J823" s="2">
        <f>Tabla2[[#This Row],[Quantity]]*I823</f>
        <v>288.73</v>
      </c>
      <c r="K823" s="6">
        <f>MONTH(Tabla2[[#This Row],[OrderDate]])</f>
        <v>9</v>
      </c>
      <c r="L823" s="6">
        <f>YEAR(Tabla2[[#This Row],[OrderDate]])</f>
        <v>2024</v>
      </c>
      <c r="M823" s="7" t="s">
        <v>583</v>
      </c>
      <c r="N823" s="7" t="s">
        <v>45</v>
      </c>
    </row>
    <row r="824" spans="1:14" x14ac:dyDescent="0.35">
      <c r="A824" s="7" t="s">
        <v>1902</v>
      </c>
      <c r="B824" s="7" t="s">
        <v>1149</v>
      </c>
      <c r="C824" s="7" t="s">
        <v>1150</v>
      </c>
      <c r="D824" s="7" t="s">
        <v>40</v>
      </c>
      <c r="E824" s="7" t="s">
        <v>120</v>
      </c>
      <c r="F824" s="7" t="s">
        <v>25</v>
      </c>
      <c r="G824" s="7" t="s">
        <v>62</v>
      </c>
      <c r="H824" s="7">
        <v>5</v>
      </c>
      <c r="I824" s="2">
        <v>779.87</v>
      </c>
      <c r="J824" s="2">
        <f>Tabla2[[#This Row],[Quantity]]*I824</f>
        <v>3899.35</v>
      </c>
      <c r="K824" s="6">
        <f>MONTH(Tabla2[[#This Row],[OrderDate]])</f>
        <v>12</v>
      </c>
      <c r="L824" s="6">
        <f>YEAR(Tabla2[[#This Row],[OrderDate]])</f>
        <v>2025</v>
      </c>
      <c r="M824" s="7" t="s">
        <v>1425</v>
      </c>
      <c r="N824" s="7" t="s">
        <v>19</v>
      </c>
    </row>
    <row r="825" spans="1:14" x14ac:dyDescent="0.35">
      <c r="A825" s="7" t="s">
        <v>1903</v>
      </c>
      <c r="B825" s="7" t="s">
        <v>598</v>
      </c>
      <c r="C825" s="7" t="s">
        <v>599</v>
      </c>
      <c r="D825" s="7" t="s">
        <v>14</v>
      </c>
      <c r="E825" s="7" t="s">
        <v>125</v>
      </c>
      <c r="F825" s="7" t="s">
        <v>16</v>
      </c>
      <c r="G825" s="7" t="s">
        <v>177</v>
      </c>
      <c r="H825" s="7">
        <v>3</v>
      </c>
      <c r="I825" s="2">
        <v>896.61</v>
      </c>
      <c r="J825" s="2">
        <f>Tabla2[[#This Row],[Quantity]]*I825</f>
        <v>2689.83</v>
      </c>
      <c r="K825" s="6">
        <f>MONTH(Tabla2[[#This Row],[OrderDate]])</f>
        <v>7</v>
      </c>
      <c r="L825" s="6">
        <f>YEAR(Tabla2[[#This Row],[OrderDate]])</f>
        <v>2025</v>
      </c>
      <c r="M825" s="7" t="s">
        <v>1608</v>
      </c>
      <c r="N825" s="7" t="s">
        <v>91</v>
      </c>
    </row>
    <row r="826" spans="1:14" x14ac:dyDescent="0.35">
      <c r="A826" s="7" t="s">
        <v>1904</v>
      </c>
      <c r="B826" s="7" t="s">
        <v>118</v>
      </c>
      <c r="C826" s="7" t="s">
        <v>119</v>
      </c>
      <c r="D826" s="7" t="s">
        <v>14</v>
      </c>
      <c r="E826" s="7" t="s">
        <v>100</v>
      </c>
      <c r="F826" s="7" t="s">
        <v>101</v>
      </c>
      <c r="G826" s="7" t="s">
        <v>373</v>
      </c>
      <c r="H826" s="7">
        <v>1</v>
      </c>
      <c r="I826" s="2">
        <v>534.14</v>
      </c>
      <c r="J826" s="2">
        <f>Tabla2[[#This Row],[Quantity]]*I826</f>
        <v>534.14</v>
      </c>
      <c r="K826" s="6">
        <f>MONTH(Tabla2[[#This Row],[OrderDate]])</f>
        <v>4</v>
      </c>
      <c r="L826" s="6">
        <f>YEAR(Tabla2[[#This Row],[OrderDate]])</f>
        <v>2025</v>
      </c>
      <c r="M826" s="7" t="s">
        <v>1905</v>
      </c>
      <c r="N826" s="7" t="s">
        <v>19</v>
      </c>
    </row>
    <row r="827" spans="1:14" x14ac:dyDescent="0.35">
      <c r="A827" s="7" t="s">
        <v>1906</v>
      </c>
      <c r="B827" s="7" t="s">
        <v>1907</v>
      </c>
      <c r="C827" s="7" t="s">
        <v>1908</v>
      </c>
      <c r="D827" s="7" t="s">
        <v>32</v>
      </c>
      <c r="E827" s="7" t="s">
        <v>203</v>
      </c>
      <c r="F827" s="7" t="s">
        <v>50</v>
      </c>
      <c r="G827" s="7" t="s">
        <v>216</v>
      </c>
      <c r="H827" s="7">
        <v>4</v>
      </c>
      <c r="I827" s="2">
        <v>895.46</v>
      </c>
      <c r="J827" s="2">
        <f>Tabla2[[#This Row],[Quantity]]*I827</f>
        <v>3581.84</v>
      </c>
      <c r="K827" s="6">
        <f>MONTH(Tabla2[[#This Row],[OrderDate]])</f>
        <v>10</v>
      </c>
      <c r="L827" s="6">
        <f>YEAR(Tabla2[[#This Row],[OrderDate]])</f>
        <v>2025</v>
      </c>
      <c r="M827" s="7" t="s">
        <v>161</v>
      </c>
      <c r="N827" s="7" t="s">
        <v>19</v>
      </c>
    </row>
    <row r="828" spans="1:14" x14ac:dyDescent="0.35">
      <c r="A828" s="7" t="s">
        <v>1909</v>
      </c>
      <c r="B828" s="7" t="s">
        <v>1001</v>
      </c>
      <c r="C828" s="7" t="s">
        <v>1002</v>
      </c>
      <c r="D828" s="7" t="s">
        <v>67</v>
      </c>
      <c r="E828" s="7" t="s">
        <v>115</v>
      </c>
      <c r="F828" s="7" t="s">
        <v>50</v>
      </c>
      <c r="G828" s="7" t="s">
        <v>56</v>
      </c>
      <c r="H828" s="7">
        <v>4</v>
      </c>
      <c r="I828" s="2">
        <v>569.97</v>
      </c>
      <c r="J828" s="2">
        <f>Tabla2[[#This Row],[Quantity]]*I828</f>
        <v>2279.88</v>
      </c>
      <c r="K828" s="6">
        <f>MONTH(Tabla2[[#This Row],[OrderDate]])</f>
        <v>11</v>
      </c>
      <c r="L828" s="6">
        <f>YEAR(Tabla2[[#This Row],[OrderDate]])</f>
        <v>2025</v>
      </c>
      <c r="M828" s="7" t="s">
        <v>63</v>
      </c>
      <c r="N828" s="7" t="s">
        <v>45</v>
      </c>
    </row>
    <row r="829" spans="1:14" x14ac:dyDescent="0.35">
      <c r="A829" s="7" t="s">
        <v>1910</v>
      </c>
      <c r="B829" s="7" t="s">
        <v>173</v>
      </c>
      <c r="C829" s="7" t="s">
        <v>174</v>
      </c>
      <c r="D829" s="7" t="s">
        <v>67</v>
      </c>
      <c r="E829" s="7" t="s">
        <v>68</v>
      </c>
      <c r="F829" s="7" t="s">
        <v>50</v>
      </c>
      <c r="G829" s="7" t="s">
        <v>170</v>
      </c>
      <c r="H829" s="7">
        <v>4</v>
      </c>
      <c r="I829" s="2">
        <v>1322.51</v>
      </c>
      <c r="J829" s="2">
        <f>Tabla2[[#This Row],[Quantity]]*I829</f>
        <v>5290.04</v>
      </c>
      <c r="K829" s="6">
        <f>MONTH(Tabla2[[#This Row],[OrderDate]])</f>
        <v>5</v>
      </c>
      <c r="L829" s="6">
        <f>YEAR(Tabla2[[#This Row],[OrderDate]])</f>
        <v>2025</v>
      </c>
      <c r="M829" s="7" t="s">
        <v>483</v>
      </c>
      <c r="N829" s="7" t="s">
        <v>45</v>
      </c>
    </row>
    <row r="830" spans="1:14" x14ac:dyDescent="0.35">
      <c r="A830" s="7" t="s">
        <v>1911</v>
      </c>
      <c r="B830" s="7" t="s">
        <v>809</v>
      </c>
      <c r="C830" s="7" t="s">
        <v>810</v>
      </c>
      <c r="D830" s="7" t="s">
        <v>32</v>
      </c>
      <c r="E830" s="7" t="s">
        <v>33</v>
      </c>
      <c r="F830" s="7" t="s">
        <v>16</v>
      </c>
      <c r="G830" s="7" t="s">
        <v>182</v>
      </c>
      <c r="H830" s="7">
        <v>5</v>
      </c>
      <c r="I830" s="2">
        <v>1177.72</v>
      </c>
      <c r="J830" s="2">
        <f>Tabla2[[#This Row],[Quantity]]*I830</f>
        <v>5888.6</v>
      </c>
      <c r="K830" s="6">
        <f>MONTH(Tabla2[[#This Row],[OrderDate]])</f>
        <v>7</v>
      </c>
      <c r="L830" s="6">
        <f>YEAR(Tabla2[[#This Row],[OrderDate]])</f>
        <v>2024</v>
      </c>
      <c r="M830" s="7" t="s">
        <v>1912</v>
      </c>
      <c r="N830" s="7" t="s">
        <v>28</v>
      </c>
    </row>
    <row r="831" spans="1:14" x14ac:dyDescent="0.35">
      <c r="A831" s="7" t="s">
        <v>1913</v>
      </c>
      <c r="B831" s="7" t="s">
        <v>137</v>
      </c>
      <c r="C831" s="7" t="s">
        <v>138</v>
      </c>
      <c r="D831" s="7" t="s">
        <v>32</v>
      </c>
      <c r="E831" s="7" t="s">
        <v>61</v>
      </c>
      <c r="F831" s="7" t="s">
        <v>50</v>
      </c>
      <c r="G831" s="7" t="s">
        <v>69</v>
      </c>
      <c r="H831" s="7">
        <v>2</v>
      </c>
      <c r="I831" s="2">
        <v>1033.01</v>
      </c>
      <c r="J831" s="2">
        <f>Tabla2[[#This Row],[Quantity]]*I831</f>
        <v>2066.02</v>
      </c>
      <c r="K831" s="6">
        <f>MONTH(Tabla2[[#This Row],[OrderDate]])</f>
        <v>11</v>
      </c>
      <c r="L831" s="6">
        <f>YEAR(Tabla2[[#This Row],[OrderDate]])</f>
        <v>2025</v>
      </c>
      <c r="M831" s="7" t="s">
        <v>1914</v>
      </c>
      <c r="N831" s="7" t="s">
        <v>91</v>
      </c>
    </row>
    <row r="832" spans="1:14" x14ac:dyDescent="0.35">
      <c r="A832" s="7" t="s">
        <v>1915</v>
      </c>
      <c r="B832" s="7" t="s">
        <v>827</v>
      </c>
      <c r="C832" s="7" t="s">
        <v>828</v>
      </c>
      <c r="D832" s="7" t="s">
        <v>23</v>
      </c>
      <c r="E832" s="7" t="s">
        <v>49</v>
      </c>
      <c r="F832" s="7" t="s">
        <v>101</v>
      </c>
      <c r="G832" s="7" t="s">
        <v>237</v>
      </c>
      <c r="H832" s="7">
        <v>1</v>
      </c>
      <c r="I832" s="2">
        <v>1060.3800000000001</v>
      </c>
      <c r="J832" s="2">
        <f>Tabla2[[#This Row],[Quantity]]*I832</f>
        <v>1060.3800000000001</v>
      </c>
      <c r="K832" s="6">
        <f>MONTH(Tabla2[[#This Row],[OrderDate]])</f>
        <v>6</v>
      </c>
      <c r="L832" s="6">
        <f>YEAR(Tabla2[[#This Row],[OrderDate]])</f>
        <v>2025</v>
      </c>
      <c r="M832" s="7" t="s">
        <v>1378</v>
      </c>
      <c r="N832" s="7" t="s">
        <v>45</v>
      </c>
    </row>
    <row r="833" spans="1:14" x14ac:dyDescent="0.35">
      <c r="A833" s="7" t="s">
        <v>1916</v>
      </c>
      <c r="B833" s="7" t="s">
        <v>633</v>
      </c>
      <c r="C833" s="7" t="s">
        <v>634</v>
      </c>
      <c r="D833" s="7" t="s">
        <v>67</v>
      </c>
      <c r="E833" s="7" t="s">
        <v>68</v>
      </c>
      <c r="F833" s="7" t="s">
        <v>101</v>
      </c>
      <c r="G833" s="7" t="s">
        <v>165</v>
      </c>
      <c r="H833" s="7">
        <v>5</v>
      </c>
      <c r="I833" s="2">
        <v>1038</v>
      </c>
      <c r="J833" s="2">
        <f>Tabla2[[#This Row],[Quantity]]*I833</f>
        <v>5190</v>
      </c>
      <c r="K833" s="6">
        <f>MONTH(Tabla2[[#This Row],[OrderDate]])</f>
        <v>1</v>
      </c>
      <c r="L833" s="6">
        <f>YEAR(Tabla2[[#This Row],[OrderDate]])</f>
        <v>2026</v>
      </c>
      <c r="M833" s="7" t="s">
        <v>1373</v>
      </c>
      <c r="N833" s="7" t="s">
        <v>45</v>
      </c>
    </row>
    <row r="834" spans="1:14" x14ac:dyDescent="0.35">
      <c r="A834" s="7" t="s">
        <v>1917</v>
      </c>
      <c r="B834" s="7" t="s">
        <v>555</v>
      </c>
      <c r="C834" s="7" t="s">
        <v>556</v>
      </c>
      <c r="D834" s="7" t="s">
        <v>40</v>
      </c>
      <c r="E834" s="7" t="s">
        <v>41</v>
      </c>
      <c r="F834" s="7" t="s">
        <v>101</v>
      </c>
      <c r="G834" s="7" t="s">
        <v>649</v>
      </c>
      <c r="H834" s="7">
        <v>1</v>
      </c>
      <c r="I834" s="2">
        <v>761.8</v>
      </c>
      <c r="J834" s="2">
        <f>Tabla2[[#This Row],[Quantity]]*I834</f>
        <v>761.8</v>
      </c>
      <c r="K834" s="6">
        <f>MONTH(Tabla2[[#This Row],[OrderDate]])</f>
        <v>2</v>
      </c>
      <c r="L834" s="6">
        <f>YEAR(Tabla2[[#This Row],[OrderDate]])</f>
        <v>2025</v>
      </c>
      <c r="M834" s="7" t="s">
        <v>329</v>
      </c>
      <c r="N834" s="7" t="s">
        <v>91</v>
      </c>
    </row>
    <row r="835" spans="1:14" x14ac:dyDescent="0.35">
      <c r="A835" s="7" t="s">
        <v>1918</v>
      </c>
      <c r="B835" s="7" t="s">
        <v>142</v>
      </c>
      <c r="C835" s="7" t="s">
        <v>143</v>
      </c>
      <c r="D835" s="7" t="s">
        <v>23</v>
      </c>
      <c r="E835" s="7" t="s">
        <v>24</v>
      </c>
      <c r="F835" s="7" t="s">
        <v>42</v>
      </c>
      <c r="G835" s="7" t="s">
        <v>43</v>
      </c>
      <c r="H835" s="7">
        <v>1</v>
      </c>
      <c r="I835" s="2">
        <v>98.51</v>
      </c>
      <c r="J835" s="2">
        <f>Tabla2[[#This Row],[Quantity]]*I835</f>
        <v>98.51</v>
      </c>
      <c r="K835" s="6">
        <f>MONTH(Tabla2[[#This Row],[OrderDate]])</f>
        <v>12</v>
      </c>
      <c r="L835" s="6">
        <f>YEAR(Tabla2[[#This Row],[OrderDate]])</f>
        <v>2024</v>
      </c>
      <c r="M835" s="7" t="s">
        <v>1919</v>
      </c>
      <c r="N835" s="7" t="s">
        <v>19</v>
      </c>
    </row>
    <row r="836" spans="1:14" x14ac:dyDescent="0.35">
      <c r="A836" s="7" t="s">
        <v>1920</v>
      </c>
      <c r="B836" s="7" t="s">
        <v>842</v>
      </c>
      <c r="C836" s="7" t="s">
        <v>843</v>
      </c>
      <c r="D836" s="7" t="s">
        <v>23</v>
      </c>
      <c r="E836" s="7" t="s">
        <v>24</v>
      </c>
      <c r="F836" s="7" t="s">
        <v>50</v>
      </c>
      <c r="G836" s="7" t="s">
        <v>69</v>
      </c>
      <c r="H836" s="7">
        <v>4</v>
      </c>
      <c r="I836" s="2">
        <v>873.33</v>
      </c>
      <c r="J836" s="2">
        <f>Tabla2[[#This Row],[Quantity]]*I836</f>
        <v>3493.32</v>
      </c>
      <c r="K836" s="6">
        <f>MONTH(Tabla2[[#This Row],[OrderDate]])</f>
        <v>2</v>
      </c>
      <c r="L836" s="6">
        <f>YEAR(Tabla2[[#This Row],[OrderDate]])</f>
        <v>2026</v>
      </c>
      <c r="M836" s="7" t="s">
        <v>35</v>
      </c>
      <c r="N836" s="7" t="s">
        <v>19</v>
      </c>
    </row>
    <row r="837" spans="1:14" x14ac:dyDescent="0.35">
      <c r="A837" s="7" t="s">
        <v>1921</v>
      </c>
      <c r="B837" s="7" t="s">
        <v>1523</v>
      </c>
      <c r="C837" s="7" t="s">
        <v>1524</v>
      </c>
      <c r="D837" s="7" t="s">
        <v>40</v>
      </c>
      <c r="E837" s="7" t="s">
        <v>41</v>
      </c>
      <c r="F837" s="7" t="s">
        <v>16</v>
      </c>
      <c r="G837" s="7" t="s">
        <v>17</v>
      </c>
      <c r="H837" s="7">
        <v>2</v>
      </c>
      <c r="I837" s="2">
        <v>1287.32</v>
      </c>
      <c r="J837" s="2">
        <f>Tabla2[[#This Row],[Quantity]]*I837</f>
        <v>2574.64</v>
      </c>
      <c r="K837" s="6">
        <f>MONTH(Tabla2[[#This Row],[OrderDate]])</f>
        <v>2</v>
      </c>
      <c r="L837" s="6">
        <f>YEAR(Tabla2[[#This Row],[OrderDate]])</f>
        <v>2026</v>
      </c>
      <c r="M837" s="7" t="s">
        <v>1262</v>
      </c>
      <c r="N837" s="7" t="s">
        <v>91</v>
      </c>
    </row>
    <row r="838" spans="1:14" x14ac:dyDescent="0.35">
      <c r="A838" s="7" t="s">
        <v>1922</v>
      </c>
      <c r="B838" s="7" t="s">
        <v>922</v>
      </c>
      <c r="C838" s="7" t="s">
        <v>923</v>
      </c>
      <c r="D838" s="7" t="s">
        <v>14</v>
      </c>
      <c r="E838" s="7" t="s">
        <v>15</v>
      </c>
      <c r="F838" s="7" t="s">
        <v>101</v>
      </c>
      <c r="G838" s="7" t="s">
        <v>102</v>
      </c>
      <c r="H838" s="7">
        <v>2</v>
      </c>
      <c r="I838" s="2">
        <v>1077.2</v>
      </c>
      <c r="J838" s="2">
        <f>Tabla2[[#This Row],[Quantity]]*I838</f>
        <v>2154.4</v>
      </c>
      <c r="K838" s="6">
        <f>MONTH(Tabla2[[#This Row],[OrderDate]])</f>
        <v>3</v>
      </c>
      <c r="L838" s="6">
        <f>YEAR(Tabla2[[#This Row],[OrderDate]])</f>
        <v>2026</v>
      </c>
      <c r="M838" s="7" t="s">
        <v>1411</v>
      </c>
      <c r="N838" s="7" t="s">
        <v>36</v>
      </c>
    </row>
    <row r="839" spans="1:14" x14ac:dyDescent="0.35">
      <c r="A839" s="7" t="s">
        <v>1923</v>
      </c>
      <c r="B839" s="7" t="s">
        <v>590</v>
      </c>
      <c r="C839" s="7" t="s">
        <v>591</v>
      </c>
      <c r="D839" s="7" t="s">
        <v>14</v>
      </c>
      <c r="E839" s="7" t="s">
        <v>266</v>
      </c>
      <c r="F839" s="7" t="s">
        <v>50</v>
      </c>
      <c r="G839" s="7" t="s">
        <v>51</v>
      </c>
      <c r="H839" s="7">
        <v>3</v>
      </c>
      <c r="I839" s="2">
        <v>1264.08</v>
      </c>
      <c r="J839" s="2">
        <f>Tabla2[[#This Row],[Quantity]]*I839</f>
        <v>3792.24</v>
      </c>
      <c r="K839" s="6">
        <f>MONTH(Tabla2[[#This Row],[OrderDate]])</f>
        <v>4</v>
      </c>
      <c r="L839" s="6">
        <f>YEAR(Tabla2[[#This Row],[OrderDate]])</f>
        <v>2024</v>
      </c>
      <c r="M839" s="7" t="s">
        <v>1440</v>
      </c>
      <c r="N839" s="7" t="s">
        <v>36</v>
      </c>
    </row>
    <row r="840" spans="1:14" x14ac:dyDescent="0.35">
      <c r="A840" s="7" t="s">
        <v>1924</v>
      </c>
      <c r="B840" s="7" t="s">
        <v>779</v>
      </c>
      <c r="C840" s="7" t="s">
        <v>780</v>
      </c>
      <c r="D840" s="7" t="s">
        <v>23</v>
      </c>
      <c r="E840" s="7" t="s">
        <v>338</v>
      </c>
      <c r="F840" s="7" t="s">
        <v>101</v>
      </c>
      <c r="G840" s="7" t="s">
        <v>373</v>
      </c>
      <c r="H840" s="7">
        <v>5</v>
      </c>
      <c r="I840" s="2">
        <v>17.989999999999998</v>
      </c>
      <c r="J840" s="2">
        <f>Tabla2[[#This Row],[Quantity]]*I840</f>
        <v>89.949999999999989</v>
      </c>
      <c r="K840" s="6">
        <f>MONTH(Tabla2[[#This Row],[OrderDate]])</f>
        <v>6</v>
      </c>
      <c r="L840" s="6">
        <f>YEAR(Tabla2[[#This Row],[OrderDate]])</f>
        <v>2024</v>
      </c>
      <c r="M840" s="7" t="s">
        <v>1503</v>
      </c>
      <c r="N840" s="7" t="s">
        <v>45</v>
      </c>
    </row>
    <row r="841" spans="1:14" x14ac:dyDescent="0.35">
      <c r="A841" s="7" t="s">
        <v>1925</v>
      </c>
      <c r="B841" s="7" t="s">
        <v>707</v>
      </c>
      <c r="C841" s="7" t="s">
        <v>708</v>
      </c>
      <c r="D841" s="7" t="s">
        <v>14</v>
      </c>
      <c r="E841" s="7" t="s">
        <v>125</v>
      </c>
      <c r="F841" s="7" t="s">
        <v>101</v>
      </c>
      <c r="G841" s="7" t="s">
        <v>373</v>
      </c>
      <c r="H841" s="7">
        <v>2</v>
      </c>
      <c r="I841" s="2">
        <v>1226.3800000000001</v>
      </c>
      <c r="J841" s="2">
        <f>Tabla2[[#This Row],[Quantity]]*I841</f>
        <v>2452.7600000000002</v>
      </c>
      <c r="K841" s="6">
        <f>MONTH(Tabla2[[#This Row],[OrderDate]])</f>
        <v>1</v>
      </c>
      <c r="L841" s="6">
        <f>YEAR(Tabla2[[#This Row],[OrderDate]])</f>
        <v>2025</v>
      </c>
      <c r="M841" s="7" t="s">
        <v>1404</v>
      </c>
      <c r="N841" s="7" t="s">
        <v>91</v>
      </c>
    </row>
    <row r="842" spans="1:14" x14ac:dyDescent="0.35">
      <c r="A842" s="7" t="s">
        <v>1926</v>
      </c>
      <c r="B842" s="7" t="s">
        <v>1662</v>
      </c>
      <c r="C842" s="7" t="s">
        <v>1663</v>
      </c>
      <c r="D842" s="7" t="s">
        <v>32</v>
      </c>
      <c r="E842" s="7" t="s">
        <v>33</v>
      </c>
      <c r="F842" s="7" t="s">
        <v>101</v>
      </c>
      <c r="G842" s="7" t="s">
        <v>373</v>
      </c>
      <c r="H842" s="7">
        <v>1</v>
      </c>
      <c r="I842" s="2">
        <v>1310.04</v>
      </c>
      <c r="J842" s="2">
        <f>Tabla2[[#This Row],[Quantity]]*I842</f>
        <v>1310.04</v>
      </c>
      <c r="K842" s="6">
        <f>MONTH(Tabla2[[#This Row],[OrderDate]])</f>
        <v>8</v>
      </c>
      <c r="L842" s="6">
        <f>YEAR(Tabla2[[#This Row],[OrderDate]])</f>
        <v>2024</v>
      </c>
      <c r="M842" s="7" t="s">
        <v>1927</v>
      </c>
      <c r="N842" s="7" t="s">
        <v>19</v>
      </c>
    </row>
    <row r="843" spans="1:14" x14ac:dyDescent="0.35">
      <c r="A843" s="7" t="s">
        <v>1928</v>
      </c>
      <c r="B843" s="7" t="s">
        <v>348</v>
      </c>
      <c r="C843" s="7" t="s">
        <v>349</v>
      </c>
      <c r="D843" s="7" t="s">
        <v>14</v>
      </c>
      <c r="E843" s="7" t="s">
        <v>15</v>
      </c>
      <c r="F843" s="7" t="s">
        <v>16</v>
      </c>
      <c r="G843" s="7" t="s">
        <v>177</v>
      </c>
      <c r="H843" s="7">
        <v>1</v>
      </c>
      <c r="I843" s="2">
        <v>140.01</v>
      </c>
      <c r="J843" s="2">
        <f>Tabla2[[#This Row],[Quantity]]*I843</f>
        <v>140.01</v>
      </c>
      <c r="K843" s="6">
        <f>MONTH(Tabla2[[#This Row],[OrderDate]])</f>
        <v>6</v>
      </c>
      <c r="L843" s="6">
        <f>YEAR(Tabla2[[#This Row],[OrderDate]])</f>
        <v>2025</v>
      </c>
      <c r="M843" s="7" t="s">
        <v>1929</v>
      </c>
      <c r="N843" s="7" t="s">
        <v>91</v>
      </c>
    </row>
    <row r="844" spans="1:14" x14ac:dyDescent="0.35">
      <c r="A844" s="7" t="s">
        <v>1930</v>
      </c>
      <c r="B844" s="7" t="s">
        <v>180</v>
      </c>
      <c r="C844" s="7" t="s">
        <v>181</v>
      </c>
      <c r="D844" s="7" t="s">
        <v>23</v>
      </c>
      <c r="E844" s="7" t="s">
        <v>49</v>
      </c>
      <c r="F844" s="7" t="s">
        <v>16</v>
      </c>
      <c r="G844" s="7" t="s">
        <v>148</v>
      </c>
      <c r="H844" s="7">
        <v>1</v>
      </c>
      <c r="I844" s="2">
        <v>118.43</v>
      </c>
      <c r="J844" s="2">
        <f>Tabla2[[#This Row],[Quantity]]*I844</f>
        <v>118.43</v>
      </c>
      <c r="K844" s="6">
        <f>MONTH(Tabla2[[#This Row],[OrderDate]])</f>
        <v>8</v>
      </c>
      <c r="L844" s="6">
        <f>YEAR(Tabla2[[#This Row],[OrderDate]])</f>
        <v>2024</v>
      </c>
      <c r="M844" s="7" t="s">
        <v>1931</v>
      </c>
      <c r="N844" s="7" t="s">
        <v>91</v>
      </c>
    </row>
    <row r="845" spans="1:14" x14ac:dyDescent="0.35">
      <c r="A845" s="7" t="s">
        <v>1932</v>
      </c>
      <c r="B845" s="7" t="s">
        <v>860</v>
      </c>
      <c r="C845" s="7" t="s">
        <v>861</v>
      </c>
      <c r="D845" s="7" t="s">
        <v>40</v>
      </c>
      <c r="E845" s="7" t="s">
        <v>120</v>
      </c>
      <c r="F845" s="7" t="s">
        <v>101</v>
      </c>
      <c r="G845" s="7" t="s">
        <v>373</v>
      </c>
      <c r="H845" s="7">
        <v>3</v>
      </c>
      <c r="I845" s="2">
        <v>159.03</v>
      </c>
      <c r="J845" s="2">
        <f>Tabla2[[#This Row],[Quantity]]*I845</f>
        <v>477.09000000000003</v>
      </c>
      <c r="K845" s="6">
        <f>MONTH(Tabla2[[#This Row],[OrderDate]])</f>
        <v>4</v>
      </c>
      <c r="L845" s="6">
        <f>YEAR(Tabla2[[#This Row],[OrderDate]])</f>
        <v>2024</v>
      </c>
      <c r="M845" s="7" t="s">
        <v>365</v>
      </c>
      <c r="N845" s="7" t="s">
        <v>28</v>
      </c>
    </row>
    <row r="846" spans="1:14" x14ac:dyDescent="0.35">
      <c r="A846" s="7" t="s">
        <v>1933</v>
      </c>
      <c r="B846" s="7" t="s">
        <v>59</v>
      </c>
      <c r="C846" s="7" t="s">
        <v>60</v>
      </c>
      <c r="D846" s="7" t="s">
        <v>23</v>
      </c>
      <c r="E846" s="7" t="s">
        <v>49</v>
      </c>
      <c r="F846" s="7" t="s">
        <v>50</v>
      </c>
      <c r="G846" s="7" t="s">
        <v>56</v>
      </c>
      <c r="H846" s="7">
        <v>3</v>
      </c>
      <c r="I846" s="2">
        <v>701.86</v>
      </c>
      <c r="J846" s="2">
        <f>Tabla2[[#This Row],[Quantity]]*I846</f>
        <v>2105.58</v>
      </c>
      <c r="K846" s="6">
        <f>MONTH(Tabla2[[#This Row],[OrderDate]])</f>
        <v>11</v>
      </c>
      <c r="L846" s="6">
        <f>YEAR(Tabla2[[#This Row],[OrderDate]])</f>
        <v>2024</v>
      </c>
      <c r="M846" s="7" t="s">
        <v>1934</v>
      </c>
      <c r="N846" s="7" t="s">
        <v>28</v>
      </c>
    </row>
    <row r="847" spans="1:14" x14ac:dyDescent="0.35">
      <c r="A847" s="7" t="s">
        <v>1935</v>
      </c>
      <c r="B847" s="7" t="s">
        <v>367</v>
      </c>
      <c r="C847" s="7" t="s">
        <v>368</v>
      </c>
      <c r="D847" s="7" t="s">
        <v>40</v>
      </c>
      <c r="E847" s="7" t="s">
        <v>120</v>
      </c>
      <c r="F847" s="7" t="s">
        <v>42</v>
      </c>
      <c r="G847" s="7" t="s">
        <v>80</v>
      </c>
      <c r="H847" s="7">
        <v>5</v>
      </c>
      <c r="I847" s="2">
        <v>5.19</v>
      </c>
      <c r="J847" s="2">
        <f>Tabla2[[#This Row],[Quantity]]*I847</f>
        <v>25.950000000000003</v>
      </c>
      <c r="K847" s="6">
        <f>MONTH(Tabla2[[#This Row],[OrderDate]])</f>
        <v>1</v>
      </c>
      <c r="L847" s="6">
        <f>YEAR(Tabla2[[#This Row],[OrderDate]])</f>
        <v>2026</v>
      </c>
      <c r="M847" s="7" t="s">
        <v>126</v>
      </c>
      <c r="N847" s="7" t="s">
        <v>36</v>
      </c>
    </row>
    <row r="848" spans="1:14" x14ac:dyDescent="0.35">
      <c r="A848" s="7" t="s">
        <v>1936</v>
      </c>
      <c r="B848" s="7" t="s">
        <v>842</v>
      </c>
      <c r="C848" s="7" t="s">
        <v>843</v>
      </c>
      <c r="D848" s="7" t="s">
        <v>14</v>
      </c>
      <c r="E848" s="7" t="s">
        <v>125</v>
      </c>
      <c r="F848" s="7" t="s">
        <v>50</v>
      </c>
      <c r="G848" s="7" t="s">
        <v>51</v>
      </c>
      <c r="H848" s="7">
        <v>1</v>
      </c>
      <c r="I848" s="2">
        <v>1076.3499999999999</v>
      </c>
      <c r="J848" s="2">
        <f>Tabla2[[#This Row],[Quantity]]*I848</f>
        <v>1076.3499999999999</v>
      </c>
      <c r="K848" s="6">
        <f>MONTH(Tabla2[[#This Row],[OrderDate]])</f>
        <v>1</v>
      </c>
      <c r="L848" s="6">
        <f>YEAR(Tabla2[[#This Row],[OrderDate]])</f>
        <v>2026</v>
      </c>
      <c r="M848" s="7" t="s">
        <v>614</v>
      </c>
      <c r="N848" s="7" t="s">
        <v>19</v>
      </c>
    </row>
    <row r="849" spans="1:14" x14ac:dyDescent="0.35">
      <c r="A849" s="7" t="s">
        <v>1937</v>
      </c>
      <c r="B849" s="7" t="s">
        <v>72</v>
      </c>
      <c r="C849" s="7" t="s">
        <v>73</v>
      </c>
      <c r="D849" s="7" t="s">
        <v>67</v>
      </c>
      <c r="E849" s="7" t="s">
        <v>130</v>
      </c>
      <c r="F849" s="7" t="s">
        <v>25</v>
      </c>
      <c r="G849" s="7" t="s">
        <v>26</v>
      </c>
      <c r="H849" s="7">
        <v>3</v>
      </c>
      <c r="I849" s="2">
        <v>1021.96</v>
      </c>
      <c r="J849" s="2">
        <f>Tabla2[[#This Row],[Quantity]]*I849</f>
        <v>3065.88</v>
      </c>
      <c r="K849" s="6">
        <f>MONTH(Tabla2[[#This Row],[OrderDate]])</f>
        <v>1</v>
      </c>
      <c r="L849" s="6">
        <f>YEAR(Tabla2[[#This Row],[OrderDate]])</f>
        <v>2024</v>
      </c>
      <c r="M849" s="7" t="s">
        <v>1938</v>
      </c>
      <c r="N849" s="7" t="s">
        <v>36</v>
      </c>
    </row>
    <row r="850" spans="1:14" x14ac:dyDescent="0.35">
      <c r="A850" s="7" t="s">
        <v>1939</v>
      </c>
      <c r="B850" s="7" t="s">
        <v>1940</v>
      </c>
      <c r="C850" s="7" t="s">
        <v>1941</v>
      </c>
      <c r="D850" s="7" t="s">
        <v>32</v>
      </c>
      <c r="E850" s="7" t="s">
        <v>203</v>
      </c>
      <c r="F850" s="7" t="s">
        <v>101</v>
      </c>
      <c r="G850" s="7" t="s">
        <v>165</v>
      </c>
      <c r="H850" s="7">
        <v>1</v>
      </c>
      <c r="I850" s="2">
        <v>1225.07</v>
      </c>
      <c r="J850" s="2">
        <f>Tabla2[[#This Row],[Quantity]]*I850</f>
        <v>1225.07</v>
      </c>
      <c r="K850" s="6">
        <f>MONTH(Tabla2[[#This Row],[OrderDate]])</f>
        <v>9</v>
      </c>
      <c r="L850" s="6">
        <f>YEAR(Tabla2[[#This Row],[OrderDate]])</f>
        <v>2025</v>
      </c>
      <c r="M850" s="7" t="s">
        <v>1942</v>
      </c>
      <c r="N850" s="7" t="s">
        <v>91</v>
      </c>
    </row>
    <row r="851" spans="1:14" x14ac:dyDescent="0.35">
      <c r="A851" s="7" t="s">
        <v>1943</v>
      </c>
      <c r="B851" s="7" t="s">
        <v>1159</v>
      </c>
      <c r="C851" s="7" t="s">
        <v>1160</v>
      </c>
      <c r="D851" s="7" t="s">
        <v>32</v>
      </c>
      <c r="E851" s="7" t="s">
        <v>61</v>
      </c>
      <c r="F851" s="7" t="s">
        <v>25</v>
      </c>
      <c r="G851" s="7" t="s">
        <v>74</v>
      </c>
      <c r="H851" s="7">
        <v>5</v>
      </c>
      <c r="I851" s="2">
        <v>233.94</v>
      </c>
      <c r="J851" s="2">
        <f>Tabla2[[#This Row],[Quantity]]*I851</f>
        <v>1169.7</v>
      </c>
      <c r="K851" s="6">
        <f>MONTH(Tabla2[[#This Row],[OrderDate]])</f>
        <v>1</v>
      </c>
      <c r="L851" s="6">
        <f>YEAR(Tabla2[[#This Row],[OrderDate]])</f>
        <v>2026</v>
      </c>
      <c r="M851" s="7" t="s">
        <v>1235</v>
      </c>
      <c r="N851" s="7" t="s">
        <v>28</v>
      </c>
    </row>
    <row r="852" spans="1:14" x14ac:dyDescent="0.35">
      <c r="A852" s="7" t="s">
        <v>1944</v>
      </c>
      <c r="B852" s="7" t="s">
        <v>791</v>
      </c>
      <c r="C852" s="7" t="s">
        <v>792</v>
      </c>
      <c r="D852" s="7" t="s">
        <v>23</v>
      </c>
      <c r="E852" s="7" t="s">
        <v>49</v>
      </c>
      <c r="F852" s="7" t="s">
        <v>101</v>
      </c>
      <c r="G852" s="7" t="s">
        <v>373</v>
      </c>
      <c r="H852" s="7">
        <v>4</v>
      </c>
      <c r="I852" s="2">
        <v>550.34</v>
      </c>
      <c r="J852" s="2">
        <f>Tabla2[[#This Row],[Quantity]]*I852</f>
        <v>2201.36</v>
      </c>
      <c r="K852" s="6">
        <f>MONTH(Tabla2[[#This Row],[OrderDate]])</f>
        <v>11</v>
      </c>
      <c r="L852" s="6">
        <f>YEAR(Tabla2[[#This Row],[OrderDate]])</f>
        <v>2025</v>
      </c>
      <c r="M852" s="7" t="s">
        <v>1781</v>
      </c>
      <c r="N852" s="7" t="s">
        <v>45</v>
      </c>
    </row>
    <row r="853" spans="1:14" x14ac:dyDescent="0.35">
      <c r="A853" s="7" t="s">
        <v>1945</v>
      </c>
      <c r="B853" s="7" t="s">
        <v>500</v>
      </c>
      <c r="C853" s="7" t="s">
        <v>501</v>
      </c>
      <c r="D853" s="7" t="s">
        <v>14</v>
      </c>
      <c r="E853" s="7" t="s">
        <v>100</v>
      </c>
      <c r="F853" s="7" t="s">
        <v>25</v>
      </c>
      <c r="G853" s="7" t="s">
        <v>74</v>
      </c>
      <c r="H853" s="7">
        <v>5</v>
      </c>
      <c r="I853" s="2">
        <v>1235.82</v>
      </c>
      <c r="J853" s="2">
        <f>Tabla2[[#This Row],[Quantity]]*I853</f>
        <v>6179.0999999999995</v>
      </c>
      <c r="K853" s="6">
        <f>MONTH(Tabla2[[#This Row],[OrderDate]])</f>
        <v>8</v>
      </c>
      <c r="L853" s="6">
        <f>YEAR(Tabla2[[#This Row],[OrderDate]])</f>
        <v>2024</v>
      </c>
      <c r="M853" s="7" t="s">
        <v>1822</v>
      </c>
      <c r="N853" s="7" t="s">
        <v>19</v>
      </c>
    </row>
    <row r="854" spans="1:14" x14ac:dyDescent="0.35">
      <c r="A854" s="7" t="s">
        <v>1946</v>
      </c>
      <c r="B854" s="7" t="s">
        <v>206</v>
      </c>
      <c r="C854" s="7" t="s">
        <v>207</v>
      </c>
      <c r="D854" s="7" t="s">
        <v>23</v>
      </c>
      <c r="E854" s="7" t="s">
        <v>338</v>
      </c>
      <c r="F854" s="7" t="s">
        <v>50</v>
      </c>
      <c r="G854" s="7" t="s">
        <v>170</v>
      </c>
      <c r="H854" s="7">
        <v>4</v>
      </c>
      <c r="I854" s="2">
        <v>921.66</v>
      </c>
      <c r="J854" s="2">
        <f>Tabla2[[#This Row],[Quantity]]*I854</f>
        <v>3686.64</v>
      </c>
      <c r="K854" s="6">
        <f>MONTH(Tabla2[[#This Row],[OrderDate]])</f>
        <v>3</v>
      </c>
      <c r="L854" s="6">
        <f>YEAR(Tabla2[[#This Row],[OrderDate]])</f>
        <v>2025</v>
      </c>
      <c r="M854" s="7" t="s">
        <v>1947</v>
      </c>
      <c r="N854" s="7" t="s">
        <v>36</v>
      </c>
    </row>
    <row r="855" spans="1:14" x14ac:dyDescent="0.35">
      <c r="A855" s="7" t="s">
        <v>1948</v>
      </c>
      <c r="B855" s="7" t="s">
        <v>260</v>
      </c>
      <c r="C855" s="7" t="s">
        <v>261</v>
      </c>
      <c r="D855" s="7" t="s">
        <v>32</v>
      </c>
      <c r="E855" s="7" t="s">
        <v>203</v>
      </c>
      <c r="F855" s="7" t="s">
        <v>101</v>
      </c>
      <c r="G855" s="7" t="s">
        <v>649</v>
      </c>
      <c r="H855" s="7">
        <v>5</v>
      </c>
      <c r="I855" s="2">
        <v>788.19</v>
      </c>
      <c r="J855" s="2">
        <f>Tabla2[[#This Row],[Quantity]]*I855</f>
        <v>3940.9500000000003</v>
      </c>
      <c r="K855" s="6">
        <f>MONTH(Tabla2[[#This Row],[OrderDate]])</f>
        <v>1</v>
      </c>
      <c r="L855" s="6">
        <f>YEAR(Tabla2[[#This Row],[OrderDate]])</f>
        <v>2025</v>
      </c>
      <c r="M855" s="7" t="s">
        <v>1949</v>
      </c>
      <c r="N855" s="7" t="s">
        <v>19</v>
      </c>
    </row>
    <row r="856" spans="1:14" x14ac:dyDescent="0.35">
      <c r="A856" s="7" t="s">
        <v>1950</v>
      </c>
      <c r="B856" s="7" t="s">
        <v>947</v>
      </c>
      <c r="C856" s="7" t="s">
        <v>948</v>
      </c>
      <c r="D856" s="7" t="s">
        <v>67</v>
      </c>
      <c r="E856" s="7" t="s">
        <v>115</v>
      </c>
      <c r="F856" s="7" t="s">
        <v>42</v>
      </c>
      <c r="G856" s="7" t="s">
        <v>89</v>
      </c>
      <c r="H856" s="7">
        <v>1</v>
      </c>
      <c r="I856" s="2">
        <v>1416.61</v>
      </c>
      <c r="J856" s="2">
        <f>Tabla2[[#This Row],[Quantity]]*I856</f>
        <v>1416.61</v>
      </c>
      <c r="K856" s="6">
        <f>MONTH(Tabla2[[#This Row],[OrderDate]])</f>
        <v>12</v>
      </c>
      <c r="L856" s="6">
        <f>YEAR(Tabla2[[#This Row],[OrderDate]])</f>
        <v>2024</v>
      </c>
      <c r="M856" s="7" t="s">
        <v>1919</v>
      </c>
      <c r="N856" s="7" t="s">
        <v>28</v>
      </c>
    </row>
    <row r="857" spans="1:14" x14ac:dyDescent="0.35">
      <c r="A857" s="7" t="s">
        <v>1951</v>
      </c>
      <c r="B857" s="7" t="s">
        <v>155</v>
      </c>
      <c r="C857" s="7" t="s">
        <v>156</v>
      </c>
      <c r="D857" s="7" t="s">
        <v>23</v>
      </c>
      <c r="E857" s="7" t="s">
        <v>24</v>
      </c>
      <c r="F857" s="7" t="s">
        <v>16</v>
      </c>
      <c r="G857" s="7" t="s">
        <v>230</v>
      </c>
      <c r="H857" s="7">
        <v>4</v>
      </c>
      <c r="I857" s="2">
        <v>919.85</v>
      </c>
      <c r="J857" s="2">
        <f>Tabla2[[#This Row],[Quantity]]*I857</f>
        <v>3679.4</v>
      </c>
      <c r="K857" s="6">
        <f>MONTH(Tabla2[[#This Row],[OrderDate]])</f>
        <v>3</v>
      </c>
      <c r="L857" s="6">
        <f>YEAR(Tabla2[[#This Row],[OrderDate]])</f>
        <v>2024</v>
      </c>
      <c r="M857" s="7" t="s">
        <v>1952</v>
      </c>
      <c r="N857" s="7" t="s">
        <v>28</v>
      </c>
    </row>
    <row r="858" spans="1:14" x14ac:dyDescent="0.35">
      <c r="A858" s="7" t="s">
        <v>1953</v>
      </c>
      <c r="B858" s="7" t="s">
        <v>151</v>
      </c>
      <c r="C858" s="7" t="s">
        <v>152</v>
      </c>
      <c r="D858" s="7" t="s">
        <v>14</v>
      </c>
      <c r="E858" s="7" t="s">
        <v>100</v>
      </c>
      <c r="F858" s="7" t="s">
        <v>25</v>
      </c>
      <c r="G858" s="7" t="s">
        <v>62</v>
      </c>
      <c r="H858" s="7">
        <v>2</v>
      </c>
      <c r="I858" s="2">
        <v>94.69</v>
      </c>
      <c r="J858" s="2">
        <f>Tabla2[[#This Row],[Quantity]]*I858</f>
        <v>189.38</v>
      </c>
      <c r="K858" s="6">
        <f>MONTH(Tabla2[[#This Row],[OrderDate]])</f>
        <v>3</v>
      </c>
      <c r="L858" s="6">
        <f>YEAR(Tabla2[[#This Row],[OrderDate]])</f>
        <v>2025</v>
      </c>
      <c r="M858" s="7" t="s">
        <v>343</v>
      </c>
      <c r="N858" s="7" t="s">
        <v>91</v>
      </c>
    </row>
    <row r="859" spans="1:14" x14ac:dyDescent="0.35">
      <c r="A859" s="7" t="s">
        <v>1954</v>
      </c>
      <c r="B859" s="7" t="s">
        <v>775</v>
      </c>
      <c r="C859" s="7" t="s">
        <v>776</v>
      </c>
      <c r="D859" s="7" t="s">
        <v>23</v>
      </c>
      <c r="E859" s="7" t="s">
        <v>24</v>
      </c>
      <c r="F859" s="7" t="s">
        <v>101</v>
      </c>
      <c r="G859" s="7" t="s">
        <v>165</v>
      </c>
      <c r="H859" s="7">
        <v>1</v>
      </c>
      <c r="I859" s="2">
        <v>1399.92</v>
      </c>
      <c r="J859" s="2">
        <f>Tabla2[[#This Row],[Quantity]]*I859</f>
        <v>1399.92</v>
      </c>
      <c r="K859" s="6">
        <f>MONTH(Tabla2[[#This Row],[OrderDate]])</f>
        <v>7</v>
      </c>
      <c r="L859" s="6">
        <f>YEAR(Tabla2[[#This Row],[OrderDate]])</f>
        <v>2025</v>
      </c>
      <c r="M859" s="7" t="s">
        <v>572</v>
      </c>
      <c r="N859" s="7" t="s">
        <v>28</v>
      </c>
    </row>
    <row r="860" spans="1:14" x14ac:dyDescent="0.35">
      <c r="A860" s="7" t="s">
        <v>1955</v>
      </c>
      <c r="B860" s="7" t="s">
        <v>598</v>
      </c>
      <c r="C860" s="7" t="s">
        <v>599</v>
      </c>
      <c r="D860" s="7" t="s">
        <v>67</v>
      </c>
      <c r="E860" s="7" t="s">
        <v>68</v>
      </c>
      <c r="F860" s="7" t="s">
        <v>16</v>
      </c>
      <c r="G860" s="7" t="s">
        <v>148</v>
      </c>
      <c r="H860" s="7">
        <v>2</v>
      </c>
      <c r="I860" s="2">
        <v>686.68</v>
      </c>
      <c r="J860" s="2">
        <f>Tabla2[[#This Row],[Quantity]]*I860</f>
        <v>1373.36</v>
      </c>
      <c r="K860" s="6">
        <f>MONTH(Tabla2[[#This Row],[OrderDate]])</f>
        <v>2</v>
      </c>
      <c r="L860" s="6">
        <f>YEAR(Tabla2[[#This Row],[OrderDate]])</f>
        <v>2026</v>
      </c>
      <c r="M860" s="7" t="s">
        <v>1237</v>
      </c>
      <c r="N860" s="7" t="s">
        <v>91</v>
      </c>
    </row>
    <row r="861" spans="1:14" x14ac:dyDescent="0.35">
      <c r="A861" s="7" t="s">
        <v>1956</v>
      </c>
      <c r="B861" s="7" t="s">
        <v>817</v>
      </c>
      <c r="C861" s="7" t="s">
        <v>818</v>
      </c>
      <c r="D861" s="7" t="s">
        <v>14</v>
      </c>
      <c r="E861" s="7" t="s">
        <v>100</v>
      </c>
      <c r="F861" s="7" t="s">
        <v>101</v>
      </c>
      <c r="G861" s="7" t="s">
        <v>237</v>
      </c>
      <c r="H861" s="7">
        <v>5</v>
      </c>
      <c r="I861" s="2">
        <v>259.89</v>
      </c>
      <c r="J861" s="2">
        <f>Tabla2[[#This Row],[Quantity]]*I861</f>
        <v>1299.4499999999998</v>
      </c>
      <c r="K861" s="6">
        <f>MONTH(Tabla2[[#This Row],[OrderDate]])</f>
        <v>5</v>
      </c>
      <c r="L861" s="6">
        <f>YEAR(Tabla2[[#This Row],[OrderDate]])</f>
        <v>2025</v>
      </c>
      <c r="M861" s="7" t="s">
        <v>570</v>
      </c>
      <c r="N861" s="7" t="s">
        <v>28</v>
      </c>
    </row>
    <row r="862" spans="1:14" x14ac:dyDescent="0.35">
      <c r="A862" s="7" t="s">
        <v>1957</v>
      </c>
      <c r="B862" s="7" t="s">
        <v>87</v>
      </c>
      <c r="C862" s="7" t="s">
        <v>88</v>
      </c>
      <c r="D862" s="7" t="s">
        <v>40</v>
      </c>
      <c r="E862" s="7" t="s">
        <v>79</v>
      </c>
      <c r="F862" s="7" t="s">
        <v>16</v>
      </c>
      <c r="G862" s="7" t="s">
        <v>148</v>
      </c>
      <c r="H862" s="7">
        <v>1</v>
      </c>
      <c r="I862" s="2">
        <v>1223.92</v>
      </c>
      <c r="J862" s="2">
        <f>Tabla2[[#This Row],[Quantity]]*I862</f>
        <v>1223.92</v>
      </c>
      <c r="K862" s="6">
        <f>MONTH(Tabla2[[#This Row],[OrderDate]])</f>
        <v>2</v>
      </c>
      <c r="L862" s="6">
        <f>YEAR(Tabla2[[#This Row],[OrderDate]])</f>
        <v>2024</v>
      </c>
      <c r="M862" s="7" t="s">
        <v>546</v>
      </c>
      <c r="N862" s="7" t="s">
        <v>36</v>
      </c>
    </row>
    <row r="863" spans="1:14" x14ac:dyDescent="0.35">
      <c r="A863" s="7" t="s">
        <v>1958</v>
      </c>
      <c r="B863" s="7" t="s">
        <v>1092</v>
      </c>
      <c r="C863" s="7" t="s">
        <v>1093</v>
      </c>
      <c r="D863" s="7" t="s">
        <v>23</v>
      </c>
      <c r="E863" s="7" t="s">
        <v>338</v>
      </c>
      <c r="F863" s="7" t="s">
        <v>50</v>
      </c>
      <c r="G863" s="7" t="s">
        <v>216</v>
      </c>
      <c r="H863" s="7">
        <v>1</v>
      </c>
      <c r="I863" s="2">
        <v>193.29</v>
      </c>
      <c r="J863" s="2">
        <f>Tabla2[[#This Row],[Quantity]]*I863</f>
        <v>193.29</v>
      </c>
      <c r="K863" s="6">
        <f>MONTH(Tabla2[[#This Row],[OrderDate]])</f>
        <v>4</v>
      </c>
      <c r="L863" s="6">
        <f>YEAR(Tabla2[[#This Row],[OrderDate]])</f>
        <v>2025</v>
      </c>
      <c r="M863" s="7" t="s">
        <v>1217</v>
      </c>
      <c r="N863" s="7" t="s">
        <v>28</v>
      </c>
    </row>
    <row r="864" spans="1:14" x14ac:dyDescent="0.35">
      <c r="A864" s="7" t="s">
        <v>1959</v>
      </c>
      <c r="B864" s="7" t="s">
        <v>878</v>
      </c>
      <c r="C864" s="7" t="s">
        <v>879</v>
      </c>
      <c r="D864" s="7" t="s">
        <v>67</v>
      </c>
      <c r="E864" s="7" t="s">
        <v>115</v>
      </c>
      <c r="F864" s="7" t="s">
        <v>16</v>
      </c>
      <c r="G864" s="7" t="s">
        <v>182</v>
      </c>
      <c r="H864" s="7">
        <v>3</v>
      </c>
      <c r="I864" s="2">
        <v>1044.98</v>
      </c>
      <c r="J864" s="2">
        <f>Tabla2[[#This Row],[Quantity]]*I864</f>
        <v>3134.94</v>
      </c>
      <c r="K864" s="6">
        <f>MONTH(Tabla2[[#This Row],[OrderDate]])</f>
        <v>3</v>
      </c>
      <c r="L864" s="6">
        <f>YEAR(Tabla2[[#This Row],[OrderDate]])</f>
        <v>2025</v>
      </c>
      <c r="M864" s="7" t="s">
        <v>1672</v>
      </c>
      <c r="N864" s="7" t="s">
        <v>19</v>
      </c>
    </row>
    <row r="865" spans="1:14" x14ac:dyDescent="0.35">
      <c r="A865" s="7" t="s">
        <v>1960</v>
      </c>
      <c r="B865" s="7" t="s">
        <v>1176</v>
      </c>
      <c r="C865" s="7" t="s">
        <v>1177</v>
      </c>
      <c r="D865" s="7" t="s">
        <v>67</v>
      </c>
      <c r="E865" s="7" t="s">
        <v>115</v>
      </c>
      <c r="F865" s="7" t="s">
        <v>50</v>
      </c>
      <c r="G865" s="7" t="s">
        <v>51</v>
      </c>
      <c r="H865" s="7">
        <v>4</v>
      </c>
      <c r="I865" s="2">
        <v>1356.52</v>
      </c>
      <c r="J865" s="2">
        <f>Tabla2[[#This Row],[Quantity]]*I865</f>
        <v>5426.08</v>
      </c>
      <c r="K865" s="6">
        <f>MONTH(Tabla2[[#This Row],[OrderDate]])</f>
        <v>7</v>
      </c>
      <c r="L865" s="6">
        <f>YEAR(Tabla2[[#This Row],[OrderDate]])</f>
        <v>2025</v>
      </c>
      <c r="M865" s="7" t="s">
        <v>1961</v>
      </c>
      <c r="N865" s="7" t="s">
        <v>45</v>
      </c>
    </row>
    <row r="866" spans="1:14" x14ac:dyDescent="0.35">
      <c r="A866" s="7" t="s">
        <v>1962</v>
      </c>
      <c r="B866" s="7" t="s">
        <v>295</v>
      </c>
      <c r="C866" s="7" t="s">
        <v>296</v>
      </c>
      <c r="D866" s="7" t="s">
        <v>40</v>
      </c>
      <c r="E866" s="7" t="s">
        <v>120</v>
      </c>
      <c r="F866" s="7" t="s">
        <v>50</v>
      </c>
      <c r="G866" s="7" t="s">
        <v>69</v>
      </c>
      <c r="H866" s="7">
        <v>1</v>
      </c>
      <c r="I866" s="2">
        <v>907.47</v>
      </c>
      <c r="J866" s="2">
        <f>Tabla2[[#This Row],[Quantity]]*I866</f>
        <v>907.47</v>
      </c>
      <c r="K866" s="6">
        <f>MONTH(Tabla2[[#This Row],[OrderDate]])</f>
        <v>11</v>
      </c>
      <c r="L866" s="6">
        <f>YEAR(Tabla2[[#This Row],[OrderDate]])</f>
        <v>2025</v>
      </c>
      <c r="M866" s="7" t="s">
        <v>1963</v>
      </c>
      <c r="N866" s="7" t="s">
        <v>28</v>
      </c>
    </row>
    <row r="867" spans="1:14" x14ac:dyDescent="0.35">
      <c r="A867" s="7" t="s">
        <v>1964</v>
      </c>
      <c r="B867" s="7" t="s">
        <v>470</v>
      </c>
      <c r="C867" s="7" t="s">
        <v>471</v>
      </c>
      <c r="D867" s="7" t="s">
        <v>40</v>
      </c>
      <c r="E867" s="7" t="s">
        <v>79</v>
      </c>
      <c r="F867" s="7" t="s">
        <v>25</v>
      </c>
      <c r="G867" s="7" t="s">
        <v>139</v>
      </c>
      <c r="H867" s="7">
        <v>3</v>
      </c>
      <c r="I867" s="2">
        <v>981.74</v>
      </c>
      <c r="J867" s="2">
        <f>Tabla2[[#This Row],[Quantity]]*I867</f>
        <v>2945.2200000000003</v>
      </c>
      <c r="K867" s="6">
        <f>MONTH(Tabla2[[#This Row],[OrderDate]])</f>
        <v>1</v>
      </c>
      <c r="L867" s="6">
        <f>YEAR(Tabla2[[#This Row],[OrderDate]])</f>
        <v>2024</v>
      </c>
      <c r="M867" s="7" t="s">
        <v>1791</v>
      </c>
      <c r="N867" s="7" t="s">
        <v>36</v>
      </c>
    </row>
    <row r="868" spans="1:14" x14ac:dyDescent="0.35">
      <c r="A868" s="7" t="s">
        <v>1965</v>
      </c>
      <c r="B868" s="7" t="s">
        <v>856</v>
      </c>
      <c r="C868" s="7" t="s">
        <v>857</v>
      </c>
      <c r="D868" s="7" t="s">
        <v>23</v>
      </c>
      <c r="E868" s="7" t="s">
        <v>338</v>
      </c>
      <c r="F868" s="7" t="s">
        <v>25</v>
      </c>
      <c r="G868" s="7" t="s">
        <v>74</v>
      </c>
      <c r="H868" s="7">
        <v>3</v>
      </c>
      <c r="I868" s="2">
        <v>699.01</v>
      </c>
      <c r="J868" s="2">
        <f>Tabla2[[#This Row],[Quantity]]*I868</f>
        <v>2097.0299999999997</v>
      </c>
      <c r="K868" s="6">
        <f>MONTH(Tabla2[[#This Row],[OrderDate]])</f>
        <v>11</v>
      </c>
      <c r="L868" s="6">
        <f>YEAR(Tabla2[[#This Row],[OrderDate]])</f>
        <v>2024</v>
      </c>
      <c r="M868" s="7" t="s">
        <v>1966</v>
      </c>
      <c r="N868" s="7" t="s">
        <v>28</v>
      </c>
    </row>
    <row r="869" spans="1:14" x14ac:dyDescent="0.35">
      <c r="A869" s="7" t="s">
        <v>1967</v>
      </c>
      <c r="B869" s="7" t="s">
        <v>47</v>
      </c>
      <c r="C869" s="7" t="s">
        <v>48</v>
      </c>
      <c r="D869" s="7" t="s">
        <v>14</v>
      </c>
      <c r="E869" s="7" t="s">
        <v>15</v>
      </c>
      <c r="F869" s="7" t="s">
        <v>16</v>
      </c>
      <c r="G869" s="7" t="s">
        <v>182</v>
      </c>
      <c r="H869" s="7">
        <v>3</v>
      </c>
      <c r="I869" s="2">
        <v>1312.05</v>
      </c>
      <c r="J869" s="2">
        <f>Tabla2[[#This Row],[Quantity]]*I869</f>
        <v>3936.1499999999996</v>
      </c>
      <c r="K869" s="6">
        <f>MONTH(Tabla2[[#This Row],[OrderDate]])</f>
        <v>11</v>
      </c>
      <c r="L869" s="6">
        <f>YEAR(Tabla2[[#This Row],[OrderDate]])</f>
        <v>2025</v>
      </c>
      <c r="M869" s="7" t="s">
        <v>1963</v>
      </c>
      <c r="N869" s="7" t="s">
        <v>36</v>
      </c>
    </row>
    <row r="870" spans="1:14" x14ac:dyDescent="0.35">
      <c r="A870" s="7" t="s">
        <v>1968</v>
      </c>
      <c r="B870" s="7" t="s">
        <v>1092</v>
      </c>
      <c r="C870" s="7" t="s">
        <v>1093</v>
      </c>
      <c r="D870" s="7" t="s">
        <v>23</v>
      </c>
      <c r="E870" s="7" t="s">
        <v>49</v>
      </c>
      <c r="F870" s="7" t="s">
        <v>25</v>
      </c>
      <c r="G870" s="7" t="s">
        <v>26</v>
      </c>
      <c r="H870" s="7">
        <v>2</v>
      </c>
      <c r="I870" s="2">
        <v>1467.81</v>
      </c>
      <c r="J870" s="2">
        <f>Tabla2[[#This Row],[Quantity]]*I870</f>
        <v>2935.62</v>
      </c>
      <c r="K870" s="6">
        <f>MONTH(Tabla2[[#This Row],[OrderDate]])</f>
        <v>5</v>
      </c>
      <c r="L870" s="6">
        <f>YEAR(Tabla2[[#This Row],[OrderDate]])</f>
        <v>2024</v>
      </c>
      <c r="M870" s="7" t="s">
        <v>1758</v>
      </c>
      <c r="N870" s="7" t="s">
        <v>28</v>
      </c>
    </row>
    <row r="871" spans="1:14" x14ac:dyDescent="0.35">
      <c r="A871" s="7" t="s">
        <v>1969</v>
      </c>
      <c r="B871" s="7" t="s">
        <v>299</v>
      </c>
      <c r="C871" s="7" t="s">
        <v>300</v>
      </c>
      <c r="D871" s="7" t="s">
        <v>14</v>
      </c>
      <c r="E871" s="7" t="s">
        <v>125</v>
      </c>
      <c r="F871" s="7" t="s">
        <v>50</v>
      </c>
      <c r="G871" s="7" t="s">
        <v>56</v>
      </c>
      <c r="H871" s="7">
        <v>3</v>
      </c>
      <c r="I871" s="2">
        <v>715.55</v>
      </c>
      <c r="J871" s="2">
        <f>Tabla2[[#This Row],[Quantity]]*I871</f>
        <v>2146.6499999999996</v>
      </c>
      <c r="K871" s="6">
        <f>MONTH(Tabla2[[#This Row],[OrderDate]])</f>
        <v>7</v>
      </c>
      <c r="L871" s="6">
        <f>YEAR(Tabla2[[#This Row],[OrderDate]])</f>
        <v>2025</v>
      </c>
      <c r="M871" s="7" t="s">
        <v>1970</v>
      </c>
      <c r="N871" s="7" t="s">
        <v>19</v>
      </c>
    </row>
    <row r="872" spans="1:14" x14ac:dyDescent="0.35">
      <c r="A872" s="7" t="s">
        <v>1971</v>
      </c>
      <c r="B872" s="7" t="s">
        <v>72</v>
      </c>
      <c r="C872" s="7" t="s">
        <v>73</v>
      </c>
      <c r="D872" s="7" t="s">
        <v>32</v>
      </c>
      <c r="E872" s="7" t="s">
        <v>203</v>
      </c>
      <c r="F872" s="7" t="s">
        <v>42</v>
      </c>
      <c r="G872" s="7" t="s">
        <v>43</v>
      </c>
      <c r="H872" s="7">
        <v>3</v>
      </c>
      <c r="I872" s="2">
        <v>300.08999999999997</v>
      </c>
      <c r="J872" s="2">
        <f>Tabla2[[#This Row],[Quantity]]*I872</f>
        <v>900.27</v>
      </c>
      <c r="K872" s="6">
        <f>MONTH(Tabla2[[#This Row],[OrderDate]])</f>
        <v>2</v>
      </c>
      <c r="L872" s="6">
        <f>YEAR(Tabla2[[#This Row],[OrderDate]])</f>
        <v>2026</v>
      </c>
      <c r="M872" s="7" t="s">
        <v>671</v>
      </c>
      <c r="N872" s="7" t="s">
        <v>28</v>
      </c>
    </row>
    <row r="873" spans="1:14" x14ac:dyDescent="0.35">
      <c r="A873" s="7" t="s">
        <v>1972</v>
      </c>
      <c r="B873" s="7" t="s">
        <v>1058</v>
      </c>
      <c r="C873" s="7" t="s">
        <v>1059</v>
      </c>
      <c r="D873" s="7" t="s">
        <v>67</v>
      </c>
      <c r="E873" s="7" t="s">
        <v>130</v>
      </c>
      <c r="F873" s="7" t="s">
        <v>25</v>
      </c>
      <c r="G873" s="7" t="s">
        <v>139</v>
      </c>
      <c r="H873" s="7">
        <v>5</v>
      </c>
      <c r="I873" s="2">
        <v>699</v>
      </c>
      <c r="J873" s="2">
        <f>Tabla2[[#This Row],[Quantity]]*I873</f>
        <v>3495</v>
      </c>
      <c r="K873" s="6">
        <f>MONTH(Tabla2[[#This Row],[OrderDate]])</f>
        <v>4</v>
      </c>
      <c r="L873" s="6">
        <f>YEAR(Tabla2[[#This Row],[OrderDate]])</f>
        <v>2025</v>
      </c>
      <c r="M873" s="7" t="s">
        <v>1075</v>
      </c>
      <c r="N873" s="7" t="s">
        <v>45</v>
      </c>
    </row>
    <row r="874" spans="1:14" x14ac:dyDescent="0.35">
      <c r="A874" s="7" t="s">
        <v>1973</v>
      </c>
      <c r="B874" s="7" t="s">
        <v>180</v>
      </c>
      <c r="C874" s="7" t="s">
        <v>181</v>
      </c>
      <c r="D874" s="7" t="s">
        <v>67</v>
      </c>
      <c r="E874" s="7" t="s">
        <v>68</v>
      </c>
      <c r="F874" s="7" t="s">
        <v>101</v>
      </c>
      <c r="G874" s="7" t="s">
        <v>165</v>
      </c>
      <c r="H874" s="7">
        <v>3</v>
      </c>
      <c r="I874" s="2">
        <v>1247.9000000000001</v>
      </c>
      <c r="J874" s="2">
        <f>Tabla2[[#This Row],[Quantity]]*I874</f>
        <v>3743.7000000000003</v>
      </c>
      <c r="K874" s="6">
        <f>MONTH(Tabla2[[#This Row],[OrderDate]])</f>
        <v>8</v>
      </c>
      <c r="L874" s="6">
        <f>YEAR(Tabla2[[#This Row],[OrderDate]])</f>
        <v>2024</v>
      </c>
      <c r="M874" s="7" t="s">
        <v>1974</v>
      </c>
      <c r="N874" s="7" t="s">
        <v>45</v>
      </c>
    </row>
    <row r="875" spans="1:14" x14ac:dyDescent="0.35">
      <c r="A875" s="7" t="s">
        <v>1975</v>
      </c>
      <c r="B875" s="7" t="s">
        <v>1028</v>
      </c>
      <c r="C875" s="7" t="s">
        <v>1029</v>
      </c>
      <c r="D875" s="7" t="s">
        <v>14</v>
      </c>
      <c r="E875" s="7" t="s">
        <v>100</v>
      </c>
      <c r="F875" s="7" t="s">
        <v>25</v>
      </c>
      <c r="G875" s="7" t="s">
        <v>139</v>
      </c>
      <c r="H875" s="7">
        <v>4</v>
      </c>
      <c r="I875" s="2">
        <v>1436.43</v>
      </c>
      <c r="J875" s="2">
        <f>Tabla2[[#This Row],[Quantity]]*I875</f>
        <v>5745.72</v>
      </c>
      <c r="K875" s="6">
        <f>MONTH(Tabla2[[#This Row],[OrderDate]])</f>
        <v>6</v>
      </c>
      <c r="L875" s="6">
        <f>YEAR(Tabla2[[#This Row],[OrderDate]])</f>
        <v>2024</v>
      </c>
      <c r="M875" s="7" t="s">
        <v>1976</v>
      </c>
      <c r="N875" s="7" t="s">
        <v>36</v>
      </c>
    </row>
    <row r="876" spans="1:14" x14ac:dyDescent="0.35">
      <c r="A876" s="7" t="s">
        <v>1977</v>
      </c>
      <c r="B876" s="7" t="s">
        <v>388</v>
      </c>
      <c r="C876" s="7" t="s">
        <v>389</v>
      </c>
      <c r="D876" s="7" t="s">
        <v>23</v>
      </c>
      <c r="E876" s="7" t="s">
        <v>49</v>
      </c>
      <c r="F876" s="7" t="s">
        <v>50</v>
      </c>
      <c r="G876" s="7" t="s">
        <v>69</v>
      </c>
      <c r="H876" s="7">
        <v>1</v>
      </c>
      <c r="I876" s="2">
        <v>524.55999999999995</v>
      </c>
      <c r="J876" s="2">
        <f>Tabla2[[#This Row],[Quantity]]*I876</f>
        <v>524.55999999999995</v>
      </c>
      <c r="K876" s="6">
        <f>MONTH(Tabla2[[#This Row],[OrderDate]])</f>
        <v>6</v>
      </c>
      <c r="L876" s="6">
        <f>YEAR(Tabla2[[#This Row],[OrderDate]])</f>
        <v>2025</v>
      </c>
      <c r="M876" s="7" t="s">
        <v>1254</v>
      </c>
      <c r="N876" s="7" t="s">
        <v>91</v>
      </c>
    </row>
    <row r="877" spans="1:14" x14ac:dyDescent="0.35">
      <c r="A877" s="7" t="s">
        <v>1978</v>
      </c>
      <c r="B877" s="7" t="s">
        <v>1281</v>
      </c>
      <c r="C877" s="7" t="s">
        <v>1282</v>
      </c>
      <c r="D877" s="7" t="s">
        <v>14</v>
      </c>
      <c r="E877" s="7" t="s">
        <v>266</v>
      </c>
      <c r="F877" s="7" t="s">
        <v>16</v>
      </c>
      <c r="G877" s="7" t="s">
        <v>17</v>
      </c>
      <c r="H877" s="7">
        <v>1</v>
      </c>
      <c r="I877" s="2">
        <v>563.37</v>
      </c>
      <c r="J877" s="2">
        <f>Tabla2[[#This Row],[Quantity]]*I877</f>
        <v>563.37</v>
      </c>
      <c r="K877" s="6">
        <f>MONTH(Tabla2[[#This Row],[OrderDate]])</f>
        <v>12</v>
      </c>
      <c r="L877" s="6">
        <f>YEAR(Tabla2[[#This Row],[OrderDate]])</f>
        <v>2024</v>
      </c>
      <c r="M877" s="7" t="s">
        <v>398</v>
      </c>
      <c r="N877" s="7" t="s">
        <v>19</v>
      </c>
    </row>
    <row r="878" spans="1:14" x14ac:dyDescent="0.35">
      <c r="A878" s="7" t="s">
        <v>1979</v>
      </c>
      <c r="B878" s="7" t="s">
        <v>392</v>
      </c>
      <c r="C878" s="7" t="s">
        <v>393</v>
      </c>
      <c r="D878" s="7" t="s">
        <v>23</v>
      </c>
      <c r="E878" s="7" t="s">
        <v>24</v>
      </c>
      <c r="F878" s="7" t="s">
        <v>42</v>
      </c>
      <c r="G878" s="7" t="s">
        <v>225</v>
      </c>
      <c r="H878" s="7">
        <v>2</v>
      </c>
      <c r="I878" s="2">
        <v>1173.58</v>
      </c>
      <c r="J878" s="2">
        <f>Tabla2[[#This Row],[Quantity]]*I878</f>
        <v>2347.16</v>
      </c>
      <c r="K878" s="6">
        <f>MONTH(Tabla2[[#This Row],[OrderDate]])</f>
        <v>3</v>
      </c>
      <c r="L878" s="6">
        <f>YEAR(Tabla2[[#This Row],[OrderDate]])</f>
        <v>2024</v>
      </c>
      <c r="M878" s="7" t="s">
        <v>1722</v>
      </c>
      <c r="N878" s="7" t="s">
        <v>19</v>
      </c>
    </row>
    <row r="879" spans="1:14" x14ac:dyDescent="0.35">
      <c r="A879" s="7" t="s">
        <v>1980</v>
      </c>
      <c r="B879" s="7" t="s">
        <v>133</v>
      </c>
      <c r="C879" s="7" t="s">
        <v>134</v>
      </c>
      <c r="D879" s="7" t="s">
        <v>32</v>
      </c>
      <c r="E879" s="7" t="s">
        <v>61</v>
      </c>
      <c r="F879" s="7" t="s">
        <v>25</v>
      </c>
      <c r="G879" s="7" t="s">
        <v>74</v>
      </c>
      <c r="H879" s="7">
        <v>3</v>
      </c>
      <c r="I879" s="2">
        <v>287.91000000000003</v>
      </c>
      <c r="J879" s="2">
        <f>Tabla2[[#This Row],[Quantity]]*I879</f>
        <v>863.73</v>
      </c>
      <c r="K879" s="6">
        <f>MONTH(Tabla2[[#This Row],[OrderDate]])</f>
        <v>8</v>
      </c>
      <c r="L879" s="6">
        <f>YEAR(Tabla2[[#This Row],[OrderDate]])</f>
        <v>2024</v>
      </c>
      <c r="M879" s="7" t="s">
        <v>866</v>
      </c>
      <c r="N879" s="7" t="s">
        <v>91</v>
      </c>
    </row>
    <row r="880" spans="1:14" x14ac:dyDescent="0.35">
      <c r="A880" s="7" t="s">
        <v>1981</v>
      </c>
      <c r="B880" s="7" t="s">
        <v>652</v>
      </c>
      <c r="C880" s="7" t="s">
        <v>653</v>
      </c>
      <c r="D880" s="7" t="s">
        <v>32</v>
      </c>
      <c r="E880" s="7" t="s">
        <v>203</v>
      </c>
      <c r="F880" s="7" t="s">
        <v>42</v>
      </c>
      <c r="G880" s="7" t="s">
        <v>80</v>
      </c>
      <c r="H880" s="7">
        <v>1</v>
      </c>
      <c r="I880" s="2">
        <v>265.89</v>
      </c>
      <c r="J880" s="2">
        <f>Tabla2[[#This Row],[Quantity]]*I880</f>
        <v>265.89</v>
      </c>
      <c r="K880" s="6">
        <f>MONTH(Tabla2[[#This Row],[OrderDate]])</f>
        <v>1</v>
      </c>
      <c r="L880" s="6">
        <f>YEAR(Tabla2[[#This Row],[OrderDate]])</f>
        <v>2025</v>
      </c>
      <c r="M880" s="7" t="s">
        <v>1982</v>
      </c>
      <c r="N880" s="7" t="s">
        <v>36</v>
      </c>
    </row>
    <row r="881" spans="1:14" x14ac:dyDescent="0.35">
      <c r="A881" s="7" t="s">
        <v>1983</v>
      </c>
      <c r="B881" s="7" t="s">
        <v>838</v>
      </c>
      <c r="C881" s="7" t="s">
        <v>839</v>
      </c>
      <c r="D881" s="7" t="s">
        <v>32</v>
      </c>
      <c r="E881" s="7" t="s">
        <v>61</v>
      </c>
      <c r="F881" s="7" t="s">
        <v>101</v>
      </c>
      <c r="G881" s="7" t="s">
        <v>102</v>
      </c>
      <c r="H881" s="7">
        <v>4</v>
      </c>
      <c r="I881" s="2">
        <v>517.72</v>
      </c>
      <c r="J881" s="2">
        <f>Tabla2[[#This Row],[Quantity]]*I881</f>
        <v>2070.88</v>
      </c>
      <c r="K881" s="6">
        <f>MONTH(Tabla2[[#This Row],[OrderDate]])</f>
        <v>5</v>
      </c>
      <c r="L881" s="6">
        <f>YEAR(Tabla2[[#This Row],[OrderDate]])</f>
        <v>2024</v>
      </c>
      <c r="M881" s="7" t="s">
        <v>1984</v>
      </c>
      <c r="N881" s="7" t="s">
        <v>28</v>
      </c>
    </row>
    <row r="882" spans="1:14" x14ac:dyDescent="0.35">
      <c r="A882" s="7" t="s">
        <v>1985</v>
      </c>
      <c r="B882" s="7" t="s">
        <v>969</v>
      </c>
      <c r="C882" s="7" t="s">
        <v>970</v>
      </c>
      <c r="D882" s="7" t="s">
        <v>23</v>
      </c>
      <c r="E882" s="7" t="s">
        <v>24</v>
      </c>
      <c r="F882" s="7" t="s">
        <v>50</v>
      </c>
      <c r="G882" s="7" t="s">
        <v>56</v>
      </c>
      <c r="H882" s="7">
        <v>4</v>
      </c>
      <c r="I882" s="2">
        <v>1138.69</v>
      </c>
      <c r="J882" s="2">
        <f>Tabla2[[#This Row],[Quantity]]*I882</f>
        <v>4554.76</v>
      </c>
      <c r="K882" s="6">
        <f>MONTH(Tabla2[[#This Row],[OrderDate]])</f>
        <v>3</v>
      </c>
      <c r="L882" s="6">
        <f>YEAR(Tabla2[[#This Row],[OrderDate]])</f>
        <v>2025</v>
      </c>
      <c r="M882" s="7" t="s">
        <v>1567</v>
      </c>
      <c r="N882" s="7" t="s">
        <v>36</v>
      </c>
    </row>
    <row r="883" spans="1:14" x14ac:dyDescent="0.35">
      <c r="A883" s="7" t="s">
        <v>1986</v>
      </c>
      <c r="B883" s="7" t="s">
        <v>864</v>
      </c>
      <c r="C883" s="7" t="s">
        <v>865</v>
      </c>
      <c r="D883" s="7" t="s">
        <v>14</v>
      </c>
      <c r="E883" s="7" t="s">
        <v>100</v>
      </c>
      <c r="F883" s="7" t="s">
        <v>101</v>
      </c>
      <c r="G883" s="7" t="s">
        <v>102</v>
      </c>
      <c r="H883" s="7">
        <v>5</v>
      </c>
      <c r="I883" s="2">
        <v>208.37</v>
      </c>
      <c r="J883" s="2">
        <f>Tabla2[[#This Row],[Quantity]]*I883</f>
        <v>1041.8499999999999</v>
      </c>
      <c r="K883" s="6">
        <f>MONTH(Tabla2[[#This Row],[OrderDate]])</f>
        <v>6</v>
      </c>
      <c r="L883" s="6">
        <f>YEAR(Tabla2[[#This Row],[OrderDate]])</f>
        <v>2025</v>
      </c>
      <c r="M883" s="7" t="s">
        <v>1987</v>
      </c>
      <c r="N883" s="7" t="s">
        <v>28</v>
      </c>
    </row>
    <row r="884" spans="1:14" x14ac:dyDescent="0.35">
      <c r="A884" s="7" t="s">
        <v>1988</v>
      </c>
      <c r="B884" s="7" t="s">
        <v>380</v>
      </c>
      <c r="C884" s="7" t="s">
        <v>381</v>
      </c>
      <c r="D884" s="7" t="s">
        <v>14</v>
      </c>
      <c r="E884" s="7" t="s">
        <v>100</v>
      </c>
      <c r="F884" s="7" t="s">
        <v>16</v>
      </c>
      <c r="G884" s="7" t="s">
        <v>182</v>
      </c>
      <c r="H884" s="7">
        <v>5</v>
      </c>
      <c r="I884" s="2">
        <v>795.14</v>
      </c>
      <c r="J884" s="2">
        <f>Tabla2[[#This Row],[Quantity]]*I884</f>
        <v>3975.7</v>
      </c>
      <c r="K884" s="6">
        <f>MONTH(Tabla2[[#This Row],[OrderDate]])</f>
        <v>9</v>
      </c>
      <c r="L884" s="6">
        <f>YEAR(Tabla2[[#This Row],[OrderDate]])</f>
        <v>2024</v>
      </c>
      <c r="M884" s="7" t="s">
        <v>880</v>
      </c>
      <c r="N884" s="7" t="s">
        <v>91</v>
      </c>
    </row>
    <row r="885" spans="1:14" x14ac:dyDescent="0.35">
      <c r="A885" s="7" t="s">
        <v>1989</v>
      </c>
      <c r="B885" s="7" t="s">
        <v>1749</v>
      </c>
      <c r="C885" s="7" t="s">
        <v>1750</v>
      </c>
      <c r="D885" s="7" t="s">
        <v>40</v>
      </c>
      <c r="E885" s="7" t="s">
        <v>41</v>
      </c>
      <c r="F885" s="7" t="s">
        <v>101</v>
      </c>
      <c r="G885" s="7" t="s">
        <v>165</v>
      </c>
      <c r="H885" s="7">
        <v>5</v>
      </c>
      <c r="I885" s="2">
        <v>1366.47</v>
      </c>
      <c r="J885" s="2">
        <f>Tabla2[[#This Row],[Quantity]]*I885</f>
        <v>6832.35</v>
      </c>
      <c r="K885" s="6">
        <f>MONTH(Tabla2[[#This Row],[OrderDate]])</f>
        <v>2</v>
      </c>
      <c r="L885" s="6">
        <f>YEAR(Tabla2[[#This Row],[OrderDate]])</f>
        <v>2024</v>
      </c>
      <c r="M885" s="7" t="s">
        <v>187</v>
      </c>
      <c r="N885" s="7" t="s">
        <v>91</v>
      </c>
    </row>
    <row r="886" spans="1:14" x14ac:dyDescent="0.35">
      <c r="A886" s="7" t="s">
        <v>1990</v>
      </c>
      <c r="B886" s="7" t="s">
        <v>429</v>
      </c>
      <c r="C886" s="7" t="s">
        <v>430</v>
      </c>
      <c r="D886" s="7" t="s">
        <v>14</v>
      </c>
      <c r="E886" s="7" t="s">
        <v>15</v>
      </c>
      <c r="F886" s="7" t="s">
        <v>16</v>
      </c>
      <c r="G886" s="7" t="s">
        <v>148</v>
      </c>
      <c r="H886" s="7">
        <v>4</v>
      </c>
      <c r="I886" s="2">
        <v>291.68</v>
      </c>
      <c r="J886" s="2">
        <f>Tabla2[[#This Row],[Quantity]]*I886</f>
        <v>1166.72</v>
      </c>
      <c r="K886" s="6">
        <f>MONTH(Tabla2[[#This Row],[OrderDate]])</f>
        <v>1</v>
      </c>
      <c r="L886" s="6">
        <f>YEAR(Tabla2[[#This Row],[OrderDate]])</f>
        <v>2025</v>
      </c>
      <c r="M886" s="7" t="s">
        <v>1649</v>
      </c>
      <c r="N886" s="7" t="s">
        <v>19</v>
      </c>
    </row>
    <row r="887" spans="1:14" x14ac:dyDescent="0.35">
      <c r="A887" s="7" t="s">
        <v>1991</v>
      </c>
      <c r="B887" s="7" t="s">
        <v>264</v>
      </c>
      <c r="C887" s="7" t="s">
        <v>265</v>
      </c>
      <c r="D887" s="7" t="s">
        <v>67</v>
      </c>
      <c r="E887" s="7" t="s">
        <v>130</v>
      </c>
      <c r="F887" s="7" t="s">
        <v>16</v>
      </c>
      <c r="G887" s="7" t="s">
        <v>230</v>
      </c>
      <c r="H887" s="7">
        <v>5</v>
      </c>
      <c r="I887" s="2">
        <v>987.25</v>
      </c>
      <c r="J887" s="2">
        <f>Tabla2[[#This Row],[Quantity]]*I887</f>
        <v>4936.25</v>
      </c>
      <c r="K887" s="6">
        <f>MONTH(Tabla2[[#This Row],[OrderDate]])</f>
        <v>8</v>
      </c>
      <c r="L887" s="6">
        <f>YEAR(Tabla2[[#This Row],[OrderDate]])</f>
        <v>2025</v>
      </c>
      <c r="M887" s="7" t="s">
        <v>1992</v>
      </c>
      <c r="N887" s="7" t="s">
        <v>19</v>
      </c>
    </row>
    <row r="888" spans="1:14" x14ac:dyDescent="0.35">
      <c r="A888" s="7" t="s">
        <v>1993</v>
      </c>
      <c r="B888" s="7" t="s">
        <v>1149</v>
      </c>
      <c r="C888" s="7" t="s">
        <v>1150</v>
      </c>
      <c r="D888" s="7" t="s">
        <v>67</v>
      </c>
      <c r="E888" s="7" t="s">
        <v>115</v>
      </c>
      <c r="F888" s="7" t="s">
        <v>101</v>
      </c>
      <c r="G888" s="7" t="s">
        <v>373</v>
      </c>
      <c r="H888" s="7">
        <v>3</v>
      </c>
      <c r="I888" s="2">
        <v>1273.0999999999999</v>
      </c>
      <c r="J888" s="2">
        <f>Tabla2[[#This Row],[Quantity]]*I888</f>
        <v>3819.2999999999997</v>
      </c>
      <c r="K888" s="6">
        <f>MONTH(Tabla2[[#This Row],[OrderDate]])</f>
        <v>1</v>
      </c>
      <c r="L888" s="6">
        <f>YEAR(Tabla2[[#This Row],[OrderDate]])</f>
        <v>2024</v>
      </c>
      <c r="M888" s="7" t="s">
        <v>1886</v>
      </c>
      <c r="N888" s="7" t="s">
        <v>45</v>
      </c>
    </row>
    <row r="889" spans="1:14" x14ac:dyDescent="0.35">
      <c r="A889" s="7" t="s">
        <v>1994</v>
      </c>
      <c r="B889" s="7" t="s">
        <v>574</v>
      </c>
      <c r="C889" s="7" t="s">
        <v>575</v>
      </c>
      <c r="D889" s="7" t="s">
        <v>67</v>
      </c>
      <c r="E889" s="7" t="s">
        <v>130</v>
      </c>
      <c r="F889" s="7" t="s">
        <v>16</v>
      </c>
      <c r="G889" s="7" t="s">
        <v>148</v>
      </c>
      <c r="H889" s="7">
        <v>2</v>
      </c>
      <c r="I889" s="2">
        <v>676.19</v>
      </c>
      <c r="J889" s="2">
        <f>Tabla2[[#This Row],[Quantity]]*I889</f>
        <v>1352.38</v>
      </c>
      <c r="K889" s="6">
        <f>MONTH(Tabla2[[#This Row],[OrderDate]])</f>
        <v>1</v>
      </c>
      <c r="L889" s="6">
        <f>YEAR(Tabla2[[#This Row],[OrderDate]])</f>
        <v>2024</v>
      </c>
      <c r="M889" s="7" t="s">
        <v>1995</v>
      </c>
      <c r="N889" s="7" t="s">
        <v>91</v>
      </c>
    </row>
    <row r="890" spans="1:14" x14ac:dyDescent="0.35">
      <c r="A890" s="7" t="s">
        <v>1996</v>
      </c>
      <c r="B890" s="7" t="s">
        <v>443</v>
      </c>
      <c r="C890" s="7" t="s">
        <v>444</v>
      </c>
      <c r="D890" s="7" t="s">
        <v>23</v>
      </c>
      <c r="E890" s="7" t="s">
        <v>338</v>
      </c>
      <c r="F890" s="7" t="s">
        <v>25</v>
      </c>
      <c r="G890" s="7" t="s">
        <v>62</v>
      </c>
      <c r="H890" s="7">
        <v>2</v>
      </c>
      <c r="I890" s="2">
        <v>243.19</v>
      </c>
      <c r="J890" s="2">
        <f>Tabla2[[#This Row],[Quantity]]*I890</f>
        <v>486.38</v>
      </c>
      <c r="K890" s="6">
        <f>MONTH(Tabla2[[#This Row],[OrderDate]])</f>
        <v>11</v>
      </c>
      <c r="L890" s="6">
        <f>YEAR(Tabla2[[#This Row],[OrderDate]])</f>
        <v>2025</v>
      </c>
      <c r="M890" s="7" t="s">
        <v>1963</v>
      </c>
      <c r="N890" s="7" t="s">
        <v>36</v>
      </c>
    </row>
    <row r="891" spans="1:14" x14ac:dyDescent="0.35">
      <c r="A891" s="7" t="s">
        <v>1997</v>
      </c>
      <c r="B891" s="7" t="s">
        <v>173</v>
      </c>
      <c r="C891" s="7" t="s">
        <v>174</v>
      </c>
      <c r="D891" s="7" t="s">
        <v>40</v>
      </c>
      <c r="E891" s="7" t="s">
        <v>79</v>
      </c>
      <c r="F891" s="7" t="s">
        <v>50</v>
      </c>
      <c r="G891" s="7" t="s">
        <v>170</v>
      </c>
      <c r="H891" s="7">
        <v>2</v>
      </c>
      <c r="I891" s="2">
        <v>927.47</v>
      </c>
      <c r="J891" s="2">
        <f>Tabla2[[#This Row],[Quantity]]*I891</f>
        <v>1854.94</v>
      </c>
      <c r="K891" s="6">
        <f>MONTH(Tabla2[[#This Row],[OrderDate]])</f>
        <v>8</v>
      </c>
      <c r="L891" s="6">
        <f>YEAR(Tabla2[[#This Row],[OrderDate]])</f>
        <v>2025</v>
      </c>
      <c r="M891" s="7" t="s">
        <v>858</v>
      </c>
      <c r="N891" s="7" t="s">
        <v>36</v>
      </c>
    </row>
    <row r="892" spans="1:14" x14ac:dyDescent="0.35">
      <c r="A892" s="7" t="s">
        <v>1998</v>
      </c>
      <c r="B892" s="7" t="s">
        <v>558</v>
      </c>
      <c r="C892" s="7" t="s">
        <v>559</v>
      </c>
      <c r="D892" s="7" t="s">
        <v>23</v>
      </c>
      <c r="E892" s="7" t="s">
        <v>49</v>
      </c>
      <c r="F892" s="7" t="s">
        <v>42</v>
      </c>
      <c r="G892" s="7" t="s">
        <v>89</v>
      </c>
      <c r="H892" s="7">
        <v>1</v>
      </c>
      <c r="I892" s="2">
        <v>350.79</v>
      </c>
      <c r="J892" s="2">
        <f>Tabla2[[#This Row],[Quantity]]*I892</f>
        <v>350.79</v>
      </c>
      <c r="K892" s="6">
        <f>MONTH(Tabla2[[#This Row],[OrderDate]])</f>
        <v>8</v>
      </c>
      <c r="L892" s="6">
        <f>YEAR(Tabla2[[#This Row],[OrderDate]])</f>
        <v>2025</v>
      </c>
      <c r="M892" s="7" t="s">
        <v>1553</v>
      </c>
      <c r="N892" s="7" t="s">
        <v>19</v>
      </c>
    </row>
    <row r="893" spans="1:14" x14ac:dyDescent="0.35">
      <c r="A893" s="7" t="s">
        <v>1999</v>
      </c>
      <c r="B893" s="7" t="s">
        <v>1594</v>
      </c>
      <c r="C893" s="7" t="s">
        <v>1595</v>
      </c>
      <c r="D893" s="7" t="s">
        <v>23</v>
      </c>
      <c r="E893" s="7" t="s">
        <v>49</v>
      </c>
      <c r="F893" s="7" t="s">
        <v>42</v>
      </c>
      <c r="G893" s="7" t="s">
        <v>80</v>
      </c>
      <c r="H893" s="7">
        <v>5</v>
      </c>
      <c r="I893" s="2">
        <v>1190.05</v>
      </c>
      <c r="J893" s="2">
        <f>Tabla2[[#This Row],[Quantity]]*I893</f>
        <v>5950.25</v>
      </c>
      <c r="K893" s="6">
        <f>MONTH(Tabla2[[#This Row],[OrderDate]])</f>
        <v>10</v>
      </c>
      <c r="L893" s="6">
        <f>YEAR(Tabla2[[#This Row],[OrderDate]])</f>
        <v>2025</v>
      </c>
      <c r="M893" s="7" t="s">
        <v>2000</v>
      </c>
      <c r="N893" s="7" t="s">
        <v>36</v>
      </c>
    </row>
    <row r="894" spans="1:14" x14ac:dyDescent="0.35">
      <c r="A894" s="7" t="s">
        <v>2001</v>
      </c>
      <c r="B894" s="7" t="s">
        <v>2002</v>
      </c>
      <c r="C894" s="7" t="s">
        <v>2003</v>
      </c>
      <c r="D894" s="7" t="s">
        <v>23</v>
      </c>
      <c r="E894" s="7" t="s">
        <v>338</v>
      </c>
      <c r="F894" s="7" t="s">
        <v>42</v>
      </c>
      <c r="G894" s="7" t="s">
        <v>80</v>
      </c>
      <c r="H894" s="7">
        <v>5</v>
      </c>
      <c r="I894" s="2">
        <v>886.87</v>
      </c>
      <c r="J894" s="2">
        <f>Tabla2[[#This Row],[Quantity]]*I894</f>
        <v>4434.3500000000004</v>
      </c>
      <c r="K894" s="6">
        <f>MONTH(Tabla2[[#This Row],[OrderDate]])</f>
        <v>7</v>
      </c>
      <c r="L894" s="6">
        <f>YEAR(Tabla2[[#This Row],[OrderDate]])</f>
        <v>2024</v>
      </c>
      <c r="M894" s="7" t="s">
        <v>1912</v>
      </c>
      <c r="N894" s="7" t="s">
        <v>19</v>
      </c>
    </row>
    <row r="895" spans="1:14" x14ac:dyDescent="0.35">
      <c r="A895" s="7" t="s">
        <v>2004</v>
      </c>
      <c r="B895" s="7" t="s">
        <v>429</v>
      </c>
      <c r="C895" s="7" t="s">
        <v>430</v>
      </c>
      <c r="D895" s="7" t="s">
        <v>40</v>
      </c>
      <c r="E895" s="7" t="s">
        <v>120</v>
      </c>
      <c r="F895" s="7" t="s">
        <v>16</v>
      </c>
      <c r="G895" s="7" t="s">
        <v>230</v>
      </c>
      <c r="H895" s="7">
        <v>2</v>
      </c>
      <c r="I895" s="2">
        <v>1361.24</v>
      </c>
      <c r="J895" s="2">
        <f>Tabla2[[#This Row],[Quantity]]*I895</f>
        <v>2722.48</v>
      </c>
      <c r="K895" s="6">
        <f>MONTH(Tabla2[[#This Row],[OrderDate]])</f>
        <v>3</v>
      </c>
      <c r="L895" s="6">
        <f>YEAR(Tabla2[[#This Row],[OrderDate]])</f>
        <v>2025</v>
      </c>
      <c r="M895" s="7" t="s">
        <v>1567</v>
      </c>
      <c r="N895" s="7" t="s">
        <v>19</v>
      </c>
    </row>
    <row r="896" spans="1:14" x14ac:dyDescent="0.35">
      <c r="A896" s="7" t="s">
        <v>2005</v>
      </c>
      <c r="B896" s="7" t="s">
        <v>759</v>
      </c>
      <c r="C896" s="7" t="s">
        <v>760</v>
      </c>
      <c r="D896" s="7" t="s">
        <v>32</v>
      </c>
      <c r="E896" s="7" t="s">
        <v>61</v>
      </c>
      <c r="F896" s="7" t="s">
        <v>16</v>
      </c>
      <c r="G896" s="7" t="s">
        <v>177</v>
      </c>
      <c r="H896" s="7">
        <v>3</v>
      </c>
      <c r="I896" s="2">
        <v>84.3</v>
      </c>
      <c r="J896" s="2">
        <f>Tabla2[[#This Row],[Quantity]]*I896</f>
        <v>252.89999999999998</v>
      </c>
      <c r="K896" s="6">
        <f>MONTH(Tabla2[[#This Row],[OrderDate]])</f>
        <v>5</v>
      </c>
      <c r="L896" s="6">
        <f>YEAR(Tabla2[[#This Row],[OrderDate]])</f>
        <v>2025</v>
      </c>
      <c r="M896" s="7" t="s">
        <v>1631</v>
      </c>
      <c r="N896" s="7" t="s">
        <v>45</v>
      </c>
    </row>
    <row r="897" spans="1:14" x14ac:dyDescent="0.35">
      <c r="A897" s="7" t="s">
        <v>2006</v>
      </c>
      <c r="B897" s="7" t="s">
        <v>426</v>
      </c>
      <c r="C897" s="7" t="s">
        <v>427</v>
      </c>
      <c r="D897" s="7" t="s">
        <v>32</v>
      </c>
      <c r="E897" s="7" t="s">
        <v>203</v>
      </c>
      <c r="F897" s="7" t="s">
        <v>42</v>
      </c>
      <c r="G897" s="7" t="s">
        <v>89</v>
      </c>
      <c r="H897" s="7">
        <v>4</v>
      </c>
      <c r="I897" s="2">
        <v>1424.04</v>
      </c>
      <c r="J897" s="2">
        <f>Tabla2[[#This Row],[Quantity]]*I897</f>
        <v>5696.16</v>
      </c>
      <c r="K897" s="6">
        <f>MONTH(Tabla2[[#This Row],[OrderDate]])</f>
        <v>11</v>
      </c>
      <c r="L897" s="6">
        <f>YEAR(Tabla2[[#This Row],[OrderDate]])</f>
        <v>2024</v>
      </c>
      <c r="M897" s="7" t="s">
        <v>1839</v>
      </c>
      <c r="N897" s="7" t="s">
        <v>36</v>
      </c>
    </row>
    <row r="898" spans="1:14" x14ac:dyDescent="0.35">
      <c r="A898" s="7" t="s">
        <v>2007</v>
      </c>
      <c r="B898" s="7" t="s">
        <v>960</v>
      </c>
      <c r="C898" s="7" t="s">
        <v>961</v>
      </c>
      <c r="D898" s="7" t="s">
        <v>40</v>
      </c>
      <c r="E898" s="7" t="s">
        <v>120</v>
      </c>
      <c r="F898" s="7" t="s">
        <v>42</v>
      </c>
      <c r="G898" s="7" t="s">
        <v>170</v>
      </c>
      <c r="H898" s="7">
        <v>4</v>
      </c>
      <c r="I898" s="2">
        <v>1306.92</v>
      </c>
      <c r="J898" s="2">
        <f>Tabla2[[#This Row],[Quantity]]*I898</f>
        <v>5227.68</v>
      </c>
      <c r="K898" s="6">
        <f>MONTH(Tabla2[[#This Row],[OrderDate]])</f>
        <v>1</v>
      </c>
      <c r="L898" s="6">
        <f>YEAR(Tabla2[[#This Row],[OrderDate]])</f>
        <v>2025</v>
      </c>
      <c r="M898" s="7" t="s">
        <v>876</v>
      </c>
      <c r="N898" s="7" t="s">
        <v>36</v>
      </c>
    </row>
    <row r="899" spans="1:14" x14ac:dyDescent="0.35">
      <c r="A899" s="7" t="s">
        <v>2008</v>
      </c>
      <c r="B899" s="7" t="s">
        <v>791</v>
      </c>
      <c r="C899" s="7" t="s">
        <v>792</v>
      </c>
      <c r="D899" s="7" t="s">
        <v>40</v>
      </c>
      <c r="E899" s="7" t="s">
        <v>120</v>
      </c>
      <c r="F899" s="7" t="s">
        <v>16</v>
      </c>
      <c r="G899" s="7" t="s">
        <v>148</v>
      </c>
      <c r="H899" s="7">
        <v>3</v>
      </c>
      <c r="I899" s="2">
        <v>898.55</v>
      </c>
      <c r="J899" s="2">
        <f>Tabla2[[#This Row],[Quantity]]*I899</f>
        <v>2695.6499999999996</v>
      </c>
      <c r="K899" s="6">
        <f>MONTH(Tabla2[[#This Row],[OrderDate]])</f>
        <v>3</v>
      </c>
      <c r="L899" s="6">
        <f>YEAR(Tabla2[[#This Row],[OrderDate]])</f>
        <v>2024</v>
      </c>
      <c r="M899" s="7" t="s">
        <v>958</v>
      </c>
      <c r="N899" s="7" t="s">
        <v>36</v>
      </c>
    </row>
    <row r="900" spans="1:14" x14ac:dyDescent="0.35">
      <c r="A900" s="7" t="s">
        <v>2009</v>
      </c>
      <c r="B900" s="7" t="s">
        <v>820</v>
      </c>
      <c r="C900" s="7" t="s">
        <v>821</v>
      </c>
      <c r="D900" s="7" t="s">
        <v>23</v>
      </c>
      <c r="E900" s="7" t="s">
        <v>24</v>
      </c>
      <c r="F900" s="7" t="s">
        <v>16</v>
      </c>
      <c r="G900" s="7" t="s">
        <v>230</v>
      </c>
      <c r="H900" s="7">
        <v>5</v>
      </c>
      <c r="I900" s="2">
        <v>712.37</v>
      </c>
      <c r="J900" s="2">
        <f>Tabla2[[#This Row],[Quantity]]*I900</f>
        <v>3561.85</v>
      </c>
      <c r="K900" s="6">
        <f>MONTH(Tabla2[[#This Row],[OrderDate]])</f>
        <v>6</v>
      </c>
      <c r="L900" s="6">
        <f>YEAR(Tabla2[[#This Row],[OrderDate]])</f>
        <v>2025</v>
      </c>
      <c r="M900" s="7" t="s">
        <v>510</v>
      </c>
      <c r="N900" s="7" t="s">
        <v>36</v>
      </c>
    </row>
    <row r="901" spans="1:14" x14ac:dyDescent="0.35">
      <c r="A901" s="7" t="s">
        <v>2010</v>
      </c>
      <c r="B901" s="7" t="s">
        <v>492</v>
      </c>
      <c r="C901" s="7" t="s">
        <v>493</v>
      </c>
      <c r="D901" s="7" t="s">
        <v>67</v>
      </c>
      <c r="E901" s="7" t="s">
        <v>68</v>
      </c>
      <c r="F901" s="7" t="s">
        <v>50</v>
      </c>
      <c r="G901" s="7" t="s">
        <v>69</v>
      </c>
      <c r="H901" s="7">
        <v>4</v>
      </c>
      <c r="I901" s="2">
        <v>227.41</v>
      </c>
      <c r="J901" s="2">
        <f>Tabla2[[#This Row],[Quantity]]*I901</f>
        <v>909.64</v>
      </c>
      <c r="K901" s="6">
        <f>MONTH(Tabla2[[#This Row],[OrderDate]])</f>
        <v>1</v>
      </c>
      <c r="L901" s="6">
        <f>YEAR(Tabla2[[#This Row],[OrderDate]])</f>
        <v>2024</v>
      </c>
      <c r="M901" s="7" t="s">
        <v>2011</v>
      </c>
      <c r="N901" s="7" t="s">
        <v>36</v>
      </c>
    </row>
    <row r="902" spans="1:14" x14ac:dyDescent="0.35">
      <c r="A902" s="7" t="s">
        <v>2012</v>
      </c>
      <c r="B902" s="7" t="s">
        <v>464</v>
      </c>
      <c r="C902" s="7" t="s">
        <v>465</v>
      </c>
      <c r="D902" s="7" t="s">
        <v>23</v>
      </c>
      <c r="E902" s="7" t="s">
        <v>49</v>
      </c>
      <c r="F902" s="7" t="s">
        <v>42</v>
      </c>
      <c r="G902" s="7" t="s">
        <v>170</v>
      </c>
      <c r="H902" s="7">
        <v>2</v>
      </c>
      <c r="I902" s="2">
        <v>927.28</v>
      </c>
      <c r="J902" s="2">
        <f>Tabla2[[#This Row],[Quantity]]*I902</f>
        <v>1854.56</v>
      </c>
      <c r="K902" s="6">
        <f>MONTH(Tabla2[[#This Row],[OrderDate]])</f>
        <v>10</v>
      </c>
      <c r="L902" s="6">
        <f>YEAR(Tabla2[[#This Row],[OrderDate]])</f>
        <v>2024</v>
      </c>
      <c r="M902" s="7" t="s">
        <v>1665</v>
      </c>
      <c r="N902" s="7" t="s">
        <v>19</v>
      </c>
    </row>
    <row r="903" spans="1:14" x14ac:dyDescent="0.35">
      <c r="A903" s="7" t="s">
        <v>2013</v>
      </c>
      <c r="B903" s="7" t="s">
        <v>1707</v>
      </c>
      <c r="C903" s="7" t="s">
        <v>1708</v>
      </c>
      <c r="D903" s="7" t="s">
        <v>23</v>
      </c>
      <c r="E903" s="7" t="s">
        <v>338</v>
      </c>
      <c r="F903" s="7" t="s">
        <v>50</v>
      </c>
      <c r="G903" s="7" t="s">
        <v>216</v>
      </c>
      <c r="H903" s="7">
        <v>5</v>
      </c>
      <c r="I903" s="2">
        <v>128.04</v>
      </c>
      <c r="J903" s="2">
        <f>Tabla2[[#This Row],[Quantity]]*I903</f>
        <v>640.19999999999993</v>
      </c>
      <c r="K903" s="6">
        <f>MONTH(Tabla2[[#This Row],[OrderDate]])</f>
        <v>1</v>
      </c>
      <c r="L903" s="6">
        <f>YEAR(Tabla2[[#This Row],[OrderDate]])</f>
        <v>2025</v>
      </c>
      <c r="M903" s="7" t="s">
        <v>2014</v>
      </c>
      <c r="N903" s="7" t="s">
        <v>28</v>
      </c>
    </row>
    <row r="904" spans="1:14" x14ac:dyDescent="0.35">
      <c r="A904" s="7" t="s">
        <v>2015</v>
      </c>
      <c r="B904" s="7" t="s">
        <v>311</v>
      </c>
      <c r="C904" s="7" t="s">
        <v>312</v>
      </c>
      <c r="D904" s="7" t="s">
        <v>32</v>
      </c>
      <c r="E904" s="7" t="s">
        <v>203</v>
      </c>
      <c r="F904" s="7" t="s">
        <v>16</v>
      </c>
      <c r="G904" s="7" t="s">
        <v>177</v>
      </c>
      <c r="H904" s="7">
        <v>2</v>
      </c>
      <c r="I904" s="2">
        <v>1169.8900000000001</v>
      </c>
      <c r="J904" s="2">
        <f>Tabla2[[#This Row],[Quantity]]*I904</f>
        <v>2339.7800000000002</v>
      </c>
      <c r="K904" s="6">
        <f>MONTH(Tabla2[[#This Row],[OrderDate]])</f>
        <v>5</v>
      </c>
      <c r="L904" s="6">
        <f>YEAR(Tabla2[[#This Row],[OrderDate]])</f>
        <v>2024</v>
      </c>
      <c r="M904" s="7" t="s">
        <v>1984</v>
      </c>
      <c r="N904" s="7" t="s">
        <v>19</v>
      </c>
    </row>
    <row r="905" spans="1:14" x14ac:dyDescent="0.35">
      <c r="A905" s="7" t="s">
        <v>2016</v>
      </c>
      <c r="B905" s="7" t="s">
        <v>797</v>
      </c>
      <c r="C905" s="7" t="s">
        <v>798</v>
      </c>
      <c r="D905" s="7" t="s">
        <v>32</v>
      </c>
      <c r="E905" s="7" t="s">
        <v>203</v>
      </c>
      <c r="F905" s="7" t="s">
        <v>25</v>
      </c>
      <c r="G905" s="7" t="s">
        <v>34</v>
      </c>
      <c r="H905" s="7">
        <v>2</v>
      </c>
      <c r="I905" s="2">
        <v>1225.49</v>
      </c>
      <c r="J905" s="2">
        <f>Tabla2[[#This Row],[Quantity]]*I905</f>
        <v>2450.98</v>
      </c>
      <c r="K905" s="6">
        <f>MONTH(Tabla2[[#This Row],[OrderDate]])</f>
        <v>1</v>
      </c>
      <c r="L905" s="6">
        <f>YEAR(Tabla2[[#This Row],[OrderDate]])</f>
        <v>2024</v>
      </c>
      <c r="M905" s="7" t="s">
        <v>1188</v>
      </c>
      <c r="N905" s="7" t="s">
        <v>91</v>
      </c>
    </row>
    <row r="906" spans="1:14" x14ac:dyDescent="0.35">
      <c r="A906" s="7" t="s">
        <v>2017</v>
      </c>
      <c r="B906" s="7" t="s">
        <v>727</v>
      </c>
      <c r="C906" s="7" t="s">
        <v>728</v>
      </c>
      <c r="D906" s="7" t="s">
        <v>40</v>
      </c>
      <c r="E906" s="7" t="s">
        <v>79</v>
      </c>
      <c r="F906" s="7" t="s">
        <v>25</v>
      </c>
      <c r="G906" s="7" t="s">
        <v>26</v>
      </c>
      <c r="H906" s="7">
        <v>2</v>
      </c>
      <c r="I906" s="2">
        <v>887.6</v>
      </c>
      <c r="J906" s="2">
        <f>Tabla2[[#This Row],[Quantity]]*I906</f>
        <v>1775.2</v>
      </c>
      <c r="K906" s="6">
        <f>MONTH(Tabla2[[#This Row],[OrderDate]])</f>
        <v>2</v>
      </c>
      <c r="L906" s="6">
        <f>YEAR(Tabla2[[#This Row],[OrderDate]])</f>
        <v>2024</v>
      </c>
      <c r="M906" s="7" t="s">
        <v>1332</v>
      </c>
      <c r="N906" s="7" t="s">
        <v>28</v>
      </c>
    </row>
    <row r="907" spans="1:14" x14ac:dyDescent="0.35">
      <c r="A907" s="7" t="s">
        <v>2018</v>
      </c>
      <c r="B907" s="7" t="s">
        <v>1285</v>
      </c>
      <c r="C907" s="7" t="s">
        <v>1286</v>
      </c>
      <c r="D907" s="7" t="s">
        <v>67</v>
      </c>
      <c r="E907" s="7" t="s">
        <v>68</v>
      </c>
      <c r="F907" s="7" t="s">
        <v>25</v>
      </c>
      <c r="G907" s="7" t="s">
        <v>139</v>
      </c>
      <c r="H907" s="7">
        <v>1</v>
      </c>
      <c r="I907" s="2">
        <v>910.55</v>
      </c>
      <c r="J907" s="2">
        <f>Tabla2[[#This Row],[Quantity]]*I907</f>
        <v>910.55</v>
      </c>
      <c r="K907" s="6">
        <f>MONTH(Tabla2[[#This Row],[OrderDate]])</f>
        <v>8</v>
      </c>
      <c r="L907" s="6">
        <f>YEAR(Tabla2[[#This Row],[OrderDate]])</f>
        <v>2025</v>
      </c>
      <c r="M907" s="7" t="s">
        <v>830</v>
      </c>
      <c r="N907" s="7" t="s">
        <v>45</v>
      </c>
    </row>
    <row r="908" spans="1:14" x14ac:dyDescent="0.35">
      <c r="A908" s="7" t="s">
        <v>2019</v>
      </c>
      <c r="B908" s="7" t="s">
        <v>910</v>
      </c>
      <c r="C908" s="7" t="s">
        <v>911</v>
      </c>
      <c r="D908" s="7" t="s">
        <v>14</v>
      </c>
      <c r="E908" s="7" t="s">
        <v>100</v>
      </c>
      <c r="F908" s="7" t="s">
        <v>16</v>
      </c>
      <c r="G908" s="7" t="s">
        <v>177</v>
      </c>
      <c r="H908" s="7">
        <v>4</v>
      </c>
      <c r="I908" s="2">
        <v>725</v>
      </c>
      <c r="J908" s="2">
        <f>Tabla2[[#This Row],[Quantity]]*I908</f>
        <v>2900</v>
      </c>
      <c r="K908" s="6">
        <f>MONTH(Tabla2[[#This Row],[OrderDate]])</f>
        <v>5</v>
      </c>
      <c r="L908" s="6">
        <f>YEAR(Tabla2[[#This Row],[OrderDate]])</f>
        <v>2024</v>
      </c>
      <c r="M908" s="7" t="s">
        <v>874</v>
      </c>
      <c r="N908" s="7" t="s">
        <v>45</v>
      </c>
    </row>
    <row r="909" spans="1:14" x14ac:dyDescent="0.35">
      <c r="A909" s="7" t="s">
        <v>2020</v>
      </c>
      <c r="B909" s="7" t="s">
        <v>801</v>
      </c>
      <c r="C909" s="7" t="s">
        <v>802</v>
      </c>
      <c r="D909" s="7" t="s">
        <v>67</v>
      </c>
      <c r="E909" s="7" t="s">
        <v>130</v>
      </c>
      <c r="F909" s="7" t="s">
        <v>16</v>
      </c>
      <c r="G909" s="7" t="s">
        <v>182</v>
      </c>
      <c r="H909" s="7">
        <v>4</v>
      </c>
      <c r="I909" s="2">
        <v>50.43</v>
      </c>
      <c r="J909" s="2">
        <f>Tabla2[[#This Row],[Quantity]]*I909</f>
        <v>201.72</v>
      </c>
      <c r="K909" s="6">
        <f>MONTH(Tabla2[[#This Row],[OrderDate]])</f>
        <v>6</v>
      </c>
      <c r="L909" s="6">
        <f>YEAR(Tabla2[[#This Row],[OrderDate]])</f>
        <v>2024</v>
      </c>
      <c r="M909" s="7" t="s">
        <v>178</v>
      </c>
      <c r="N909" s="7" t="s">
        <v>91</v>
      </c>
    </row>
    <row r="910" spans="1:14" x14ac:dyDescent="0.35">
      <c r="A910" s="7" t="s">
        <v>2021</v>
      </c>
      <c r="B910" s="7" t="s">
        <v>291</v>
      </c>
      <c r="C910" s="7" t="s">
        <v>292</v>
      </c>
      <c r="D910" s="7" t="s">
        <v>40</v>
      </c>
      <c r="E910" s="7" t="s">
        <v>79</v>
      </c>
      <c r="F910" s="7" t="s">
        <v>42</v>
      </c>
      <c r="G910" s="7" t="s">
        <v>80</v>
      </c>
      <c r="H910" s="7">
        <v>2</v>
      </c>
      <c r="I910" s="2">
        <v>305.14</v>
      </c>
      <c r="J910" s="2">
        <f>Tabla2[[#This Row],[Quantity]]*I910</f>
        <v>610.28</v>
      </c>
      <c r="K910" s="6">
        <f>MONTH(Tabla2[[#This Row],[OrderDate]])</f>
        <v>3</v>
      </c>
      <c r="L910" s="6">
        <f>YEAR(Tabla2[[#This Row],[OrderDate]])</f>
        <v>2025</v>
      </c>
      <c r="M910" s="7" t="s">
        <v>343</v>
      </c>
      <c r="N910" s="7" t="s">
        <v>28</v>
      </c>
    </row>
    <row r="911" spans="1:14" x14ac:dyDescent="0.35">
      <c r="A911" s="7" t="s">
        <v>2022</v>
      </c>
      <c r="B911" s="7" t="s">
        <v>639</v>
      </c>
      <c r="C911" s="7" t="s">
        <v>640</v>
      </c>
      <c r="D911" s="7" t="s">
        <v>67</v>
      </c>
      <c r="E911" s="7" t="s">
        <v>68</v>
      </c>
      <c r="F911" s="7" t="s">
        <v>50</v>
      </c>
      <c r="G911" s="7" t="s">
        <v>56</v>
      </c>
      <c r="H911" s="7">
        <v>5</v>
      </c>
      <c r="I911" s="2">
        <v>1176.52</v>
      </c>
      <c r="J911" s="2">
        <f>Tabla2[[#This Row],[Quantity]]*I911</f>
        <v>5882.6</v>
      </c>
      <c r="K911" s="6">
        <f>MONTH(Tabla2[[#This Row],[OrderDate]])</f>
        <v>2</v>
      </c>
      <c r="L911" s="6">
        <f>YEAR(Tabla2[[#This Row],[OrderDate]])</f>
        <v>2024</v>
      </c>
      <c r="M911" s="7" t="s">
        <v>2023</v>
      </c>
      <c r="N911" s="7" t="s">
        <v>45</v>
      </c>
    </row>
    <row r="912" spans="1:14" x14ac:dyDescent="0.35">
      <c r="A912" s="7" t="s">
        <v>2024</v>
      </c>
      <c r="B912" s="7" t="s">
        <v>1856</v>
      </c>
      <c r="C912" s="7" t="s">
        <v>1857</v>
      </c>
      <c r="D912" s="7" t="s">
        <v>14</v>
      </c>
      <c r="E912" s="7" t="s">
        <v>95</v>
      </c>
      <c r="F912" s="7" t="s">
        <v>25</v>
      </c>
      <c r="G912" s="7" t="s">
        <v>74</v>
      </c>
      <c r="H912" s="7">
        <v>4</v>
      </c>
      <c r="I912" s="2">
        <v>935.54</v>
      </c>
      <c r="J912" s="2">
        <f>Tabla2[[#This Row],[Quantity]]*I912</f>
        <v>3742.16</v>
      </c>
      <c r="K912" s="6">
        <f>MONTH(Tabla2[[#This Row],[OrderDate]])</f>
        <v>5</v>
      </c>
      <c r="L912" s="6">
        <f>YEAR(Tabla2[[#This Row],[OrderDate]])</f>
        <v>2024</v>
      </c>
      <c r="M912" s="7" t="s">
        <v>1984</v>
      </c>
      <c r="N912" s="7" t="s">
        <v>45</v>
      </c>
    </row>
    <row r="913" spans="1:14" x14ac:dyDescent="0.35">
      <c r="A913" s="7" t="s">
        <v>2025</v>
      </c>
      <c r="B913" s="7" t="s">
        <v>21</v>
      </c>
      <c r="C913" s="7" t="s">
        <v>22</v>
      </c>
      <c r="D913" s="7" t="s">
        <v>32</v>
      </c>
      <c r="E913" s="7" t="s">
        <v>33</v>
      </c>
      <c r="F913" s="7" t="s">
        <v>16</v>
      </c>
      <c r="G913" s="7" t="s">
        <v>17</v>
      </c>
      <c r="H913" s="7">
        <v>1</v>
      </c>
      <c r="I913" s="2">
        <v>273.27999999999997</v>
      </c>
      <c r="J913" s="2">
        <f>Tabla2[[#This Row],[Quantity]]*I913</f>
        <v>273.27999999999997</v>
      </c>
      <c r="K913" s="6">
        <f>MONTH(Tabla2[[#This Row],[OrderDate]])</f>
        <v>8</v>
      </c>
      <c r="L913" s="6">
        <f>YEAR(Tabla2[[#This Row],[OrderDate]])</f>
        <v>2024</v>
      </c>
      <c r="M913" s="7" t="s">
        <v>793</v>
      </c>
      <c r="N913" s="7" t="s">
        <v>91</v>
      </c>
    </row>
    <row r="914" spans="1:14" x14ac:dyDescent="0.35">
      <c r="A914" s="7" t="s">
        <v>2026</v>
      </c>
      <c r="B914" s="7" t="s">
        <v>333</v>
      </c>
      <c r="C914" s="7" t="s">
        <v>334</v>
      </c>
      <c r="D914" s="7" t="s">
        <v>40</v>
      </c>
      <c r="E914" s="7" t="s">
        <v>120</v>
      </c>
      <c r="F914" s="7" t="s">
        <v>42</v>
      </c>
      <c r="G914" s="7" t="s">
        <v>89</v>
      </c>
      <c r="H914" s="7">
        <v>5</v>
      </c>
      <c r="I914" s="2">
        <v>256.07</v>
      </c>
      <c r="J914" s="2">
        <f>Tabla2[[#This Row],[Quantity]]*I914</f>
        <v>1280.3499999999999</v>
      </c>
      <c r="K914" s="6">
        <f>MONTH(Tabla2[[#This Row],[OrderDate]])</f>
        <v>5</v>
      </c>
      <c r="L914" s="6">
        <f>YEAR(Tabla2[[#This Row],[OrderDate]])</f>
        <v>2025</v>
      </c>
      <c r="M914" s="7" t="s">
        <v>2027</v>
      </c>
      <c r="N914" s="7" t="s">
        <v>19</v>
      </c>
    </row>
    <row r="915" spans="1:14" x14ac:dyDescent="0.35">
      <c r="A915" s="7" t="s">
        <v>2028</v>
      </c>
      <c r="B915" s="7" t="s">
        <v>514</v>
      </c>
      <c r="C915" s="7" t="s">
        <v>515</v>
      </c>
      <c r="D915" s="7" t="s">
        <v>23</v>
      </c>
      <c r="E915" s="7" t="s">
        <v>24</v>
      </c>
      <c r="F915" s="7" t="s">
        <v>42</v>
      </c>
      <c r="G915" s="7" t="s">
        <v>170</v>
      </c>
      <c r="H915" s="7">
        <v>5</v>
      </c>
      <c r="I915" s="2">
        <v>568.32000000000005</v>
      </c>
      <c r="J915" s="2">
        <f>Tabla2[[#This Row],[Quantity]]*I915</f>
        <v>2841.6000000000004</v>
      </c>
      <c r="K915" s="6">
        <f>MONTH(Tabla2[[#This Row],[OrderDate]])</f>
        <v>4</v>
      </c>
      <c r="L915" s="6">
        <f>YEAR(Tabla2[[#This Row],[OrderDate]])</f>
        <v>2024</v>
      </c>
      <c r="M915" s="7" t="s">
        <v>773</v>
      </c>
      <c r="N915" s="7" t="s">
        <v>91</v>
      </c>
    </row>
    <row r="916" spans="1:14" x14ac:dyDescent="0.35">
      <c r="A916" s="7" t="s">
        <v>2029</v>
      </c>
      <c r="B916" s="7" t="s">
        <v>219</v>
      </c>
      <c r="C916" s="7" t="s">
        <v>220</v>
      </c>
      <c r="D916" s="7" t="s">
        <v>23</v>
      </c>
      <c r="E916" s="7" t="s">
        <v>338</v>
      </c>
      <c r="F916" s="7" t="s">
        <v>101</v>
      </c>
      <c r="G916" s="7" t="s">
        <v>165</v>
      </c>
      <c r="H916" s="7">
        <v>3</v>
      </c>
      <c r="I916" s="2">
        <v>1401.05</v>
      </c>
      <c r="J916" s="2">
        <f>Tabla2[[#This Row],[Quantity]]*I916</f>
        <v>4203.1499999999996</v>
      </c>
      <c r="K916" s="6">
        <f>MONTH(Tabla2[[#This Row],[OrderDate]])</f>
        <v>4</v>
      </c>
      <c r="L916" s="6">
        <f>YEAR(Tabla2[[#This Row],[OrderDate]])</f>
        <v>2025</v>
      </c>
      <c r="M916" s="7" t="s">
        <v>2030</v>
      </c>
      <c r="N916" s="7" t="s">
        <v>45</v>
      </c>
    </row>
    <row r="917" spans="1:14" x14ac:dyDescent="0.35">
      <c r="A917" s="7" t="s">
        <v>2031</v>
      </c>
      <c r="B917" s="7" t="s">
        <v>12</v>
      </c>
      <c r="C917" s="7" t="s">
        <v>13</v>
      </c>
      <c r="D917" s="7" t="s">
        <v>23</v>
      </c>
      <c r="E917" s="7" t="s">
        <v>24</v>
      </c>
      <c r="F917" s="7" t="s">
        <v>16</v>
      </c>
      <c r="G917" s="7" t="s">
        <v>182</v>
      </c>
      <c r="H917" s="7">
        <v>1</v>
      </c>
      <c r="I917" s="2">
        <v>324.58</v>
      </c>
      <c r="J917" s="2">
        <f>Tabla2[[#This Row],[Quantity]]*I917</f>
        <v>324.58</v>
      </c>
      <c r="K917" s="6">
        <f>MONTH(Tabla2[[#This Row],[OrderDate]])</f>
        <v>11</v>
      </c>
      <c r="L917" s="6">
        <f>YEAR(Tabla2[[#This Row],[OrderDate]])</f>
        <v>2024</v>
      </c>
      <c r="M917" s="7" t="s">
        <v>1494</v>
      </c>
      <c r="N917" s="7" t="s">
        <v>45</v>
      </c>
    </row>
    <row r="918" spans="1:14" x14ac:dyDescent="0.35">
      <c r="A918" s="7" t="s">
        <v>2032</v>
      </c>
      <c r="B918" s="7" t="s">
        <v>470</v>
      </c>
      <c r="C918" s="7" t="s">
        <v>471</v>
      </c>
      <c r="D918" s="7" t="s">
        <v>67</v>
      </c>
      <c r="E918" s="7" t="s">
        <v>130</v>
      </c>
      <c r="F918" s="7" t="s">
        <v>25</v>
      </c>
      <c r="G918" s="7" t="s">
        <v>34</v>
      </c>
      <c r="H918" s="7">
        <v>5</v>
      </c>
      <c r="I918" s="2">
        <v>538.35</v>
      </c>
      <c r="J918" s="2">
        <f>Tabla2[[#This Row],[Quantity]]*I918</f>
        <v>2691.75</v>
      </c>
      <c r="K918" s="6">
        <f>MONTH(Tabla2[[#This Row],[OrderDate]])</f>
        <v>5</v>
      </c>
      <c r="L918" s="6">
        <f>YEAR(Tabla2[[#This Row],[OrderDate]])</f>
        <v>2024</v>
      </c>
      <c r="M918" s="7" t="s">
        <v>874</v>
      </c>
      <c r="N918" s="7" t="s">
        <v>91</v>
      </c>
    </row>
    <row r="919" spans="1:14" x14ac:dyDescent="0.35">
      <c r="A919" s="7" t="s">
        <v>2033</v>
      </c>
      <c r="B919" s="7" t="s">
        <v>703</v>
      </c>
      <c r="C919" s="7" t="s">
        <v>704</v>
      </c>
      <c r="D919" s="7" t="s">
        <v>40</v>
      </c>
      <c r="E919" s="7" t="s">
        <v>41</v>
      </c>
      <c r="F919" s="7" t="s">
        <v>101</v>
      </c>
      <c r="G919" s="7" t="s">
        <v>102</v>
      </c>
      <c r="H919" s="7">
        <v>4</v>
      </c>
      <c r="I919" s="2">
        <v>98.53</v>
      </c>
      <c r="J919" s="2">
        <f>Tabla2[[#This Row],[Quantity]]*I919</f>
        <v>394.12</v>
      </c>
      <c r="K919" s="6">
        <f>MONTH(Tabla2[[#This Row],[OrderDate]])</f>
        <v>10</v>
      </c>
      <c r="L919" s="6">
        <f>YEAR(Tabla2[[#This Row],[OrderDate]])</f>
        <v>2025</v>
      </c>
      <c r="M919" s="7" t="s">
        <v>1485</v>
      </c>
      <c r="N919" s="7" t="s">
        <v>91</v>
      </c>
    </row>
    <row r="920" spans="1:14" x14ac:dyDescent="0.35">
      <c r="A920" s="7" t="s">
        <v>2034</v>
      </c>
      <c r="B920" s="7" t="s">
        <v>1428</v>
      </c>
      <c r="C920" s="7" t="s">
        <v>1429</v>
      </c>
      <c r="D920" s="7" t="s">
        <v>40</v>
      </c>
      <c r="E920" s="7" t="s">
        <v>41</v>
      </c>
      <c r="F920" s="7" t="s">
        <v>42</v>
      </c>
      <c r="G920" s="7" t="s">
        <v>170</v>
      </c>
      <c r="H920" s="7">
        <v>4</v>
      </c>
      <c r="I920" s="2">
        <v>738.75</v>
      </c>
      <c r="J920" s="2">
        <f>Tabla2[[#This Row],[Quantity]]*I920</f>
        <v>2955</v>
      </c>
      <c r="K920" s="6">
        <f>MONTH(Tabla2[[#This Row],[OrderDate]])</f>
        <v>1</v>
      </c>
      <c r="L920" s="6">
        <f>YEAR(Tabla2[[#This Row],[OrderDate]])</f>
        <v>2024</v>
      </c>
      <c r="M920" s="7" t="s">
        <v>2035</v>
      </c>
      <c r="N920" s="7" t="s">
        <v>45</v>
      </c>
    </row>
    <row r="921" spans="1:14" x14ac:dyDescent="0.35">
      <c r="A921" s="7" t="s">
        <v>2036</v>
      </c>
      <c r="B921" s="7" t="s">
        <v>223</v>
      </c>
      <c r="C921" s="7" t="s">
        <v>224</v>
      </c>
      <c r="D921" s="7" t="s">
        <v>23</v>
      </c>
      <c r="E921" s="7" t="s">
        <v>49</v>
      </c>
      <c r="F921" s="7" t="s">
        <v>16</v>
      </c>
      <c r="G921" s="7" t="s">
        <v>182</v>
      </c>
      <c r="H921" s="7">
        <v>1</v>
      </c>
      <c r="I921" s="2">
        <v>633.5</v>
      </c>
      <c r="J921" s="2">
        <f>Tabla2[[#This Row],[Quantity]]*I921</f>
        <v>633.5</v>
      </c>
      <c r="K921" s="6">
        <f>MONTH(Tabla2[[#This Row],[OrderDate]])</f>
        <v>7</v>
      </c>
      <c r="L921" s="6">
        <f>YEAR(Tabla2[[#This Row],[OrderDate]])</f>
        <v>2025</v>
      </c>
      <c r="M921" s="7" t="s">
        <v>2037</v>
      </c>
      <c r="N921" s="7" t="s">
        <v>45</v>
      </c>
    </row>
    <row r="922" spans="1:14" x14ac:dyDescent="0.35">
      <c r="A922" s="7" t="s">
        <v>2038</v>
      </c>
      <c r="B922" s="7" t="s">
        <v>1940</v>
      </c>
      <c r="C922" s="7" t="s">
        <v>1941</v>
      </c>
      <c r="D922" s="7" t="s">
        <v>40</v>
      </c>
      <c r="E922" s="7" t="s">
        <v>79</v>
      </c>
      <c r="F922" s="7" t="s">
        <v>50</v>
      </c>
      <c r="G922" s="7" t="s">
        <v>69</v>
      </c>
      <c r="H922" s="7">
        <v>1</v>
      </c>
      <c r="I922" s="2">
        <v>482.68</v>
      </c>
      <c r="J922" s="2">
        <f>Tabla2[[#This Row],[Quantity]]*I922</f>
        <v>482.68</v>
      </c>
      <c r="K922" s="6">
        <f>MONTH(Tabla2[[#This Row],[OrderDate]])</f>
        <v>11</v>
      </c>
      <c r="L922" s="6">
        <f>YEAR(Tabla2[[#This Row],[OrderDate]])</f>
        <v>2025</v>
      </c>
      <c r="M922" s="7" t="s">
        <v>479</v>
      </c>
      <c r="N922" s="7" t="s">
        <v>19</v>
      </c>
    </row>
    <row r="923" spans="1:14" x14ac:dyDescent="0.35">
      <c r="A923" s="7" t="s">
        <v>2039</v>
      </c>
      <c r="B923" s="7" t="s">
        <v>1464</v>
      </c>
      <c r="C923" s="7" t="s">
        <v>1465</v>
      </c>
      <c r="D923" s="7" t="s">
        <v>14</v>
      </c>
      <c r="E923" s="7" t="s">
        <v>100</v>
      </c>
      <c r="F923" s="7" t="s">
        <v>50</v>
      </c>
      <c r="G923" s="7" t="s">
        <v>170</v>
      </c>
      <c r="H923" s="7">
        <v>3</v>
      </c>
      <c r="I923" s="2">
        <v>912.12</v>
      </c>
      <c r="J923" s="2">
        <f>Tabla2[[#This Row],[Quantity]]*I923</f>
        <v>2736.36</v>
      </c>
      <c r="K923" s="6">
        <f>MONTH(Tabla2[[#This Row],[OrderDate]])</f>
        <v>8</v>
      </c>
      <c r="L923" s="6">
        <f>YEAR(Tabla2[[#This Row],[OrderDate]])</f>
        <v>2025</v>
      </c>
      <c r="M923" s="7" t="s">
        <v>1161</v>
      </c>
      <c r="N923" s="7" t="s">
        <v>91</v>
      </c>
    </row>
    <row r="924" spans="1:14" x14ac:dyDescent="0.35">
      <c r="A924" s="7" t="s">
        <v>2040</v>
      </c>
      <c r="B924" s="7" t="s">
        <v>1176</v>
      </c>
      <c r="C924" s="7" t="s">
        <v>1177</v>
      </c>
      <c r="D924" s="7" t="s">
        <v>40</v>
      </c>
      <c r="E924" s="7" t="s">
        <v>79</v>
      </c>
      <c r="F924" s="7" t="s">
        <v>42</v>
      </c>
      <c r="G924" s="7" t="s">
        <v>225</v>
      </c>
      <c r="H924" s="7">
        <v>3</v>
      </c>
      <c r="I924" s="2">
        <v>844.67</v>
      </c>
      <c r="J924" s="2">
        <f>Tabla2[[#This Row],[Quantity]]*I924</f>
        <v>2534.0099999999998</v>
      </c>
      <c r="K924" s="6">
        <f>MONTH(Tabla2[[#This Row],[OrderDate]])</f>
        <v>4</v>
      </c>
      <c r="L924" s="6">
        <f>YEAR(Tabla2[[#This Row],[OrderDate]])</f>
        <v>2026</v>
      </c>
      <c r="M924" s="7" t="s">
        <v>1779</v>
      </c>
      <c r="N924" s="7" t="s">
        <v>45</v>
      </c>
    </row>
    <row r="925" spans="1:14" x14ac:dyDescent="0.35">
      <c r="A925" s="7" t="s">
        <v>2041</v>
      </c>
      <c r="B925" s="7" t="s">
        <v>291</v>
      </c>
      <c r="C925" s="7" t="s">
        <v>292</v>
      </c>
      <c r="D925" s="7" t="s">
        <v>67</v>
      </c>
      <c r="E925" s="7" t="s">
        <v>115</v>
      </c>
      <c r="F925" s="7" t="s">
        <v>50</v>
      </c>
      <c r="G925" s="7" t="s">
        <v>51</v>
      </c>
      <c r="H925" s="7">
        <v>4</v>
      </c>
      <c r="I925" s="2">
        <v>32.630000000000003</v>
      </c>
      <c r="J925" s="2">
        <f>Tabla2[[#This Row],[Quantity]]*I925</f>
        <v>130.52000000000001</v>
      </c>
      <c r="K925" s="6">
        <f>MONTH(Tabla2[[#This Row],[OrderDate]])</f>
        <v>5</v>
      </c>
      <c r="L925" s="6">
        <f>YEAR(Tabla2[[#This Row],[OrderDate]])</f>
        <v>2024</v>
      </c>
      <c r="M925" s="7" t="s">
        <v>2042</v>
      </c>
      <c r="N925" s="7" t="s">
        <v>36</v>
      </c>
    </row>
    <row r="926" spans="1:14" x14ac:dyDescent="0.35">
      <c r="A926" s="7" t="s">
        <v>2043</v>
      </c>
      <c r="B926" s="7" t="s">
        <v>348</v>
      </c>
      <c r="C926" s="7" t="s">
        <v>349</v>
      </c>
      <c r="D926" s="7" t="s">
        <v>32</v>
      </c>
      <c r="E926" s="7" t="s">
        <v>33</v>
      </c>
      <c r="F926" s="7" t="s">
        <v>101</v>
      </c>
      <c r="G926" s="7" t="s">
        <v>649</v>
      </c>
      <c r="H926" s="7">
        <v>3</v>
      </c>
      <c r="I926" s="2">
        <v>369.79</v>
      </c>
      <c r="J926" s="2">
        <f>Tabla2[[#This Row],[Quantity]]*I926</f>
        <v>1109.3700000000001</v>
      </c>
      <c r="K926" s="6">
        <f>MONTH(Tabla2[[#This Row],[OrderDate]])</f>
        <v>2</v>
      </c>
      <c r="L926" s="6">
        <f>YEAR(Tabla2[[#This Row],[OrderDate]])</f>
        <v>2025</v>
      </c>
      <c r="M926" s="7" t="s">
        <v>2044</v>
      </c>
      <c r="N926" s="7" t="s">
        <v>19</v>
      </c>
    </row>
    <row r="927" spans="1:14" x14ac:dyDescent="0.35">
      <c r="A927" s="7" t="s">
        <v>2045</v>
      </c>
      <c r="B927" s="7" t="s">
        <v>1749</v>
      </c>
      <c r="C927" s="7" t="s">
        <v>1750</v>
      </c>
      <c r="D927" s="7" t="s">
        <v>40</v>
      </c>
      <c r="E927" s="7" t="s">
        <v>79</v>
      </c>
      <c r="F927" s="7" t="s">
        <v>101</v>
      </c>
      <c r="G927" s="7" t="s">
        <v>373</v>
      </c>
      <c r="H927" s="7">
        <v>3</v>
      </c>
      <c r="I927" s="2">
        <v>1134.94</v>
      </c>
      <c r="J927" s="2">
        <f>Tabla2[[#This Row],[Quantity]]*I927</f>
        <v>3404.82</v>
      </c>
      <c r="K927" s="6">
        <f>MONTH(Tabla2[[#This Row],[OrderDate]])</f>
        <v>12</v>
      </c>
      <c r="L927" s="6">
        <f>YEAR(Tabla2[[#This Row],[OrderDate]])</f>
        <v>2024</v>
      </c>
      <c r="M927" s="7" t="s">
        <v>2046</v>
      </c>
      <c r="N927" s="7" t="s">
        <v>28</v>
      </c>
    </row>
    <row r="928" spans="1:14" x14ac:dyDescent="0.35">
      <c r="A928" s="7" t="s">
        <v>2047</v>
      </c>
      <c r="B928" s="7" t="s">
        <v>579</v>
      </c>
      <c r="C928" s="7" t="s">
        <v>580</v>
      </c>
      <c r="D928" s="7" t="s">
        <v>40</v>
      </c>
      <c r="E928" s="7" t="s">
        <v>79</v>
      </c>
      <c r="F928" s="7" t="s">
        <v>50</v>
      </c>
      <c r="G928" s="7" t="s">
        <v>51</v>
      </c>
      <c r="H928" s="7">
        <v>1</v>
      </c>
      <c r="I928" s="2">
        <v>951.88</v>
      </c>
      <c r="J928" s="2">
        <f>Tabla2[[#This Row],[Quantity]]*I928</f>
        <v>951.88</v>
      </c>
      <c r="K928" s="6">
        <f>MONTH(Tabla2[[#This Row],[OrderDate]])</f>
        <v>11</v>
      </c>
      <c r="L928" s="6">
        <f>YEAR(Tabla2[[#This Row],[OrderDate]])</f>
        <v>2025</v>
      </c>
      <c r="M928" s="7" t="s">
        <v>2048</v>
      </c>
      <c r="N928" s="7" t="s">
        <v>91</v>
      </c>
    </row>
    <row r="929" spans="1:14" x14ac:dyDescent="0.35">
      <c r="A929" s="7" t="s">
        <v>2049</v>
      </c>
      <c r="B929" s="7" t="s">
        <v>868</v>
      </c>
      <c r="C929" s="7" t="s">
        <v>869</v>
      </c>
      <c r="D929" s="7" t="s">
        <v>32</v>
      </c>
      <c r="E929" s="7" t="s">
        <v>33</v>
      </c>
      <c r="F929" s="7" t="s">
        <v>16</v>
      </c>
      <c r="G929" s="7" t="s">
        <v>230</v>
      </c>
      <c r="H929" s="7">
        <v>1</v>
      </c>
      <c r="I929" s="2">
        <v>773.71</v>
      </c>
      <c r="J929" s="2">
        <f>Tabla2[[#This Row],[Quantity]]*I929</f>
        <v>773.71</v>
      </c>
      <c r="K929" s="6">
        <f>MONTH(Tabla2[[#This Row],[OrderDate]])</f>
        <v>11</v>
      </c>
      <c r="L929" s="6">
        <f>YEAR(Tabla2[[#This Row],[OrderDate]])</f>
        <v>2024</v>
      </c>
      <c r="M929" s="7" t="s">
        <v>2050</v>
      </c>
      <c r="N929" s="7" t="s">
        <v>45</v>
      </c>
    </row>
    <row r="930" spans="1:14" x14ac:dyDescent="0.35">
      <c r="A930" s="7" t="s">
        <v>2051</v>
      </c>
      <c r="B930" s="7" t="s">
        <v>1907</v>
      </c>
      <c r="C930" s="7" t="s">
        <v>1908</v>
      </c>
      <c r="D930" s="7" t="s">
        <v>23</v>
      </c>
      <c r="E930" s="7" t="s">
        <v>338</v>
      </c>
      <c r="F930" s="7" t="s">
        <v>25</v>
      </c>
      <c r="G930" s="7" t="s">
        <v>34</v>
      </c>
      <c r="H930" s="7">
        <v>5</v>
      </c>
      <c r="I930" s="2">
        <v>336.12</v>
      </c>
      <c r="J930" s="2">
        <f>Tabla2[[#This Row],[Quantity]]*I930</f>
        <v>1680.6</v>
      </c>
      <c r="K930" s="6">
        <f>MONTH(Tabla2[[#This Row],[OrderDate]])</f>
        <v>3</v>
      </c>
      <c r="L930" s="6">
        <f>YEAR(Tabla2[[#This Row],[OrderDate]])</f>
        <v>2024</v>
      </c>
      <c r="M930" s="7" t="s">
        <v>2052</v>
      </c>
      <c r="N930" s="7" t="s">
        <v>91</v>
      </c>
    </row>
    <row r="931" spans="1:14" x14ac:dyDescent="0.35">
      <c r="A931" s="7" t="s">
        <v>2053</v>
      </c>
      <c r="B931" s="7" t="s">
        <v>1340</v>
      </c>
      <c r="C931" s="7" t="s">
        <v>1341</v>
      </c>
      <c r="D931" s="7" t="s">
        <v>67</v>
      </c>
      <c r="E931" s="7" t="s">
        <v>115</v>
      </c>
      <c r="F931" s="7" t="s">
        <v>25</v>
      </c>
      <c r="G931" s="7" t="s">
        <v>62</v>
      </c>
      <c r="H931" s="7">
        <v>3</v>
      </c>
      <c r="I931" s="2">
        <v>772.51</v>
      </c>
      <c r="J931" s="2">
        <f>Tabla2[[#This Row],[Quantity]]*I931</f>
        <v>2317.5299999999997</v>
      </c>
      <c r="K931" s="6">
        <f>MONTH(Tabla2[[#This Row],[OrderDate]])</f>
        <v>6</v>
      </c>
      <c r="L931" s="6">
        <f>YEAR(Tabla2[[#This Row],[OrderDate]])</f>
        <v>2025</v>
      </c>
      <c r="M931" s="7" t="s">
        <v>2054</v>
      </c>
      <c r="N931" s="7" t="s">
        <v>19</v>
      </c>
    </row>
    <row r="932" spans="1:14" x14ac:dyDescent="0.35">
      <c r="A932" s="7" t="s">
        <v>2055</v>
      </c>
      <c r="B932" s="7" t="s">
        <v>936</v>
      </c>
      <c r="C932" s="7" t="s">
        <v>937</v>
      </c>
      <c r="D932" s="7" t="s">
        <v>23</v>
      </c>
      <c r="E932" s="7" t="s">
        <v>338</v>
      </c>
      <c r="F932" s="7" t="s">
        <v>42</v>
      </c>
      <c r="G932" s="7" t="s">
        <v>43</v>
      </c>
      <c r="H932" s="7">
        <v>5</v>
      </c>
      <c r="I932" s="2">
        <v>1411.13</v>
      </c>
      <c r="J932" s="2">
        <f>Tabla2[[#This Row],[Quantity]]*I932</f>
        <v>7055.6500000000005</v>
      </c>
      <c r="K932" s="6">
        <f>MONTH(Tabla2[[#This Row],[OrderDate]])</f>
        <v>11</v>
      </c>
      <c r="L932" s="6">
        <f>YEAR(Tabla2[[#This Row],[OrderDate]])</f>
        <v>2024</v>
      </c>
      <c r="M932" s="7" t="s">
        <v>81</v>
      </c>
      <c r="N932" s="7" t="s">
        <v>19</v>
      </c>
    </row>
    <row r="933" spans="1:14" x14ac:dyDescent="0.35">
      <c r="A933" s="7" t="s">
        <v>2056</v>
      </c>
      <c r="B933" s="7" t="s">
        <v>1423</v>
      </c>
      <c r="C933" s="7" t="s">
        <v>1424</v>
      </c>
      <c r="D933" s="7" t="s">
        <v>32</v>
      </c>
      <c r="E933" s="7" t="s">
        <v>203</v>
      </c>
      <c r="F933" s="7" t="s">
        <v>101</v>
      </c>
      <c r="G933" s="7" t="s">
        <v>102</v>
      </c>
      <c r="H933" s="7">
        <v>4</v>
      </c>
      <c r="I933" s="2">
        <v>1364.97</v>
      </c>
      <c r="J933" s="2">
        <f>Tabla2[[#This Row],[Quantity]]*I933</f>
        <v>5459.88</v>
      </c>
      <c r="K933" s="6">
        <f>MONTH(Tabla2[[#This Row],[OrderDate]])</f>
        <v>2</v>
      </c>
      <c r="L933" s="6">
        <f>YEAR(Tabla2[[#This Row],[OrderDate]])</f>
        <v>2025</v>
      </c>
      <c r="M933" s="7" t="s">
        <v>2057</v>
      </c>
      <c r="N933" s="7" t="s">
        <v>19</v>
      </c>
    </row>
    <row r="934" spans="1:14" x14ac:dyDescent="0.35">
      <c r="A934" s="7" t="s">
        <v>2058</v>
      </c>
      <c r="B934" s="7" t="s">
        <v>1046</v>
      </c>
      <c r="C934" s="7" t="s">
        <v>1047</v>
      </c>
      <c r="D934" s="7" t="s">
        <v>14</v>
      </c>
      <c r="E934" s="7" t="s">
        <v>15</v>
      </c>
      <c r="F934" s="7" t="s">
        <v>16</v>
      </c>
      <c r="G934" s="7" t="s">
        <v>148</v>
      </c>
      <c r="H934" s="7">
        <v>4</v>
      </c>
      <c r="I934" s="2">
        <v>1491.04</v>
      </c>
      <c r="J934" s="2">
        <f>Tabla2[[#This Row],[Quantity]]*I934</f>
        <v>5964.16</v>
      </c>
      <c r="K934" s="6">
        <f>MONTH(Tabla2[[#This Row],[OrderDate]])</f>
        <v>8</v>
      </c>
      <c r="L934" s="6">
        <f>YEAR(Tabla2[[#This Row],[OrderDate]])</f>
        <v>2024</v>
      </c>
      <c r="M934" s="7" t="s">
        <v>929</v>
      </c>
      <c r="N934" s="7" t="s">
        <v>45</v>
      </c>
    </row>
    <row r="935" spans="1:14" x14ac:dyDescent="0.35">
      <c r="A935" s="7" t="s">
        <v>2059</v>
      </c>
      <c r="B935" s="7" t="s">
        <v>817</v>
      </c>
      <c r="C935" s="7" t="s">
        <v>818</v>
      </c>
      <c r="D935" s="7" t="s">
        <v>14</v>
      </c>
      <c r="E935" s="7" t="s">
        <v>95</v>
      </c>
      <c r="F935" s="7" t="s">
        <v>25</v>
      </c>
      <c r="G935" s="7" t="s">
        <v>139</v>
      </c>
      <c r="H935" s="7">
        <v>5</v>
      </c>
      <c r="I935" s="2">
        <v>624.61</v>
      </c>
      <c r="J935" s="2">
        <f>Tabla2[[#This Row],[Quantity]]*I935</f>
        <v>3123.05</v>
      </c>
      <c r="K935" s="6">
        <f>MONTH(Tabla2[[#This Row],[OrderDate]])</f>
        <v>4</v>
      </c>
      <c r="L935" s="6">
        <f>YEAR(Tabla2[[#This Row],[OrderDate]])</f>
        <v>2024</v>
      </c>
      <c r="M935" s="7" t="s">
        <v>2060</v>
      </c>
      <c r="N935" s="7" t="s">
        <v>45</v>
      </c>
    </row>
    <row r="936" spans="1:14" x14ac:dyDescent="0.35">
      <c r="A936" s="7" t="s">
        <v>2061</v>
      </c>
      <c r="B936" s="7" t="s">
        <v>555</v>
      </c>
      <c r="C936" s="7" t="s">
        <v>556</v>
      </c>
      <c r="D936" s="7" t="s">
        <v>32</v>
      </c>
      <c r="E936" s="7" t="s">
        <v>203</v>
      </c>
      <c r="F936" s="7" t="s">
        <v>16</v>
      </c>
      <c r="G936" s="7" t="s">
        <v>148</v>
      </c>
      <c r="H936" s="7">
        <v>3</v>
      </c>
      <c r="I936" s="2">
        <v>906.86</v>
      </c>
      <c r="J936" s="2">
        <f>Tabla2[[#This Row],[Quantity]]*I936</f>
        <v>2720.58</v>
      </c>
      <c r="K936" s="6">
        <f>MONTH(Tabla2[[#This Row],[OrderDate]])</f>
        <v>12</v>
      </c>
      <c r="L936" s="6">
        <f>YEAR(Tabla2[[#This Row],[OrderDate]])</f>
        <v>2025</v>
      </c>
      <c r="M936" s="7" t="s">
        <v>2062</v>
      </c>
      <c r="N936" s="7" t="s">
        <v>19</v>
      </c>
    </row>
    <row r="937" spans="1:14" x14ac:dyDescent="0.35">
      <c r="A937" s="7" t="s">
        <v>2063</v>
      </c>
      <c r="B937" s="7" t="s">
        <v>223</v>
      </c>
      <c r="C937" s="7" t="s">
        <v>224</v>
      </c>
      <c r="D937" s="7" t="s">
        <v>67</v>
      </c>
      <c r="E937" s="7" t="s">
        <v>115</v>
      </c>
      <c r="F937" s="7" t="s">
        <v>25</v>
      </c>
      <c r="G937" s="7" t="s">
        <v>26</v>
      </c>
      <c r="H937" s="7">
        <v>3</v>
      </c>
      <c r="I937" s="2">
        <v>1189.93</v>
      </c>
      <c r="J937" s="2">
        <f>Tabla2[[#This Row],[Quantity]]*I937</f>
        <v>3569.79</v>
      </c>
      <c r="K937" s="6">
        <f>MONTH(Tabla2[[#This Row],[OrderDate]])</f>
        <v>5</v>
      </c>
      <c r="L937" s="6">
        <f>YEAR(Tabla2[[#This Row],[OrderDate]])</f>
        <v>2025</v>
      </c>
      <c r="M937" s="7" t="s">
        <v>1675</v>
      </c>
      <c r="N937" s="7" t="s">
        <v>45</v>
      </c>
    </row>
    <row r="938" spans="1:14" x14ac:dyDescent="0.35">
      <c r="A938" s="7" t="s">
        <v>2064</v>
      </c>
      <c r="B938" s="7" t="s">
        <v>193</v>
      </c>
      <c r="C938" s="7" t="s">
        <v>194</v>
      </c>
      <c r="D938" s="7" t="s">
        <v>32</v>
      </c>
      <c r="E938" s="7" t="s">
        <v>61</v>
      </c>
      <c r="F938" s="7" t="s">
        <v>101</v>
      </c>
      <c r="G938" s="7" t="s">
        <v>373</v>
      </c>
      <c r="H938" s="7">
        <v>2</v>
      </c>
      <c r="I938" s="2">
        <v>578.13</v>
      </c>
      <c r="J938" s="2">
        <f>Tabla2[[#This Row],[Quantity]]*I938</f>
        <v>1156.26</v>
      </c>
      <c r="K938" s="6">
        <f>MONTH(Tabla2[[#This Row],[OrderDate]])</f>
        <v>3</v>
      </c>
      <c r="L938" s="6">
        <f>YEAR(Tabla2[[#This Row],[OrderDate]])</f>
        <v>2024</v>
      </c>
      <c r="M938" s="7" t="s">
        <v>2065</v>
      </c>
      <c r="N938" s="7" t="s">
        <v>28</v>
      </c>
    </row>
    <row r="939" spans="1:14" x14ac:dyDescent="0.35">
      <c r="A939" s="7" t="s">
        <v>2066</v>
      </c>
      <c r="B939" s="7" t="s">
        <v>820</v>
      </c>
      <c r="C939" s="7" t="s">
        <v>821</v>
      </c>
      <c r="D939" s="7" t="s">
        <v>67</v>
      </c>
      <c r="E939" s="7" t="s">
        <v>68</v>
      </c>
      <c r="F939" s="7" t="s">
        <v>101</v>
      </c>
      <c r="G939" s="7" t="s">
        <v>102</v>
      </c>
      <c r="H939" s="7">
        <v>2</v>
      </c>
      <c r="I939" s="2">
        <v>1482.25</v>
      </c>
      <c r="J939" s="2">
        <f>Tabla2[[#This Row],[Quantity]]*I939</f>
        <v>2964.5</v>
      </c>
      <c r="K939" s="6">
        <f>MONTH(Tabla2[[#This Row],[OrderDate]])</f>
        <v>9</v>
      </c>
      <c r="L939" s="6">
        <f>YEAR(Tabla2[[#This Row],[OrderDate]])</f>
        <v>2025</v>
      </c>
      <c r="M939" s="7" t="s">
        <v>153</v>
      </c>
      <c r="N939" s="7" t="s">
        <v>19</v>
      </c>
    </row>
    <row r="940" spans="1:14" x14ac:dyDescent="0.35">
      <c r="A940" s="7" t="s">
        <v>2067</v>
      </c>
      <c r="B940" s="7" t="s">
        <v>723</v>
      </c>
      <c r="C940" s="7" t="s">
        <v>724</v>
      </c>
      <c r="D940" s="7" t="s">
        <v>23</v>
      </c>
      <c r="E940" s="7" t="s">
        <v>49</v>
      </c>
      <c r="F940" s="7" t="s">
        <v>101</v>
      </c>
      <c r="G940" s="7" t="s">
        <v>102</v>
      </c>
      <c r="H940" s="7">
        <v>4</v>
      </c>
      <c r="I940" s="2">
        <v>44.81</v>
      </c>
      <c r="J940" s="2">
        <f>Tabla2[[#This Row],[Quantity]]*I940</f>
        <v>179.24</v>
      </c>
      <c r="K940" s="6">
        <f>MONTH(Tabla2[[#This Row],[OrderDate]])</f>
        <v>4</v>
      </c>
      <c r="L940" s="6">
        <f>YEAR(Tabla2[[#This Row],[OrderDate]])</f>
        <v>2024</v>
      </c>
      <c r="M940" s="7" t="s">
        <v>1056</v>
      </c>
      <c r="N940" s="7" t="s">
        <v>91</v>
      </c>
    </row>
    <row r="941" spans="1:14" x14ac:dyDescent="0.35">
      <c r="A941" s="7" t="s">
        <v>2068</v>
      </c>
      <c r="B941" s="7" t="s">
        <v>809</v>
      </c>
      <c r="C941" s="7" t="s">
        <v>810</v>
      </c>
      <c r="D941" s="7" t="s">
        <v>67</v>
      </c>
      <c r="E941" s="7" t="s">
        <v>68</v>
      </c>
      <c r="F941" s="7" t="s">
        <v>16</v>
      </c>
      <c r="G941" s="7" t="s">
        <v>148</v>
      </c>
      <c r="H941" s="7">
        <v>1</v>
      </c>
      <c r="I941" s="2">
        <v>393.36</v>
      </c>
      <c r="J941" s="2">
        <f>Tabla2[[#This Row],[Quantity]]*I941</f>
        <v>393.36</v>
      </c>
      <c r="K941" s="6">
        <f>MONTH(Tabla2[[#This Row],[OrderDate]])</f>
        <v>2</v>
      </c>
      <c r="L941" s="6">
        <f>YEAR(Tabla2[[#This Row],[OrderDate]])</f>
        <v>2024</v>
      </c>
      <c r="M941" s="7" t="s">
        <v>2069</v>
      </c>
      <c r="N941" s="7" t="s">
        <v>28</v>
      </c>
    </row>
    <row r="942" spans="1:14" x14ac:dyDescent="0.35">
      <c r="A942" s="7" t="s">
        <v>2070</v>
      </c>
      <c r="B942" s="7" t="s">
        <v>287</v>
      </c>
      <c r="C942" s="7" t="s">
        <v>288</v>
      </c>
      <c r="D942" s="7" t="s">
        <v>67</v>
      </c>
      <c r="E942" s="7" t="s">
        <v>68</v>
      </c>
      <c r="F942" s="7" t="s">
        <v>25</v>
      </c>
      <c r="G942" s="7" t="s">
        <v>74</v>
      </c>
      <c r="H942" s="7">
        <v>3</v>
      </c>
      <c r="I942" s="2">
        <v>1424.98</v>
      </c>
      <c r="J942" s="2">
        <f>Tabla2[[#This Row],[Quantity]]*I942</f>
        <v>4274.9400000000005</v>
      </c>
      <c r="K942" s="6">
        <f>MONTH(Tabla2[[#This Row],[OrderDate]])</f>
        <v>9</v>
      </c>
      <c r="L942" s="6">
        <f>YEAR(Tabla2[[#This Row],[OrderDate]])</f>
        <v>2024</v>
      </c>
      <c r="M942" s="7" t="s">
        <v>993</v>
      </c>
      <c r="N942" s="7" t="s">
        <v>19</v>
      </c>
    </row>
    <row r="943" spans="1:14" x14ac:dyDescent="0.35">
      <c r="A943" s="7" t="s">
        <v>2071</v>
      </c>
      <c r="B943" s="7" t="s">
        <v>910</v>
      </c>
      <c r="C943" s="7" t="s">
        <v>911</v>
      </c>
      <c r="D943" s="7" t="s">
        <v>67</v>
      </c>
      <c r="E943" s="7" t="s">
        <v>130</v>
      </c>
      <c r="F943" s="7" t="s">
        <v>42</v>
      </c>
      <c r="G943" s="7" t="s">
        <v>170</v>
      </c>
      <c r="H943" s="7">
        <v>1</v>
      </c>
      <c r="I943" s="2">
        <v>710.79</v>
      </c>
      <c r="J943" s="2">
        <f>Tabla2[[#This Row],[Quantity]]*I943</f>
        <v>710.79</v>
      </c>
      <c r="K943" s="6">
        <f>MONTH(Tabla2[[#This Row],[OrderDate]])</f>
        <v>10</v>
      </c>
      <c r="L943" s="6">
        <f>YEAR(Tabla2[[#This Row],[OrderDate]])</f>
        <v>2025</v>
      </c>
      <c r="M943" s="7" t="s">
        <v>267</v>
      </c>
      <c r="N943" s="7" t="s">
        <v>91</v>
      </c>
    </row>
    <row r="944" spans="1:14" x14ac:dyDescent="0.35">
      <c r="A944" s="7" t="s">
        <v>2072</v>
      </c>
      <c r="B944" s="7" t="s">
        <v>817</v>
      </c>
      <c r="C944" s="7" t="s">
        <v>818</v>
      </c>
      <c r="D944" s="7" t="s">
        <v>14</v>
      </c>
      <c r="E944" s="7" t="s">
        <v>15</v>
      </c>
      <c r="F944" s="7" t="s">
        <v>101</v>
      </c>
      <c r="G944" s="7" t="s">
        <v>237</v>
      </c>
      <c r="H944" s="7">
        <v>5</v>
      </c>
      <c r="I944" s="2">
        <v>552.19000000000005</v>
      </c>
      <c r="J944" s="2">
        <f>Tabla2[[#This Row],[Quantity]]*I944</f>
        <v>2760.9500000000003</v>
      </c>
      <c r="K944" s="6">
        <f>MONTH(Tabla2[[#This Row],[OrderDate]])</f>
        <v>10</v>
      </c>
      <c r="L944" s="6">
        <f>YEAR(Tabla2[[#This Row],[OrderDate]])</f>
        <v>2024</v>
      </c>
      <c r="M944" s="7" t="s">
        <v>1264</v>
      </c>
      <c r="N944" s="7" t="s">
        <v>91</v>
      </c>
    </row>
    <row r="945" spans="1:14" x14ac:dyDescent="0.35">
      <c r="A945" s="7" t="s">
        <v>2073</v>
      </c>
      <c r="B945" s="7" t="s">
        <v>1354</v>
      </c>
      <c r="C945" s="7" t="s">
        <v>1355</v>
      </c>
      <c r="D945" s="7" t="s">
        <v>23</v>
      </c>
      <c r="E945" s="7" t="s">
        <v>338</v>
      </c>
      <c r="F945" s="7" t="s">
        <v>42</v>
      </c>
      <c r="G945" s="7" t="s">
        <v>89</v>
      </c>
      <c r="H945" s="7">
        <v>3</v>
      </c>
      <c r="I945" s="2">
        <v>1381.79</v>
      </c>
      <c r="J945" s="2">
        <f>Tabla2[[#This Row],[Quantity]]*I945</f>
        <v>4145.37</v>
      </c>
      <c r="K945" s="6">
        <f>MONTH(Tabla2[[#This Row],[OrderDate]])</f>
        <v>5</v>
      </c>
      <c r="L945" s="6">
        <f>YEAR(Tabla2[[#This Row],[OrderDate]])</f>
        <v>2024</v>
      </c>
      <c r="M945" s="7" t="s">
        <v>2074</v>
      </c>
      <c r="N945" s="7" t="s">
        <v>91</v>
      </c>
    </row>
    <row r="946" spans="1:14" x14ac:dyDescent="0.35">
      <c r="A946" s="7" t="s">
        <v>2075</v>
      </c>
      <c r="B946" s="7" t="s">
        <v>155</v>
      </c>
      <c r="C946" s="7" t="s">
        <v>156</v>
      </c>
      <c r="D946" s="7" t="s">
        <v>67</v>
      </c>
      <c r="E946" s="7" t="s">
        <v>130</v>
      </c>
      <c r="F946" s="7" t="s">
        <v>16</v>
      </c>
      <c r="G946" s="7" t="s">
        <v>182</v>
      </c>
      <c r="H946" s="7">
        <v>2</v>
      </c>
      <c r="I946" s="2">
        <v>1410.25</v>
      </c>
      <c r="J946" s="2">
        <f>Tabla2[[#This Row],[Quantity]]*I946</f>
        <v>2820.5</v>
      </c>
      <c r="K946" s="6">
        <f>MONTH(Tabla2[[#This Row],[OrderDate]])</f>
        <v>9</v>
      </c>
      <c r="L946" s="6">
        <f>YEAR(Tabla2[[#This Row],[OrderDate]])</f>
        <v>2025</v>
      </c>
      <c r="M946" s="7" t="s">
        <v>2076</v>
      </c>
      <c r="N946" s="7" t="s">
        <v>36</v>
      </c>
    </row>
    <row r="947" spans="1:14" x14ac:dyDescent="0.35">
      <c r="A947" s="7" t="s">
        <v>2077</v>
      </c>
      <c r="B947" s="7" t="s">
        <v>562</v>
      </c>
      <c r="C947" s="7" t="s">
        <v>563</v>
      </c>
      <c r="D947" s="7" t="s">
        <v>14</v>
      </c>
      <c r="E947" s="7" t="s">
        <v>15</v>
      </c>
      <c r="F947" s="7" t="s">
        <v>16</v>
      </c>
      <c r="G947" s="7" t="s">
        <v>182</v>
      </c>
      <c r="H947" s="7">
        <v>1</v>
      </c>
      <c r="I947" s="2">
        <v>127.72</v>
      </c>
      <c r="J947" s="2">
        <f>Tabla2[[#This Row],[Quantity]]*I947</f>
        <v>127.72</v>
      </c>
      <c r="K947" s="6">
        <f>MONTH(Tabla2[[#This Row],[OrderDate]])</f>
        <v>1</v>
      </c>
      <c r="L947" s="6">
        <f>YEAR(Tabla2[[#This Row],[OrderDate]])</f>
        <v>2024</v>
      </c>
      <c r="M947" s="7" t="s">
        <v>1841</v>
      </c>
      <c r="N947" s="7" t="s">
        <v>19</v>
      </c>
    </row>
    <row r="948" spans="1:14" x14ac:dyDescent="0.35">
      <c r="A948" s="7" t="s">
        <v>2078</v>
      </c>
      <c r="B948" s="7" t="s">
        <v>904</v>
      </c>
      <c r="C948" s="7" t="s">
        <v>905</v>
      </c>
      <c r="D948" s="7" t="s">
        <v>32</v>
      </c>
      <c r="E948" s="7" t="s">
        <v>33</v>
      </c>
      <c r="F948" s="7" t="s">
        <v>25</v>
      </c>
      <c r="G948" s="7" t="s">
        <v>62</v>
      </c>
      <c r="H948" s="7">
        <v>1</v>
      </c>
      <c r="I948" s="2">
        <v>1185.07</v>
      </c>
      <c r="J948" s="2">
        <f>Tabla2[[#This Row],[Quantity]]*I948</f>
        <v>1185.07</v>
      </c>
      <c r="K948" s="6">
        <f>MONTH(Tabla2[[#This Row],[OrderDate]])</f>
        <v>9</v>
      </c>
      <c r="L948" s="6">
        <f>YEAR(Tabla2[[#This Row],[OrderDate]])</f>
        <v>2024</v>
      </c>
      <c r="M948" s="7" t="s">
        <v>1413</v>
      </c>
      <c r="N948" s="7" t="s">
        <v>91</v>
      </c>
    </row>
    <row r="949" spans="1:14" x14ac:dyDescent="0.35">
      <c r="A949" s="7" t="s">
        <v>2079</v>
      </c>
      <c r="B949" s="7" t="s">
        <v>518</v>
      </c>
      <c r="C949" s="7" t="s">
        <v>519</v>
      </c>
      <c r="D949" s="7" t="s">
        <v>67</v>
      </c>
      <c r="E949" s="7" t="s">
        <v>115</v>
      </c>
      <c r="F949" s="7" t="s">
        <v>16</v>
      </c>
      <c r="G949" s="7" t="s">
        <v>17</v>
      </c>
      <c r="H949" s="7">
        <v>5</v>
      </c>
      <c r="I949" s="2">
        <v>1264.08</v>
      </c>
      <c r="J949" s="2">
        <f>Tabla2[[#This Row],[Quantity]]*I949</f>
        <v>6320.4</v>
      </c>
      <c r="K949" s="6">
        <f>MONTH(Tabla2[[#This Row],[OrderDate]])</f>
        <v>12</v>
      </c>
      <c r="L949" s="6">
        <f>YEAR(Tabla2[[#This Row],[OrderDate]])</f>
        <v>2025</v>
      </c>
      <c r="M949" s="7" t="s">
        <v>1194</v>
      </c>
      <c r="N949" s="7" t="s">
        <v>45</v>
      </c>
    </row>
    <row r="950" spans="1:14" x14ac:dyDescent="0.35">
      <c r="A950" s="7" t="s">
        <v>2080</v>
      </c>
      <c r="B950" s="7" t="s">
        <v>1131</v>
      </c>
      <c r="C950" s="7" t="s">
        <v>1132</v>
      </c>
      <c r="D950" s="7" t="s">
        <v>67</v>
      </c>
      <c r="E950" s="7" t="s">
        <v>68</v>
      </c>
      <c r="F950" s="7" t="s">
        <v>101</v>
      </c>
      <c r="G950" s="7" t="s">
        <v>237</v>
      </c>
      <c r="H950" s="7">
        <v>1</v>
      </c>
      <c r="I950" s="2">
        <v>304.89</v>
      </c>
      <c r="J950" s="2">
        <f>Tabla2[[#This Row],[Quantity]]*I950</f>
        <v>304.89</v>
      </c>
      <c r="K950" s="6">
        <f>MONTH(Tabla2[[#This Row],[OrderDate]])</f>
        <v>9</v>
      </c>
      <c r="L950" s="6">
        <f>YEAR(Tabla2[[#This Row],[OrderDate]])</f>
        <v>2025</v>
      </c>
      <c r="M950" s="7" t="s">
        <v>2081</v>
      </c>
      <c r="N950" s="7" t="s">
        <v>36</v>
      </c>
    </row>
    <row r="951" spans="1:14" x14ac:dyDescent="0.35">
      <c r="A951" s="7" t="s">
        <v>2082</v>
      </c>
      <c r="B951" s="7" t="s">
        <v>1073</v>
      </c>
      <c r="C951" s="7" t="s">
        <v>1074</v>
      </c>
      <c r="D951" s="7" t="s">
        <v>14</v>
      </c>
      <c r="E951" s="7" t="s">
        <v>15</v>
      </c>
      <c r="F951" s="7" t="s">
        <v>16</v>
      </c>
      <c r="G951" s="7" t="s">
        <v>17</v>
      </c>
      <c r="H951" s="7">
        <v>1</v>
      </c>
      <c r="I951" s="2">
        <v>778.98</v>
      </c>
      <c r="J951" s="2">
        <f>Tabla2[[#This Row],[Quantity]]*I951</f>
        <v>778.98</v>
      </c>
      <c r="K951" s="6">
        <f>MONTH(Tabla2[[#This Row],[OrderDate]])</f>
        <v>1</v>
      </c>
      <c r="L951" s="6">
        <f>YEAR(Tabla2[[#This Row],[OrderDate]])</f>
        <v>2024</v>
      </c>
      <c r="M951" s="7" t="s">
        <v>1118</v>
      </c>
      <c r="N951" s="7" t="s">
        <v>45</v>
      </c>
    </row>
    <row r="952" spans="1:14" x14ac:dyDescent="0.35">
      <c r="A952" s="7" t="s">
        <v>2083</v>
      </c>
      <c r="B952" s="7" t="s">
        <v>193</v>
      </c>
      <c r="C952" s="7" t="s">
        <v>194</v>
      </c>
      <c r="D952" s="7" t="s">
        <v>40</v>
      </c>
      <c r="E952" s="7" t="s">
        <v>120</v>
      </c>
      <c r="F952" s="7" t="s">
        <v>25</v>
      </c>
      <c r="G952" s="7" t="s">
        <v>26</v>
      </c>
      <c r="H952" s="7">
        <v>2</v>
      </c>
      <c r="I952" s="2">
        <v>1385.83</v>
      </c>
      <c r="J952" s="2">
        <f>Tabla2[[#This Row],[Quantity]]*I952</f>
        <v>2771.66</v>
      </c>
      <c r="K952" s="6">
        <f>MONTH(Tabla2[[#This Row],[OrderDate]])</f>
        <v>12</v>
      </c>
      <c r="L952" s="6">
        <f>YEAR(Tabla2[[#This Row],[OrderDate]])</f>
        <v>2025</v>
      </c>
      <c r="M952" s="7" t="s">
        <v>1770</v>
      </c>
      <c r="N952" s="7" t="s">
        <v>19</v>
      </c>
    </row>
    <row r="953" spans="1:14" x14ac:dyDescent="0.35">
      <c r="A953" s="7" t="s">
        <v>2084</v>
      </c>
      <c r="B953" s="7" t="s">
        <v>1516</v>
      </c>
      <c r="C953" s="7" t="s">
        <v>1517</v>
      </c>
      <c r="D953" s="7" t="s">
        <v>67</v>
      </c>
      <c r="E953" s="7" t="s">
        <v>130</v>
      </c>
      <c r="F953" s="7" t="s">
        <v>50</v>
      </c>
      <c r="G953" s="7" t="s">
        <v>51</v>
      </c>
      <c r="H953" s="7">
        <v>1</v>
      </c>
      <c r="I953" s="2">
        <v>168.96</v>
      </c>
      <c r="J953" s="2">
        <f>Tabla2[[#This Row],[Quantity]]*I953</f>
        <v>168.96</v>
      </c>
      <c r="K953" s="6">
        <f>MONTH(Tabla2[[#This Row],[OrderDate]])</f>
        <v>4</v>
      </c>
      <c r="L953" s="6">
        <f>YEAR(Tabla2[[#This Row],[OrderDate]])</f>
        <v>2024</v>
      </c>
      <c r="M953" s="7" t="s">
        <v>1440</v>
      </c>
      <c r="N953" s="7" t="s">
        <v>28</v>
      </c>
    </row>
    <row r="954" spans="1:14" x14ac:dyDescent="0.35">
      <c r="A954" s="7" t="s">
        <v>2085</v>
      </c>
      <c r="B954" s="7" t="s">
        <v>715</v>
      </c>
      <c r="C954" s="7" t="s">
        <v>716</v>
      </c>
      <c r="D954" s="7" t="s">
        <v>67</v>
      </c>
      <c r="E954" s="7" t="s">
        <v>130</v>
      </c>
      <c r="F954" s="7" t="s">
        <v>101</v>
      </c>
      <c r="G954" s="7" t="s">
        <v>165</v>
      </c>
      <c r="H954" s="7">
        <v>4</v>
      </c>
      <c r="I954" s="2">
        <v>1291.1400000000001</v>
      </c>
      <c r="J954" s="2">
        <f>Tabla2[[#This Row],[Quantity]]*I954</f>
        <v>5164.5600000000004</v>
      </c>
      <c r="K954" s="6">
        <f>MONTH(Tabla2[[#This Row],[OrderDate]])</f>
        <v>1</v>
      </c>
      <c r="L954" s="6">
        <f>YEAR(Tabla2[[#This Row],[OrderDate]])</f>
        <v>2026</v>
      </c>
      <c r="M954" s="7" t="s">
        <v>2086</v>
      </c>
      <c r="N954" s="7" t="s">
        <v>19</v>
      </c>
    </row>
    <row r="955" spans="1:14" x14ac:dyDescent="0.35">
      <c r="A955" s="7" t="s">
        <v>2087</v>
      </c>
      <c r="B955" s="7" t="s">
        <v>1226</v>
      </c>
      <c r="C955" s="7" t="s">
        <v>1227</v>
      </c>
      <c r="D955" s="7" t="s">
        <v>67</v>
      </c>
      <c r="E955" s="7" t="s">
        <v>68</v>
      </c>
      <c r="F955" s="7" t="s">
        <v>50</v>
      </c>
      <c r="G955" s="7" t="s">
        <v>56</v>
      </c>
      <c r="H955" s="7">
        <v>3</v>
      </c>
      <c r="I955" s="2">
        <v>880.05</v>
      </c>
      <c r="J955" s="2">
        <f>Tabla2[[#This Row],[Quantity]]*I955</f>
        <v>2640.1499999999996</v>
      </c>
      <c r="K955" s="6">
        <f>MONTH(Tabla2[[#This Row],[OrderDate]])</f>
        <v>7</v>
      </c>
      <c r="L955" s="6">
        <f>YEAR(Tabla2[[#This Row],[OrderDate]])</f>
        <v>2024</v>
      </c>
      <c r="M955" s="7" t="s">
        <v>448</v>
      </c>
      <c r="N955" s="7" t="s">
        <v>91</v>
      </c>
    </row>
    <row r="956" spans="1:14" x14ac:dyDescent="0.35">
      <c r="A956" s="7" t="s">
        <v>2088</v>
      </c>
      <c r="B956" s="7" t="s">
        <v>228</v>
      </c>
      <c r="C956" s="7" t="s">
        <v>229</v>
      </c>
      <c r="D956" s="7" t="s">
        <v>67</v>
      </c>
      <c r="E956" s="7" t="s">
        <v>130</v>
      </c>
      <c r="F956" s="7" t="s">
        <v>25</v>
      </c>
      <c r="G956" s="7" t="s">
        <v>34</v>
      </c>
      <c r="H956" s="7">
        <v>4</v>
      </c>
      <c r="I956" s="2">
        <v>998.97</v>
      </c>
      <c r="J956" s="2">
        <f>Tabla2[[#This Row],[Quantity]]*I956</f>
        <v>3995.88</v>
      </c>
      <c r="K956" s="6">
        <f>MONTH(Tabla2[[#This Row],[OrderDate]])</f>
        <v>11</v>
      </c>
      <c r="L956" s="6">
        <f>YEAR(Tabla2[[#This Row],[OrderDate]])</f>
        <v>2024</v>
      </c>
      <c r="M956" s="7" t="s">
        <v>1735</v>
      </c>
      <c r="N956" s="7" t="s">
        <v>36</v>
      </c>
    </row>
    <row r="957" spans="1:14" x14ac:dyDescent="0.35">
      <c r="A957" s="7" t="s">
        <v>2089</v>
      </c>
      <c r="B957" s="7" t="s">
        <v>137</v>
      </c>
      <c r="C957" s="7" t="s">
        <v>138</v>
      </c>
      <c r="D957" s="7" t="s">
        <v>67</v>
      </c>
      <c r="E957" s="7" t="s">
        <v>68</v>
      </c>
      <c r="F957" s="7" t="s">
        <v>25</v>
      </c>
      <c r="G957" s="7" t="s">
        <v>139</v>
      </c>
      <c r="H957" s="7">
        <v>5</v>
      </c>
      <c r="I957" s="2">
        <v>391.99</v>
      </c>
      <c r="J957" s="2">
        <f>Tabla2[[#This Row],[Quantity]]*I957</f>
        <v>1959.95</v>
      </c>
      <c r="K957" s="6">
        <f>MONTH(Tabla2[[#This Row],[OrderDate]])</f>
        <v>9</v>
      </c>
      <c r="L957" s="6">
        <f>YEAR(Tabla2[[#This Row],[OrderDate]])</f>
        <v>2025</v>
      </c>
      <c r="M957" s="7" t="s">
        <v>153</v>
      </c>
      <c r="N957" s="7" t="s">
        <v>28</v>
      </c>
    </row>
    <row r="958" spans="1:14" x14ac:dyDescent="0.35">
      <c r="A958" s="7" t="s">
        <v>2090</v>
      </c>
      <c r="B958" s="7" t="s">
        <v>791</v>
      </c>
      <c r="C958" s="7" t="s">
        <v>792</v>
      </c>
      <c r="D958" s="7" t="s">
        <v>14</v>
      </c>
      <c r="E958" s="7" t="s">
        <v>125</v>
      </c>
      <c r="F958" s="7" t="s">
        <v>25</v>
      </c>
      <c r="G958" s="7" t="s">
        <v>74</v>
      </c>
      <c r="H958" s="7">
        <v>1</v>
      </c>
      <c r="I958" s="2">
        <v>832.85</v>
      </c>
      <c r="J958" s="2">
        <f>Tabla2[[#This Row],[Quantity]]*I958</f>
        <v>832.85</v>
      </c>
      <c r="K958" s="6">
        <f>MONTH(Tabla2[[#This Row],[OrderDate]])</f>
        <v>3</v>
      </c>
      <c r="L958" s="6">
        <f>YEAR(Tabla2[[#This Row],[OrderDate]])</f>
        <v>2026</v>
      </c>
      <c r="M958" s="7" t="s">
        <v>1483</v>
      </c>
      <c r="N958" s="7" t="s">
        <v>36</v>
      </c>
    </row>
    <row r="959" spans="1:14" x14ac:dyDescent="0.35">
      <c r="A959" s="7" t="s">
        <v>2091</v>
      </c>
      <c r="B959" s="7" t="s">
        <v>21</v>
      </c>
      <c r="C959" s="7" t="s">
        <v>22</v>
      </c>
      <c r="D959" s="7" t="s">
        <v>67</v>
      </c>
      <c r="E959" s="7" t="s">
        <v>115</v>
      </c>
      <c r="F959" s="7" t="s">
        <v>101</v>
      </c>
      <c r="G959" s="7" t="s">
        <v>102</v>
      </c>
      <c r="H959" s="7">
        <v>1</v>
      </c>
      <c r="I959" s="2">
        <v>113.4</v>
      </c>
      <c r="J959" s="2">
        <f>Tabla2[[#This Row],[Quantity]]*I959</f>
        <v>113.4</v>
      </c>
      <c r="K959" s="6">
        <f>MONTH(Tabla2[[#This Row],[OrderDate]])</f>
        <v>11</v>
      </c>
      <c r="L959" s="6">
        <f>YEAR(Tabla2[[#This Row],[OrderDate]])</f>
        <v>2025</v>
      </c>
      <c r="M959" s="7" t="s">
        <v>1914</v>
      </c>
      <c r="N959" s="7" t="s">
        <v>45</v>
      </c>
    </row>
    <row r="960" spans="1:14" x14ac:dyDescent="0.35">
      <c r="A960" s="7" t="s">
        <v>2092</v>
      </c>
      <c r="B960" s="7" t="s">
        <v>1856</v>
      </c>
      <c r="C960" s="7" t="s">
        <v>1857</v>
      </c>
      <c r="D960" s="7" t="s">
        <v>23</v>
      </c>
      <c r="E960" s="7" t="s">
        <v>49</v>
      </c>
      <c r="F960" s="7" t="s">
        <v>16</v>
      </c>
      <c r="G960" s="7" t="s">
        <v>177</v>
      </c>
      <c r="H960" s="7">
        <v>4</v>
      </c>
      <c r="I960" s="2">
        <v>116.61</v>
      </c>
      <c r="J960" s="2">
        <f>Tabla2[[#This Row],[Quantity]]*I960</f>
        <v>466.44</v>
      </c>
      <c r="K960" s="6">
        <f>MONTH(Tabla2[[#This Row],[OrderDate]])</f>
        <v>6</v>
      </c>
      <c r="L960" s="6">
        <f>YEAR(Tabla2[[#This Row],[OrderDate]])</f>
        <v>2024</v>
      </c>
      <c r="M960" s="7" t="s">
        <v>2093</v>
      </c>
      <c r="N960" s="7" t="s">
        <v>28</v>
      </c>
    </row>
    <row r="961" spans="1:14" x14ac:dyDescent="0.35">
      <c r="A961" s="7" t="s">
        <v>2094</v>
      </c>
      <c r="B961" s="7" t="s">
        <v>718</v>
      </c>
      <c r="C961" s="7" t="s">
        <v>719</v>
      </c>
      <c r="D961" s="7" t="s">
        <v>32</v>
      </c>
      <c r="E961" s="7" t="s">
        <v>203</v>
      </c>
      <c r="F961" s="7" t="s">
        <v>50</v>
      </c>
      <c r="G961" s="7" t="s">
        <v>56</v>
      </c>
      <c r="H961" s="7">
        <v>1</v>
      </c>
      <c r="I961" s="2">
        <v>678.16</v>
      </c>
      <c r="J961" s="2">
        <f>Tabla2[[#This Row],[Quantity]]*I961</f>
        <v>678.16</v>
      </c>
      <c r="K961" s="6">
        <f>MONTH(Tabla2[[#This Row],[OrderDate]])</f>
        <v>3</v>
      </c>
      <c r="L961" s="6">
        <f>YEAR(Tabla2[[#This Row],[OrderDate]])</f>
        <v>2026</v>
      </c>
      <c r="M961" s="7" t="s">
        <v>2095</v>
      </c>
      <c r="N961" s="7" t="s">
        <v>28</v>
      </c>
    </row>
    <row r="962" spans="1:14" x14ac:dyDescent="0.35">
      <c r="A962" s="7" t="s">
        <v>2096</v>
      </c>
      <c r="B962" s="7" t="s">
        <v>1226</v>
      </c>
      <c r="C962" s="7" t="s">
        <v>1227</v>
      </c>
      <c r="D962" s="7" t="s">
        <v>14</v>
      </c>
      <c r="E962" s="7" t="s">
        <v>125</v>
      </c>
      <c r="F962" s="7" t="s">
        <v>42</v>
      </c>
      <c r="G962" s="7" t="s">
        <v>43</v>
      </c>
      <c r="H962" s="7">
        <v>1</v>
      </c>
      <c r="I962" s="2">
        <v>1241.4000000000001</v>
      </c>
      <c r="J962" s="2">
        <f>Tabla2[[#This Row],[Quantity]]*I962</f>
        <v>1241.4000000000001</v>
      </c>
      <c r="K962" s="6">
        <f>MONTH(Tabla2[[#This Row],[OrderDate]])</f>
        <v>11</v>
      </c>
      <c r="L962" s="6">
        <f>YEAR(Tabla2[[#This Row],[OrderDate]])</f>
        <v>2025</v>
      </c>
      <c r="M962" s="7" t="s">
        <v>479</v>
      </c>
      <c r="N962" s="7" t="s">
        <v>91</v>
      </c>
    </row>
    <row r="963" spans="1:14" x14ac:dyDescent="0.35">
      <c r="A963" s="7" t="s">
        <v>2097</v>
      </c>
      <c r="B963" s="7" t="s">
        <v>244</v>
      </c>
      <c r="C963" s="7" t="s">
        <v>245</v>
      </c>
      <c r="D963" s="7" t="s">
        <v>23</v>
      </c>
      <c r="E963" s="7" t="s">
        <v>338</v>
      </c>
      <c r="F963" s="7" t="s">
        <v>42</v>
      </c>
      <c r="G963" s="7" t="s">
        <v>80</v>
      </c>
      <c r="H963" s="7">
        <v>5</v>
      </c>
      <c r="I963" s="2">
        <v>38</v>
      </c>
      <c r="J963" s="2">
        <f>Tabla2[[#This Row],[Quantity]]*I963</f>
        <v>190</v>
      </c>
      <c r="K963" s="6">
        <f>MONTH(Tabla2[[#This Row],[OrderDate]])</f>
        <v>2</v>
      </c>
      <c r="L963" s="6">
        <f>YEAR(Tabla2[[#This Row],[OrderDate]])</f>
        <v>2025</v>
      </c>
      <c r="M963" s="7" t="s">
        <v>2098</v>
      </c>
      <c r="N963" s="7" t="s">
        <v>91</v>
      </c>
    </row>
    <row r="964" spans="1:14" x14ac:dyDescent="0.35">
      <c r="A964" s="7" t="s">
        <v>2099</v>
      </c>
      <c r="B964" s="7" t="s">
        <v>690</v>
      </c>
      <c r="C964" s="7" t="s">
        <v>691</v>
      </c>
      <c r="D964" s="7" t="s">
        <v>14</v>
      </c>
      <c r="E964" s="7" t="s">
        <v>125</v>
      </c>
      <c r="F964" s="7" t="s">
        <v>42</v>
      </c>
      <c r="G964" s="7" t="s">
        <v>43</v>
      </c>
      <c r="H964" s="7">
        <v>4</v>
      </c>
      <c r="I964" s="2">
        <v>859.19</v>
      </c>
      <c r="J964" s="2">
        <f>Tabla2[[#This Row],[Quantity]]*I964</f>
        <v>3436.76</v>
      </c>
      <c r="K964" s="6">
        <f>MONTH(Tabla2[[#This Row],[OrderDate]])</f>
        <v>11</v>
      </c>
      <c r="L964" s="6">
        <f>YEAR(Tabla2[[#This Row],[OrderDate]])</f>
        <v>2024</v>
      </c>
      <c r="M964" s="7" t="s">
        <v>2100</v>
      </c>
      <c r="N964" s="7" t="s">
        <v>36</v>
      </c>
    </row>
    <row r="965" spans="1:14" x14ac:dyDescent="0.35">
      <c r="A965" s="7" t="s">
        <v>2101</v>
      </c>
      <c r="B965" s="7" t="s">
        <v>590</v>
      </c>
      <c r="C965" s="7" t="s">
        <v>591</v>
      </c>
      <c r="D965" s="7" t="s">
        <v>67</v>
      </c>
      <c r="E965" s="7" t="s">
        <v>68</v>
      </c>
      <c r="F965" s="7" t="s">
        <v>101</v>
      </c>
      <c r="G965" s="7" t="s">
        <v>102</v>
      </c>
      <c r="H965" s="7">
        <v>3</v>
      </c>
      <c r="I965" s="2">
        <v>1010.75</v>
      </c>
      <c r="J965" s="2">
        <f>Tabla2[[#This Row],[Quantity]]*I965</f>
        <v>3032.25</v>
      </c>
      <c r="K965" s="6">
        <f>MONTH(Tabla2[[#This Row],[OrderDate]])</f>
        <v>7</v>
      </c>
      <c r="L965" s="6">
        <f>YEAR(Tabla2[[#This Row],[OrderDate]])</f>
        <v>2025</v>
      </c>
      <c r="M965" s="7" t="s">
        <v>1961</v>
      </c>
      <c r="N965" s="7" t="s">
        <v>28</v>
      </c>
    </row>
    <row r="966" spans="1:14" x14ac:dyDescent="0.35">
      <c r="A966" s="7" t="s">
        <v>2102</v>
      </c>
      <c r="B966" s="7" t="s">
        <v>936</v>
      </c>
      <c r="C966" s="7" t="s">
        <v>937</v>
      </c>
      <c r="D966" s="7" t="s">
        <v>40</v>
      </c>
      <c r="E966" s="7" t="s">
        <v>79</v>
      </c>
      <c r="F966" s="7" t="s">
        <v>50</v>
      </c>
      <c r="G966" s="7" t="s">
        <v>56</v>
      </c>
      <c r="H966" s="7">
        <v>3</v>
      </c>
      <c r="I966" s="2">
        <v>1387.38</v>
      </c>
      <c r="J966" s="2">
        <f>Tabla2[[#This Row],[Quantity]]*I966</f>
        <v>4162.1400000000003</v>
      </c>
      <c r="K966" s="6">
        <f>MONTH(Tabla2[[#This Row],[OrderDate]])</f>
        <v>12</v>
      </c>
      <c r="L966" s="6">
        <f>YEAR(Tabla2[[#This Row],[OrderDate]])</f>
        <v>2024</v>
      </c>
      <c r="M966" s="7" t="s">
        <v>938</v>
      </c>
      <c r="N966" s="7" t="s">
        <v>91</v>
      </c>
    </row>
    <row r="967" spans="1:14" x14ac:dyDescent="0.35">
      <c r="A967" s="7" t="s">
        <v>2103</v>
      </c>
      <c r="B967" s="7" t="s">
        <v>93</v>
      </c>
      <c r="C967" s="7" t="s">
        <v>94</v>
      </c>
      <c r="D967" s="7" t="s">
        <v>32</v>
      </c>
      <c r="E967" s="7" t="s">
        <v>33</v>
      </c>
      <c r="F967" s="7" t="s">
        <v>101</v>
      </c>
      <c r="G967" s="7" t="s">
        <v>373</v>
      </c>
      <c r="H967" s="7">
        <v>3</v>
      </c>
      <c r="I967" s="2">
        <v>16.18</v>
      </c>
      <c r="J967" s="2">
        <f>Tabla2[[#This Row],[Quantity]]*I967</f>
        <v>48.54</v>
      </c>
      <c r="K967" s="6">
        <f>MONTH(Tabla2[[#This Row],[OrderDate]])</f>
        <v>10</v>
      </c>
      <c r="L967" s="6">
        <f>YEAR(Tabla2[[#This Row],[OrderDate]])</f>
        <v>2024</v>
      </c>
      <c r="M967" s="7" t="s">
        <v>2104</v>
      </c>
      <c r="N967" s="7" t="s">
        <v>36</v>
      </c>
    </row>
    <row r="968" spans="1:14" x14ac:dyDescent="0.35">
      <c r="A968" s="7" t="s">
        <v>2105</v>
      </c>
      <c r="B968" s="7" t="s">
        <v>1285</v>
      </c>
      <c r="C968" s="7" t="s">
        <v>1286</v>
      </c>
      <c r="D968" s="7" t="s">
        <v>23</v>
      </c>
      <c r="E968" s="7" t="s">
        <v>49</v>
      </c>
      <c r="F968" s="7" t="s">
        <v>25</v>
      </c>
      <c r="G968" s="7" t="s">
        <v>139</v>
      </c>
      <c r="H968" s="7">
        <v>2</v>
      </c>
      <c r="I968" s="2">
        <v>377.83</v>
      </c>
      <c r="J968" s="2">
        <f>Tabla2[[#This Row],[Quantity]]*I968</f>
        <v>755.66</v>
      </c>
      <c r="K968" s="6">
        <f>MONTH(Tabla2[[#This Row],[OrderDate]])</f>
        <v>1</v>
      </c>
      <c r="L968" s="6">
        <f>YEAR(Tabla2[[#This Row],[OrderDate]])</f>
        <v>2025</v>
      </c>
      <c r="M968" s="7" t="s">
        <v>654</v>
      </c>
      <c r="N968" s="7" t="s">
        <v>28</v>
      </c>
    </row>
    <row r="969" spans="1:14" x14ac:dyDescent="0.35">
      <c r="A969" s="7" t="s">
        <v>2106</v>
      </c>
      <c r="B969" s="7" t="s">
        <v>77</v>
      </c>
      <c r="C969" s="7" t="s">
        <v>78</v>
      </c>
      <c r="D969" s="7" t="s">
        <v>32</v>
      </c>
      <c r="E969" s="7" t="s">
        <v>61</v>
      </c>
      <c r="F969" s="7" t="s">
        <v>50</v>
      </c>
      <c r="G969" s="7" t="s">
        <v>216</v>
      </c>
      <c r="H969" s="7">
        <v>1</v>
      </c>
      <c r="I969" s="2">
        <v>1057.19</v>
      </c>
      <c r="J969" s="2">
        <f>Tabla2[[#This Row],[Quantity]]*I969</f>
        <v>1057.19</v>
      </c>
      <c r="K969" s="6">
        <f>MONTH(Tabla2[[#This Row],[OrderDate]])</f>
        <v>1</v>
      </c>
      <c r="L969" s="6">
        <f>YEAR(Tabla2[[#This Row],[OrderDate]])</f>
        <v>2026</v>
      </c>
      <c r="M969" s="7" t="s">
        <v>1406</v>
      </c>
      <c r="N969" s="7" t="s">
        <v>45</v>
      </c>
    </row>
    <row r="970" spans="1:14" x14ac:dyDescent="0.35">
      <c r="A970" s="7" t="s">
        <v>2107</v>
      </c>
      <c r="B970" s="7" t="s">
        <v>590</v>
      </c>
      <c r="C970" s="7" t="s">
        <v>591</v>
      </c>
      <c r="D970" s="7" t="s">
        <v>23</v>
      </c>
      <c r="E970" s="7" t="s">
        <v>49</v>
      </c>
      <c r="F970" s="7" t="s">
        <v>50</v>
      </c>
      <c r="G970" s="7" t="s">
        <v>56</v>
      </c>
      <c r="H970" s="7">
        <v>3</v>
      </c>
      <c r="I970" s="2">
        <v>1237.51</v>
      </c>
      <c r="J970" s="2">
        <f>Tabla2[[#This Row],[Quantity]]*I970</f>
        <v>3712.5299999999997</v>
      </c>
      <c r="K970" s="6">
        <f>MONTH(Tabla2[[#This Row],[OrderDate]])</f>
        <v>4</v>
      </c>
      <c r="L970" s="6">
        <f>YEAR(Tabla2[[#This Row],[OrderDate]])</f>
        <v>2024</v>
      </c>
      <c r="M970" s="7" t="s">
        <v>2108</v>
      </c>
      <c r="N970" s="7" t="s">
        <v>28</v>
      </c>
    </row>
    <row r="971" spans="1:14" x14ac:dyDescent="0.35">
      <c r="A971" s="7" t="s">
        <v>2109</v>
      </c>
      <c r="B971" s="7" t="s">
        <v>1196</v>
      </c>
      <c r="C971" s="7" t="s">
        <v>1197</v>
      </c>
      <c r="D971" s="7" t="s">
        <v>23</v>
      </c>
      <c r="E971" s="7" t="s">
        <v>338</v>
      </c>
      <c r="F971" s="7" t="s">
        <v>25</v>
      </c>
      <c r="G971" s="7" t="s">
        <v>62</v>
      </c>
      <c r="H971" s="7">
        <v>5</v>
      </c>
      <c r="I971" s="2">
        <v>1414.73</v>
      </c>
      <c r="J971" s="2">
        <f>Tabla2[[#This Row],[Quantity]]*I971</f>
        <v>7073.65</v>
      </c>
      <c r="K971" s="6">
        <f>MONTH(Tabla2[[#This Row],[OrderDate]])</f>
        <v>1</v>
      </c>
      <c r="L971" s="6">
        <f>YEAR(Tabla2[[#This Row],[OrderDate]])</f>
        <v>2026</v>
      </c>
      <c r="M971" s="7" t="s">
        <v>1373</v>
      </c>
      <c r="N971" s="7" t="s">
        <v>28</v>
      </c>
    </row>
    <row r="972" spans="1:14" x14ac:dyDescent="0.35">
      <c r="A972" s="7" t="s">
        <v>2110</v>
      </c>
      <c r="B972" s="7" t="s">
        <v>1369</v>
      </c>
      <c r="C972" s="7" t="s">
        <v>1370</v>
      </c>
      <c r="D972" s="7" t="s">
        <v>23</v>
      </c>
      <c r="E972" s="7" t="s">
        <v>49</v>
      </c>
      <c r="F972" s="7" t="s">
        <v>16</v>
      </c>
      <c r="G972" s="7" t="s">
        <v>17</v>
      </c>
      <c r="H972" s="7">
        <v>5</v>
      </c>
      <c r="I972" s="2">
        <v>742.75</v>
      </c>
      <c r="J972" s="2">
        <f>Tabla2[[#This Row],[Quantity]]*I972</f>
        <v>3713.75</v>
      </c>
      <c r="K972" s="6">
        <f>MONTH(Tabla2[[#This Row],[OrderDate]])</f>
        <v>10</v>
      </c>
      <c r="L972" s="6">
        <f>YEAR(Tabla2[[#This Row],[OrderDate]])</f>
        <v>2024</v>
      </c>
      <c r="M972" s="7" t="s">
        <v>2111</v>
      </c>
      <c r="N972" s="7" t="s">
        <v>91</v>
      </c>
    </row>
    <row r="973" spans="1:14" x14ac:dyDescent="0.35">
      <c r="A973" s="7" t="s">
        <v>2112</v>
      </c>
      <c r="B973" s="7" t="s">
        <v>460</v>
      </c>
      <c r="C973" s="7" t="s">
        <v>461</v>
      </c>
      <c r="D973" s="7" t="s">
        <v>32</v>
      </c>
      <c r="E973" s="7" t="s">
        <v>33</v>
      </c>
      <c r="F973" s="7" t="s">
        <v>50</v>
      </c>
      <c r="G973" s="7" t="s">
        <v>69</v>
      </c>
      <c r="H973" s="7">
        <v>5</v>
      </c>
      <c r="I973" s="2">
        <v>1252.31</v>
      </c>
      <c r="J973" s="2">
        <f>Tabla2[[#This Row],[Quantity]]*I973</f>
        <v>6261.5499999999993</v>
      </c>
      <c r="K973" s="6">
        <f>MONTH(Tabla2[[#This Row],[OrderDate]])</f>
        <v>6</v>
      </c>
      <c r="L973" s="6">
        <f>YEAR(Tabla2[[#This Row],[OrderDate]])</f>
        <v>2025</v>
      </c>
      <c r="M973" s="7" t="s">
        <v>1157</v>
      </c>
      <c r="N973" s="7" t="s">
        <v>19</v>
      </c>
    </row>
    <row r="974" spans="1:14" x14ac:dyDescent="0.35">
      <c r="A974" s="7" t="s">
        <v>2113</v>
      </c>
      <c r="B974" s="7" t="s">
        <v>901</v>
      </c>
      <c r="C974" s="7" t="s">
        <v>902</v>
      </c>
      <c r="D974" s="7" t="s">
        <v>40</v>
      </c>
      <c r="E974" s="7" t="s">
        <v>120</v>
      </c>
      <c r="F974" s="7" t="s">
        <v>16</v>
      </c>
      <c r="G974" s="7" t="s">
        <v>17</v>
      </c>
      <c r="H974" s="7">
        <v>3</v>
      </c>
      <c r="I974" s="2">
        <v>359.79</v>
      </c>
      <c r="J974" s="2">
        <f>Tabla2[[#This Row],[Quantity]]*I974</f>
        <v>1079.3700000000001</v>
      </c>
      <c r="K974" s="6">
        <f>MONTH(Tabla2[[#This Row],[OrderDate]])</f>
        <v>6</v>
      </c>
      <c r="L974" s="6">
        <f>YEAR(Tabla2[[#This Row],[OrderDate]])</f>
        <v>2024</v>
      </c>
      <c r="M974" s="7" t="s">
        <v>886</v>
      </c>
      <c r="N974" s="7" t="s">
        <v>28</v>
      </c>
    </row>
    <row r="975" spans="1:14" x14ac:dyDescent="0.35">
      <c r="A975" s="7" t="s">
        <v>2114</v>
      </c>
      <c r="B975" s="7" t="s">
        <v>1438</v>
      </c>
      <c r="C975" s="7" t="s">
        <v>1439</v>
      </c>
      <c r="D975" s="7" t="s">
        <v>67</v>
      </c>
      <c r="E975" s="7" t="s">
        <v>68</v>
      </c>
      <c r="F975" s="7" t="s">
        <v>101</v>
      </c>
      <c r="G975" s="7" t="s">
        <v>237</v>
      </c>
      <c r="H975" s="7">
        <v>3</v>
      </c>
      <c r="I975" s="2">
        <v>753.9</v>
      </c>
      <c r="J975" s="2">
        <f>Tabla2[[#This Row],[Quantity]]*I975</f>
        <v>2261.6999999999998</v>
      </c>
      <c r="K975" s="6">
        <f>MONTH(Tabla2[[#This Row],[OrderDate]])</f>
        <v>7</v>
      </c>
      <c r="L975" s="6">
        <f>YEAR(Tabla2[[#This Row],[OrderDate]])</f>
        <v>2025</v>
      </c>
      <c r="M975" s="7" t="s">
        <v>1207</v>
      </c>
      <c r="N975" s="7" t="s">
        <v>28</v>
      </c>
    </row>
    <row r="976" spans="1:14" x14ac:dyDescent="0.35">
      <c r="A976" s="7" t="s">
        <v>2115</v>
      </c>
      <c r="B976" s="7" t="s">
        <v>1087</v>
      </c>
      <c r="C976" s="7" t="s">
        <v>1088</v>
      </c>
      <c r="D976" s="7" t="s">
        <v>14</v>
      </c>
      <c r="E976" s="7" t="s">
        <v>266</v>
      </c>
      <c r="F976" s="7" t="s">
        <v>42</v>
      </c>
      <c r="G976" s="7" t="s">
        <v>225</v>
      </c>
      <c r="H976" s="7">
        <v>3</v>
      </c>
      <c r="I976" s="2">
        <v>658.34</v>
      </c>
      <c r="J976" s="2">
        <f>Tabla2[[#This Row],[Quantity]]*I976</f>
        <v>1975.02</v>
      </c>
      <c r="K976" s="6">
        <f>MONTH(Tabla2[[#This Row],[OrderDate]])</f>
        <v>8</v>
      </c>
      <c r="L976" s="6">
        <f>YEAR(Tabla2[[#This Row],[OrderDate]])</f>
        <v>2025</v>
      </c>
      <c r="M976" s="7" t="s">
        <v>2116</v>
      </c>
      <c r="N976" s="7" t="s">
        <v>36</v>
      </c>
    </row>
    <row r="977" spans="1:14" x14ac:dyDescent="0.35">
      <c r="A977" s="7" t="s">
        <v>2117</v>
      </c>
      <c r="B977" s="7" t="s">
        <v>1024</v>
      </c>
      <c r="C977" s="7" t="s">
        <v>1025</v>
      </c>
      <c r="D977" s="7" t="s">
        <v>14</v>
      </c>
      <c r="E977" s="7" t="s">
        <v>100</v>
      </c>
      <c r="F977" s="7" t="s">
        <v>16</v>
      </c>
      <c r="G977" s="7" t="s">
        <v>148</v>
      </c>
      <c r="H977" s="7">
        <v>4</v>
      </c>
      <c r="I977" s="2">
        <v>23.63</v>
      </c>
      <c r="J977" s="2">
        <f>Tabla2[[#This Row],[Quantity]]*I977</f>
        <v>94.52</v>
      </c>
      <c r="K977" s="6">
        <f>MONTH(Tabla2[[#This Row],[OrderDate]])</f>
        <v>8</v>
      </c>
      <c r="L977" s="6">
        <f>YEAR(Tabla2[[#This Row],[OrderDate]])</f>
        <v>2025</v>
      </c>
      <c r="M977" s="7" t="s">
        <v>231</v>
      </c>
      <c r="N977" s="7" t="s">
        <v>45</v>
      </c>
    </row>
    <row r="978" spans="1:14" x14ac:dyDescent="0.35">
      <c r="A978" s="7" t="s">
        <v>2118</v>
      </c>
      <c r="B978" s="7" t="s">
        <v>412</v>
      </c>
      <c r="C978" s="7" t="s">
        <v>413</v>
      </c>
      <c r="D978" s="7" t="s">
        <v>67</v>
      </c>
      <c r="E978" s="7" t="s">
        <v>115</v>
      </c>
      <c r="F978" s="7" t="s">
        <v>101</v>
      </c>
      <c r="G978" s="7" t="s">
        <v>237</v>
      </c>
      <c r="H978" s="7">
        <v>1</v>
      </c>
      <c r="I978" s="2">
        <v>712.12</v>
      </c>
      <c r="J978" s="2">
        <f>Tabla2[[#This Row],[Quantity]]*I978</f>
        <v>712.12</v>
      </c>
      <c r="K978" s="6">
        <f>MONTH(Tabla2[[#This Row],[OrderDate]])</f>
        <v>3</v>
      </c>
      <c r="L978" s="6">
        <f>YEAR(Tabla2[[#This Row],[OrderDate]])</f>
        <v>2026</v>
      </c>
      <c r="M978" s="7" t="s">
        <v>441</v>
      </c>
      <c r="N978" s="7" t="s">
        <v>36</v>
      </c>
    </row>
    <row r="979" spans="1:14" x14ac:dyDescent="0.35">
      <c r="A979" s="7" t="s">
        <v>2119</v>
      </c>
      <c r="B979" s="7" t="s">
        <v>376</v>
      </c>
      <c r="C979" s="7" t="s">
        <v>377</v>
      </c>
      <c r="D979" s="7" t="s">
        <v>14</v>
      </c>
      <c r="E979" s="7" t="s">
        <v>100</v>
      </c>
      <c r="F979" s="7" t="s">
        <v>16</v>
      </c>
      <c r="G979" s="7" t="s">
        <v>230</v>
      </c>
      <c r="H979" s="7">
        <v>5</v>
      </c>
      <c r="I979" s="2">
        <v>24.95</v>
      </c>
      <c r="J979" s="2">
        <f>Tabla2[[#This Row],[Quantity]]*I979</f>
        <v>124.75</v>
      </c>
      <c r="K979" s="6">
        <f>MONTH(Tabla2[[#This Row],[OrderDate]])</f>
        <v>9</v>
      </c>
      <c r="L979" s="6">
        <f>YEAR(Tabla2[[#This Row],[OrderDate]])</f>
        <v>2024</v>
      </c>
      <c r="M979" s="7" t="s">
        <v>880</v>
      </c>
      <c r="N979" s="7" t="s">
        <v>91</v>
      </c>
    </row>
    <row r="980" spans="1:14" x14ac:dyDescent="0.35">
      <c r="A980" s="7" t="s">
        <v>2120</v>
      </c>
      <c r="B980" s="7" t="s">
        <v>333</v>
      </c>
      <c r="C980" s="7" t="s">
        <v>334</v>
      </c>
      <c r="D980" s="7" t="s">
        <v>32</v>
      </c>
      <c r="E980" s="7" t="s">
        <v>61</v>
      </c>
      <c r="F980" s="7" t="s">
        <v>101</v>
      </c>
      <c r="G980" s="7" t="s">
        <v>165</v>
      </c>
      <c r="H980" s="7">
        <v>1</v>
      </c>
      <c r="I980" s="2">
        <v>968.28</v>
      </c>
      <c r="J980" s="2">
        <f>Tabla2[[#This Row],[Quantity]]*I980</f>
        <v>968.28</v>
      </c>
      <c r="K980" s="6">
        <f>MONTH(Tabla2[[#This Row],[OrderDate]])</f>
        <v>7</v>
      </c>
      <c r="L980" s="6">
        <f>YEAR(Tabla2[[#This Row],[OrderDate]])</f>
        <v>2024</v>
      </c>
      <c r="M980" s="7" t="s">
        <v>2121</v>
      </c>
      <c r="N980" s="7" t="s">
        <v>36</v>
      </c>
    </row>
    <row r="981" spans="1:14" x14ac:dyDescent="0.35">
      <c r="A981" s="7" t="s">
        <v>2122</v>
      </c>
      <c r="B981" s="7" t="s">
        <v>936</v>
      </c>
      <c r="C981" s="7" t="s">
        <v>937</v>
      </c>
      <c r="D981" s="7" t="s">
        <v>32</v>
      </c>
      <c r="E981" s="7" t="s">
        <v>203</v>
      </c>
      <c r="F981" s="7" t="s">
        <v>50</v>
      </c>
      <c r="G981" s="7" t="s">
        <v>170</v>
      </c>
      <c r="H981" s="7">
        <v>3</v>
      </c>
      <c r="I981" s="2">
        <v>12.56</v>
      </c>
      <c r="J981" s="2">
        <f>Tabla2[[#This Row],[Quantity]]*I981</f>
        <v>37.68</v>
      </c>
      <c r="K981" s="6">
        <f>MONTH(Tabla2[[#This Row],[OrderDate]])</f>
        <v>9</v>
      </c>
      <c r="L981" s="6">
        <f>YEAR(Tabla2[[#This Row],[OrderDate]])</f>
        <v>2025</v>
      </c>
      <c r="M981" s="7" t="s">
        <v>153</v>
      </c>
      <c r="N981" s="7" t="s">
        <v>19</v>
      </c>
    </row>
    <row r="982" spans="1:14" x14ac:dyDescent="0.35">
      <c r="A982" s="7" t="s">
        <v>2123</v>
      </c>
      <c r="B982" s="7" t="s">
        <v>552</v>
      </c>
      <c r="C982" s="7" t="s">
        <v>553</v>
      </c>
      <c r="D982" s="7" t="s">
        <v>32</v>
      </c>
      <c r="E982" s="7" t="s">
        <v>61</v>
      </c>
      <c r="F982" s="7" t="s">
        <v>16</v>
      </c>
      <c r="G982" s="7" t="s">
        <v>17</v>
      </c>
      <c r="H982" s="7">
        <v>5</v>
      </c>
      <c r="I982" s="2">
        <v>1424.75</v>
      </c>
      <c r="J982" s="2">
        <f>Tabla2[[#This Row],[Quantity]]*I982</f>
        <v>7123.75</v>
      </c>
      <c r="K982" s="6">
        <f>MONTH(Tabla2[[#This Row],[OrderDate]])</f>
        <v>7</v>
      </c>
      <c r="L982" s="6">
        <f>YEAR(Tabla2[[#This Row],[OrderDate]])</f>
        <v>2024</v>
      </c>
      <c r="M982" s="7" t="s">
        <v>1251</v>
      </c>
      <c r="N982" s="7" t="s">
        <v>36</v>
      </c>
    </row>
    <row r="983" spans="1:14" x14ac:dyDescent="0.35">
      <c r="A983" s="7" t="s">
        <v>2124</v>
      </c>
      <c r="B983" s="7" t="s">
        <v>348</v>
      </c>
      <c r="C983" s="7" t="s">
        <v>349</v>
      </c>
      <c r="D983" s="7" t="s">
        <v>32</v>
      </c>
      <c r="E983" s="7" t="s">
        <v>203</v>
      </c>
      <c r="F983" s="7" t="s">
        <v>101</v>
      </c>
      <c r="G983" s="7" t="s">
        <v>237</v>
      </c>
      <c r="H983" s="7">
        <v>4</v>
      </c>
      <c r="I983" s="2">
        <v>660.31</v>
      </c>
      <c r="J983" s="2">
        <f>Tabla2[[#This Row],[Quantity]]*I983</f>
        <v>2641.24</v>
      </c>
      <c r="K983" s="6">
        <f>MONTH(Tabla2[[#This Row],[OrderDate]])</f>
        <v>8</v>
      </c>
      <c r="L983" s="6">
        <f>YEAR(Tabla2[[#This Row],[OrderDate]])</f>
        <v>2024</v>
      </c>
      <c r="M983" s="7" t="s">
        <v>624</v>
      </c>
      <c r="N983" s="7" t="s">
        <v>36</v>
      </c>
    </row>
    <row r="984" spans="1:14" x14ac:dyDescent="0.35">
      <c r="A984" s="7" t="s">
        <v>2125</v>
      </c>
      <c r="B984" s="7" t="s">
        <v>681</v>
      </c>
      <c r="C984" s="7" t="s">
        <v>682</v>
      </c>
      <c r="D984" s="7" t="s">
        <v>32</v>
      </c>
      <c r="E984" s="7" t="s">
        <v>61</v>
      </c>
      <c r="F984" s="7" t="s">
        <v>16</v>
      </c>
      <c r="G984" s="7" t="s">
        <v>148</v>
      </c>
      <c r="H984" s="7">
        <v>2</v>
      </c>
      <c r="I984" s="2">
        <v>593.22</v>
      </c>
      <c r="J984" s="2">
        <f>Tabla2[[#This Row],[Quantity]]*I984</f>
        <v>1186.44</v>
      </c>
      <c r="K984" s="6">
        <f>MONTH(Tabla2[[#This Row],[OrderDate]])</f>
        <v>8</v>
      </c>
      <c r="L984" s="6">
        <f>YEAR(Tabla2[[#This Row],[OrderDate]])</f>
        <v>2024</v>
      </c>
      <c r="M984" s="7" t="s">
        <v>1931</v>
      </c>
      <c r="N984" s="7" t="s">
        <v>91</v>
      </c>
    </row>
    <row r="985" spans="1:14" x14ac:dyDescent="0.35">
      <c r="A985" s="7" t="s">
        <v>2126</v>
      </c>
      <c r="B985" s="7" t="s">
        <v>1073</v>
      </c>
      <c r="C985" s="7" t="s">
        <v>1074</v>
      </c>
      <c r="D985" s="7" t="s">
        <v>40</v>
      </c>
      <c r="E985" s="7" t="s">
        <v>41</v>
      </c>
      <c r="F985" s="7" t="s">
        <v>16</v>
      </c>
      <c r="G985" s="7" t="s">
        <v>182</v>
      </c>
      <c r="H985" s="7">
        <v>1</v>
      </c>
      <c r="I985" s="2">
        <v>41.96</v>
      </c>
      <c r="J985" s="2">
        <f>Tabla2[[#This Row],[Quantity]]*I985</f>
        <v>41.96</v>
      </c>
      <c r="K985" s="6">
        <f>MONTH(Tabla2[[#This Row],[OrderDate]])</f>
        <v>2</v>
      </c>
      <c r="L985" s="6">
        <f>YEAR(Tabla2[[#This Row],[OrderDate]])</f>
        <v>2026</v>
      </c>
      <c r="M985" s="7" t="s">
        <v>647</v>
      </c>
      <c r="N985" s="7" t="s">
        <v>28</v>
      </c>
    </row>
    <row r="986" spans="1:14" x14ac:dyDescent="0.35">
      <c r="A986" s="7" t="s">
        <v>2127</v>
      </c>
      <c r="B986" s="7" t="s">
        <v>1028</v>
      </c>
      <c r="C986" s="7" t="s">
        <v>1029</v>
      </c>
      <c r="D986" s="7" t="s">
        <v>14</v>
      </c>
      <c r="E986" s="7" t="s">
        <v>100</v>
      </c>
      <c r="F986" s="7" t="s">
        <v>101</v>
      </c>
      <c r="G986" s="7" t="s">
        <v>373</v>
      </c>
      <c r="H986" s="7">
        <v>1</v>
      </c>
      <c r="I986" s="2">
        <v>1458.23</v>
      </c>
      <c r="J986" s="2">
        <f>Tabla2[[#This Row],[Quantity]]*I986</f>
        <v>1458.23</v>
      </c>
      <c r="K986" s="6">
        <f>MONTH(Tabla2[[#This Row],[OrderDate]])</f>
        <v>2</v>
      </c>
      <c r="L986" s="6">
        <f>YEAR(Tabla2[[#This Row],[OrderDate]])</f>
        <v>2025</v>
      </c>
      <c r="M986" s="7" t="s">
        <v>309</v>
      </c>
      <c r="N986" s="7" t="s">
        <v>91</v>
      </c>
    </row>
    <row r="987" spans="1:14" x14ac:dyDescent="0.35">
      <c r="A987" s="7" t="s">
        <v>2128</v>
      </c>
      <c r="B987" s="7" t="s">
        <v>325</v>
      </c>
      <c r="C987" s="7" t="s">
        <v>326</v>
      </c>
      <c r="D987" s="7" t="s">
        <v>23</v>
      </c>
      <c r="E987" s="7" t="s">
        <v>338</v>
      </c>
      <c r="F987" s="7" t="s">
        <v>42</v>
      </c>
      <c r="G987" s="7" t="s">
        <v>43</v>
      </c>
      <c r="H987" s="7">
        <v>5</v>
      </c>
      <c r="I987" s="2">
        <v>1425.09</v>
      </c>
      <c r="J987" s="2">
        <f>Tabla2[[#This Row],[Quantity]]*I987</f>
        <v>7125.45</v>
      </c>
      <c r="K987" s="6">
        <f>MONTH(Tabla2[[#This Row],[OrderDate]])</f>
        <v>6</v>
      </c>
      <c r="L987" s="6">
        <f>YEAR(Tabla2[[#This Row],[OrderDate]])</f>
        <v>2025</v>
      </c>
      <c r="M987" s="7" t="s">
        <v>2129</v>
      </c>
      <c r="N987" s="7" t="s">
        <v>36</v>
      </c>
    </row>
    <row r="988" spans="1:14" x14ac:dyDescent="0.35">
      <c r="A988" s="7" t="s">
        <v>2130</v>
      </c>
      <c r="B988" s="7" t="s">
        <v>201</v>
      </c>
      <c r="C988" s="7" t="s">
        <v>202</v>
      </c>
      <c r="D988" s="7" t="s">
        <v>23</v>
      </c>
      <c r="E988" s="7" t="s">
        <v>338</v>
      </c>
      <c r="F988" s="7" t="s">
        <v>42</v>
      </c>
      <c r="G988" s="7" t="s">
        <v>225</v>
      </c>
      <c r="H988" s="7">
        <v>4</v>
      </c>
      <c r="I988" s="2">
        <v>195.08</v>
      </c>
      <c r="J988" s="2">
        <f>Tabla2[[#This Row],[Quantity]]*I988</f>
        <v>780.32</v>
      </c>
      <c r="K988" s="6">
        <f>MONTH(Tabla2[[#This Row],[OrderDate]])</f>
        <v>2</v>
      </c>
      <c r="L988" s="6">
        <f>YEAR(Tabla2[[#This Row],[OrderDate]])</f>
        <v>2026</v>
      </c>
      <c r="M988" s="7" t="s">
        <v>2131</v>
      </c>
      <c r="N988" s="7" t="s">
        <v>28</v>
      </c>
    </row>
    <row r="989" spans="1:14" x14ac:dyDescent="0.35">
      <c r="A989" s="7" t="s">
        <v>2132</v>
      </c>
      <c r="B989" s="7" t="s">
        <v>711</v>
      </c>
      <c r="C989" s="7" t="s">
        <v>712</v>
      </c>
      <c r="D989" s="7" t="s">
        <v>32</v>
      </c>
      <c r="E989" s="7" t="s">
        <v>61</v>
      </c>
      <c r="F989" s="7" t="s">
        <v>101</v>
      </c>
      <c r="G989" s="7" t="s">
        <v>237</v>
      </c>
      <c r="H989" s="7">
        <v>2</v>
      </c>
      <c r="I989" s="2">
        <v>1332.75</v>
      </c>
      <c r="J989" s="2">
        <f>Tabla2[[#This Row],[Quantity]]*I989</f>
        <v>2665.5</v>
      </c>
      <c r="K989" s="6">
        <f>MONTH(Tabla2[[#This Row],[OrderDate]])</f>
        <v>4</v>
      </c>
      <c r="L989" s="6">
        <f>YEAR(Tabla2[[#This Row],[OrderDate]])</f>
        <v>2026</v>
      </c>
      <c r="M989" s="7" t="s">
        <v>1779</v>
      </c>
      <c r="N989" s="7" t="s">
        <v>45</v>
      </c>
    </row>
    <row r="990" spans="1:14" x14ac:dyDescent="0.35">
      <c r="A990" s="7" t="s">
        <v>2133</v>
      </c>
      <c r="B990" s="7" t="s">
        <v>12</v>
      </c>
      <c r="C990" s="7" t="s">
        <v>13</v>
      </c>
      <c r="D990" s="7" t="s">
        <v>14</v>
      </c>
      <c r="E990" s="7" t="s">
        <v>95</v>
      </c>
      <c r="F990" s="7" t="s">
        <v>42</v>
      </c>
      <c r="G990" s="7" t="s">
        <v>225</v>
      </c>
      <c r="H990" s="7">
        <v>3</v>
      </c>
      <c r="I990" s="2">
        <v>882.58</v>
      </c>
      <c r="J990" s="2">
        <f>Tabla2[[#This Row],[Quantity]]*I990</f>
        <v>2647.7400000000002</v>
      </c>
      <c r="K990" s="6">
        <f>MONTH(Tabla2[[#This Row],[OrderDate]])</f>
        <v>9</v>
      </c>
      <c r="L990" s="6">
        <f>YEAR(Tabla2[[#This Row],[OrderDate]])</f>
        <v>2024</v>
      </c>
      <c r="M990" s="7" t="s">
        <v>1336</v>
      </c>
      <c r="N990" s="7" t="s">
        <v>19</v>
      </c>
    </row>
    <row r="991" spans="1:14" x14ac:dyDescent="0.35">
      <c r="A991" s="7" t="s">
        <v>2134</v>
      </c>
      <c r="B991" s="7" t="s">
        <v>348</v>
      </c>
      <c r="C991" s="7" t="s">
        <v>349</v>
      </c>
      <c r="D991" s="7" t="s">
        <v>23</v>
      </c>
      <c r="E991" s="7" t="s">
        <v>24</v>
      </c>
      <c r="F991" s="7" t="s">
        <v>42</v>
      </c>
      <c r="G991" s="7" t="s">
        <v>43</v>
      </c>
      <c r="H991" s="7">
        <v>2</v>
      </c>
      <c r="I991" s="2">
        <v>669.82</v>
      </c>
      <c r="J991" s="2">
        <f>Tabla2[[#This Row],[Quantity]]*I991</f>
        <v>1339.64</v>
      </c>
      <c r="K991" s="6">
        <f>MONTH(Tabla2[[#This Row],[OrderDate]])</f>
        <v>2</v>
      </c>
      <c r="L991" s="6">
        <f>YEAR(Tabla2[[#This Row],[OrderDate]])</f>
        <v>2026</v>
      </c>
      <c r="M991" s="7" t="s">
        <v>795</v>
      </c>
      <c r="N991" s="7" t="s">
        <v>28</v>
      </c>
    </row>
    <row r="992" spans="1:14" x14ac:dyDescent="0.35">
      <c r="A992" s="7" t="s">
        <v>2135</v>
      </c>
      <c r="B992" s="7" t="s">
        <v>219</v>
      </c>
      <c r="C992" s="7" t="s">
        <v>220</v>
      </c>
      <c r="D992" s="7" t="s">
        <v>32</v>
      </c>
      <c r="E992" s="7" t="s">
        <v>61</v>
      </c>
      <c r="F992" s="7" t="s">
        <v>101</v>
      </c>
      <c r="G992" s="7" t="s">
        <v>237</v>
      </c>
      <c r="H992" s="7">
        <v>5</v>
      </c>
      <c r="I992" s="2">
        <v>560.37</v>
      </c>
      <c r="J992" s="2">
        <f>Tabla2[[#This Row],[Quantity]]*I992</f>
        <v>2801.85</v>
      </c>
      <c r="K992" s="6">
        <f>MONTH(Tabla2[[#This Row],[OrderDate]])</f>
        <v>3</v>
      </c>
      <c r="L992" s="6">
        <f>YEAR(Tabla2[[#This Row],[OrderDate]])</f>
        <v>2024</v>
      </c>
      <c r="M992" s="7" t="s">
        <v>2136</v>
      </c>
      <c r="N992" s="7" t="s">
        <v>91</v>
      </c>
    </row>
    <row r="993" spans="1:14" x14ac:dyDescent="0.35">
      <c r="A993" s="7" t="s">
        <v>2137</v>
      </c>
      <c r="B993" s="7" t="s">
        <v>1203</v>
      </c>
      <c r="C993" s="7" t="s">
        <v>1204</v>
      </c>
      <c r="D993" s="7" t="s">
        <v>14</v>
      </c>
      <c r="E993" s="7" t="s">
        <v>266</v>
      </c>
      <c r="F993" s="7" t="s">
        <v>16</v>
      </c>
      <c r="G993" s="7" t="s">
        <v>230</v>
      </c>
      <c r="H993" s="7">
        <v>4</v>
      </c>
      <c r="I993" s="2">
        <v>801.65</v>
      </c>
      <c r="J993" s="2">
        <f>Tabla2[[#This Row],[Quantity]]*I993</f>
        <v>3206.6</v>
      </c>
      <c r="K993" s="6">
        <f>MONTH(Tabla2[[#This Row],[OrderDate]])</f>
        <v>7</v>
      </c>
      <c r="L993" s="6">
        <f>YEAR(Tabla2[[#This Row],[OrderDate]])</f>
        <v>2024</v>
      </c>
      <c r="M993" s="7" t="s">
        <v>1165</v>
      </c>
      <c r="N993" s="7" t="s">
        <v>91</v>
      </c>
    </row>
    <row r="994" spans="1:14" x14ac:dyDescent="0.35">
      <c r="A994" s="7" t="s">
        <v>2138</v>
      </c>
      <c r="B994" s="7" t="s">
        <v>352</v>
      </c>
      <c r="C994" s="7" t="s">
        <v>353</v>
      </c>
      <c r="D994" s="7" t="s">
        <v>23</v>
      </c>
      <c r="E994" s="7" t="s">
        <v>338</v>
      </c>
      <c r="F994" s="7" t="s">
        <v>42</v>
      </c>
      <c r="G994" s="7" t="s">
        <v>89</v>
      </c>
      <c r="H994" s="7">
        <v>1</v>
      </c>
      <c r="I994" s="2">
        <v>361.3</v>
      </c>
      <c r="J994" s="2">
        <f>Tabla2[[#This Row],[Quantity]]*I994</f>
        <v>361.3</v>
      </c>
      <c r="K994" s="6">
        <f>MONTH(Tabla2[[#This Row],[OrderDate]])</f>
        <v>11</v>
      </c>
      <c r="L994" s="6">
        <f>YEAR(Tabla2[[#This Row],[OrderDate]])</f>
        <v>2024</v>
      </c>
      <c r="M994" s="7" t="s">
        <v>2100</v>
      </c>
      <c r="N994" s="7" t="s">
        <v>19</v>
      </c>
    </row>
    <row r="995" spans="1:14" x14ac:dyDescent="0.35">
      <c r="A995" s="7" t="s">
        <v>2139</v>
      </c>
      <c r="B995" s="7" t="s">
        <v>864</v>
      </c>
      <c r="C995" s="7" t="s">
        <v>865</v>
      </c>
      <c r="D995" s="7" t="s">
        <v>14</v>
      </c>
      <c r="E995" s="7" t="s">
        <v>100</v>
      </c>
      <c r="F995" s="7" t="s">
        <v>42</v>
      </c>
      <c r="G995" s="7" t="s">
        <v>225</v>
      </c>
      <c r="H995" s="7">
        <v>4</v>
      </c>
      <c r="I995" s="2">
        <v>1121.8699999999999</v>
      </c>
      <c r="J995" s="2">
        <f>Tabla2[[#This Row],[Quantity]]*I995</f>
        <v>4487.4799999999996</v>
      </c>
      <c r="K995" s="6">
        <f>MONTH(Tabla2[[#This Row],[OrderDate]])</f>
        <v>10</v>
      </c>
      <c r="L995" s="6">
        <f>YEAR(Tabla2[[#This Row],[OrderDate]])</f>
        <v>2024</v>
      </c>
      <c r="M995" s="7" t="s">
        <v>2140</v>
      </c>
      <c r="N995" s="7" t="s">
        <v>91</v>
      </c>
    </row>
    <row r="996" spans="1:14" x14ac:dyDescent="0.35">
      <c r="A996" s="7" t="s">
        <v>2141</v>
      </c>
      <c r="B996" s="7" t="s">
        <v>990</v>
      </c>
      <c r="C996" s="7" t="s">
        <v>991</v>
      </c>
      <c r="D996" s="7" t="s">
        <v>40</v>
      </c>
      <c r="E996" s="7" t="s">
        <v>79</v>
      </c>
      <c r="F996" s="7" t="s">
        <v>50</v>
      </c>
      <c r="G996" s="7" t="s">
        <v>216</v>
      </c>
      <c r="H996" s="7">
        <v>2</v>
      </c>
      <c r="I996" s="2">
        <v>771.93</v>
      </c>
      <c r="J996" s="2">
        <f>Tabla2[[#This Row],[Quantity]]*I996</f>
        <v>1543.86</v>
      </c>
      <c r="K996" s="6">
        <f>MONTH(Tabla2[[#This Row],[OrderDate]])</f>
        <v>5</v>
      </c>
      <c r="L996" s="6">
        <f>YEAR(Tabla2[[#This Row],[OrderDate]])</f>
        <v>2025</v>
      </c>
      <c r="M996" s="7" t="s">
        <v>2142</v>
      </c>
      <c r="N996" s="7" t="s">
        <v>91</v>
      </c>
    </row>
    <row r="997" spans="1:14" x14ac:dyDescent="0.35">
      <c r="A997" s="7" t="s">
        <v>2143</v>
      </c>
      <c r="B997" s="7" t="s">
        <v>180</v>
      </c>
      <c r="C997" s="7" t="s">
        <v>181</v>
      </c>
      <c r="D997" s="7" t="s">
        <v>40</v>
      </c>
      <c r="E997" s="7" t="s">
        <v>41</v>
      </c>
      <c r="F997" s="7" t="s">
        <v>101</v>
      </c>
      <c r="G997" s="7" t="s">
        <v>165</v>
      </c>
      <c r="H997" s="7">
        <v>2</v>
      </c>
      <c r="I997" s="2">
        <v>803.73</v>
      </c>
      <c r="J997" s="2">
        <f>Tabla2[[#This Row],[Quantity]]*I997</f>
        <v>1607.46</v>
      </c>
      <c r="K997" s="6">
        <f>MONTH(Tabla2[[#This Row],[OrderDate]])</f>
        <v>1</v>
      </c>
      <c r="L997" s="6">
        <f>YEAR(Tabla2[[#This Row],[OrderDate]])</f>
        <v>2024</v>
      </c>
      <c r="M997" s="7" t="s">
        <v>271</v>
      </c>
      <c r="N997" s="7" t="s">
        <v>19</v>
      </c>
    </row>
    <row r="998" spans="1:14" x14ac:dyDescent="0.35">
      <c r="A998" s="7" t="s">
        <v>2144</v>
      </c>
      <c r="B998" s="7" t="s">
        <v>1677</v>
      </c>
      <c r="C998" s="7" t="s">
        <v>1678</v>
      </c>
      <c r="D998" s="7" t="s">
        <v>32</v>
      </c>
      <c r="E998" s="7" t="s">
        <v>33</v>
      </c>
      <c r="F998" s="7" t="s">
        <v>42</v>
      </c>
      <c r="G998" s="7" t="s">
        <v>89</v>
      </c>
      <c r="H998" s="7">
        <v>1</v>
      </c>
      <c r="I998" s="2">
        <v>90.25</v>
      </c>
      <c r="J998" s="2">
        <f>Tabla2[[#This Row],[Quantity]]*I998</f>
        <v>90.25</v>
      </c>
      <c r="K998" s="6">
        <f>MONTH(Tabla2[[#This Row],[OrderDate]])</f>
        <v>12</v>
      </c>
      <c r="L998" s="6">
        <f>YEAR(Tabla2[[#This Row],[OrderDate]])</f>
        <v>2025</v>
      </c>
      <c r="M998" s="7" t="s">
        <v>1365</v>
      </c>
      <c r="N998" s="7" t="s">
        <v>45</v>
      </c>
    </row>
    <row r="999" spans="1:14" x14ac:dyDescent="0.35">
      <c r="A999" s="7" t="s">
        <v>2145</v>
      </c>
      <c r="B999" s="7" t="s">
        <v>460</v>
      </c>
      <c r="C999" s="7" t="s">
        <v>461</v>
      </c>
      <c r="D999" s="7" t="s">
        <v>40</v>
      </c>
      <c r="E999" s="7" t="s">
        <v>79</v>
      </c>
      <c r="F999" s="7" t="s">
        <v>42</v>
      </c>
      <c r="G999" s="7" t="s">
        <v>80</v>
      </c>
      <c r="H999" s="7">
        <v>2</v>
      </c>
      <c r="I999" s="2">
        <v>1230.54</v>
      </c>
      <c r="J999" s="2">
        <f>Tabla2[[#This Row],[Quantity]]*I999</f>
        <v>2461.08</v>
      </c>
      <c r="K999" s="6">
        <f>MONTH(Tabla2[[#This Row],[OrderDate]])</f>
        <v>1</v>
      </c>
      <c r="L999" s="6">
        <f>YEAR(Tabla2[[#This Row],[OrderDate]])</f>
        <v>2024</v>
      </c>
      <c r="M999" s="7" t="s">
        <v>2146</v>
      </c>
      <c r="N999" s="7" t="s">
        <v>36</v>
      </c>
    </row>
    <row r="1000" spans="1:14" x14ac:dyDescent="0.35">
      <c r="A1000" s="7" t="s">
        <v>2147</v>
      </c>
      <c r="B1000" s="7" t="s">
        <v>1024</v>
      </c>
      <c r="C1000" s="7" t="s">
        <v>1025</v>
      </c>
      <c r="D1000" s="7" t="s">
        <v>23</v>
      </c>
      <c r="E1000" s="7" t="s">
        <v>338</v>
      </c>
      <c r="F1000" s="7" t="s">
        <v>25</v>
      </c>
      <c r="G1000" s="7" t="s">
        <v>26</v>
      </c>
      <c r="H1000" s="7">
        <v>1</v>
      </c>
      <c r="I1000" s="2">
        <v>179.64</v>
      </c>
      <c r="J1000" s="2">
        <f>Tabla2[[#This Row],[Quantity]]*I1000</f>
        <v>179.64</v>
      </c>
      <c r="K1000" s="6">
        <f>MONTH(Tabla2[[#This Row],[OrderDate]])</f>
        <v>2</v>
      </c>
      <c r="L1000" s="6">
        <f>YEAR(Tabla2[[#This Row],[OrderDate]])</f>
        <v>2025</v>
      </c>
      <c r="M1000" s="7" t="s">
        <v>329</v>
      </c>
      <c r="N1000" s="7" t="s">
        <v>36</v>
      </c>
    </row>
    <row r="1001" spans="1:14" x14ac:dyDescent="0.35">
      <c r="A1001" s="7" t="s">
        <v>2148</v>
      </c>
      <c r="B1001" s="7" t="s">
        <v>856</v>
      </c>
      <c r="C1001" s="7" t="s">
        <v>857</v>
      </c>
      <c r="D1001" s="7" t="s">
        <v>67</v>
      </c>
      <c r="E1001" s="7" t="s">
        <v>130</v>
      </c>
      <c r="F1001" s="7" t="s">
        <v>101</v>
      </c>
      <c r="G1001" s="7" t="s">
        <v>237</v>
      </c>
      <c r="H1001" s="7">
        <v>1</v>
      </c>
      <c r="I1001" s="2">
        <v>555.48</v>
      </c>
      <c r="J1001" s="2">
        <f>Tabla2[[#This Row],[Quantity]]*I1001</f>
        <v>555.48</v>
      </c>
      <c r="K1001" s="6">
        <f>MONTH(Tabla2[[#This Row],[OrderDate]])</f>
        <v>10</v>
      </c>
      <c r="L1001" s="6">
        <f>YEAR(Tabla2[[#This Row],[OrderDate]])</f>
        <v>2025</v>
      </c>
      <c r="M1001" s="7" t="s">
        <v>2149</v>
      </c>
      <c r="N1001" s="7" t="s">
        <v>28</v>
      </c>
    </row>
    <row r="1002" spans="1:14" x14ac:dyDescent="0.35">
      <c r="A1002" s="7" t="s">
        <v>2150</v>
      </c>
      <c r="B1002" s="7" t="s">
        <v>532</v>
      </c>
      <c r="C1002" s="7" t="s">
        <v>533</v>
      </c>
      <c r="D1002" s="7" t="s">
        <v>67</v>
      </c>
      <c r="E1002" s="7" t="s">
        <v>115</v>
      </c>
      <c r="F1002" s="7" t="s">
        <v>101</v>
      </c>
      <c r="G1002" s="7" t="s">
        <v>237</v>
      </c>
      <c r="H1002" s="7">
        <v>1</v>
      </c>
      <c r="I1002" s="2">
        <v>1313.76</v>
      </c>
      <c r="J1002" s="2">
        <f>Tabla2[[#This Row],[Quantity]]*I1002</f>
        <v>1313.76</v>
      </c>
      <c r="K1002" s="6">
        <f>MONTH(Tabla2[[#This Row],[OrderDate]])</f>
        <v>1</v>
      </c>
      <c r="L1002" s="6">
        <f>YEAR(Tabla2[[#This Row],[OrderDate]])</f>
        <v>2025</v>
      </c>
      <c r="M1002" s="7" t="s">
        <v>2151</v>
      </c>
      <c r="N1002" s="7" t="s">
        <v>45</v>
      </c>
    </row>
    <row r="1003" spans="1:14" x14ac:dyDescent="0.35">
      <c r="A1003" s="7" t="s">
        <v>2152</v>
      </c>
      <c r="B1003" s="7" t="s">
        <v>590</v>
      </c>
      <c r="C1003" s="7" t="s">
        <v>591</v>
      </c>
      <c r="D1003" s="7" t="s">
        <v>14</v>
      </c>
      <c r="E1003" s="7" t="s">
        <v>15</v>
      </c>
      <c r="F1003" s="7" t="s">
        <v>25</v>
      </c>
      <c r="G1003" s="7" t="s">
        <v>26</v>
      </c>
      <c r="H1003" s="7">
        <v>2</v>
      </c>
      <c r="I1003" s="2">
        <v>1232.23</v>
      </c>
      <c r="J1003" s="2">
        <f>Tabla2[[#This Row],[Quantity]]*I1003</f>
        <v>2464.46</v>
      </c>
      <c r="K1003" s="6">
        <f>MONTH(Tabla2[[#This Row],[OrderDate]])</f>
        <v>5</v>
      </c>
      <c r="L1003" s="6">
        <f>YEAR(Tabla2[[#This Row],[OrderDate]])</f>
        <v>2024</v>
      </c>
      <c r="M1003" s="7" t="s">
        <v>2153</v>
      </c>
      <c r="N1003" s="7" t="s">
        <v>91</v>
      </c>
    </row>
    <row r="1004" spans="1:14" x14ac:dyDescent="0.35">
      <c r="A1004" s="7" t="s">
        <v>2154</v>
      </c>
      <c r="B1004" s="7" t="s">
        <v>707</v>
      </c>
      <c r="C1004" s="7" t="s">
        <v>708</v>
      </c>
      <c r="D1004" s="7" t="s">
        <v>23</v>
      </c>
      <c r="E1004" s="7" t="s">
        <v>338</v>
      </c>
      <c r="F1004" s="7" t="s">
        <v>42</v>
      </c>
      <c r="G1004" s="7" t="s">
        <v>170</v>
      </c>
      <c r="H1004" s="7">
        <v>2</v>
      </c>
      <c r="I1004" s="2">
        <v>1079.3599999999999</v>
      </c>
      <c r="J1004" s="2">
        <f>Tabla2[[#This Row],[Quantity]]*I1004</f>
        <v>2158.7199999999998</v>
      </c>
      <c r="K1004" s="6">
        <f>MONTH(Tabla2[[#This Row],[OrderDate]])</f>
        <v>6</v>
      </c>
      <c r="L1004" s="6">
        <f>YEAR(Tabla2[[#This Row],[OrderDate]])</f>
        <v>2025</v>
      </c>
      <c r="M1004" s="7" t="s">
        <v>416</v>
      </c>
      <c r="N1004" s="7" t="s">
        <v>91</v>
      </c>
    </row>
    <row r="1005" spans="1:14" x14ac:dyDescent="0.35">
      <c r="A1005" s="7" t="s">
        <v>2155</v>
      </c>
      <c r="B1005" s="7" t="s">
        <v>514</v>
      </c>
      <c r="C1005" s="7" t="s">
        <v>515</v>
      </c>
      <c r="D1005" s="7" t="s">
        <v>23</v>
      </c>
      <c r="E1005" s="7" t="s">
        <v>338</v>
      </c>
      <c r="F1005" s="7" t="s">
        <v>42</v>
      </c>
      <c r="G1005" s="7" t="s">
        <v>170</v>
      </c>
      <c r="H1005" s="7">
        <v>3</v>
      </c>
      <c r="I1005" s="2">
        <v>710.15</v>
      </c>
      <c r="J1005" s="2">
        <f>Tabla2[[#This Row],[Quantity]]*I1005</f>
        <v>2130.4499999999998</v>
      </c>
      <c r="K1005" s="6">
        <f>MONTH(Tabla2[[#This Row],[OrderDate]])</f>
        <v>10</v>
      </c>
      <c r="L1005" s="6">
        <f>YEAR(Tabla2[[#This Row],[OrderDate]])</f>
        <v>2025</v>
      </c>
      <c r="M1005" s="7" t="s">
        <v>488</v>
      </c>
      <c r="N1005" s="7" t="s">
        <v>19</v>
      </c>
    </row>
    <row r="1006" spans="1:14" x14ac:dyDescent="0.35">
      <c r="A1006" s="7" t="s">
        <v>2156</v>
      </c>
      <c r="B1006" s="7" t="s">
        <v>2157</v>
      </c>
      <c r="C1006" s="7" t="s">
        <v>2158</v>
      </c>
      <c r="D1006" s="7" t="s">
        <v>14</v>
      </c>
      <c r="E1006" s="7" t="s">
        <v>266</v>
      </c>
      <c r="F1006" s="7" t="s">
        <v>50</v>
      </c>
      <c r="G1006" s="7" t="s">
        <v>170</v>
      </c>
      <c r="H1006" s="7">
        <v>4</v>
      </c>
      <c r="I1006" s="2">
        <v>1426.02</v>
      </c>
      <c r="J1006" s="2">
        <f>Tabla2[[#This Row],[Quantity]]*I1006</f>
        <v>5704.08</v>
      </c>
      <c r="K1006" s="6">
        <f>MONTH(Tabla2[[#This Row],[OrderDate]])</f>
        <v>8</v>
      </c>
      <c r="L1006" s="6">
        <f>YEAR(Tabla2[[#This Row],[OrderDate]])</f>
        <v>2024</v>
      </c>
      <c r="M1006" s="7" t="s">
        <v>1974</v>
      </c>
      <c r="N1006" s="7" t="s">
        <v>45</v>
      </c>
    </row>
    <row r="1007" spans="1:14" x14ac:dyDescent="0.35">
      <c r="A1007" s="7" t="s">
        <v>2159</v>
      </c>
      <c r="B1007" s="7" t="s">
        <v>30</v>
      </c>
      <c r="C1007" s="7" t="s">
        <v>31</v>
      </c>
      <c r="D1007" s="7" t="s">
        <v>67</v>
      </c>
      <c r="E1007" s="7" t="s">
        <v>68</v>
      </c>
      <c r="F1007" s="7" t="s">
        <v>25</v>
      </c>
      <c r="G1007" s="7" t="s">
        <v>26</v>
      </c>
      <c r="H1007" s="7">
        <v>1</v>
      </c>
      <c r="I1007" s="2">
        <v>1279.92</v>
      </c>
      <c r="J1007" s="2">
        <f>Tabla2[[#This Row],[Quantity]]*I1007</f>
        <v>1279.92</v>
      </c>
      <c r="K1007" s="6">
        <f>MONTH(Tabla2[[#This Row],[OrderDate]])</f>
        <v>1</v>
      </c>
      <c r="L1007" s="6">
        <f>YEAR(Tabla2[[#This Row],[OrderDate]])</f>
        <v>2026</v>
      </c>
      <c r="M1007" s="7" t="s">
        <v>1096</v>
      </c>
      <c r="N1007" s="7" t="s">
        <v>28</v>
      </c>
    </row>
    <row r="1008" spans="1:14" x14ac:dyDescent="0.35">
      <c r="A1008" s="7" t="s">
        <v>2160</v>
      </c>
      <c r="B1008" s="7" t="s">
        <v>658</v>
      </c>
      <c r="C1008" s="7" t="s">
        <v>659</v>
      </c>
      <c r="D1008" s="7" t="s">
        <v>23</v>
      </c>
      <c r="E1008" s="7" t="s">
        <v>24</v>
      </c>
      <c r="F1008" s="7" t="s">
        <v>16</v>
      </c>
      <c r="G1008" s="7" t="s">
        <v>230</v>
      </c>
      <c r="H1008" s="7">
        <v>4</v>
      </c>
      <c r="I1008" s="2">
        <v>1280.22</v>
      </c>
      <c r="J1008" s="2">
        <f>Tabla2[[#This Row],[Quantity]]*I1008</f>
        <v>5120.88</v>
      </c>
      <c r="K1008" s="6">
        <f>MONTH(Tabla2[[#This Row],[OrderDate]])</f>
        <v>11</v>
      </c>
      <c r="L1008" s="6">
        <f>YEAR(Tabla2[[#This Row],[OrderDate]])</f>
        <v>2025</v>
      </c>
      <c r="M1008" s="7" t="s">
        <v>2161</v>
      </c>
      <c r="N1008" s="7" t="s">
        <v>45</v>
      </c>
    </row>
    <row r="1009" spans="1:14" x14ac:dyDescent="0.35">
      <c r="A1009" s="7" t="s">
        <v>2162</v>
      </c>
      <c r="B1009" s="7" t="s">
        <v>443</v>
      </c>
      <c r="C1009" s="7" t="s">
        <v>444</v>
      </c>
      <c r="D1009" s="7" t="s">
        <v>23</v>
      </c>
      <c r="E1009" s="7" t="s">
        <v>49</v>
      </c>
      <c r="F1009" s="7" t="s">
        <v>50</v>
      </c>
      <c r="G1009" s="7" t="s">
        <v>56</v>
      </c>
      <c r="H1009" s="7">
        <v>5</v>
      </c>
      <c r="I1009" s="2">
        <v>367.64</v>
      </c>
      <c r="J1009" s="2">
        <f>Tabla2[[#This Row],[Quantity]]*I1009</f>
        <v>1838.1999999999998</v>
      </c>
      <c r="K1009" s="6">
        <f>MONTH(Tabla2[[#This Row],[OrderDate]])</f>
        <v>11</v>
      </c>
      <c r="L1009" s="6">
        <f>YEAR(Tabla2[[#This Row],[OrderDate]])</f>
        <v>2024</v>
      </c>
      <c r="M1009" s="7" t="s">
        <v>1839</v>
      </c>
      <c r="N1009" s="7" t="s">
        <v>91</v>
      </c>
    </row>
    <row r="1010" spans="1:14" x14ac:dyDescent="0.35">
      <c r="A1010" s="7" t="s">
        <v>2163</v>
      </c>
      <c r="B1010" s="7" t="s">
        <v>256</v>
      </c>
      <c r="C1010" s="7" t="s">
        <v>257</v>
      </c>
      <c r="D1010" s="7" t="s">
        <v>67</v>
      </c>
      <c r="E1010" s="7" t="s">
        <v>68</v>
      </c>
      <c r="F1010" s="7" t="s">
        <v>42</v>
      </c>
      <c r="G1010" s="7" t="s">
        <v>170</v>
      </c>
      <c r="H1010" s="7">
        <v>3</v>
      </c>
      <c r="I1010" s="2">
        <v>52.33</v>
      </c>
      <c r="J1010" s="2">
        <f>Tabla2[[#This Row],[Quantity]]*I1010</f>
        <v>156.99</v>
      </c>
      <c r="K1010" s="6">
        <f>MONTH(Tabla2[[#This Row],[OrderDate]])</f>
        <v>1</v>
      </c>
      <c r="L1010" s="6">
        <f>YEAR(Tabla2[[#This Row],[OrderDate]])</f>
        <v>2025</v>
      </c>
      <c r="M1010" s="7" t="s">
        <v>2164</v>
      </c>
      <c r="N1010" s="7" t="s">
        <v>45</v>
      </c>
    </row>
    <row r="1011" spans="1:14" x14ac:dyDescent="0.35">
      <c r="A1011" s="7" t="s">
        <v>2165</v>
      </c>
      <c r="B1011" s="7" t="s">
        <v>1073</v>
      </c>
      <c r="C1011" s="7" t="s">
        <v>1074</v>
      </c>
      <c r="D1011" s="7" t="s">
        <v>23</v>
      </c>
      <c r="E1011" s="7" t="s">
        <v>338</v>
      </c>
      <c r="F1011" s="7" t="s">
        <v>25</v>
      </c>
      <c r="G1011" s="7" t="s">
        <v>26</v>
      </c>
      <c r="H1011" s="7">
        <v>5</v>
      </c>
      <c r="I1011" s="2">
        <v>807.62</v>
      </c>
      <c r="J1011" s="2">
        <f>Tabla2[[#This Row],[Quantity]]*I1011</f>
        <v>4038.1</v>
      </c>
      <c r="K1011" s="6">
        <f>MONTH(Tabla2[[#This Row],[OrderDate]])</f>
        <v>9</v>
      </c>
      <c r="L1011" s="6">
        <f>YEAR(Tabla2[[#This Row],[OrderDate]])</f>
        <v>2024</v>
      </c>
      <c r="M1011" s="7" t="s">
        <v>70</v>
      </c>
      <c r="N1011" s="7" t="s">
        <v>91</v>
      </c>
    </row>
    <row r="1012" spans="1:14" x14ac:dyDescent="0.35">
      <c r="A1012" s="7" t="s">
        <v>2166</v>
      </c>
      <c r="B1012" s="7" t="s">
        <v>1285</v>
      </c>
      <c r="C1012" s="7" t="s">
        <v>1286</v>
      </c>
      <c r="D1012" s="7" t="s">
        <v>67</v>
      </c>
      <c r="E1012" s="7" t="s">
        <v>130</v>
      </c>
      <c r="F1012" s="7" t="s">
        <v>101</v>
      </c>
      <c r="G1012" s="7" t="s">
        <v>102</v>
      </c>
      <c r="H1012" s="7">
        <v>2</v>
      </c>
      <c r="I1012" s="2">
        <v>1336.72</v>
      </c>
      <c r="J1012" s="2">
        <f>Tabla2[[#This Row],[Quantity]]*I1012</f>
        <v>2673.44</v>
      </c>
      <c r="K1012" s="6">
        <f>MONTH(Tabla2[[#This Row],[OrderDate]])</f>
        <v>9</v>
      </c>
      <c r="L1012" s="6">
        <f>YEAR(Tabla2[[#This Row],[OrderDate]])</f>
        <v>2024</v>
      </c>
      <c r="M1012" s="7" t="s">
        <v>2167</v>
      </c>
      <c r="N1012" s="7" t="s">
        <v>19</v>
      </c>
    </row>
    <row r="1013" spans="1:14" x14ac:dyDescent="0.35">
      <c r="A1013" s="7" t="s">
        <v>2168</v>
      </c>
      <c r="B1013" s="7" t="s">
        <v>518</v>
      </c>
      <c r="C1013" s="7" t="s">
        <v>519</v>
      </c>
      <c r="D1013" s="7" t="s">
        <v>40</v>
      </c>
      <c r="E1013" s="7" t="s">
        <v>79</v>
      </c>
      <c r="F1013" s="7" t="s">
        <v>50</v>
      </c>
      <c r="G1013" s="7" t="s">
        <v>170</v>
      </c>
      <c r="H1013" s="7">
        <v>1</v>
      </c>
      <c r="I1013" s="2">
        <v>1288.01</v>
      </c>
      <c r="J1013" s="2">
        <f>Tabla2[[#This Row],[Quantity]]*I1013</f>
        <v>1288.01</v>
      </c>
      <c r="K1013" s="6">
        <f>MONTH(Tabla2[[#This Row],[OrderDate]])</f>
        <v>3</v>
      </c>
      <c r="L1013" s="6">
        <f>YEAR(Tabla2[[#This Row],[OrderDate]])</f>
        <v>2024</v>
      </c>
      <c r="M1013" s="7" t="s">
        <v>740</v>
      </c>
      <c r="N1013" s="7" t="s">
        <v>45</v>
      </c>
    </row>
    <row r="1014" spans="1:14" x14ac:dyDescent="0.35">
      <c r="A1014" s="7" t="s">
        <v>2169</v>
      </c>
      <c r="B1014" s="7" t="s">
        <v>142</v>
      </c>
      <c r="C1014" s="7" t="s">
        <v>143</v>
      </c>
      <c r="D1014" s="7" t="s">
        <v>14</v>
      </c>
      <c r="E1014" s="7" t="s">
        <v>100</v>
      </c>
      <c r="F1014" s="7" t="s">
        <v>16</v>
      </c>
      <c r="G1014" s="7" t="s">
        <v>17</v>
      </c>
      <c r="H1014" s="7">
        <v>4</v>
      </c>
      <c r="I1014" s="2">
        <v>929.52</v>
      </c>
      <c r="J1014" s="2">
        <f>Tabla2[[#This Row],[Quantity]]*I1014</f>
        <v>3718.08</v>
      </c>
      <c r="K1014" s="6">
        <f>MONTH(Tabla2[[#This Row],[OrderDate]])</f>
        <v>6</v>
      </c>
      <c r="L1014" s="6">
        <f>YEAR(Tabla2[[#This Row],[OrderDate]])</f>
        <v>2024</v>
      </c>
      <c r="M1014" s="7" t="s">
        <v>846</v>
      </c>
      <c r="N1014" s="7" t="s">
        <v>36</v>
      </c>
    </row>
    <row r="1015" spans="1:14" x14ac:dyDescent="0.35">
      <c r="A1015" s="7" t="s">
        <v>2170</v>
      </c>
      <c r="B1015" s="7" t="s">
        <v>496</v>
      </c>
      <c r="C1015" s="7" t="s">
        <v>497</v>
      </c>
      <c r="D1015" s="7" t="s">
        <v>67</v>
      </c>
      <c r="E1015" s="7" t="s">
        <v>115</v>
      </c>
      <c r="F1015" s="7" t="s">
        <v>101</v>
      </c>
      <c r="G1015" s="7" t="s">
        <v>102</v>
      </c>
      <c r="H1015" s="7">
        <v>3</v>
      </c>
      <c r="I1015" s="2">
        <v>371.32</v>
      </c>
      <c r="J1015" s="2">
        <f>Tabla2[[#This Row],[Quantity]]*I1015</f>
        <v>1113.96</v>
      </c>
      <c r="K1015" s="6">
        <f>MONTH(Tabla2[[#This Row],[OrderDate]])</f>
        <v>9</v>
      </c>
      <c r="L1015" s="6">
        <f>YEAR(Tabla2[[#This Row],[OrderDate]])</f>
        <v>2025</v>
      </c>
      <c r="M1015" s="7" t="s">
        <v>1544</v>
      </c>
      <c r="N1015" s="7" t="s">
        <v>28</v>
      </c>
    </row>
    <row r="1016" spans="1:14" x14ac:dyDescent="0.35">
      <c r="A1016" s="7" t="s">
        <v>2171</v>
      </c>
      <c r="B1016" s="7" t="s">
        <v>771</v>
      </c>
      <c r="C1016" s="7" t="s">
        <v>772</v>
      </c>
      <c r="D1016" s="7" t="s">
        <v>67</v>
      </c>
      <c r="E1016" s="7" t="s">
        <v>68</v>
      </c>
      <c r="F1016" s="7" t="s">
        <v>42</v>
      </c>
      <c r="G1016" s="7" t="s">
        <v>80</v>
      </c>
      <c r="H1016" s="7">
        <v>3</v>
      </c>
      <c r="I1016" s="2">
        <v>623.14</v>
      </c>
      <c r="J1016" s="2">
        <f>Tabla2[[#This Row],[Quantity]]*I1016</f>
        <v>1869.42</v>
      </c>
      <c r="K1016" s="6">
        <f>MONTH(Tabla2[[#This Row],[OrderDate]])</f>
        <v>4</v>
      </c>
      <c r="L1016" s="6">
        <f>YEAR(Tabla2[[#This Row],[OrderDate]])</f>
        <v>2024</v>
      </c>
      <c r="M1016" s="7" t="s">
        <v>2172</v>
      </c>
      <c r="N1016" s="7" t="s">
        <v>28</v>
      </c>
    </row>
    <row r="1017" spans="1:14" x14ac:dyDescent="0.35">
      <c r="A1017" s="7" t="s">
        <v>2173</v>
      </c>
      <c r="B1017" s="7" t="s">
        <v>1159</v>
      </c>
      <c r="C1017" s="7" t="s">
        <v>1160</v>
      </c>
      <c r="D1017" s="7" t="s">
        <v>32</v>
      </c>
      <c r="E1017" s="7" t="s">
        <v>61</v>
      </c>
      <c r="F1017" s="7" t="s">
        <v>42</v>
      </c>
      <c r="G1017" s="7" t="s">
        <v>80</v>
      </c>
      <c r="H1017" s="7">
        <v>5</v>
      </c>
      <c r="I1017" s="2">
        <v>69.569999999999993</v>
      </c>
      <c r="J1017" s="2">
        <f>Tabla2[[#This Row],[Quantity]]*I1017</f>
        <v>347.84999999999997</v>
      </c>
      <c r="K1017" s="6">
        <f>MONTH(Tabla2[[#This Row],[OrderDate]])</f>
        <v>1</v>
      </c>
      <c r="L1017" s="6">
        <f>YEAR(Tabla2[[#This Row],[OrderDate]])</f>
        <v>2025</v>
      </c>
      <c r="M1017" s="7" t="s">
        <v>1873</v>
      </c>
      <c r="N1017" s="7" t="s">
        <v>91</v>
      </c>
    </row>
    <row r="1018" spans="1:14" x14ac:dyDescent="0.35">
      <c r="A1018" s="7" t="s">
        <v>2174</v>
      </c>
      <c r="B1018" s="7" t="s">
        <v>273</v>
      </c>
      <c r="C1018" s="7" t="s">
        <v>274</v>
      </c>
      <c r="D1018" s="7" t="s">
        <v>32</v>
      </c>
      <c r="E1018" s="7" t="s">
        <v>33</v>
      </c>
      <c r="F1018" s="7" t="s">
        <v>50</v>
      </c>
      <c r="G1018" s="7" t="s">
        <v>170</v>
      </c>
      <c r="H1018" s="7">
        <v>5</v>
      </c>
      <c r="I1018" s="2">
        <v>950.89</v>
      </c>
      <c r="J1018" s="2">
        <f>Tabla2[[#This Row],[Quantity]]*I1018</f>
        <v>4754.45</v>
      </c>
      <c r="K1018" s="6">
        <f>MONTH(Tabla2[[#This Row],[OrderDate]])</f>
        <v>11</v>
      </c>
      <c r="L1018" s="6">
        <f>YEAR(Tabla2[[#This Row],[OrderDate]])</f>
        <v>2024</v>
      </c>
      <c r="M1018" s="7" t="s">
        <v>217</v>
      </c>
      <c r="N1018" s="7" t="s">
        <v>28</v>
      </c>
    </row>
    <row r="1019" spans="1:14" x14ac:dyDescent="0.35">
      <c r="A1019" s="7" t="s">
        <v>2175</v>
      </c>
      <c r="B1019" s="7" t="s">
        <v>38</v>
      </c>
      <c r="C1019" s="7" t="s">
        <v>39</v>
      </c>
      <c r="D1019" s="7" t="s">
        <v>32</v>
      </c>
      <c r="E1019" s="7" t="s">
        <v>203</v>
      </c>
      <c r="F1019" s="7" t="s">
        <v>50</v>
      </c>
      <c r="G1019" s="7" t="s">
        <v>56</v>
      </c>
      <c r="H1019" s="7">
        <v>5</v>
      </c>
      <c r="I1019" s="2">
        <v>322.73</v>
      </c>
      <c r="J1019" s="2">
        <f>Tabla2[[#This Row],[Quantity]]*I1019</f>
        <v>1613.65</v>
      </c>
      <c r="K1019" s="6">
        <f>MONTH(Tabla2[[#This Row],[OrderDate]])</f>
        <v>6</v>
      </c>
      <c r="L1019" s="6">
        <f>YEAR(Tabla2[[#This Row],[OrderDate]])</f>
        <v>2025</v>
      </c>
      <c r="M1019" s="7" t="s">
        <v>1747</v>
      </c>
      <c r="N1019" s="7" t="s">
        <v>36</v>
      </c>
    </row>
    <row r="1020" spans="1:14" x14ac:dyDescent="0.35">
      <c r="A1020" s="7" t="s">
        <v>2176</v>
      </c>
      <c r="B1020" s="7" t="s">
        <v>1496</v>
      </c>
      <c r="C1020" s="7" t="s">
        <v>1497</v>
      </c>
      <c r="D1020" s="7" t="s">
        <v>14</v>
      </c>
      <c r="E1020" s="7" t="s">
        <v>125</v>
      </c>
      <c r="F1020" s="7" t="s">
        <v>42</v>
      </c>
      <c r="G1020" s="7" t="s">
        <v>80</v>
      </c>
      <c r="H1020" s="7">
        <v>3</v>
      </c>
      <c r="I1020" s="2">
        <v>563.54</v>
      </c>
      <c r="J1020" s="2">
        <f>Tabla2[[#This Row],[Quantity]]*I1020</f>
        <v>1690.62</v>
      </c>
      <c r="K1020" s="6">
        <f>MONTH(Tabla2[[#This Row],[OrderDate]])</f>
        <v>11</v>
      </c>
      <c r="L1020" s="6">
        <f>YEAR(Tabla2[[#This Row],[OrderDate]])</f>
        <v>2025</v>
      </c>
      <c r="M1020" s="7" t="s">
        <v>1781</v>
      </c>
      <c r="N1020" s="7" t="s">
        <v>28</v>
      </c>
    </row>
    <row r="1021" spans="1:14" x14ac:dyDescent="0.35">
      <c r="A1021" s="7" t="s">
        <v>2177</v>
      </c>
      <c r="B1021" s="7" t="s">
        <v>1005</v>
      </c>
      <c r="C1021" s="7" t="s">
        <v>1006</v>
      </c>
      <c r="D1021" s="7" t="s">
        <v>14</v>
      </c>
      <c r="E1021" s="7" t="s">
        <v>95</v>
      </c>
      <c r="F1021" s="7" t="s">
        <v>25</v>
      </c>
      <c r="G1021" s="7" t="s">
        <v>62</v>
      </c>
      <c r="H1021" s="7">
        <v>5</v>
      </c>
      <c r="I1021" s="2">
        <v>393.75</v>
      </c>
      <c r="J1021" s="2">
        <f>Tabla2[[#This Row],[Quantity]]*I1021</f>
        <v>1968.75</v>
      </c>
      <c r="K1021" s="6">
        <f>MONTH(Tabla2[[#This Row],[OrderDate]])</f>
        <v>11</v>
      </c>
      <c r="L1021" s="6">
        <f>YEAR(Tabla2[[#This Row],[OrderDate]])</f>
        <v>2024</v>
      </c>
      <c r="M1021" s="7" t="s">
        <v>1512</v>
      </c>
      <c r="N1021" s="7" t="s">
        <v>19</v>
      </c>
    </row>
    <row r="1022" spans="1:14" x14ac:dyDescent="0.35">
      <c r="A1022" s="7" t="s">
        <v>2178</v>
      </c>
      <c r="B1022" s="7" t="s">
        <v>785</v>
      </c>
      <c r="C1022" s="7" t="s">
        <v>786</v>
      </c>
      <c r="D1022" s="7" t="s">
        <v>23</v>
      </c>
      <c r="E1022" s="7" t="s">
        <v>338</v>
      </c>
      <c r="F1022" s="7" t="s">
        <v>42</v>
      </c>
      <c r="G1022" s="7" t="s">
        <v>80</v>
      </c>
      <c r="H1022" s="7">
        <v>4</v>
      </c>
      <c r="I1022" s="2">
        <v>1029.79</v>
      </c>
      <c r="J1022" s="2">
        <f>Tabla2[[#This Row],[Quantity]]*I1022</f>
        <v>4119.16</v>
      </c>
      <c r="K1022" s="6">
        <f>MONTH(Tabla2[[#This Row],[OrderDate]])</f>
        <v>10</v>
      </c>
      <c r="L1022" s="6">
        <f>YEAR(Tabla2[[#This Row],[OrderDate]])</f>
        <v>2024</v>
      </c>
      <c r="M1022" s="7" t="s">
        <v>2179</v>
      </c>
      <c r="N1022" s="7" t="s">
        <v>28</v>
      </c>
    </row>
    <row r="1023" spans="1:14" x14ac:dyDescent="0.35">
      <c r="A1023" s="7" t="s">
        <v>2180</v>
      </c>
      <c r="B1023" s="7" t="s">
        <v>1354</v>
      </c>
      <c r="C1023" s="7" t="s">
        <v>1355</v>
      </c>
      <c r="D1023" s="7" t="s">
        <v>67</v>
      </c>
      <c r="E1023" s="7" t="s">
        <v>115</v>
      </c>
      <c r="F1023" s="7" t="s">
        <v>50</v>
      </c>
      <c r="G1023" s="7" t="s">
        <v>51</v>
      </c>
      <c r="H1023" s="7">
        <v>3</v>
      </c>
      <c r="I1023" s="2">
        <v>838.01</v>
      </c>
      <c r="J1023" s="2">
        <f>Tabla2[[#This Row],[Quantity]]*I1023</f>
        <v>2514.0299999999997</v>
      </c>
      <c r="K1023" s="6">
        <f>MONTH(Tabla2[[#This Row],[OrderDate]])</f>
        <v>8</v>
      </c>
      <c r="L1023" s="6">
        <f>YEAR(Tabla2[[#This Row],[OrderDate]])</f>
        <v>2024</v>
      </c>
      <c r="M1023" s="7" t="s">
        <v>1843</v>
      </c>
      <c r="N1023" s="7" t="s">
        <v>36</v>
      </c>
    </row>
    <row r="1024" spans="1:14" x14ac:dyDescent="0.35">
      <c r="A1024" s="7" t="s">
        <v>2181</v>
      </c>
      <c r="B1024" s="7" t="s">
        <v>751</v>
      </c>
      <c r="C1024" s="7" t="s">
        <v>752</v>
      </c>
      <c r="D1024" s="7" t="s">
        <v>40</v>
      </c>
      <c r="E1024" s="7" t="s">
        <v>41</v>
      </c>
      <c r="F1024" s="7" t="s">
        <v>101</v>
      </c>
      <c r="G1024" s="7" t="s">
        <v>373</v>
      </c>
      <c r="H1024" s="7">
        <v>4</v>
      </c>
      <c r="I1024" s="2">
        <v>1255.76</v>
      </c>
      <c r="J1024" s="2">
        <f>Tabla2[[#This Row],[Quantity]]*I1024</f>
        <v>5023.04</v>
      </c>
      <c r="K1024" s="6">
        <f>MONTH(Tabla2[[#This Row],[OrderDate]])</f>
        <v>4</v>
      </c>
      <c r="L1024" s="6">
        <f>YEAR(Tabla2[[#This Row],[OrderDate]])</f>
        <v>2024</v>
      </c>
      <c r="M1024" s="7" t="s">
        <v>1219</v>
      </c>
      <c r="N1024" s="7" t="s">
        <v>36</v>
      </c>
    </row>
    <row r="1025" spans="1:14" x14ac:dyDescent="0.35">
      <c r="A1025" s="7" t="s">
        <v>2182</v>
      </c>
      <c r="B1025" s="7" t="s">
        <v>1163</v>
      </c>
      <c r="C1025" s="7" t="s">
        <v>1164</v>
      </c>
      <c r="D1025" s="7" t="s">
        <v>14</v>
      </c>
      <c r="E1025" s="7" t="s">
        <v>15</v>
      </c>
      <c r="F1025" s="7" t="s">
        <v>16</v>
      </c>
      <c r="G1025" s="7" t="s">
        <v>230</v>
      </c>
      <c r="H1025" s="7">
        <v>3</v>
      </c>
      <c r="I1025" s="2">
        <v>628.58000000000004</v>
      </c>
      <c r="J1025" s="2">
        <f>Tabla2[[#This Row],[Quantity]]*I1025</f>
        <v>1885.7400000000002</v>
      </c>
      <c r="K1025" s="6">
        <f>MONTH(Tabla2[[#This Row],[OrderDate]])</f>
        <v>9</v>
      </c>
      <c r="L1025" s="6">
        <f>YEAR(Tabla2[[#This Row],[OrderDate]])</f>
        <v>2024</v>
      </c>
      <c r="M1025" s="7" t="s">
        <v>1293</v>
      </c>
      <c r="N1025" s="7" t="s">
        <v>36</v>
      </c>
    </row>
    <row r="1026" spans="1:14" x14ac:dyDescent="0.35">
      <c r="A1026" s="7" t="s">
        <v>2183</v>
      </c>
      <c r="B1026" s="7" t="s">
        <v>936</v>
      </c>
      <c r="C1026" s="7" t="s">
        <v>937</v>
      </c>
      <c r="D1026" s="7" t="s">
        <v>32</v>
      </c>
      <c r="E1026" s="7" t="s">
        <v>33</v>
      </c>
      <c r="F1026" s="7" t="s">
        <v>42</v>
      </c>
      <c r="G1026" s="7" t="s">
        <v>80</v>
      </c>
      <c r="H1026" s="7">
        <v>2</v>
      </c>
      <c r="I1026" s="2">
        <v>1401.15</v>
      </c>
      <c r="J1026" s="2">
        <f>Tabla2[[#This Row],[Quantity]]*I1026</f>
        <v>2802.3</v>
      </c>
      <c r="K1026" s="6">
        <f>MONTH(Tabla2[[#This Row],[OrderDate]])</f>
        <v>4</v>
      </c>
      <c r="L1026" s="6">
        <f>YEAR(Tabla2[[#This Row],[OrderDate]])</f>
        <v>2025</v>
      </c>
      <c r="M1026" s="7" t="s">
        <v>1614</v>
      </c>
      <c r="N1026" s="7" t="s">
        <v>28</v>
      </c>
    </row>
    <row r="1027" spans="1:14" x14ac:dyDescent="0.35">
      <c r="A1027" s="7" t="s">
        <v>2184</v>
      </c>
      <c r="B1027" s="7" t="s">
        <v>1163</v>
      </c>
      <c r="C1027" s="7" t="s">
        <v>1164</v>
      </c>
      <c r="D1027" s="7" t="s">
        <v>40</v>
      </c>
      <c r="E1027" s="7" t="s">
        <v>120</v>
      </c>
      <c r="F1027" s="7" t="s">
        <v>42</v>
      </c>
      <c r="G1027" s="7" t="s">
        <v>89</v>
      </c>
      <c r="H1027" s="7">
        <v>4</v>
      </c>
      <c r="I1027" s="2">
        <v>1264.8699999999999</v>
      </c>
      <c r="J1027" s="2">
        <f>Tabla2[[#This Row],[Quantity]]*I1027</f>
        <v>5059.4799999999996</v>
      </c>
      <c r="K1027" s="6">
        <f>MONTH(Tabla2[[#This Row],[OrderDate]])</f>
        <v>8</v>
      </c>
      <c r="L1027" s="6">
        <f>YEAR(Tabla2[[#This Row],[OrderDate]])</f>
        <v>2024</v>
      </c>
      <c r="M1027" s="7" t="s">
        <v>1683</v>
      </c>
      <c r="N1027" s="7" t="s">
        <v>28</v>
      </c>
    </row>
    <row r="1028" spans="1:14" x14ac:dyDescent="0.35">
      <c r="A1028" s="7" t="s">
        <v>2185</v>
      </c>
      <c r="B1028" s="7" t="s">
        <v>406</v>
      </c>
      <c r="C1028" s="7" t="s">
        <v>407</v>
      </c>
      <c r="D1028" s="7" t="s">
        <v>40</v>
      </c>
      <c r="E1028" s="7" t="s">
        <v>41</v>
      </c>
      <c r="F1028" s="7" t="s">
        <v>16</v>
      </c>
      <c r="G1028" s="7" t="s">
        <v>148</v>
      </c>
      <c r="H1028" s="7">
        <v>4</v>
      </c>
      <c r="I1028" s="2">
        <v>1188.1400000000001</v>
      </c>
      <c r="J1028" s="2">
        <f>Tabla2[[#This Row],[Quantity]]*I1028</f>
        <v>4752.5600000000004</v>
      </c>
      <c r="K1028" s="6">
        <f>MONTH(Tabla2[[#This Row],[OrderDate]])</f>
        <v>12</v>
      </c>
      <c r="L1028" s="6">
        <f>YEAR(Tabla2[[#This Row],[OrderDate]])</f>
        <v>2024</v>
      </c>
      <c r="M1028" s="7" t="s">
        <v>938</v>
      </c>
      <c r="N1028" s="7" t="s">
        <v>19</v>
      </c>
    </row>
    <row r="1029" spans="1:14" x14ac:dyDescent="0.35">
      <c r="A1029" s="7" t="s">
        <v>2186</v>
      </c>
      <c r="B1029" s="7" t="s">
        <v>1203</v>
      </c>
      <c r="C1029" s="7" t="s">
        <v>1204</v>
      </c>
      <c r="D1029" s="7" t="s">
        <v>14</v>
      </c>
      <c r="E1029" s="7" t="s">
        <v>100</v>
      </c>
      <c r="F1029" s="7" t="s">
        <v>50</v>
      </c>
      <c r="G1029" s="7" t="s">
        <v>69</v>
      </c>
      <c r="H1029" s="7">
        <v>1</v>
      </c>
      <c r="I1029" s="2">
        <v>1061.07</v>
      </c>
      <c r="J1029" s="2">
        <f>Tabla2[[#This Row],[Quantity]]*I1029</f>
        <v>1061.07</v>
      </c>
      <c r="K1029" s="6">
        <f>MONTH(Tabla2[[#This Row],[OrderDate]])</f>
        <v>8</v>
      </c>
      <c r="L1029" s="6">
        <f>YEAR(Tabla2[[#This Row],[OrderDate]])</f>
        <v>2024</v>
      </c>
      <c r="M1029" s="7" t="s">
        <v>1069</v>
      </c>
      <c r="N1029" s="7" t="s">
        <v>28</v>
      </c>
    </row>
    <row r="1030" spans="1:14" x14ac:dyDescent="0.35">
      <c r="A1030" s="7" t="s">
        <v>2187</v>
      </c>
      <c r="B1030" s="7" t="s">
        <v>2188</v>
      </c>
      <c r="C1030" s="7" t="s">
        <v>2189</v>
      </c>
      <c r="D1030" s="7" t="s">
        <v>67</v>
      </c>
      <c r="E1030" s="7" t="s">
        <v>130</v>
      </c>
      <c r="F1030" s="7" t="s">
        <v>101</v>
      </c>
      <c r="G1030" s="7" t="s">
        <v>373</v>
      </c>
      <c r="H1030" s="7">
        <v>2</v>
      </c>
      <c r="I1030" s="2">
        <v>348.82</v>
      </c>
      <c r="J1030" s="2">
        <f>Tabla2[[#This Row],[Quantity]]*I1030</f>
        <v>697.64</v>
      </c>
      <c r="K1030" s="6">
        <f>MONTH(Tabla2[[#This Row],[OrderDate]])</f>
        <v>9</v>
      </c>
      <c r="L1030" s="6">
        <f>YEAR(Tabla2[[#This Row],[OrderDate]])</f>
        <v>2024</v>
      </c>
      <c r="M1030" s="7" t="s">
        <v>1124</v>
      </c>
      <c r="N1030" s="7" t="s">
        <v>91</v>
      </c>
    </row>
    <row r="1031" spans="1:14" x14ac:dyDescent="0.35">
      <c r="A1031" s="7" t="s">
        <v>2190</v>
      </c>
      <c r="B1031" s="7" t="s">
        <v>2188</v>
      </c>
      <c r="C1031" s="7" t="s">
        <v>2189</v>
      </c>
      <c r="D1031" s="7" t="s">
        <v>32</v>
      </c>
      <c r="E1031" s="7" t="s">
        <v>33</v>
      </c>
      <c r="F1031" s="7" t="s">
        <v>16</v>
      </c>
      <c r="G1031" s="7" t="s">
        <v>148</v>
      </c>
      <c r="H1031" s="7">
        <v>1</v>
      </c>
      <c r="I1031" s="2">
        <v>915.33</v>
      </c>
      <c r="J1031" s="2">
        <f>Tabla2[[#This Row],[Quantity]]*I1031</f>
        <v>915.33</v>
      </c>
      <c r="K1031" s="6">
        <f>MONTH(Tabla2[[#This Row],[OrderDate]])</f>
        <v>2</v>
      </c>
      <c r="L1031" s="6">
        <f>YEAR(Tabla2[[#This Row],[OrderDate]])</f>
        <v>2024</v>
      </c>
      <c r="M1031" s="7" t="s">
        <v>1815</v>
      </c>
      <c r="N1031" s="7" t="s">
        <v>28</v>
      </c>
    </row>
    <row r="1032" spans="1:14" x14ac:dyDescent="0.35">
      <c r="A1032" s="7" t="s">
        <v>2191</v>
      </c>
      <c r="B1032" s="7" t="s">
        <v>1028</v>
      </c>
      <c r="C1032" s="7" t="s">
        <v>1029</v>
      </c>
      <c r="D1032" s="7" t="s">
        <v>14</v>
      </c>
      <c r="E1032" s="7" t="s">
        <v>15</v>
      </c>
      <c r="F1032" s="7" t="s">
        <v>42</v>
      </c>
      <c r="G1032" s="7" t="s">
        <v>89</v>
      </c>
      <c r="H1032" s="7">
        <v>3</v>
      </c>
      <c r="I1032" s="2">
        <v>626.02</v>
      </c>
      <c r="J1032" s="2">
        <f>Tabla2[[#This Row],[Quantity]]*I1032</f>
        <v>1878.06</v>
      </c>
      <c r="K1032" s="6">
        <f>MONTH(Tabla2[[#This Row],[OrderDate]])</f>
        <v>2</v>
      </c>
      <c r="L1032" s="6">
        <f>YEAR(Tabla2[[#This Row],[OrderDate]])</f>
        <v>2025</v>
      </c>
      <c r="M1032" s="7" t="s">
        <v>329</v>
      </c>
      <c r="N1032" s="7" t="s">
        <v>19</v>
      </c>
    </row>
    <row r="1033" spans="1:14" x14ac:dyDescent="0.35">
      <c r="A1033" s="7" t="s">
        <v>2192</v>
      </c>
      <c r="B1033" s="7" t="s">
        <v>763</v>
      </c>
      <c r="C1033" s="7" t="s">
        <v>764</v>
      </c>
      <c r="D1033" s="7" t="s">
        <v>40</v>
      </c>
      <c r="E1033" s="7" t="s">
        <v>41</v>
      </c>
      <c r="F1033" s="7" t="s">
        <v>50</v>
      </c>
      <c r="G1033" s="7" t="s">
        <v>51</v>
      </c>
      <c r="H1033" s="7">
        <v>1</v>
      </c>
      <c r="I1033" s="2">
        <v>570.1</v>
      </c>
      <c r="J1033" s="2">
        <f>Tabla2[[#This Row],[Quantity]]*I1033</f>
        <v>570.1</v>
      </c>
      <c r="K1033" s="6">
        <f>MONTH(Tabla2[[#This Row],[OrderDate]])</f>
        <v>4</v>
      </c>
      <c r="L1033" s="6">
        <f>YEAR(Tabla2[[#This Row],[OrderDate]])</f>
        <v>2025</v>
      </c>
      <c r="M1033" s="7" t="s">
        <v>2193</v>
      </c>
      <c r="N1033" s="7" t="s">
        <v>19</v>
      </c>
    </row>
    <row r="1034" spans="1:14" x14ac:dyDescent="0.35">
      <c r="A1034" s="7" t="s">
        <v>2194</v>
      </c>
      <c r="B1034" s="7" t="s">
        <v>435</v>
      </c>
      <c r="C1034" s="7" t="s">
        <v>436</v>
      </c>
      <c r="D1034" s="7" t="s">
        <v>32</v>
      </c>
      <c r="E1034" s="7" t="s">
        <v>33</v>
      </c>
      <c r="F1034" s="7" t="s">
        <v>50</v>
      </c>
      <c r="G1034" s="7" t="s">
        <v>56</v>
      </c>
      <c r="H1034" s="7">
        <v>2</v>
      </c>
      <c r="I1034" s="2">
        <v>414.03</v>
      </c>
      <c r="J1034" s="2">
        <f>Tabla2[[#This Row],[Quantity]]*I1034</f>
        <v>828.06</v>
      </c>
      <c r="K1034" s="6">
        <f>MONTH(Tabla2[[#This Row],[OrderDate]])</f>
        <v>10</v>
      </c>
      <c r="L1034" s="6">
        <f>YEAR(Tabla2[[#This Row],[OrderDate]])</f>
        <v>2025</v>
      </c>
      <c r="M1034" s="7" t="s">
        <v>2149</v>
      </c>
      <c r="N1034" s="7" t="s">
        <v>45</v>
      </c>
    </row>
    <row r="1035" spans="1:14" x14ac:dyDescent="0.35">
      <c r="A1035" s="7" t="s">
        <v>2195</v>
      </c>
      <c r="B1035" s="7" t="s">
        <v>536</v>
      </c>
      <c r="C1035" s="7" t="s">
        <v>537</v>
      </c>
      <c r="D1035" s="7" t="s">
        <v>14</v>
      </c>
      <c r="E1035" s="7" t="s">
        <v>100</v>
      </c>
      <c r="F1035" s="7" t="s">
        <v>16</v>
      </c>
      <c r="G1035" s="7" t="s">
        <v>230</v>
      </c>
      <c r="H1035" s="7">
        <v>4</v>
      </c>
      <c r="I1035" s="2">
        <v>393.68</v>
      </c>
      <c r="J1035" s="2">
        <f>Tabla2[[#This Row],[Quantity]]*I1035</f>
        <v>1574.72</v>
      </c>
      <c r="K1035" s="6">
        <f>MONTH(Tabla2[[#This Row],[OrderDate]])</f>
        <v>8</v>
      </c>
      <c r="L1035" s="6">
        <f>YEAR(Tabla2[[#This Row],[OrderDate]])</f>
        <v>2025</v>
      </c>
      <c r="M1035" s="7" t="s">
        <v>2196</v>
      </c>
      <c r="N1035" s="7" t="s">
        <v>36</v>
      </c>
    </row>
    <row r="1036" spans="1:14" x14ac:dyDescent="0.35">
      <c r="A1036" s="7" t="s">
        <v>2197</v>
      </c>
      <c r="B1036" s="7" t="s">
        <v>622</v>
      </c>
      <c r="C1036" s="7" t="s">
        <v>623</v>
      </c>
      <c r="D1036" s="7" t="s">
        <v>23</v>
      </c>
      <c r="E1036" s="7" t="s">
        <v>49</v>
      </c>
      <c r="F1036" s="7" t="s">
        <v>50</v>
      </c>
      <c r="G1036" s="7" t="s">
        <v>170</v>
      </c>
      <c r="H1036" s="7">
        <v>3</v>
      </c>
      <c r="I1036" s="2">
        <v>226.45</v>
      </c>
      <c r="J1036" s="2">
        <f>Tabla2[[#This Row],[Quantity]]*I1036</f>
        <v>679.34999999999991</v>
      </c>
      <c r="K1036" s="6">
        <f>MONTH(Tabla2[[#This Row],[OrderDate]])</f>
        <v>4</v>
      </c>
      <c r="L1036" s="6">
        <f>YEAR(Tabla2[[#This Row],[OrderDate]])</f>
        <v>2025</v>
      </c>
      <c r="M1036" s="7" t="s">
        <v>2198</v>
      </c>
      <c r="N1036" s="7" t="s">
        <v>19</v>
      </c>
    </row>
    <row r="1037" spans="1:14" x14ac:dyDescent="0.35">
      <c r="A1037" s="7" t="s">
        <v>2199</v>
      </c>
      <c r="B1037" s="7" t="s">
        <v>402</v>
      </c>
      <c r="C1037" s="7" t="s">
        <v>403</v>
      </c>
      <c r="D1037" s="7" t="s">
        <v>32</v>
      </c>
      <c r="E1037" s="7" t="s">
        <v>33</v>
      </c>
      <c r="F1037" s="7" t="s">
        <v>42</v>
      </c>
      <c r="G1037" s="7" t="s">
        <v>43</v>
      </c>
      <c r="H1037" s="7">
        <v>2</v>
      </c>
      <c r="I1037" s="2">
        <v>1025.68</v>
      </c>
      <c r="J1037" s="2">
        <f>Tabla2[[#This Row],[Quantity]]*I1037</f>
        <v>2051.36</v>
      </c>
      <c r="K1037" s="6">
        <f>MONTH(Tabla2[[#This Row],[OrderDate]])</f>
        <v>10</v>
      </c>
      <c r="L1037" s="6">
        <f>YEAR(Tabla2[[#This Row],[OrderDate]])</f>
        <v>2024</v>
      </c>
      <c r="M1037" s="7" t="s">
        <v>166</v>
      </c>
      <c r="N1037" s="7" t="s">
        <v>91</v>
      </c>
    </row>
    <row r="1038" spans="1:14" x14ac:dyDescent="0.35">
      <c r="A1038" s="7" t="s">
        <v>2200</v>
      </c>
      <c r="B1038" s="7" t="s">
        <v>759</v>
      </c>
      <c r="C1038" s="7" t="s">
        <v>760</v>
      </c>
      <c r="D1038" s="7" t="s">
        <v>67</v>
      </c>
      <c r="E1038" s="7" t="s">
        <v>130</v>
      </c>
      <c r="F1038" s="7" t="s">
        <v>42</v>
      </c>
      <c r="G1038" s="7" t="s">
        <v>170</v>
      </c>
      <c r="H1038" s="7">
        <v>5</v>
      </c>
      <c r="I1038" s="2">
        <v>153.69999999999999</v>
      </c>
      <c r="J1038" s="2">
        <f>Tabla2[[#This Row],[Quantity]]*I1038</f>
        <v>768.5</v>
      </c>
      <c r="K1038" s="6">
        <f>MONTH(Tabla2[[#This Row],[OrderDate]])</f>
        <v>12</v>
      </c>
      <c r="L1038" s="6">
        <f>YEAR(Tabla2[[#This Row],[OrderDate]])</f>
        <v>2025</v>
      </c>
      <c r="M1038" s="7" t="s">
        <v>1228</v>
      </c>
      <c r="N1038" s="7" t="s">
        <v>36</v>
      </c>
    </row>
    <row r="1039" spans="1:14" x14ac:dyDescent="0.35">
      <c r="A1039" s="7" t="s">
        <v>2201</v>
      </c>
      <c r="B1039" s="7" t="s">
        <v>1828</v>
      </c>
      <c r="C1039" s="7" t="s">
        <v>1829</v>
      </c>
      <c r="D1039" s="7" t="s">
        <v>40</v>
      </c>
      <c r="E1039" s="7" t="s">
        <v>120</v>
      </c>
      <c r="F1039" s="7" t="s">
        <v>101</v>
      </c>
      <c r="G1039" s="7" t="s">
        <v>649</v>
      </c>
      <c r="H1039" s="7">
        <v>4</v>
      </c>
      <c r="I1039" s="2">
        <v>1340.16</v>
      </c>
      <c r="J1039" s="2">
        <f>Tabla2[[#This Row],[Quantity]]*I1039</f>
        <v>5360.64</v>
      </c>
      <c r="K1039" s="6">
        <f>MONTH(Tabla2[[#This Row],[OrderDate]])</f>
        <v>11</v>
      </c>
      <c r="L1039" s="6">
        <f>YEAR(Tabla2[[#This Row],[OrderDate]])</f>
        <v>2025</v>
      </c>
      <c r="M1039" s="7" t="s">
        <v>1505</v>
      </c>
      <c r="N1039" s="7" t="s">
        <v>91</v>
      </c>
    </row>
    <row r="1040" spans="1:14" x14ac:dyDescent="0.35">
      <c r="A1040" s="7" t="s">
        <v>2202</v>
      </c>
      <c r="B1040" s="7" t="s">
        <v>1875</v>
      </c>
      <c r="C1040" s="7" t="s">
        <v>1876</v>
      </c>
      <c r="D1040" s="7" t="s">
        <v>23</v>
      </c>
      <c r="E1040" s="7" t="s">
        <v>338</v>
      </c>
      <c r="F1040" s="7" t="s">
        <v>101</v>
      </c>
      <c r="G1040" s="7" t="s">
        <v>373</v>
      </c>
      <c r="H1040" s="7">
        <v>1</v>
      </c>
      <c r="I1040" s="2">
        <v>231.21</v>
      </c>
      <c r="J1040" s="2">
        <f>Tabla2[[#This Row],[Quantity]]*I1040</f>
        <v>231.21</v>
      </c>
      <c r="K1040" s="6">
        <f>MONTH(Tabla2[[#This Row],[OrderDate]])</f>
        <v>5</v>
      </c>
      <c r="L1040" s="6">
        <f>YEAR(Tabla2[[#This Row],[OrderDate]])</f>
        <v>2025</v>
      </c>
      <c r="M1040" s="7" t="s">
        <v>813</v>
      </c>
      <c r="N1040" s="7" t="s">
        <v>36</v>
      </c>
    </row>
    <row r="1041" spans="1:14" x14ac:dyDescent="0.35">
      <c r="A1041" s="7" t="s">
        <v>2203</v>
      </c>
      <c r="B1041" s="7" t="s">
        <v>715</v>
      </c>
      <c r="C1041" s="7" t="s">
        <v>716</v>
      </c>
      <c r="D1041" s="7" t="s">
        <v>14</v>
      </c>
      <c r="E1041" s="7" t="s">
        <v>15</v>
      </c>
      <c r="F1041" s="7" t="s">
        <v>42</v>
      </c>
      <c r="G1041" s="7" t="s">
        <v>43</v>
      </c>
      <c r="H1041" s="7">
        <v>2</v>
      </c>
      <c r="I1041" s="2">
        <v>274.63</v>
      </c>
      <c r="J1041" s="2">
        <f>Tabla2[[#This Row],[Quantity]]*I1041</f>
        <v>549.26</v>
      </c>
      <c r="K1041" s="6">
        <f>MONTH(Tabla2[[#This Row],[OrderDate]])</f>
        <v>12</v>
      </c>
      <c r="L1041" s="6">
        <f>YEAR(Tabla2[[#This Row],[OrderDate]])</f>
        <v>2024</v>
      </c>
      <c r="M1041" s="7" t="s">
        <v>472</v>
      </c>
      <c r="N1041" s="7" t="s">
        <v>45</v>
      </c>
    </row>
    <row r="1042" spans="1:14" x14ac:dyDescent="0.35">
      <c r="A1042" s="7" t="s">
        <v>2204</v>
      </c>
      <c r="B1042" s="7" t="s">
        <v>1042</v>
      </c>
      <c r="C1042" s="7" t="s">
        <v>1043</v>
      </c>
      <c r="D1042" s="7" t="s">
        <v>23</v>
      </c>
      <c r="E1042" s="7" t="s">
        <v>338</v>
      </c>
      <c r="F1042" s="7" t="s">
        <v>101</v>
      </c>
      <c r="G1042" s="7" t="s">
        <v>373</v>
      </c>
      <c r="H1042" s="7">
        <v>3</v>
      </c>
      <c r="I1042" s="2">
        <v>1140.8800000000001</v>
      </c>
      <c r="J1042" s="2">
        <f>Tabla2[[#This Row],[Quantity]]*I1042</f>
        <v>3422.6400000000003</v>
      </c>
      <c r="K1042" s="6">
        <f>MONTH(Tabla2[[#This Row],[OrderDate]])</f>
        <v>11</v>
      </c>
      <c r="L1042" s="6">
        <f>YEAR(Tabla2[[#This Row],[OrderDate]])</f>
        <v>2024</v>
      </c>
      <c r="M1042" s="7" t="s">
        <v>2050</v>
      </c>
      <c r="N1042" s="7" t="s">
        <v>91</v>
      </c>
    </row>
    <row r="1043" spans="1:14" x14ac:dyDescent="0.35">
      <c r="A1043" s="7" t="s">
        <v>2205</v>
      </c>
      <c r="B1043" s="7" t="s">
        <v>1018</v>
      </c>
      <c r="C1043" s="7" t="s">
        <v>1019</v>
      </c>
      <c r="D1043" s="7" t="s">
        <v>23</v>
      </c>
      <c r="E1043" s="7" t="s">
        <v>49</v>
      </c>
      <c r="F1043" s="7" t="s">
        <v>50</v>
      </c>
      <c r="G1043" s="7" t="s">
        <v>51</v>
      </c>
      <c r="H1043" s="7">
        <v>5</v>
      </c>
      <c r="I1043" s="2">
        <v>9.98</v>
      </c>
      <c r="J1043" s="2">
        <f>Tabla2[[#This Row],[Quantity]]*I1043</f>
        <v>49.900000000000006</v>
      </c>
      <c r="K1043" s="6">
        <f>MONTH(Tabla2[[#This Row],[OrderDate]])</f>
        <v>6</v>
      </c>
      <c r="L1043" s="6">
        <f>YEAR(Tabla2[[#This Row],[OrderDate]])</f>
        <v>2024</v>
      </c>
      <c r="M1043" s="7" t="s">
        <v>942</v>
      </c>
      <c r="N1043" s="7" t="s">
        <v>19</v>
      </c>
    </row>
    <row r="1044" spans="1:14" x14ac:dyDescent="0.35">
      <c r="A1044" s="7" t="s">
        <v>2206</v>
      </c>
      <c r="B1044" s="7" t="s">
        <v>1743</v>
      </c>
      <c r="C1044" s="7" t="s">
        <v>1744</v>
      </c>
      <c r="D1044" s="7" t="s">
        <v>23</v>
      </c>
      <c r="E1044" s="7" t="s">
        <v>49</v>
      </c>
      <c r="F1044" s="7" t="s">
        <v>50</v>
      </c>
      <c r="G1044" s="7" t="s">
        <v>170</v>
      </c>
      <c r="H1044" s="7">
        <v>5</v>
      </c>
      <c r="I1044" s="2">
        <v>960.43</v>
      </c>
      <c r="J1044" s="2">
        <f>Tabla2[[#This Row],[Quantity]]*I1044</f>
        <v>4802.1499999999996</v>
      </c>
      <c r="K1044" s="6">
        <f>MONTH(Tabla2[[#This Row],[OrderDate]])</f>
        <v>10</v>
      </c>
      <c r="L1044" s="6">
        <f>YEAR(Tabla2[[#This Row],[OrderDate]])</f>
        <v>2024</v>
      </c>
      <c r="M1044" s="7" t="s">
        <v>2207</v>
      </c>
      <c r="N1044" s="7" t="s">
        <v>45</v>
      </c>
    </row>
    <row r="1045" spans="1:14" x14ac:dyDescent="0.35">
      <c r="A1045" s="7" t="s">
        <v>2208</v>
      </c>
      <c r="B1045" s="7" t="s">
        <v>618</v>
      </c>
      <c r="C1045" s="7" t="s">
        <v>619</v>
      </c>
      <c r="D1045" s="7" t="s">
        <v>67</v>
      </c>
      <c r="E1045" s="7" t="s">
        <v>115</v>
      </c>
      <c r="F1045" s="7" t="s">
        <v>50</v>
      </c>
      <c r="G1045" s="7" t="s">
        <v>170</v>
      </c>
      <c r="H1045" s="7">
        <v>1</v>
      </c>
      <c r="I1045" s="2">
        <v>117.27</v>
      </c>
      <c r="J1045" s="2">
        <f>Tabla2[[#This Row],[Quantity]]*I1045</f>
        <v>117.27</v>
      </c>
      <c r="K1045" s="6">
        <f>MONTH(Tabla2[[#This Row],[OrderDate]])</f>
        <v>12</v>
      </c>
      <c r="L1045" s="6">
        <f>YEAR(Tabla2[[#This Row],[OrderDate]])</f>
        <v>2024</v>
      </c>
      <c r="M1045" s="7" t="s">
        <v>1479</v>
      </c>
      <c r="N1045" s="7" t="s">
        <v>91</v>
      </c>
    </row>
    <row r="1046" spans="1:14" x14ac:dyDescent="0.35">
      <c r="A1046" s="7" t="s">
        <v>2209</v>
      </c>
      <c r="B1046" s="7" t="s">
        <v>214</v>
      </c>
      <c r="C1046" s="7" t="s">
        <v>215</v>
      </c>
      <c r="D1046" s="7" t="s">
        <v>32</v>
      </c>
      <c r="E1046" s="7" t="s">
        <v>203</v>
      </c>
      <c r="F1046" s="7" t="s">
        <v>50</v>
      </c>
      <c r="G1046" s="7" t="s">
        <v>216</v>
      </c>
      <c r="H1046" s="7">
        <v>4</v>
      </c>
      <c r="I1046" s="2">
        <v>165.97</v>
      </c>
      <c r="J1046" s="2">
        <f>Tabla2[[#This Row],[Quantity]]*I1046</f>
        <v>663.88</v>
      </c>
      <c r="K1046" s="6">
        <f>MONTH(Tabla2[[#This Row],[OrderDate]])</f>
        <v>11</v>
      </c>
      <c r="L1046" s="6">
        <f>YEAR(Tabla2[[#This Row],[OrderDate]])</f>
        <v>2024</v>
      </c>
      <c r="M1046" s="7" t="s">
        <v>2210</v>
      </c>
      <c r="N1046" s="7" t="s">
        <v>45</v>
      </c>
    </row>
    <row r="1047" spans="1:14" x14ac:dyDescent="0.35">
      <c r="A1047" s="7" t="s">
        <v>2211</v>
      </c>
      <c r="B1047" s="7" t="s">
        <v>185</v>
      </c>
      <c r="C1047" s="7" t="s">
        <v>186</v>
      </c>
      <c r="D1047" s="7" t="s">
        <v>67</v>
      </c>
      <c r="E1047" s="7" t="s">
        <v>68</v>
      </c>
      <c r="F1047" s="7" t="s">
        <v>50</v>
      </c>
      <c r="G1047" s="7" t="s">
        <v>51</v>
      </c>
      <c r="H1047" s="7">
        <v>1</v>
      </c>
      <c r="I1047" s="2">
        <v>555.75</v>
      </c>
      <c r="J1047" s="2">
        <f>Tabla2[[#This Row],[Quantity]]*I1047</f>
        <v>555.75</v>
      </c>
      <c r="K1047" s="6">
        <f>MONTH(Tabla2[[#This Row],[OrderDate]])</f>
        <v>3</v>
      </c>
      <c r="L1047" s="6">
        <f>YEAR(Tabla2[[#This Row],[OrderDate]])</f>
        <v>2024</v>
      </c>
      <c r="M1047" s="7" t="s">
        <v>1850</v>
      </c>
      <c r="N1047" s="7" t="s">
        <v>91</v>
      </c>
    </row>
    <row r="1048" spans="1:14" x14ac:dyDescent="0.35">
      <c r="A1048" s="7" t="s">
        <v>2212</v>
      </c>
      <c r="B1048" s="7" t="s">
        <v>219</v>
      </c>
      <c r="C1048" s="7" t="s">
        <v>220</v>
      </c>
      <c r="D1048" s="7" t="s">
        <v>40</v>
      </c>
      <c r="E1048" s="7" t="s">
        <v>79</v>
      </c>
      <c r="F1048" s="7" t="s">
        <v>50</v>
      </c>
      <c r="G1048" s="7" t="s">
        <v>170</v>
      </c>
      <c r="H1048" s="7">
        <v>2</v>
      </c>
      <c r="I1048" s="2">
        <v>1481.48</v>
      </c>
      <c r="J1048" s="2">
        <f>Tabla2[[#This Row],[Quantity]]*I1048</f>
        <v>2962.96</v>
      </c>
      <c r="K1048" s="6">
        <f>MONTH(Tabla2[[#This Row],[OrderDate]])</f>
        <v>1</v>
      </c>
      <c r="L1048" s="6">
        <f>YEAR(Tabla2[[#This Row],[OrderDate]])</f>
        <v>2024</v>
      </c>
      <c r="M1048" s="7" t="s">
        <v>410</v>
      </c>
      <c r="N1048" s="7" t="s">
        <v>28</v>
      </c>
    </row>
    <row r="1049" spans="1:14" x14ac:dyDescent="0.35">
      <c r="A1049" s="7" t="s">
        <v>2213</v>
      </c>
      <c r="B1049" s="7" t="s">
        <v>426</v>
      </c>
      <c r="C1049" s="7" t="s">
        <v>427</v>
      </c>
      <c r="D1049" s="7" t="s">
        <v>40</v>
      </c>
      <c r="E1049" s="7" t="s">
        <v>79</v>
      </c>
      <c r="F1049" s="7" t="s">
        <v>16</v>
      </c>
      <c r="G1049" s="7" t="s">
        <v>17</v>
      </c>
      <c r="H1049" s="7">
        <v>1</v>
      </c>
      <c r="I1049" s="2">
        <v>725.4</v>
      </c>
      <c r="J1049" s="2">
        <f>Tabla2[[#This Row],[Quantity]]*I1049</f>
        <v>725.4</v>
      </c>
      <c r="K1049" s="6">
        <f>MONTH(Tabla2[[#This Row],[OrderDate]])</f>
        <v>2</v>
      </c>
      <c r="L1049" s="6">
        <f>YEAR(Tabla2[[#This Row],[OrderDate]])</f>
        <v>2025</v>
      </c>
      <c r="M1049" s="7" t="s">
        <v>1199</v>
      </c>
      <c r="N1049" s="7" t="s">
        <v>45</v>
      </c>
    </row>
    <row r="1050" spans="1:14" x14ac:dyDescent="0.35">
      <c r="A1050" s="7" t="s">
        <v>2214</v>
      </c>
      <c r="B1050" s="7" t="s">
        <v>392</v>
      </c>
      <c r="C1050" s="7" t="s">
        <v>393</v>
      </c>
      <c r="D1050" s="7" t="s">
        <v>40</v>
      </c>
      <c r="E1050" s="7" t="s">
        <v>41</v>
      </c>
      <c r="F1050" s="7" t="s">
        <v>42</v>
      </c>
      <c r="G1050" s="7" t="s">
        <v>43</v>
      </c>
      <c r="H1050" s="7">
        <v>5</v>
      </c>
      <c r="I1050" s="2">
        <v>477.44</v>
      </c>
      <c r="J1050" s="2">
        <f>Tabla2[[#This Row],[Quantity]]*I1050</f>
        <v>2387.1999999999998</v>
      </c>
      <c r="K1050" s="6">
        <f>MONTH(Tabla2[[#This Row],[OrderDate]])</f>
        <v>6</v>
      </c>
      <c r="L1050" s="6">
        <f>YEAR(Tabla2[[#This Row],[OrderDate]])</f>
        <v>2024</v>
      </c>
      <c r="M1050" s="7" t="s">
        <v>339</v>
      </c>
      <c r="N1050" s="7" t="s">
        <v>91</v>
      </c>
    </row>
    <row r="1051" spans="1:14" x14ac:dyDescent="0.35">
      <c r="A1051" s="7" t="s">
        <v>2215</v>
      </c>
      <c r="B1051" s="7" t="s">
        <v>910</v>
      </c>
      <c r="C1051" s="7" t="s">
        <v>911</v>
      </c>
      <c r="D1051" s="7" t="s">
        <v>14</v>
      </c>
      <c r="E1051" s="7" t="s">
        <v>15</v>
      </c>
      <c r="F1051" s="7" t="s">
        <v>50</v>
      </c>
      <c r="G1051" s="7" t="s">
        <v>216</v>
      </c>
      <c r="H1051" s="7">
        <v>1</v>
      </c>
      <c r="I1051" s="2">
        <v>837.63</v>
      </c>
      <c r="J1051" s="2">
        <f>Tabla2[[#This Row],[Quantity]]*I1051</f>
        <v>837.63</v>
      </c>
      <c r="K1051" s="6">
        <f>MONTH(Tabla2[[#This Row],[OrderDate]])</f>
        <v>2</v>
      </c>
      <c r="L1051" s="6">
        <f>YEAR(Tabla2[[#This Row],[OrderDate]])</f>
        <v>2025</v>
      </c>
      <c r="M1051" s="7" t="s">
        <v>116</v>
      </c>
      <c r="N1051" s="7" t="s">
        <v>91</v>
      </c>
    </row>
    <row r="1052" spans="1:14" x14ac:dyDescent="0.35">
      <c r="A1052" s="7" t="s">
        <v>2216</v>
      </c>
      <c r="B1052" s="7" t="s">
        <v>474</v>
      </c>
      <c r="C1052" s="7" t="s">
        <v>475</v>
      </c>
      <c r="D1052" s="7" t="s">
        <v>40</v>
      </c>
      <c r="E1052" s="7" t="s">
        <v>79</v>
      </c>
      <c r="F1052" s="7" t="s">
        <v>42</v>
      </c>
      <c r="G1052" s="7" t="s">
        <v>170</v>
      </c>
      <c r="H1052" s="7">
        <v>5</v>
      </c>
      <c r="I1052" s="2">
        <v>585.52</v>
      </c>
      <c r="J1052" s="2">
        <f>Tabla2[[#This Row],[Quantity]]*I1052</f>
        <v>2927.6</v>
      </c>
      <c r="K1052" s="6">
        <f>MONTH(Tabla2[[#This Row],[OrderDate]])</f>
        <v>7</v>
      </c>
      <c r="L1052" s="6">
        <f>YEAR(Tabla2[[#This Row],[OrderDate]])</f>
        <v>2025</v>
      </c>
      <c r="M1052" s="7" t="s">
        <v>44</v>
      </c>
      <c r="N1052" s="7" t="s">
        <v>36</v>
      </c>
    </row>
    <row r="1053" spans="1:14" x14ac:dyDescent="0.35">
      <c r="A1053" s="7" t="s">
        <v>2217</v>
      </c>
      <c r="B1053" s="7" t="s">
        <v>341</v>
      </c>
      <c r="C1053" s="7" t="s">
        <v>342</v>
      </c>
      <c r="D1053" s="7" t="s">
        <v>32</v>
      </c>
      <c r="E1053" s="7" t="s">
        <v>33</v>
      </c>
      <c r="F1053" s="7" t="s">
        <v>25</v>
      </c>
      <c r="G1053" s="7" t="s">
        <v>62</v>
      </c>
      <c r="H1053" s="7">
        <v>1</v>
      </c>
      <c r="I1053" s="2">
        <v>758.97</v>
      </c>
      <c r="J1053" s="2">
        <f>Tabla2[[#This Row],[Quantity]]*I1053</f>
        <v>758.97</v>
      </c>
      <c r="K1053" s="6">
        <f>MONTH(Tabla2[[#This Row],[OrderDate]])</f>
        <v>4</v>
      </c>
      <c r="L1053" s="6">
        <f>YEAR(Tabla2[[#This Row],[OrderDate]])</f>
        <v>2025</v>
      </c>
      <c r="M1053" s="7" t="s">
        <v>1276</v>
      </c>
      <c r="N1053" s="7" t="s">
        <v>28</v>
      </c>
    </row>
    <row r="1054" spans="1:14" x14ac:dyDescent="0.35">
      <c r="A1054" s="7" t="s">
        <v>2218</v>
      </c>
      <c r="B1054" s="7" t="s">
        <v>868</v>
      </c>
      <c r="C1054" s="7" t="s">
        <v>869</v>
      </c>
      <c r="D1054" s="7" t="s">
        <v>32</v>
      </c>
      <c r="E1054" s="7" t="s">
        <v>61</v>
      </c>
      <c r="F1054" s="7" t="s">
        <v>25</v>
      </c>
      <c r="G1054" s="7" t="s">
        <v>62</v>
      </c>
      <c r="H1054" s="7">
        <v>2</v>
      </c>
      <c r="I1054" s="2">
        <v>799.62</v>
      </c>
      <c r="J1054" s="2">
        <f>Tabla2[[#This Row],[Quantity]]*I1054</f>
        <v>1599.24</v>
      </c>
      <c r="K1054" s="6">
        <f>MONTH(Tabla2[[#This Row],[OrderDate]])</f>
        <v>5</v>
      </c>
      <c r="L1054" s="6">
        <f>YEAR(Tabla2[[#This Row],[OrderDate]])</f>
        <v>2025</v>
      </c>
      <c r="M1054" s="7" t="s">
        <v>1675</v>
      </c>
      <c r="N1054" s="7" t="s">
        <v>19</v>
      </c>
    </row>
    <row r="1055" spans="1:14" x14ac:dyDescent="0.35">
      <c r="A1055" s="7" t="s">
        <v>2219</v>
      </c>
      <c r="B1055" s="7" t="s">
        <v>703</v>
      </c>
      <c r="C1055" s="7" t="s">
        <v>704</v>
      </c>
      <c r="D1055" s="7" t="s">
        <v>67</v>
      </c>
      <c r="E1055" s="7" t="s">
        <v>115</v>
      </c>
      <c r="F1055" s="7" t="s">
        <v>50</v>
      </c>
      <c r="G1055" s="7" t="s">
        <v>170</v>
      </c>
      <c r="H1055" s="7">
        <v>2</v>
      </c>
      <c r="I1055" s="2">
        <v>179.47</v>
      </c>
      <c r="J1055" s="2">
        <f>Tabla2[[#This Row],[Quantity]]*I1055</f>
        <v>358.94</v>
      </c>
      <c r="K1055" s="6">
        <f>MONTH(Tabla2[[#This Row],[OrderDate]])</f>
        <v>9</v>
      </c>
      <c r="L1055" s="6">
        <f>YEAR(Tabla2[[#This Row],[OrderDate]])</f>
        <v>2024</v>
      </c>
      <c r="M1055" s="7" t="s">
        <v>2167</v>
      </c>
      <c r="N1055" s="7" t="s">
        <v>19</v>
      </c>
    </row>
    <row r="1056" spans="1:14" x14ac:dyDescent="0.35">
      <c r="A1056" s="7" t="s">
        <v>2220</v>
      </c>
      <c r="B1056" s="7" t="s">
        <v>299</v>
      </c>
      <c r="C1056" s="7" t="s">
        <v>300</v>
      </c>
      <c r="D1056" s="7" t="s">
        <v>23</v>
      </c>
      <c r="E1056" s="7" t="s">
        <v>338</v>
      </c>
      <c r="F1056" s="7" t="s">
        <v>50</v>
      </c>
      <c r="G1056" s="7" t="s">
        <v>170</v>
      </c>
      <c r="H1056" s="7">
        <v>5</v>
      </c>
      <c r="I1056" s="2">
        <v>1078.0899999999999</v>
      </c>
      <c r="J1056" s="2">
        <f>Tabla2[[#This Row],[Quantity]]*I1056</f>
        <v>5390.45</v>
      </c>
      <c r="K1056" s="6">
        <f>MONTH(Tabla2[[#This Row],[OrderDate]])</f>
        <v>12</v>
      </c>
      <c r="L1056" s="6">
        <f>YEAR(Tabla2[[#This Row],[OrderDate]])</f>
        <v>2025</v>
      </c>
      <c r="M1056" s="7" t="s">
        <v>2221</v>
      </c>
      <c r="N1056" s="7" t="s">
        <v>45</v>
      </c>
    </row>
    <row r="1057" spans="1:14" x14ac:dyDescent="0.35">
      <c r="A1057" s="7" t="s">
        <v>2222</v>
      </c>
      <c r="B1057" s="7" t="s">
        <v>1428</v>
      </c>
      <c r="C1057" s="7" t="s">
        <v>1429</v>
      </c>
      <c r="D1057" s="7" t="s">
        <v>23</v>
      </c>
      <c r="E1057" s="7" t="s">
        <v>338</v>
      </c>
      <c r="F1057" s="7" t="s">
        <v>42</v>
      </c>
      <c r="G1057" s="7" t="s">
        <v>80</v>
      </c>
      <c r="H1057" s="7">
        <v>1</v>
      </c>
      <c r="I1057" s="2">
        <v>162.4</v>
      </c>
      <c r="J1057" s="2">
        <f>Tabla2[[#This Row],[Quantity]]*I1057</f>
        <v>162.4</v>
      </c>
      <c r="K1057" s="6">
        <f>MONTH(Tabla2[[#This Row],[OrderDate]])</f>
        <v>7</v>
      </c>
      <c r="L1057" s="6">
        <f>YEAR(Tabla2[[#This Row],[OrderDate]])</f>
        <v>2025</v>
      </c>
      <c r="M1057" s="7" t="s">
        <v>2223</v>
      </c>
      <c r="N1057" s="7" t="s">
        <v>28</v>
      </c>
    </row>
    <row r="1058" spans="1:14" x14ac:dyDescent="0.35">
      <c r="A1058" s="7" t="s">
        <v>2224</v>
      </c>
      <c r="B1058" s="7" t="s">
        <v>711</v>
      </c>
      <c r="C1058" s="7" t="s">
        <v>712</v>
      </c>
      <c r="D1058" s="7" t="s">
        <v>14</v>
      </c>
      <c r="E1058" s="7" t="s">
        <v>95</v>
      </c>
      <c r="F1058" s="7" t="s">
        <v>42</v>
      </c>
      <c r="G1058" s="7" t="s">
        <v>225</v>
      </c>
      <c r="H1058" s="7">
        <v>5</v>
      </c>
      <c r="I1058" s="2">
        <v>89.88</v>
      </c>
      <c r="J1058" s="2">
        <f>Tabla2[[#This Row],[Quantity]]*I1058</f>
        <v>449.4</v>
      </c>
      <c r="K1058" s="6">
        <f>MONTH(Tabla2[[#This Row],[OrderDate]])</f>
        <v>9</v>
      </c>
      <c r="L1058" s="6">
        <f>YEAR(Tabla2[[#This Row],[OrderDate]])</f>
        <v>2025</v>
      </c>
      <c r="M1058" s="7" t="s">
        <v>2225</v>
      </c>
      <c r="N1058" s="7" t="s">
        <v>91</v>
      </c>
    </row>
    <row r="1059" spans="1:14" x14ac:dyDescent="0.35">
      <c r="A1059" s="7" t="s">
        <v>2226</v>
      </c>
      <c r="B1059" s="7" t="s">
        <v>1419</v>
      </c>
      <c r="C1059" s="7" t="s">
        <v>1420</v>
      </c>
      <c r="D1059" s="7" t="s">
        <v>67</v>
      </c>
      <c r="E1059" s="7" t="s">
        <v>115</v>
      </c>
      <c r="F1059" s="7" t="s">
        <v>50</v>
      </c>
      <c r="G1059" s="7" t="s">
        <v>56</v>
      </c>
      <c r="H1059" s="7">
        <v>4</v>
      </c>
      <c r="I1059" s="2">
        <v>1059.94</v>
      </c>
      <c r="J1059" s="2">
        <f>Tabla2[[#This Row],[Quantity]]*I1059</f>
        <v>4239.76</v>
      </c>
      <c r="K1059" s="6">
        <f>MONTH(Tabla2[[#This Row],[OrderDate]])</f>
        <v>12</v>
      </c>
      <c r="L1059" s="6">
        <f>YEAR(Tabla2[[#This Row],[OrderDate]])</f>
        <v>2025</v>
      </c>
      <c r="M1059" s="7" t="s">
        <v>2227</v>
      </c>
      <c r="N1059" s="7" t="s">
        <v>45</v>
      </c>
    </row>
    <row r="1060" spans="1:14" x14ac:dyDescent="0.35">
      <c r="A1060" s="7" t="s">
        <v>2228</v>
      </c>
      <c r="B1060" s="7" t="s">
        <v>1092</v>
      </c>
      <c r="C1060" s="7" t="s">
        <v>1093</v>
      </c>
      <c r="D1060" s="7" t="s">
        <v>14</v>
      </c>
      <c r="E1060" s="7" t="s">
        <v>266</v>
      </c>
      <c r="F1060" s="7" t="s">
        <v>101</v>
      </c>
      <c r="G1060" s="7" t="s">
        <v>165</v>
      </c>
      <c r="H1060" s="7">
        <v>3</v>
      </c>
      <c r="I1060" s="2">
        <v>1061.99</v>
      </c>
      <c r="J1060" s="2">
        <f>Tabla2[[#This Row],[Quantity]]*I1060</f>
        <v>3185.9700000000003</v>
      </c>
      <c r="K1060" s="6">
        <f>MONTH(Tabla2[[#This Row],[OrderDate]])</f>
        <v>7</v>
      </c>
      <c r="L1060" s="6">
        <f>YEAR(Tabla2[[#This Row],[OrderDate]])</f>
        <v>2025</v>
      </c>
      <c r="M1060" s="7" t="s">
        <v>1270</v>
      </c>
      <c r="N1060" s="7" t="s">
        <v>19</v>
      </c>
    </row>
    <row r="1061" spans="1:14" x14ac:dyDescent="0.35">
      <c r="A1061" s="7" t="s">
        <v>2229</v>
      </c>
      <c r="B1061" s="7" t="s">
        <v>435</v>
      </c>
      <c r="C1061" s="7" t="s">
        <v>436</v>
      </c>
      <c r="D1061" s="7" t="s">
        <v>14</v>
      </c>
      <c r="E1061" s="7" t="s">
        <v>95</v>
      </c>
      <c r="F1061" s="7" t="s">
        <v>42</v>
      </c>
      <c r="G1061" s="7" t="s">
        <v>80</v>
      </c>
      <c r="H1061" s="7">
        <v>5</v>
      </c>
      <c r="I1061" s="2">
        <v>1278.96</v>
      </c>
      <c r="J1061" s="2">
        <f>Tabla2[[#This Row],[Quantity]]*I1061</f>
        <v>6394.8</v>
      </c>
      <c r="K1061" s="6">
        <f>MONTH(Tabla2[[#This Row],[OrderDate]])</f>
        <v>3</v>
      </c>
      <c r="L1061" s="6">
        <f>YEAR(Tabla2[[#This Row],[OrderDate]])</f>
        <v>2026</v>
      </c>
      <c r="M1061" s="7" t="s">
        <v>2230</v>
      </c>
      <c r="N1061" s="7" t="s">
        <v>36</v>
      </c>
    </row>
    <row r="1062" spans="1:14" x14ac:dyDescent="0.35">
      <c r="A1062" s="7" t="s">
        <v>2231</v>
      </c>
      <c r="B1062" s="7" t="s">
        <v>1101</v>
      </c>
      <c r="C1062" s="7" t="s">
        <v>1102</v>
      </c>
      <c r="D1062" s="7" t="s">
        <v>40</v>
      </c>
      <c r="E1062" s="7" t="s">
        <v>120</v>
      </c>
      <c r="F1062" s="7" t="s">
        <v>50</v>
      </c>
      <c r="G1062" s="7" t="s">
        <v>216</v>
      </c>
      <c r="H1062" s="7">
        <v>4</v>
      </c>
      <c r="I1062" s="2">
        <v>491.61</v>
      </c>
      <c r="J1062" s="2">
        <f>Tabla2[[#This Row],[Quantity]]*I1062</f>
        <v>1966.44</v>
      </c>
      <c r="K1062" s="6">
        <f>MONTH(Tabla2[[#This Row],[OrderDate]])</f>
        <v>4</v>
      </c>
      <c r="L1062" s="6">
        <f>YEAR(Tabla2[[#This Row],[OrderDate]])</f>
        <v>2024</v>
      </c>
      <c r="M1062" s="7" t="s">
        <v>2232</v>
      </c>
      <c r="N1062" s="7" t="s">
        <v>19</v>
      </c>
    </row>
    <row r="1063" spans="1:14" x14ac:dyDescent="0.35">
      <c r="A1063" s="7" t="s">
        <v>2233</v>
      </c>
      <c r="B1063" s="7" t="s">
        <v>321</v>
      </c>
      <c r="C1063" s="7" t="s">
        <v>322</v>
      </c>
      <c r="D1063" s="7" t="s">
        <v>40</v>
      </c>
      <c r="E1063" s="7" t="s">
        <v>120</v>
      </c>
      <c r="F1063" s="7" t="s">
        <v>25</v>
      </c>
      <c r="G1063" s="7" t="s">
        <v>74</v>
      </c>
      <c r="H1063" s="7">
        <v>5</v>
      </c>
      <c r="I1063" s="2">
        <v>226.1</v>
      </c>
      <c r="J1063" s="2">
        <f>Tabla2[[#This Row],[Quantity]]*I1063</f>
        <v>1130.5</v>
      </c>
      <c r="K1063" s="6">
        <f>MONTH(Tabla2[[#This Row],[OrderDate]])</f>
        <v>2</v>
      </c>
      <c r="L1063" s="6">
        <f>YEAR(Tabla2[[#This Row],[OrderDate]])</f>
        <v>2025</v>
      </c>
      <c r="M1063" s="7" t="s">
        <v>508</v>
      </c>
      <c r="N1063" s="7" t="s">
        <v>91</v>
      </c>
    </row>
    <row r="1064" spans="1:14" x14ac:dyDescent="0.35">
      <c r="A1064" s="7" t="s">
        <v>2234</v>
      </c>
      <c r="B1064" s="7" t="s">
        <v>54</v>
      </c>
      <c r="C1064" s="7" t="s">
        <v>55</v>
      </c>
      <c r="D1064" s="7" t="s">
        <v>67</v>
      </c>
      <c r="E1064" s="7" t="s">
        <v>130</v>
      </c>
      <c r="F1064" s="7" t="s">
        <v>16</v>
      </c>
      <c r="G1064" s="7" t="s">
        <v>177</v>
      </c>
      <c r="H1064" s="7">
        <v>4</v>
      </c>
      <c r="I1064" s="2">
        <v>268.33</v>
      </c>
      <c r="J1064" s="2">
        <f>Tabla2[[#This Row],[Quantity]]*I1064</f>
        <v>1073.32</v>
      </c>
      <c r="K1064" s="6">
        <f>MONTH(Tabla2[[#This Row],[OrderDate]])</f>
        <v>7</v>
      </c>
      <c r="L1064" s="6">
        <f>YEAR(Tabla2[[#This Row],[OrderDate]])</f>
        <v>2024</v>
      </c>
      <c r="M1064" s="7" t="s">
        <v>2235</v>
      </c>
      <c r="N1064" s="7" t="s">
        <v>45</v>
      </c>
    </row>
    <row r="1065" spans="1:14" x14ac:dyDescent="0.35">
      <c r="A1065" s="7" t="s">
        <v>2236</v>
      </c>
      <c r="B1065" s="7" t="s">
        <v>1907</v>
      </c>
      <c r="C1065" s="7" t="s">
        <v>1908</v>
      </c>
      <c r="D1065" s="7" t="s">
        <v>40</v>
      </c>
      <c r="E1065" s="7" t="s">
        <v>41</v>
      </c>
      <c r="F1065" s="7" t="s">
        <v>50</v>
      </c>
      <c r="G1065" s="7" t="s">
        <v>51</v>
      </c>
      <c r="H1065" s="7">
        <v>4</v>
      </c>
      <c r="I1065" s="2">
        <v>688.01</v>
      </c>
      <c r="J1065" s="2">
        <f>Tabla2[[#This Row],[Quantity]]*I1065</f>
        <v>2752.04</v>
      </c>
      <c r="K1065" s="6">
        <f>MONTH(Tabla2[[#This Row],[OrderDate]])</f>
        <v>12</v>
      </c>
      <c r="L1065" s="6">
        <f>YEAR(Tabla2[[#This Row],[OrderDate]])</f>
        <v>2024</v>
      </c>
      <c r="M1065" s="7" t="s">
        <v>2237</v>
      </c>
      <c r="N1065" s="7" t="s">
        <v>91</v>
      </c>
    </row>
    <row r="1066" spans="1:14" x14ac:dyDescent="0.35">
      <c r="A1066" s="7" t="s">
        <v>2238</v>
      </c>
      <c r="B1066" s="7" t="s">
        <v>345</v>
      </c>
      <c r="C1066" s="7" t="s">
        <v>346</v>
      </c>
      <c r="D1066" s="7" t="s">
        <v>32</v>
      </c>
      <c r="E1066" s="7" t="s">
        <v>61</v>
      </c>
      <c r="F1066" s="7" t="s">
        <v>42</v>
      </c>
      <c r="G1066" s="7" t="s">
        <v>225</v>
      </c>
      <c r="H1066" s="7">
        <v>5</v>
      </c>
      <c r="I1066" s="2">
        <v>724.41</v>
      </c>
      <c r="J1066" s="2">
        <f>Tabla2[[#This Row],[Quantity]]*I1066</f>
        <v>3622.0499999999997</v>
      </c>
      <c r="K1066" s="6">
        <f>MONTH(Tabla2[[#This Row],[OrderDate]])</f>
        <v>1</v>
      </c>
      <c r="L1066" s="6">
        <f>YEAR(Tabla2[[#This Row],[OrderDate]])</f>
        <v>2025</v>
      </c>
      <c r="M1066" s="7" t="s">
        <v>1385</v>
      </c>
      <c r="N1066" s="7" t="s">
        <v>19</v>
      </c>
    </row>
    <row r="1067" spans="1:14" x14ac:dyDescent="0.35">
      <c r="A1067" s="7" t="s">
        <v>2239</v>
      </c>
      <c r="B1067" s="7" t="s">
        <v>947</v>
      </c>
      <c r="C1067" s="7" t="s">
        <v>948</v>
      </c>
      <c r="D1067" s="7" t="s">
        <v>40</v>
      </c>
      <c r="E1067" s="7" t="s">
        <v>120</v>
      </c>
      <c r="F1067" s="7" t="s">
        <v>50</v>
      </c>
      <c r="G1067" s="7" t="s">
        <v>56</v>
      </c>
      <c r="H1067" s="7">
        <v>1</v>
      </c>
      <c r="I1067" s="2">
        <v>1422.41</v>
      </c>
      <c r="J1067" s="2">
        <f>Tabla2[[#This Row],[Quantity]]*I1067</f>
        <v>1422.41</v>
      </c>
      <c r="K1067" s="6">
        <f>MONTH(Tabla2[[#This Row],[OrderDate]])</f>
        <v>10</v>
      </c>
      <c r="L1067" s="6">
        <f>YEAR(Tabla2[[#This Row],[OrderDate]])</f>
        <v>2025</v>
      </c>
      <c r="M1067" s="7" t="s">
        <v>1098</v>
      </c>
      <c r="N1067" s="7" t="s">
        <v>36</v>
      </c>
    </row>
    <row r="1068" spans="1:14" x14ac:dyDescent="0.35">
      <c r="A1068" s="7" t="s">
        <v>2240</v>
      </c>
      <c r="B1068" s="7" t="s">
        <v>142</v>
      </c>
      <c r="C1068" s="7" t="s">
        <v>143</v>
      </c>
      <c r="D1068" s="7" t="s">
        <v>14</v>
      </c>
      <c r="E1068" s="7" t="s">
        <v>100</v>
      </c>
      <c r="F1068" s="7" t="s">
        <v>25</v>
      </c>
      <c r="G1068" s="7" t="s">
        <v>62</v>
      </c>
      <c r="H1068" s="7">
        <v>3</v>
      </c>
      <c r="I1068" s="2">
        <v>1299.04</v>
      </c>
      <c r="J1068" s="2">
        <f>Tabla2[[#This Row],[Quantity]]*I1068</f>
        <v>3897.12</v>
      </c>
      <c r="K1068" s="6">
        <f>MONTH(Tabla2[[#This Row],[OrderDate]])</f>
        <v>3</v>
      </c>
      <c r="L1068" s="6">
        <f>YEAR(Tabla2[[#This Row],[OrderDate]])</f>
        <v>2025</v>
      </c>
      <c r="M1068" s="7" t="s">
        <v>577</v>
      </c>
      <c r="N1068" s="7" t="s">
        <v>19</v>
      </c>
    </row>
    <row r="1069" spans="1:14" x14ac:dyDescent="0.35">
      <c r="A1069" s="7" t="s">
        <v>2241</v>
      </c>
      <c r="B1069" s="7" t="s">
        <v>303</v>
      </c>
      <c r="C1069" s="7" t="s">
        <v>304</v>
      </c>
      <c r="D1069" s="7" t="s">
        <v>32</v>
      </c>
      <c r="E1069" s="7" t="s">
        <v>203</v>
      </c>
      <c r="F1069" s="7" t="s">
        <v>42</v>
      </c>
      <c r="G1069" s="7" t="s">
        <v>225</v>
      </c>
      <c r="H1069" s="7">
        <v>3</v>
      </c>
      <c r="I1069" s="2">
        <v>843.94</v>
      </c>
      <c r="J1069" s="2">
        <f>Tabla2[[#This Row],[Quantity]]*I1069</f>
        <v>2531.8200000000002</v>
      </c>
      <c r="K1069" s="6">
        <f>MONTH(Tabla2[[#This Row],[OrderDate]])</f>
        <v>5</v>
      </c>
      <c r="L1069" s="6">
        <f>YEAR(Tabla2[[#This Row],[OrderDate]])</f>
        <v>2025</v>
      </c>
      <c r="M1069" s="7" t="s">
        <v>319</v>
      </c>
      <c r="N1069" s="7" t="s">
        <v>45</v>
      </c>
    </row>
    <row r="1070" spans="1:14" x14ac:dyDescent="0.35">
      <c r="A1070" s="7" t="s">
        <v>2242</v>
      </c>
      <c r="B1070" s="7" t="s">
        <v>1369</v>
      </c>
      <c r="C1070" s="7" t="s">
        <v>1370</v>
      </c>
      <c r="D1070" s="7" t="s">
        <v>23</v>
      </c>
      <c r="E1070" s="7" t="s">
        <v>24</v>
      </c>
      <c r="F1070" s="7" t="s">
        <v>16</v>
      </c>
      <c r="G1070" s="7" t="s">
        <v>17</v>
      </c>
      <c r="H1070" s="7">
        <v>3</v>
      </c>
      <c r="I1070" s="2">
        <v>1454.67</v>
      </c>
      <c r="J1070" s="2">
        <f>Tabla2[[#This Row],[Quantity]]*I1070</f>
        <v>4364.01</v>
      </c>
      <c r="K1070" s="6">
        <f>MONTH(Tabla2[[#This Row],[OrderDate]])</f>
        <v>7</v>
      </c>
      <c r="L1070" s="6">
        <f>YEAR(Tabla2[[#This Row],[OrderDate]])</f>
        <v>2024</v>
      </c>
      <c r="M1070" s="7" t="s">
        <v>2243</v>
      </c>
      <c r="N1070" s="7" t="s">
        <v>28</v>
      </c>
    </row>
    <row r="1071" spans="1:14" x14ac:dyDescent="0.35">
      <c r="A1071" s="7" t="s">
        <v>2244</v>
      </c>
      <c r="B1071" s="7" t="s">
        <v>2245</v>
      </c>
      <c r="C1071" s="7" t="s">
        <v>2246</v>
      </c>
      <c r="D1071" s="7" t="s">
        <v>32</v>
      </c>
      <c r="E1071" s="7" t="s">
        <v>203</v>
      </c>
      <c r="F1071" s="7" t="s">
        <v>25</v>
      </c>
      <c r="G1071" s="7" t="s">
        <v>26</v>
      </c>
      <c r="H1071" s="7">
        <v>5</v>
      </c>
      <c r="I1071" s="2">
        <v>1489.92</v>
      </c>
      <c r="J1071" s="2">
        <f>Tabla2[[#This Row],[Quantity]]*I1071</f>
        <v>7449.6</v>
      </c>
      <c r="K1071" s="6">
        <f>MONTH(Tabla2[[#This Row],[OrderDate]])</f>
        <v>4</v>
      </c>
      <c r="L1071" s="6">
        <f>YEAR(Tabla2[[#This Row],[OrderDate]])</f>
        <v>2025</v>
      </c>
      <c r="M1071" s="7" t="s">
        <v>1614</v>
      </c>
      <c r="N1071" s="7" t="s">
        <v>36</v>
      </c>
    </row>
    <row r="1072" spans="1:14" x14ac:dyDescent="0.35">
      <c r="A1072" s="7" t="s">
        <v>2247</v>
      </c>
      <c r="B1072" s="7" t="s">
        <v>751</v>
      </c>
      <c r="C1072" s="7" t="s">
        <v>752</v>
      </c>
      <c r="D1072" s="7" t="s">
        <v>14</v>
      </c>
      <c r="E1072" s="7" t="s">
        <v>266</v>
      </c>
      <c r="F1072" s="7" t="s">
        <v>16</v>
      </c>
      <c r="G1072" s="7" t="s">
        <v>17</v>
      </c>
      <c r="H1072" s="7">
        <v>2</v>
      </c>
      <c r="I1072" s="2">
        <v>1007.51</v>
      </c>
      <c r="J1072" s="2">
        <f>Tabla2[[#This Row],[Quantity]]*I1072</f>
        <v>2015.02</v>
      </c>
      <c r="K1072" s="6">
        <f>MONTH(Tabla2[[#This Row],[OrderDate]])</f>
        <v>5</v>
      </c>
      <c r="L1072" s="6">
        <f>YEAR(Tabla2[[#This Row],[OrderDate]])</f>
        <v>2024</v>
      </c>
      <c r="M1072" s="7" t="s">
        <v>2248</v>
      </c>
      <c r="N1072" s="7" t="s">
        <v>45</v>
      </c>
    </row>
    <row r="1073" spans="1:14" x14ac:dyDescent="0.35">
      <c r="A1073" s="7" t="s">
        <v>2249</v>
      </c>
      <c r="B1073" s="7" t="s">
        <v>470</v>
      </c>
      <c r="C1073" s="7" t="s">
        <v>471</v>
      </c>
      <c r="D1073" s="7" t="s">
        <v>40</v>
      </c>
      <c r="E1073" s="7" t="s">
        <v>120</v>
      </c>
      <c r="F1073" s="7" t="s">
        <v>101</v>
      </c>
      <c r="G1073" s="7" t="s">
        <v>102</v>
      </c>
      <c r="H1073" s="7">
        <v>4</v>
      </c>
      <c r="I1073" s="2">
        <v>933.68</v>
      </c>
      <c r="J1073" s="2">
        <f>Tabla2[[#This Row],[Quantity]]*I1073</f>
        <v>3734.72</v>
      </c>
      <c r="K1073" s="6">
        <f>MONTH(Tabla2[[#This Row],[OrderDate]])</f>
        <v>7</v>
      </c>
      <c r="L1073" s="6">
        <f>YEAR(Tabla2[[#This Row],[OrderDate]])</f>
        <v>2025</v>
      </c>
      <c r="M1073" s="7" t="s">
        <v>1501</v>
      </c>
      <c r="N1073" s="7" t="s">
        <v>19</v>
      </c>
    </row>
    <row r="1074" spans="1:14" x14ac:dyDescent="0.35">
      <c r="A1074" s="7" t="s">
        <v>2250</v>
      </c>
      <c r="B1074" s="7" t="s">
        <v>384</v>
      </c>
      <c r="C1074" s="7" t="s">
        <v>385</v>
      </c>
      <c r="D1074" s="7" t="s">
        <v>14</v>
      </c>
      <c r="E1074" s="7" t="s">
        <v>15</v>
      </c>
      <c r="F1074" s="7" t="s">
        <v>16</v>
      </c>
      <c r="G1074" s="7" t="s">
        <v>17</v>
      </c>
      <c r="H1074" s="7">
        <v>2</v>
      </c>
      <c r="I1074" s="2">
        <v>767.86</v>
      </c>
      <c r="J1074" s="2">
        <f>Tabla2[[#This Row],[Quantity]]*I1074</f>
        <v>1535.72</v>
      </c>
      <c r="K1074" s="6">
        <f>MONTH(Tabla2[[#This Row],[OrderDate]])</f>
        <v>2</v>
      </c>
      <c r="L1074" s="6">
        <f>YEAR(Tabla2[[#This Row],[OrderDate]])</f>
        <v>2024</v>
      </c>
      <c r="M1074" s="7" t="s">
        <v>894</v>
      </c>
      <c r="N1074" s="7" t="s">
        <v>45</v>
      </c>
    </row>
    <row r="1075" spans="1:14" x14ac:dyDescent="0.35">
      <c r="A1075" s="7" t="s">
        <v>2251</v>
      </c>
      <c r="B1075" s="7" t="s">
        <v>555</v>
      </c>
      <c r="C1075" s="7" t="s">
        <v>556</v>
      </c>
      <c r="D1075" s="7" t="s">
        <v>67</v>
      </c>
      <c r="E1075" s="7" t="s">
        <v>130</v>
      </c>
      <c r="F1075" s="7" t="s">
        <v>42</v>
      </c>
      <c r="G1075" s="7" t="s">
        <v>89</v>
      </c>
      <c r="H1075" s="7">
        <v>5</v>
      </c>
      <c r="I1075" s="2">
        <v>684.12</v>
      </c>
      <c r="J1075" s="2">
        <f>Tabla2[[#This Row],[Quantity]]*I1075</f>
        <v>3420.6</v>
      </c>
      <c r="K1075" s="6">
        <f>MONTH(Tabla2[[#This Row],[OrderDate]])</f>
        <v>7</v>
      </c>
      <c r="L1075" s="6">
        <f>YEAR(Tabla2[[#This Row],[OrderDate]])</f>
        <v>2025</v>
      </c>
      <c r="M1075" s="7" t="s">
        <v>2252</v>
      </c>
      <c r="N1075" s="7" t="s">
        <v>91</v>
      </c>
    </row>
    <row r="1076" spans="1:14" x14ac:dyDescent="0.35">
      <c r="A1076" s="7" t="s">
        <v>2253</v>
      </c>
      <c r="B1076" s="7" t="s">
        <v>47</v>
      </c>
      <c r="C1076" s="7" t="s">
        <v>48</v>
      </c>
      <c r="D1076" s="7" t="s">
        <v>67</v>
      </c>
      <c r="E1076" s="7" t="s">
        <v>68</v>
      </c>
      <c r="F1076" s="7" t="s">
        <v>101</v>
      </c>
      <c r="G1076" s="7" t="s">
        <v>373</v>
      </c>
      <c r="H1076" s="7">
        <v>4</v>
      </c>
      <c r="I1076" s="2">
        <v>1117.6500000000001</v>
      </c>
      <c r="J1076" s="2">
        <f>Tabla2[[#This Row],[Quantity]]*I1076</f>
        <v>4470.6000000000004</v>
      </c>
      <c r="K1076" s="6">
        <f>MONTH(Tabla2[[#This Row],[OrderDate]])</f>
        <v>5</v>
      </c>
      <c r="L1076" s="6">
        <f>YEAR(Tabla2[[#This Row],[OrderDate]])</f>
        <v>2025</v>
      </c>
      <c r="M1076" s="7" t="s">
        <v>870</v>
      </c>
      <c r="N1076" s="7" t="s">
        <v>28</v>
      </c>
    </row>
    <row r="1077" spans="1:14" x14ac:dyDescent="0.35">
      <c r="A1077" s="7" t="s">
        <v>2254</v>
      </c>
      <c r="B1077" s="7" t="s">
        <v>838</v>
      </c>
      <c r="C1077" s="7" t="s">
        <v>839</v>
      </c>
      <c r="D1077" s="7" t="s">
        <v>23</v>
      </c>
      <c r="E1077" s="7" t="s">
        <v>338</v>
      </c>
      <c r="F1077" s="7" t="s">
        <v>101</v>
      </c>
      <c r="G1077" s="7" t="s">
        <v>165</v>
      </c>
      <c r="H1077" s="7">
        <v>3</v>
      </c>
      <c r="I1077" s="2">
        <v>757.29</v>
      </c>
      <c r="J1077" s="2">
        <f>Tabla2[[#This Row],[Quantity]]*I1077</f>
        <v>2271.87</v>
      </c>
      <c r="K1077" s="6">
        <f>MONTH(Tabla2[[#This Row],[OrderDate]])</f>
        <v>8</v>
      </c>
      <c r="L1077" s="6">
        <f>YEAR(Tabla2[[#This Row],[OrderDate]])</f>
        <v>2024</v>
      </c>
      <c r="M1077" s="7" t="s">
        <v>2255</v>
      </c>
      <c r="N1077" s="7" t="s">
        <v>45</v>
      </c>
    </row>
    <row r="1078" spans="1:14" x14ac:dyDescent="0.35">
      <c r="A1078" s="7" t="s">
        <v>2256</v>
      </c>
      <c r="B1078" s="7" t="s">
        <v>633</v>
      </c>
      <c r="C1078" s="7" t="s">
        <v>634</v>
      </c>
      <c r="D1078" s="7" t="s">
        <v>14</v>
      </c>
      <c r="E1078" s="7" t="s">
        <v>100</v>
      </c>
      <c r="F1078" s="7" t="s">
        <v>101</v>
      </c>
      <c r="G1078" s="7" t="s">
        <v>649</v>
      </c>
      <c r="H1078" s="7">
        <v>4</v>
      </c>
      <c r="I1078" s="2">
        <v>1256.21</v>
      </c>
      <c r="J1078" s="2">
        <f>Tabla2[[#This Row],[Quantity]]*I1078</f>
        <v>5024.84</v>
      </c>
      <c r="K1078" s="6">
        <f>MONTH(Tabla2[[#This Row],[OrderDate]])</f>
        <v>11</v>
      </c>
      <c r="L1078" s="6">
        <f>YEAR(Tabla2[[#This Row],[OrderDate]])</f>
        <v>2024</v>
      </c>
      <c r="M1078" s="7" t="s">
        <v>2210</v>
      </c>
      <c r="N1078" s="7" t="s">
        <v>91</v>
      </c>
    </row>
    <row r="1079" spans="1:14" x14ac:dyDescent="0.35">
      <c r="A1079" s="7" t="s">
        <v>2257</v>
      </c>
      <c r="B1079" s="7" t="s">
        <v>562</v>
      </c>
      <c r="C1079" s="7" t="s">
        <v>563</v>
      </c>
      <c r="D1079" s="7" t="s">
        <v>32</v>
      </c>
      <c r="E1079" s="7" t="s">
        <v>203</v>
      </c>
      <c r="F1079" s="7" t="s">
        <v>16</v>
      </c>
      <c r="G1079" s="7" t="s">
        <v>230</v>
      </c>
      <c r="H1079" s="7">
        <v>2</v>
      </c>
      <c r="I1079" s="2">
        <v>402.34</v>
      </c>
      <c r="J1079" s="2">
        <f>Tabla2[[#This Row],[Quantity]]*I1079</f>
        <v>804.68</v>
      </c>
      <c r="K1079" s="6">
        <f>MONTH(Tabla2[[#This Row],[OrderDate]])</f>
        <v>11</v>
      </c>
      <c r="L1079" s="6">
        <f>YEAR(Tabla2[[#This Row],[OrderDate]])</f>
        <v>2025</v>
      </c>
      <c r="M1079" s="7" t="s">
        <v>2258</v>
      </c>
      <c r="N1079" s="7" t="s">
        <v>36</v>
      </c>
    </row>
    <row r="1080" spans="1:14" x14ac:dyDescent="0.35">
      <c r="A1080" s="7" t="s">
        <v>2259</v>
      </c>
      <c r="B1080" s="7" t="s">
        <v>817</v>
      </c>
      <c r="C1080" s="7" t="s">
        <v>818</v>
      </c>
      <c r="D1080" s="7" t="s">
        <v>14</v>
      </c>
      <c r="E1080" s="7" t="s">
        <v>95</v>
      </c>
      <c r="F1080" s="7" t="s">
        <v>16</v>
      </c>
      <c r="G1080" s="7" t="s">
        <v>177</v>
      </c>
      <c r="H1080" s="7">
        <v>5</v>
      </c>
      <c r="I1080" s="2">
        <v>26.36</v>
      </c>
      <c r="J1080" s="2">
        <f>Tabla2[[#This Row],[Quantity]]*I1080</f>
        <v>131.80000000000001</v>
      </c>
      <c r="K1080" s="6">
        <f>MONTH(Tabla2[[#This Row],[OrderDate]])</f>
        <v>11</v>
      </c>
      <c r="L1080" s="6">
        <f>YEAR(Tabla2[[#This Row],[OrderDate]])</f>
        <v>2025</v>
      </c>
      <c r="M1080" s="7" t="s">
        <v>2260</v>
      </c>
      <c r="N1080" s="7" t="s">
        <v>19</v>
      </c>
    </row>
    <row r="1081" spans="1:14" x14ac:dyDescent="0.35">
      <c r="A1081" s="7" t="s">
        <v>2261</v>
      </c>
      <c r="B1081" s="7" t="s">
        <v>817</v>
      </c>
      <c r="C1081" s="7" t="s">
        <v>818</v>
      </c>
      <c r="D1081" s="7" t="s">
        <v>14</v>
      </c>
      <c r="E1081" s="7" t="s">
        <v>100</v>
      </c>
      <c r="F1081" s="7" t="s">
        <v>50</v>
      </c>
      <c r="G1081" s="7" t="s">
        <v>216</v>
      </c>
      <c r="H1081" s="7">
        <v>2</v>
      </c>
      <c r="I1081" s="2">
        <v>342.91</v>
      </c>
      <c r="J1081" s="2">
        <f>Tabla2[[#This Row],[Quantity]]*I1081</f>
        <v>685.82</v>
      </c>
      <c r="K1081" s="6">
        <f>MONTH(Tabla2[[#This Row],[OrderDate]])</f>
        <v>2</v>
      </c>
      <c r="L1081" s="6">
        <f>YEAR(Tabla2[[#This Row],[OrderDate]])</f>
        <v>2024</v>
      </c>
      <c r="M1081" s="7" t="s">
        <v>2262</v>
      </c>
      <c r="N1081" s="7" t="s">
        <v>45</v>
      </c>
    </row>
    <row r="1082" spans="1:14" x14ac:dyDescent="0.35">
      <c r="A1082" s="7" t="s">
        <v>2263</v>
      </c>
      <c r="B1082" s="7" t="s">
        <v>681</v>
      </c>
      <c r="C1082" s="7" t="s">
        <v>682</v>
      </c>
      <c r="D1082" s="7" t="s">
        <v>67</v>
      </c>
      <c r="E1082" s="7" t="s">
        <v>115</v>
      </c>
      <c r="F1082" s="7" t="s">
        <v>50</v>
      </c>
      <c r="G1082" s="7" t="s">
        <v>69</v>
      </c>
      <c r="H1082" s="7">
        <v>5</v>
      </c>
      <c r="I1082" s="2">
        <v>307.08999999999997</v>
      </c>
      <c r="J1082" s="2">
        <f>Tabla2[[#This Row],[Quantity]]*I1082</f>
        <v>1535.4499999999998</v>
      </c>
      <c r="K1082" s="6">
        <f>MONTH(Tabla2[[#This Row],[OrderDate]])</f>
        <v>7</v>
      </c>
      <c r="L1082" s="6">
        <f>YEAR(Tabla2[[#This Row],[OrderDate]])</f>
        <v>2024</v>
      </c>
      <c r="M1082" s="7" t="s">
        <v>1558</v>
      </c>
      <c r="N1082" s="7" t="s">
        <v>45</v>
      </c>
    </row>
    <row r="1083" spans="1:14" x14ac:dyDescent="0.35">
      <c r="A1083" s="7" t="s">
        <v>2264</v>
      </c>
      <c r="B1083" s="7" t="s">
        <v>1278</v>
      </c>
      <c r="C1083" s="7" t="s">
        <v>1279</v>
      </c>
      <c r="D1083" s="7" t="s">
        <v>67</v>
      </c>
      <c r="E1083" s="7" t="s">
        <v>115</v>
      </c>
      <c r="F1083" s="7" t="s">
        <v>50</v>
      </c>
      <c r="G1083" s="7" t="s">
        <v>56</v>
      </c>
      <c r="H1083" s="7">
        <v>2</v>
      </c>
      <c r="I1083" s="2">
        <v>395.2</v>
      </c>
      <c r="J1083" s="2">
        <f>Tabla2[[#This Row],[Quantity]]*I1083</f>
        <v>790.4</v>
      </c>
      <c r="K1083" s="6">
        <f>MONTH(Tabla2[[#This Row],[OrderDate]])</f>
        <v>4</v>
      </c>
      <c r="L1083" s="6">
        <f>YEAR(Tabla2[[#This Row],[OrderDate]])</f>
        <v>2025</v>
      </c>
      <c r="M1083" s="7" t="s">
        <v>1635</v>
      </c>
      <c r="N1083" s="7" t="s">
        <v>36</v>
      </c>
    </row>
    <row r="1084" spans="1:14" x14ac:dyDescent="0.35">
      <c r="A1084" s="7" t="s">
        <v>2265</v>
      </c>
      <c r="B1084" s="7" t="s">
        <v>1428</v>
      </c>
      <c r="C1084" s="7" t="s">
        <v>1429</v>
      </c>
      <c r="D1084" s="7" t="s">
        <v>40</v>
      </c>
      <c r="E1084" s="7" t="s">
        <v>120</v>
      </c>
      <c r="F1084" s="7" t="s">
        <v>42</v>
      </c>
      <c r="G1084" s="7" t="s">
        <v>80</v>
      </c>
      <c r="H1084" s="7">
        <v>3</v>
      </c>
      <c r="I1084" s="2">
        <v>407.87</v>
      </c>
      <c r="J1084" s="2">
        <f>Tabla2[[#This Row],[Quantity]]*I1084</f>
        <v>1223.6100000000001</v>
      </c>
      <c r="K1084" s="6">
        <f>MONTH(Tabla2[[#This Row],[OrderDate]])</f>
        <v>4</v>
      </c>
      <c r="L1084" s="6">
        <f>YEAR(Tabla2[[#This Row],[OrderDate]])</f>
        <v>2024</v>
      </c>
      <c r="M1084" s="7" t="s">
        <v>1440</v>
      </c>
      <c r="N1084" s="7" t="s">
        <v>19</v>
      </c>
    </row>
    <row r="1085" spans="1:14" x14ac:dyDescent="0.35">
      <c r="A1085" s="7" t="s">
        <v>2266</v>
      </c>
      <c r="B1085" s="7" t="s">
        <v>860</v>
      </c>
      <c r="C1085" s="7" t="s">
        <v>861</v>
      </c>
      <c r="D1085" s="7" t="s">
        <v>23</v>
      </c>
      <c r="E1085" s="7" t="s">
        <v>24</v>
      </c>
      <c r="F1085" s="7" t="s">
        <v>42</v>
      </c>
      <c r="G1085" s="7" t="s">
        <v>170</v>
      </c>
      <c r="H1085" s="7">
        <v>2</v>
      </c>
      <c r="I1085" s="2">
        <v>1016.77</v>
      </c>
      <c r="J1085" s="2">
        <f>Tabla2[[#This Row],[Quantity]]*I1085</f>
        <v>2033.54</v>
      </c>
      <c r="K1085" s="6">
        <f>MONTH(Tabla2[[#This Row],[OrderDate]])</f>
        <v>3</v>
      </c>
      <c r="L1085" s="6">
        <f>YEAR(Tabla2[[#This Row],[OrderDate]])</f>
        <v>2025</v>
      </c>
      <c r="M1085" s="7" t="s">
        <v>1487</v>
      </c>
      <c r="N1085" s="7" t="s">
        <v>28</v>
      </c>
    </row>
    <row r="1086" spans="1:14" x14ac:dyDescent="0.35">
      <c r="A1086" s="7" t="s">
        <v>2267</v>
      </c>
      <c r="B1086" s="7" t="s">
        <v>412</v>
      </c>
      <c r="C1086" s="7" t="s">
        <v>413</v>
      </c>
      <c r="D1086" s="7" t="s">
        <v>32</v>
      </c>
      <c r="E1086" s="7" t="s">
        <v>203</v>
      </c>
      <c r="F1086" s="7" t="s">
        <v>25</v>
      </c>
      <c r="G1086" s="7" t="s">
        <v>139</v>
      </c>
      <c r="H1086" s="7">
        <v>1</v>
      </c>
      <c r="I1086" s="2">
        <v>575.25</v>
      </c>
      <c r="J1086" s="2">
        <f>Tabla2[[#This Row],[Quantity]]*I1086</f>
        <v>575.25</v>
      </c>
      <c r="K1086" s="6">
        <f>MONTH(Tabla2[[#This Row],[OrderDate]])</f>
        <v>1</v>
      </c>
      <c r="L1086" s="6">
        <f>YEAR(Tabla2[[#This Row],[OrderDate]])</f>
        <v>2024</v>
      </c>
      <c r="M1086" s="7" t="s">
        <v>1118</v>
      </c>
      <c r="N1086" s="7" t="s">
        <v>36</v>
      </c>
    </row>
    <row r="1087" spans="1:14" x14ac:dyDescent="0.35">
      <c r="A1087" s="7" t="s">
        <v>2268</v>
      </c>
      <c r="B1087" s="7" t="s">
        <v>496</v>
      </c>
      <c r="C1087" s="7" t="s">
        <v>497</v>
      </c>
      <c r="D1087" s="7" t="s">
        <v>14</v>
      </c>
      <c r="E1087" s="7" t="s">
        <v>15</v>
      </c>
      <c r="F1087" s="7" t="s">
        <v>50</v>
      </c>
      <c r="G1087" s="7" t="s">
        <v>51</v>
      </c>
      <c r="H1087" s="7">
        <v>4</v>
      </c>
      <c r="I1087" s="2">
        <v>1483.77</v>
      </c>
      <c r="J1087" s="2">
        <f>Tabla2[[#This Row],[Quantity]]*I1087</f>
        <v>5935.08</v>
      </c>
      <c r="K1087" s="6">
        <f>MONTH(Tabla2[[#This Row],[OrderDate]])</f>
        <v>6</v>
      </c>
      <c r="L1087" s="6">
        <f>YEAR(Tabla2[[#This Row],[OrderDate]])</f>
        <v>2025</v>
      </c>
      <c r="M1087" s="7" t="s">
        <v>416</v>
      </c>
      <c r="N1087" s="7" t="s">
        <v>36</v>
      </c>
    </row>
    <row r="1088" spans="1:14" x14ac:dyDescent="0.35">
      <c r="A1088" s="7" t="s">
        <v>2269</v>
      </c>
      <c r="B1088" s="7" t="s">
        <v>925</v>
      </c>
      <c r="C1088" s="7" t="s">
        <v>926</v>
      </c>
      <c r="D1088" s="7" t="s">
        <v>23</v>
      </c>
      <c r="E1088" s="7" t="s">
        <v>338</v>
      </c>
      <c r="F1088" s="7" t="s">
        <v>50</v>
      </c>
      <c r="G1088" s="7" t="s">
        <v>69</v>
      </c>
      <c r="H1088" s="7">
        <v>3</v>
      </c>
      <c r="I1088" s="2">
        <v>310.04000000000002</v>
      </c>
      <c r="J1088" s="2">
        <f>Tabla2[[#This Row],[Quantity]]*I1088</f>
        <v>930.12000000000012</v>
      </c>
      <c r="K1088" s="6">
        <f>MONTH(Tabla2[[#This Row],[OrderDate]])</f>
        <v>10</v>
      </c>
      <c r="L1088" s="6">
        <f>YEAR(Tabla2[[#This Row],[OrderDate]])</f>
        <v>2025</v>
      </c>
      <c r="M1088" s="7" t="s">
        <v>2270</v>
      </c>
      <c r="N1088" s="7" t="s">
        <v>45</v>
      </c>
    </row>
    <row r="1089" spans="1:14" x14ac:dyDescent="0.35">
      <c r="A1089" s="7" t="s">
        <v>2271</v>
      </c>
      <c r="B1089" s="7" t="s">
        <v>771</v>
      </c>
      <c r="C1089" s="7" t="s">
        <v>772</v>
      </c>
      <c r="D1089" s="7" t="s">
        <v>40</v>
      </c>
      <c r="E1089" s="7" t="s">
        <v>41</v>
      </c>
      <c r="F1089" s="7" t="s">
        <v>16</v>
      </c>
      <c r="G1089" s="7" t="s">
        <v>148</v>
      </c>
      <c r="H1089" s="7">
        <v>3</v>
      </c>
      <c r="I1089" s="2">
        <v>1071.68</v>
      </c>
      <c r="J1089" s="2">
        <f>Tabla2[[#This Row],[Quantity]]*I1089</f>
        <v>3215.04</v>
      </c>
      <c r="K1089" s="6">
        <f>MONTH(Tabla2[[#This Row],[OrderDate]])</f>
        <v>3</v>
      </c>
      <c r="L1089" s="6">
        <f>YEAR(Tabla2[[#This Row],[OrderDate]])</f>
        <v>2025</v>
      </c>
      <c r="M1089" s="7" t="s">
        <v>1813</v>
      </c>
      <c r="N1089" s="7" t="s">
        <v>28</v>
      </c>
    </row>
    <row r="1090" spans="1:14" x14ac:dyDescent="0.35">
      <c r="A1090" s="7" t="s">
        <v>2272</v>
      </c>
      <c r="B1090" s="7" t="s">
        <v>755</v>
      </c>
      <c r="C1090" s="7" t="s">
        <v>756</v>
      </c>
      <c r="D1090" s="7" t="s">
        <v>32</v>
      </c>
      <c r="E1090" s="7" t="s">
        <v>203</v>
      </c>
      <c r="F1090" s="7" t="s">
        <v>101</v>
      </c>
      <c r="G1090" s="7" t="s">
        <v>102</v>
      </c>
      <c r="H1090" s="7">
        <v>4</v>
      </c>
      <c r="I1090" s="2">
        <v>1361.32</v>
      </c>
      <c r="J1090" s="2">
        <f>Tabla2[[#This Row],[Quantity]]*I1090</f>
        <v>5445.28</v>
      </c>
      <c r="K1090" s="6">
        <f>MONTH(Tabla2[[#This Row],[OrderDate]])</f>
        <v>3</v>
      </c>
      <c r="L1090" s="6">
        <f>YEAR(Tabla2[[#This Row],[OrderDate]])</f>
        <v>2026</v>
      </c>
      <c r="M1090" s="7" t="s">
        <v>2095</v>
      </c>
      <c r="N1090" s="7" t="s">
        <v>28</v>
      </c>
    </row>
    <row r="1091" spans="1:14" x14ac:dyDescent="0.35">
      <c r="A1091" s="7" t="s">
        <v>2273</v>
      </c>
      <c r="B1091" s="7" t="s">
        <v>1340</v>
      </c>
      <c r="C1091" s="7" t="s">
        <v>1341</v>
      </c>
      <c r="D1091" s="7" t="s">
        <v>14</v>
      </c>
      <c r="E1091" s="7" t="s">
        <v>15</v>
      </c>
      <c r="F1091" s="7" t="s">
        <v>25</v>
      </c>
      <c r="G1091" s="7" t="s">
        <v>74</v>
      </c>
      <c r="H1091" s="7">
        <v>5</v>
      </c>
      <c r="I1091" s="2">
        <v>353.37</v>
      </c>
      <c r="J1091" s="2">
        <f>Tabla2[[#This Row],[Quantity]]*I1091</f>
        <v>1766.85</v>
      </c>
      <c r="K1091" s="6">
        <f>MONTH(Tabla2[[#This Row],[OrderDate]])</f>
        <v>3</v>
      </c>
      <c r="L1091" s="6">
        <f>YEAR(Tabla2[[#This Row],[OrderDate]])</f>
        <v>2024</v>
      </c>
      <c r="M1091" s="7" t="s">
        <v>2274</v>
      </c>
      <c r="N1091" s="7" t="s">
        <v>28</v>
      </c>
    </row>
    <row r="1092" spans="1:14" x14ac:dyDescent="0.35">
      <c r="A1092" s="7" t="s">
        <v>2275</v>
      </c>
      <c r="B1092" s="7" t="s">
        <v>1496</v>
      </c>
      <c r="C1092" s="7" t="s">
        <v>1497</v>
      </c>
      <c r="D1092" s="7" t="s">
        <v>14</v>
      </c>
      <c r="E1092" s="7" t="s">
        <v>95</v>
      </c>
      <c r="F1092" s="7" t="s">
        <v>16</v>
      </c>
      <c r="G1092" s="7" t="s">
        <v>182</v>
      </c>
      <c r="H1092" s="7">
        <v>1</v>
      </c>
      <c r="I1092" s="2">
        <v>109.13</v>
      </c>
      <c r="J1092" s="2">
        <f>Tabla2[[#This Row],[Quantity]]*I1092</f>
        <v>109.13</v>
      </c>
      <c r="K1092" s="6">
        <f>MONTH(Tabla2[[#This Row],[OrderDate]])</f>
        <v>10</v>
      </c>
      <c r="L1092" s="6">
        <f>YEAR(Tabla2[[#This Row],[OrderDate]])</f>
        <v>2024</v>
      </c>
      <c r="M1092" s="7" t="s">
        <v>2276</v>
      </c>
      <c r="N1092" s="7" t="s">
        <v>28</v>
      </c>
    </row>
    <row r="1093" spans="1:14" x14ac:dyDescent="0.35">
      <c r="A1093" s="7" t="s">
        <v>2277</v>
      </c>
      <c r="B1093" s="7" t="s">
        <v>412</v>
      </c>
      <c r="C1093" s="7" t="s">
        <v>413</v>
      </c>
      <c r="D1093" s="7" t="s">
        <v>67</v>
      </c>
      <c r="E1093" s="7" t="s">
        <v>115</v>
      </c>
      <c r="F1093" s="7" t="s">
        <v>50</v>
      </c>
      <c r="G1093" s="7" t="s">
        <v>69</v>
      </c>
      <c r="H1093" s="7">
        <v>4</v>
      </c>
      <c r="I1093" s="2">
        <v>299.86</v>
      </c>
      <c r="J1093" s="2">
        <f>Tabla2[[#This Row],[Quantity]]*I1093</f>
        <v>1199.44</v>
      </c>
      <c r="K1093" s="6">
        <f>MONTH(Tabla2[[#This Row],[OrderDate]])</f>
        <v>1</v>
      </c>
      <c r="L1093" s="6">
        <f>YEAR(Tabla2[[#This Row],[OrderDate]])</f>
        <v>2026</v>
      </c>
      <c r="M1093" s="7" t="s">
        <v>2278</v>
      </c>
      <c r="N1093" s="7" t="s">
        <v>36</v>
      </c>
    </row>
    <row r="1094" spans="1:14" x14ac:dyDescent="0.35">
      <c r="A1094" s="7" t="s">
        <v>2279</v>
      </c>
      <c r="B1094" s="7" t="s">
        <v>435</v>
      </c>
      <c r="C1094" s="7" t="s">
        <v>436</v>
      </c>
      <c r="D1094" s="7" t="s">
        <v>32</v>
      </c>
      <c r="E1094" s="7" t="s">
        <v>61</v>
      </c>
      <c r="F1094" s="7" t="s">
        <v>25</v>
      </c>
      <c r="G1094" s="7" t="s">
        <v>139</v>
      </c>
      <c r="H1094" s="7">
        <v>5</v>
      </c>
      <c r="I1094" s="2">
        <v>1077.6400000000001</v>
      </c>
      <c r="J1094" s="2">
        <f>Tabla2[[#This Row],[Quantity]]*I1094</f>
        <v>5388.2000000000007</v>
      </c>
      <c r="K1094" s="6">
        <f>MONTH(Tabla2[[#This Row],[OrderDate]])</f>
        <v>12</v>
      </c>
      <c r="L1094" s="6">
        <f>YEAR(Tabla2[[#This Row],[OrderDate]])</f>
        <v>2025</v>
      </c>
      <c r="M1094" s="7" t="s">
        <v>581</v>
      </c>
      <c r="N1094" s="7" t="s">
        <v>91</v>
      </c>
    </row>
    <row r="1095" spans="1:14" x14ac:dyDescent="0.35">
      <c r="A1095" s="7" t="s">
        <v>2280</v>
      </c>
      <c r="B1095" s="7" t="s">
        <v>295</v>
      </c>
      <c r="C1095" s="7" t="s">
        <v>296</v>
      </c>
      <c r="D1095" s="7" t="s">
        <v>32</v>
      </c>
      <c r="E1095" s="7" t="s">
        <v>61</v>
      </c>
      <c r="F1095" s="7" t="s">
        <v>25</v>
      </c>
      <c r="G1095" s="7" t="s">
        <v>26</v>
      </c>
      <c r="H1095" s="7">
        <v>2</v>
      </c>
      <c r="I1095" s="2">
        <v>1304.24</v>
      </c>
      <c r="J1095" s="2">
        <f>Tabla2[[#This Row],[Quantity]]*I1095</f>
        <v>2608.48</v>
      </c>
      <c r="K1095" s="6">
        <f>MONTH(Tabla2[[#This Row],[OrderDate]])</f>
        <v>11</v>
      </c>
      <c r="L1095" s="6">
        <f>YEAR(Tabla2[[#This Row],[OrderDate]])</f>
        <v>2025</v>
      </c>
      <c r="M1095" s="7" t="s">
        <v>2048</v>
      </c>
      <c r="N1095" s="7" t="s">
        <v>91</v>
      </c>
    </row>
    <row r="1096" spans="1:14" x14ac:dyDescent="0.35">
      <c r="A1096" s="7" t="s">
        <v>2281</v>
      </c>
      <c r="B1096" s="7" t="s">
        <v>269</v>
      </c>
      <c r="C1096" s="7" t="s">
        <v>270</v>
      </c>
      <c r="D1096" s="7" t="s">
        <v>67</v>
      </c>
      <c r="E1096" s="7" t="s">
        <v>115</v>
      </c>
      <c r="F1096" s="7" t="s">
        <v>16</v>
      </c>
      <c r="G1096" s="7" t="s">
        <v>182</v>
      </c>
      <c r="H1096" s="7">
        <v>5</v>
      </c>
      <c r="I1096" s="2">
        <v>659.38</v>
      </c>
      <c r="J1096" s="2">
        <f>Tabla2[[#This Row],[Quantity]]*I1096</f>
        <v>3296.9</v>
      </c>
      <c r="K1096" s="6">
        <f>MONTH(Tabla2[[#This Row],[OrderDate]])</f>
        <v>12</v>
      </c>
      <c r="L1096" s="6">
        <f>YEAR(Tabla2[[#This Row],[OrderDate]])</f>
        <v>2024</v>
      </c>
      <c r="M1096" s="7" t="s">
        <v>1432</v>
      </c>
      <c r="N1096" s="7" t="s">
        <v>45</v>
      </c>
    </row>
    <row r="1097" spans="1:14" x14ac:dyDescent="0.35">
      <c r="A1097" s="7" t="s">
        <v>2282</v>
      </c>
      <c r="B1097" s="7" t="s">
        <v>1196</v>
      </c>
      <c r="C1097" s="7" t="s">
        <v>1197</v>
      </c>
      <c r="D1097" s="7" t="s">
        <v>40</v>
      </c>
      <c r="E1097" s="7" t="s">
        <v>120</v>
      </c>
      <c r="F1097" s="7" t="s">
        <v>101</v>
      </c>
      <c r="G1097" s="7" t="s">
        <v>102</v>
      </c>
      <c r="H1097" s="7">
        <v>1</v>
      </c>
      <c r="I1097" s="2">
        <v>1471.16</v>
      </c>
      <c r="J1097" s="2">
        <f>Tabla2[[#This Row],[Quantity]]*I1097</f>
        <v>1471.16</v>
      </c>
      <c r="K1097" s="6">
        <f>MONTH(Tabla2[[#This Row],[OrderDate]])</f>
        <v>11</v>
      </c>
      <c r="L1097" s="6">
        <f>YEAR(Tabla2[[#This Row],[OrderDate]])</f>
        <v>2024</v>
      </c>
      <c r="M1097" s="7" t="s">
        <v>2210</v>
      </c>
      <c r="N1097" s="7" t="s">
        <v>45</v>
      </c>
    </row>
    <row r="1098" spans="1:14" x14ac:dyDescent="0.35">
      <c r="A1098" s="7" t="s">
        <v>2283</v>
      </c>
      <c r="B1098" s="7" t="s">
        <v>1131</v>
      </c>
      <c r="C1098" s="7" t="s">
        <v>1132</v>
      </c>
      <c r="D1098" s="7" t="s">
        <v>14</v>
      </c>
      <c r="E1098" s="7" t="s">
        <v>15</v>
      </c>
      <c r="F1098" s="7" t="s">
        <v>25</v>
      </c>
      <c r="G1098" s="7" t="s">
        <v>26</v>
      </c>
      <c r="H1098" s="7">
        <v>5</v>
      </c>
      <c r="I1098" s="2">
        <v>769.06</v>
      </c>
      <c r="J1098" s="2">
        <f>Tabla2[[#This Row],[Quantity]]*I1098</f>
        <v>3845.2999999999997</v>
      </c>
      <c r="K1098" s="6">
        <f>MONTH(Tabla2[[#This Row],[OrderDate]])</f>
        <v>6</v>
      </c>
      <c r="L1098" s="6">
        <f>YEAR(Tabla2[[#This Row],[OrderDate]])</f>
        <v>2024</v>
      </c>
      <c r="M1098" s="7" t="s">
        <v>1503</v>
      </c>
      <c r="N1098" s="7" t="s">
        <v>28</v>
      </c>
    </row>
    <row r="1099" spans="1:14" x14ac:dyDescent="0.35">
      <c r="A1099" s="7" t="s">
        <v>2284</v>
      </c>
      <c r="B1099" s="7" t="s">
        <v>1260</v>
      </c>
      <c r="C1099" s="7" t="s">
        <v>1261</v>
      </c>
      <c r="D1099" s="7" t="s">
        <v>67</v>
      </c>
      <c r="E1099" s="7" t="s">
        <v>115</v>
      </c>
      <c r="F1099" s="7" t="s">
        <v>25</v>
      </c>
      <c r="G1099" s="7" t="s">
        <v>62</v>
      </c>
      <c r="H1099" s="7">
        <v>4</v>
      </c>
      <c r="I1099" s="2">
        <v>1033.5899999999999</v>
      </c>
      <c r="J1099" s="2">
        <f>Tabla2[[#This Row],[Quantity]]*I1099</f>
        <v>4134.3599999999997</v>
      </c>
      <c r="K1099" s="6">
        <f>MONTH(Tabla2[[#This Row],[OrderDate]])</f>
        <v>9</v>
      </c>
      <c r="L1099" s="6">
        <f>YEAR(Tabla2[[#This Row],[OrderDate]])</f>
        <v>2025</v>
      </c>
      <c r="M1099" s="7" t="s">
        <v>2285</v>
      </c>
      <c r="N1099" s="7" t="s">
        <v>91</v>
      </c>
    </row>
    <row r="1100" spans="1:14" x14ac:dyDescent="0.35">
      <c r="A1100" s="7" t="s">
        <v>2286</v>
      </c>
      <c r="B1100" s="7" t="s">
        <v>496</v>
      </c>
      <c r="C1100" s="7" t="s">
        <v>497</v>
      </c>
      <c r="D1100" s="7" t="s">
        <v>32</v>
      </c>
      <c r="E1100" s="7" t="s">
        <v>33</v>
      </c>
      <c r="F1100" s="7" t="s">
        <v>16</v>
      </c>
      <c r="G1100" s="7" t="s">
        <v>17</v>
      </c>
      <c r="H1100" s="7">
        <v>5</v>
      </c>
      <c r="I1100" s="2">
        <v>294.55</v>
      </c>
      <c r="J1100" s="2">
        <f>Tabla2[[#This Row],[Quantity]]*I1100</f>
        <v>1472.75</v>
      </c>
      <c r="K1100" s="6">
        <f>MONTH(Tabla2[[#This Row],[OrderDate]])</f>
        <v>3</v>
      </c>
      <c r="L1100" s="6">
        <f>YEAR(Tabla2[[#This Row],[OrderDate]])</f>
        <v>2026</v>
      </c>
      <c r="M1100" s="7" t="s">
        <v>2287</v>
      </c>
      <c r="N1100" s="7" t="s">
        <v>19</v>
      </c>
    </row>
    <row r="1101" spans="1:14" x14ac:dyDescent="0.35">
      <c r="A1101" s="7" t="s">
        <v>2288</v>
      </c>
      <c r="B1101" s="7" t="s">
        <v>1196</v>
      </c>
      <c r="C1101" s="7" t="s">
        <v>1197</v>
      </c>
      <c r="D1101" s="7" t="s">
        <v>67</v>
      </c>
      <c r="E1101" s="7" t="s">
        <v>68</v>
      </c>
      <c r="F1101" s="7" t="s">
        <v>16</v>
      </c>
      <c r="G1101" s="7" t="s">
        <v>17</v>
      </c>
      <c r="H1101" s="7">
        <v>4</v>
      </c>
      <c r="I1101" s="2">
        <v>1123.44</v>
      </c>
      <c r="J1101" s="2">
        <f>Tabla2[[#This Row],[Quantity]]*I1101</f>
        <v>4493.76</v>
      </c>
      <c r="K1101" s="6">
        <f>MONTH(Tabla2[[#This Row],[OrderDate]])</f>
        <v>12</v>
      </c>
      <c r="L1101" s="6">
        <f>YEAR(Tabla2[[#This Row],[OrderDate]])</f>
        <v>2024</v>
      </c>
      <c r="M1101" s="7" t="s">
        <v>2289</v>
      </c>
      <c r="N1101" s="7" t="s">
        <v>91</v>
      </c>
    </row>
    <row r="1102" spans="1:14" x14ac:dyDescent="0.35">
      <c r="A1102" s="7" t="s">
        <v>2290</v>
      </c>
      <c r="B1102" s="7" t="s">
        <v>1042</v>
      </c>
      <c r="C1102" s="7" t="s">
        <v>1043</v>
      </c>
      <c r="D1102" s="7" t="s">
        <v>23</v>
      </c>
      <c r="E1102" s="7" t="s">
        <v>49</v>
      </c>
      <c r="F1102" s="7" t="s">
        <v>50</v>
      </c>
      <c r="G1102" s="7" t="s">
        <v>170</v>
      </c>
      <c r="H1102" s="7">
        <v>2</v>
      </c>
      <c r="I1102" s="2">
        <v>159.07</v>
      </c>
      <c r="J1102" s="2">
        <f>Tabla2[[#This Row],[Quantity]]*I1102</f>
        <v>318.14</v>
      </c>
      <c r="K1102" s="6">
        <f>MONTH(Tabla2[[#This Row],[OrderDate]])</f>
        <v>11</v>
      </c>
      <c r="L1102" s="6">
        <f>YEAR(Tabla2[[#This Row],[OrderDate]])</f>
        <v>2024</v>
      </c>
      <c r="M1102" s="7" t="s">
        <v>1512</v>
      </c>
      <c r="N1102" s="7" t="s">
        <v>91</v>
      </c>
    </row>
    <row r="1103" spans="1:14" x14ac:dyDescent="0.35">
      <c r="A1103" s="7" t="s">
        <v>2291</v>
      </c>
      <c r="B1103" s="7" t="s">
        <v>838</v>
      </c>
      <c r="C1103" s="7" t="s">
        <v>839</v>
      </c>
      <c r="D1103" s="7" t="s">
        <v>14</v>
      </c>
      <c r="E1103" s="7" t="s">
        <v>266</v>
      </c>
      <c r="F1103" s="7" t="s">
        <v>25</v>
      </c>
      <c r="G1103" s="7" t="s">
        <v>62</v>
      </c>
      <c r="H1103" s="7">
        <v>3</v>
      </c>
      <c r="I1103" s="2">
        <v>1162.96</v>
      </c>
      <c r="J1103" s="2">
        <f>Tabla2[[#This Row],[Quantity]]*I1103</f>
        <v>3488.88</v>
      </c>
      <c r="K1103" s="6">
        <f>MONTH(Tabla2[[#This Row],[OrderDate]])</f>
        <v>3</v>
      </c>
      <c r="L1103" s="6">
        <f>YEAR(Tabla2[[#This Row],[OrderDate]])</f>
        <v>2026</v>
      </c>
      <c r="M1103" s="7" t="s">
        <v>805</v>
      </c>
      <c r="N1103" s="7" t="s">
        <v>28</v>
      </c>
    </row>
    <row r="1104" spans="1:14" x14ac:dyDescent="0.35">
      <c r="A1104" s="7" t="s">
        <v>2292</v>
      </c>
      <c r="B1104" s="7" t="s">
        <v>838</v>
      </c>
      <c r="C1104" s="7" t="s">
        <v>839</v>
      </c>
      <c r="D1104" s="7" t="s">
        <v>40</v>
      </c>
      <c r="E1104" s="7" t="s">
        <v>120</v>
      </c>
      <c r="F1104" s="7" t="s">
        <v>50</v>
      </c>
      <c r="G1104" s="7" t="s">
        <v>51</v>
      </c>
      <c r="H1104" s="7">
        <v>3</v>
      </c>
      <c r="I1104" s="2">
        <v>85.88</v>
      </c>
      <c r="J1104" s="2">
        <f>Tabla2[[#This Row],[Quantity]]*I1104</f>
        <v>257.64</v>
      </c>
      <c r="K1104" s="6">
        <f>MONTH(Tabla2[[#This Row],[OrderDate]])</f>
        <v>8</v>
      </c>
      <c r="L1104" s="6">
        <f>YEAR(Tabla2[[#This Row],[OrderDate]])</f>
        <v>2025</v>
      </c>
      <c r="M1104" s="7" t="s">
        <v>1862</v>
      </c>
      <c r="N1104" s="7" t="s">
        <v>45</v>
      </c>
    </row>
    <row r="1105" spans="1:14" x14ac:dyDescent="0.35">
      <c r="A1105" s="7" t="s">
        <v>2293</v>
      </c>
      <c r="B1105" s="7" t="s">
        <v>38</v>
      </c>
      <c r="C1105" s="7" t="s">
        <v>39</v>
      </c>
      <c r="D1105" s="7" t="s">
        <v>23</v>
      </c>
      <c r="E1105" s="7" t="s">
        <v>49</v>
      </c>
      <c r="F1105" s="7" t="s">
        <v>25</v>
      </c>
      <c r="G1105" s="7" t="s">
        <v>139</v>
      </c>
      <c r="H1105" s="7">
        <v>4</v>
      </c>
      <c r="I1105" s="2">
        <v>641.92999999999995</v>
      </c>
      <c r="J1105" s="2">
        <f>Tabla2[[#This Row],[Quantity]]*I1105</f>
        <v>2567.7199999999998</v>
      </c>
      <c r="K1105" s="6">
        <f>MONTH(Tabla2[[#This Row],[OrderDate]])</f>
        <v>9</v>
      </c>
      <c r="L1105" s="6">
        <f>YEAR(Tabla2[[#This Row],[OrderDate]])</f>
        <v>2025</v>
      </c>
      <c r="M1105" s="7" t="s">
        <v>2294</v>
      </c>
      <c r="N1105" s="7" t="s">
        <v>36</v>
      </c>
    </row>
    <row r="1106" spans="1:14" x14ac:dyDescent="0.35">
      <c r="A1106" s="7" t="s">
        <v>2295</v>
      </c>
      <c r="B1106" s="7" t="s">
        <v>629</v>
      </c>
      <c r="C1106" s="7" t="s">
        <v>630</v>
      </c>
      <c r="D1106" s="7" t="s">
        <v>23</v>
      </c>
      <c r="E1106" s="7" t="s">
        <v>24</v>
      </c>
      <c r="F1106" s="7" t="s">
        <v>16</v>
      </c>
      <c r="G1106" s="7" t="s">
        <v>177</v>
      </c>
      <c r="H1106" s="7">
        <v>1</v>
      </c>
      <c r="I1106" s="2">
        <v>372.48</v>
      </c>
      <c r="J1106" s="2">
        <f>Tabla2[[#This Row],[Quantity]]*I1106</f>
        <v>372.48</v>
      </c>
      <c r="K1106" s="6">
        <f>MONTH(Tabla2[[#This Row],[OrderDate]])</f>
        <v>6</v>
      </c>
      <c r="L1106" s="6">
        <f>YEAR(Tabla2[[#This Row],[OrderDate]])</f>
        <v>2025</v>
      </c>
      <c r="M1106" s="7" t="s">
        <v>2129</v>
      </c>
      <c r="N1106" s="7" t="s">
        <v>91</v>
      </c>
    </row>
    <row r="1107" spans="1:14" x14ac:dyDescent="0.35">
      <c r="A1107" s="7" t="s">
        <v>2296</v>
      </c>
      <c r="B1107" s="7" t="s">
        <v>771</v>
      </c>
      <c r="C1107" s="7" t="s">
        <v>772</v>
      </c>
      <c r="D1107" s="7" t="s">
        <v>32</v>
      </c>
      <c r="E1107" s="7" t="s">
        <v>203</v>
      </c>
      <c r="F1107" s="7" t="s">
        <v>50</v>
      </c>
      <c r="G1107" s="7" t="s">
        <v>216</v>
      </c>
      <c r="H1107" s="7">
        <v>3</v>
      </c>
      <c r="I1107" s="2">
        <v>239.22</v>
      </c>
      <c r="J1107" s="2">
        <f>Tabla2[[#This Row],[Quantity]]*I1107</f>
        <v>717.66</v>
      </c>
      <c r="K1107" s="6">
        <f>MONTH(Tabla2[[#This Row],[OrderDate]])</f>
        <v>1</v>
      </c>
      <c r="L1107" s="6">
        <f>YEAR(Tabla2[[#This Row],[OrderDate]])</f>
        <v>2026</v>
      </c>
      <c r="M1107" s="7" t="s">
        <v>1048</v>
      </c>
      <c r="N1107" s="7" t="s">
        <v>91</v>
      </c>
    </row>
    <row r="1108" spans="1:14" x14ac:dyDescent="0.35">
      <c r="A1108" s="7" t="s">
        <v>2297</v>
      </c>
      <c r="B1108" s="7" t="s">
        <v>699</v>
      </c>
      <c r="C1108" s="7" t="s">
        <v>700</v>
      </c>
      <c r="D1108" s="7" t="s">
        <v>32</v>
      </c>
      <c r="E1108" s="7" t="s">
        <v>33</v>
      </c>
      <c r="F1108" s="7" t="s">
        <v>25</v>
      </c>
      <c r="G1108" s="7" t="s">
        <v>62</v>
      </c>
      <c r="H1108" s="7">
        <v>1</v>
      </c>
      <c r="I1108" s="2">
        <v>1322.61</v>
      </c>
      <c r="J1108" s="2">
        <f>Tabla2[[#This Row],[Quantity]]*I1108</f>
        <v>1322.61</v>
      </c>
      <c r="K1108" s="6">
        <f>MONTH(Tabla2[[#This Row],[OrderDate]])</f>
        <v>3</v>
      </c>
      <c r="L1108" s="6">
        <f>YEAR(Tabla2[[#This Row],[OrderDate]])</f>
        <v>2025</v>
      </c>
      <c r="M1108" s="7" t="s">
        <v>2298</v>
      </c>
      <c r="N1108" s="7" t="s">
        <v>19</v>
      </c>
    </row>
    <row r="1109" spans="1:14" x14ac:dyDescent="0.35">
      <c r="A1109" s="7" t="s">
        <v>2299</v>
      </c>
      <c r="B1109" s="7" t="s">
        <v>1875</v>
      </c>
      <c r="C1109" s="7" t="s">
        <v>1876</v>
      </c>
      <c r="D1109" s="7" t="s">
        <v>23</v>
      </c>
      <c r="E1109" s="7" t="s">
        <v>338</v>
      </c>
      <c r="F1109" s="7" t="s">
        <v>16</v>
      </c>
      <c r="G1109" s="7" t="s">
        <v>182</v>
      </c>
      <c r="H1109" s="7">
        <v>5</v>
      </c>
      <c r="I1109" s="2">
        <v>1241.6400000000001</v>
      </c>
      <c r="J1109" s="2">
        <f>Tabla2[[#This Row],[Quantity]]*I1109</f>
        <v>6208.2000000000007</v>
      </c>
      <c r="K1109" s="6">
        <f>MONTH(Tabla2[[#This Row],[OrderDate]])</f>
        <v>8</v>
      </c>
      <c r="L1109" s="6">
        <f>YEAR(Tabla2[[#This Row],[OrderDate]])</f>
        <v>2025</v>
      </c>
      <c r="M1109" s="7" t="s">
        <v>1992</v>
      </c>
      <c r="N1109" s="7" t="s">
        <v>91</v>
      </c>
    </row>
    <row r="1110" spans="1:14" x14ac:dyDescent="0.35">
      <c r="A1110" s="7" t="s">
        <v>2300</v>
      </c>
      <c r="B1110" s="7" t="s">
        <v>690</v>
      </c>
      <c r="C1110" s="7" t="s">
        <v>691</v>
      </c>
      <c r="D1110" s="7" t="s">
        <v>40</v>
      </c>
      <c r="E1110" s="7" t="s">
        <v>120</v>
      </c>
      <c r="F1110" s="7" t="s">
        <v>25</v>
      </c>
      <c r="G1110" s="7" t="s">
        <v>139</v>
      </c>
      <c r="H1110" s="7">
        <v>2</v>
      </c>
      <c r="I1110" s="2">
        <v>855.88</v>
      </c>
      <c r="J1110" s="2">
        <f>Tabla2[[#This Row],[Quantity]]*I1110</f>
        <v>1711.76</v>
      </c>
      <c r="K1110" s="6">
        <f>MONTH(Tabla2[[#This Row],[OrderDate]])</f>
        <v>2</v>
      </c>
      <c r="L1110" s="6">
        <f>YEAR(Tabla2[[#This Row],[OrderDate]])</f>
        <v>2026</v>
      </c>
      <c r="M1110" s="7" t="s">
        <v>2301</v>
      </c>
      <c r="N1110" s="7" t="s">
        <v>28</v>
      </c>
    </row>
    <row r="1111" spans="1:14" x14ac:dyDescent="0.35">
      <c r="A1111" s="7" t="s">
        <v>2302</v>
      </c>
      <c r="B1111" s="7" t="s">
        <v>775</v>
      </c>
      <c r="C1111" s="7" t="s">
        <v>776</v>
      </c>
      <c r="D1111" s="7" t="s">
        <v>32</v>
      </c>
      <c r="E1111" s="7" t="s">
        <v>203</v>
      </c>
      <c r="F1111" s="7" t="s">
        <v>25</v>
      </c>
      <c r="G1111" s="7" t="s">
        <v>74</v>
      </c>
      <c r="H1111" s="7">
        <v>4</v>
      </c>
      <c r="I1111" s="2">
        <v>298.13</v>
      </c>
      <c r="J1111" s="2">
        <f>Tabla2[[#This Row],[Quantity]]*I1111</f>
        <v>1192.52</v>
      </c>
      <c r="K1111" s="6">
        <f>MONTH(Tabla2[[#This Row],[OrderDate]])</f>
        <v>11</v>
      </c>
      <c r="L1111" s="6">
        <f>YEAR(Tabla2[[#This Row],[OrderDate]])</f>
        <v>2024</v>
      </c>
      <c r="M1111" s="7" t="s">
        <v>81</v>
      </c>
      <c r="N1111" s="7" t="s">
        <v>19</v>
      </c>
    </row>
    <row r="1112" spans="1:14" x14ac:dyDescent="0.35">
      <c r="A1112" s="7" t="s">
        <v>2303</v>
      </c>
      <c r="B1112" s="7" t="s">
        <v>2002</v>
      </c>
      <c r="C1112" s="7" t="s">
        <v>2003</v>
      </c>
      <c r="D1112" s="7" t="s">
        <v>40</v>
      </c>
      <c r="E1112" s="7" t="s">
        <v>79</v>
      </c>
      <c r="F1112" s="7" t="s">
        <v>16</v>
      </c>
      <c r="G1112" s="7" t="s">
        <v>182</v>
      </c>
      <c r="H1112" s="7">
        <v>3</v>
      </c>
      <c r="I1112" s="2">
        <v>1460.18</v>
      </c>
      <c r="J1112" s="2">
        <f>Tabla2[[#This Row],[Quantity]]*I1112</f>
        <v>4380.54</v>
      </c>
      <c r="K1112" s="6">
        <f>MONTH(Tabla2[[#This Row],[OrderDate]])</f>
        <v>11</v>
      </c>
      <c r="L1112" s="6">
        <f>YEAR(Tabla2[[#This Row],[OrderDate]])</f>
        <v>2025</v>
      </c>
      <c r="M1112" s="7" t="s">
        <v>2304</v>
      </c>
      <c r="N1112" s="7" t="s">
        <v>19</v>
      </c>
    </row>
    <row r="1113" spans="1:14" x14ac:dyDescent="0.35">
      <c r="A1113" s="7" t="s">
        <v>2305</v>
      </c>
      <c r="B1113" s="7" t="s">
        <v>1594</v>
      </c>
      <c r="C1113" s="7" t="s">
        <v>1595</v>
      </c>
      <c r="D1113" s="7" t="s">
        <v>32</v>
      </c>
      <c r="E1113" s="7" t="s">
        <v>203</v>
      </c>
      <c r="F1113" s="7" t="s">
        <v>25</v>
      </c>
      <c r="G1113" s="7" t="s">
        <v>34</v>
      </c>
      <c r="H1113" s="7">
        <v>3</v>
      </c>
      <c r="I1113" s="2">
        <v>395.66</v>
      </c>
      <c r="J1113" s="2">
        <f>Tabla2[[#This Row],[Quantity]]*I1113</f>
        <v>1186.98</v>
      </c>
      <c r="K1113" s="6">
        <f>MONTH(Tabla2[[#This Row],[OrderDate]])</f>
        <v>3</v>
      </c>
      <c r="L1113" s="6">
        <f>YEAR(Tabla2[[#This Row],[OrderDate]])</f>
        <v>2025</v>
      </c>
      <c r="M1113" s="7" t="s">
        <v>279</v>
      </c>
      <c r="N1113" s="7" t="s">
        <v>91</v>
      </c>
    </row>
    <row r="1114" spans="1:14" x14ac:dyDescent="0.35">
      <c r="A1114" s="7" t="s">
        <v>2306</v>
      </c>
      <c r="B1114" s="7" t="s">
        <v>1875</v>
      </c>
      <c r="C1114" s="7" t="s">
        <v>1876</v>
      </c>
      <c r="D1114" s="7" t="s">
        <v>14</v>
      </c>
      <c r="E1114" s="7" t="s">
        <v>125</v>
      </c>
      <c r="F1114" s="7" t="s">
        <v>101</v>
      </c>
      <c r="G1114" s="7" t="s">
        <v>102</v>
      </c>
      <c r="H1114" s="7">
        <v>1</v>
      </c>
      <c r="I1114" s="2">
        <v>1246.6600000000001</v>
      </c>
      <c r="J1114" s="2">
        <f>Tabla2[[#This Row],[Quantity]]*I1114</f>
        <v>1246.6600000000001</v>
      </c>
      <c r="K1114" s="6">
        <f>MONTH(Tabla2[[#This Row],[OrderDate]])</f>
        <v>3</v>
      </c>
      <c r="L1114" s="6">
        <f>YEAR(Tabla2[[#This Row],[OrderDate]])</f>
        <v>2025</v>
      </c>
      <c r="M1114" s="7" t="s">
        <v>1016</v>
      </c>
      <c r="N1114" s="7" t="s">
        <v>28</v>
      </c>
    </row>
    <row r="1115" spans="1:14" x14ac:dyDescent="0.35">
      <c r="A1115" s="7" t="s">
        <v>2307</v>
      </c>
      <c r="B1115" s="7" t="s">
        <v>315</v>
      </c>
      <c r="C1115" s="7" t="s">
        <v>316</v>
      </c>
      <c r="D1115" s="7" t="s">
        <v>32</v>
      </c>
      <c r="E1115" s="7" t="s">
        <v>33</v>
      </c>
      <c r="F1115" s="7" t="s">
        <v>16</v>
      </c>
      <c r="G1115" s="7" t="s">
        <v>182</v>
      </c>
      <c r="H1115" s="7">
        <v>5</v>
      </c>
      <c r="I1115" s="2">
        <v>65.790000000000006</v>
      </c>
      <c r="J1115" s="2">
        <f>Tabla2[[#This Row],[Quantity]]*I1115</f>
        <v>328.95000000000005</v>
      </c>
      <c r="K1115" s="6">
        <f>MONTH(Tabla2[[#This Row],[OrderDate]])</f>
        <v>12</v>
      </c>
      <c r="L1115" s="6">
        <f>YEAR(Tabla2[[#This Row],[OrderDate]])</f>
        <v>2024</v>
      </c>
      <c r="M1115" s="7" t="s">
        <v>697</v>
      </c>
      <c r="N1115" s="7" t="s">
        <v>28</v>
      </c>
    </row>
    <row r="1116" spans="1:14" x14ac:dyDescent="0.35">
      <c r="A1116" s="7" t="s">
        <v>2308</v>
      </c>
      <c r="B1116" s="7" t="s">
        <v>1662</v>
      </c>
      <c r="C1116" s="7" t="s">
        <v>1663</v>
      </c>
      <c r="D1116" s="7" t="s">
        <v>23</v>
      </c>
      <c r="E1116" s="7" t="s">
        <v>338</v>
      </c>
      <c r="F1116" s="7" t="s">
        <v>101</v>
      </c>
      <c r="G1116" s="7" t="s">
        <v>165</v>
      </c>
      <c r="H1116" s="7">
        <v>3</v>
      </c>
      <c r="I1116" s="2">
        <v>1030.5899999999999</v>
      </c>
      <c r="J1116" s="2">
        <f>Tabla2[[#This Row],[Quantity]]*I1116</f>
        <v>3091.7699999999995</v>
      </c>
      <c r="K1116" s="6">
        <f>MONTH(Tabla2[[#This Row],[OrderDate]])</f>
        <v>12</v>
      </c>
      <c r="L1116" s="6">
        <f>YEAR(Tabla2[[#This Row],[OrderDate]])</f>
        <v>2025</v>
      </c>
      <c r="M1116" s="7" t="s">
        <v>709</v>
      </c>
      <c r="N1116" s="7" t="s">
        <v>28</v>
      </c>
    </row>
    <row r="1117" spans="1:14" x14ac:dyDescent="0.35">
      <c r="A1117" s="7" t="s">
        <v>2309</v>
      </c>
      <c r="B1117" s="7" t="s">
        <v>1001</v>
      </c>
      <c r="C1117" s="7" t="s">
        <v>1002</v>
      </c>
      <c r="D1117" s="7" t="s">
        <v>14</v>
      </c>
      <c r="E1117" s="7" t="s">
        <v>95</v>
      </c>
      <c r="F1117" s="7" t="s">
        <v>16</v>
      </c>
      <c r="G1117" s="7" t="s">
        <v>177</v>
      </c>
      <c r="H1117" s="7">
        <v>1</v>
      </c>
      <c r="I1117" s="2">
        <v>72.06</v>
      </c>
      <c r="J1117" s="2">
        <f>Tabla2[[#This Row],[Quantity]]*I1117</f>
        <v>72.06</v>
      </c>
      <c r="K1117" s="6">
        <f>MONTH(Tabla2[[#This Row],[OrderDate]])</f>
        <v>10</v>
      </c>
      <c r="L1117" s="6">
        <f>YEAR(Tabla2[[#This Row],[OrderDate]])</f>
        <v>2025</v>
      </c>
      <c r="M1117" s="7" t="s">
        <v>1540</v>
      </c>
      <c r="N1117" s="7" t="s">
        <v>36</v>
      </c>
    </row>
    <row r="1118" spans="1:14" x14ac:dyDescent="0.35">
      <c r="A1118" s="7" t="s">
        <v>2310</v>
      </c>
      <c r="B1118" s="7" t="s">
        <v>388</v>
      </c>
      <c r="C1118" s="7" t="s">
        <v>389</v>
      </c>
      <c r="D1118" s="7" t="s">
        <v>40</v>
      </c>
      <c r="E1118" s="7" t="s">
        <v>120</v>
      </c>
      <c r="F1118" s="7" t="s">
        <v>16</v>
      </c>
      <c r="G1118" s="7" t="s">
        <v>182</v>
      </c>
      <c r="H1118" s="7">
        <v>1</v>
      </c>
      <c r="I1118" s="2">
        <v>1359.44</v>
      </c>
      <c r="J1118" s="2">
        <f>Tabla2[[#This Row],[Quantity]]*I1118</f>
        <v>1359.44</v>
      </c>
      <c r="K1118" s="6">
        <f>MONTH(Tabla2[[#This Row],[OrderDate]])</f>
        <v>7</v>
      </c>
      <c r="L1118" s="6">
        <f>YEAR(Tabla2[[#This Row],[OrderDate]])</f>
        <v>2025</v>
      </c>
      <c r="M1118" s="7" t="s">
        <v>2311</v>
      </c>
      <c r="N1118" s="7" t="s">
        <v>91</v>
      </c>
    </row>
    <row r="1119" spans="1:14" x14ac:dyDescent="0.35">
      <c r="A1119" s="7" t="s">
        <v>2312</v>
      </c>
      <c r="B1119" s="7" t="s">
        <v>686</v>
      </c>
      <c r="C1119" s="7" t="s">
        <v>687</v>
      </c>
      <c r="D1119" s="7" t="s">
        <v>40</v>
      </c>
      <c r="E1119" s="7" t="s">
        <v>79</v>
      </c>
      <c r="F1119" s="7" t="s">
        <v>101</v>
      </c>
      <c r="G1119" s="7" t="s">
        <v>237</v>
      </c>
      <c r="H1119" s="7">
        <v>2</v>
      </c>
      <c r="I1119" s="2">
        <v>984.8</v>
      </c>
      <c r="J1119" s="2">
        <f>Tabla2[[#This Row],[Quantity]]*I1119</f>
        <v>1969.6</v>
      </c>
      <c r="K1119" s="6">
        <f>MONTH(Tabla2[[#This Row],[OrderDate]])</f>
        <v>3</v>
      </c>
      <c r="L1119" s="6">
        <f>YEAR(Tabla2[[#This Row],[OrderDate]])</f>
        <v>2025</v>
      </c>
      <c r="M1119" s="7" t="s">
        <v>1393</v>
      </c>
      <c r="N1119" s="7" t="s">
        <v>91</v>
      </c>
    </row>
    <row r="1120" spans="1:14" x14ac:dyDescent="0.35">
      <c r="A1120" s="7" t="s">
        <v>2313</v>
      </c>
      <c r="B1120" s="7" t="s">
        <v>1444</v>
      </c>
      <c r="C1120" s="7" t="s">
        <v>1445</v>
      </c>
      <c r="D1120" s="7" t="s">
        <v>32</v>
      </c>
      <c r="E1120" s="7" t="s">
        <v>61</v>
      </c>
      <c r="F1120" s="7" t="s">
        <v>50</v>
      </c>
      <c r="G1120" s="7" t="s">
        <v>51</v>
      </c>
      <c r="H1120" s="7">
        <v>5</v>
      </c>
      <c r="I1120" s="2">
        <v>275.37</v>
      </c>
      <c r="J1120" s="2">
        <f>Tabla2[[#This Row],[Quantity]]*I1120</f>
        <v>1376.85</v>
      </c>
      <c r="K1120" s="6">
        <f>MONTH(Tabla2[[#This Row],[OrderDate]])</f>
        <v>5</v>
      </c>
      <c r="L1120" s="6">
        <f>YEAR(Tabla2[[#This Row],[OrderDate]])</f>
        <v>2025</v>
      </c>
      <c r="M1120" s="7" t="s">
        <v>669</v>
      </c>
      <c r="N1120" s="7" t="s">
        <v>45</v>
      </c>
    </row>
    <row r="1121" spans="1:14" x14ac:dyDescent="0.35">
      <c r="A1121" s="7" t="s">
        <v>2314</v>
      </c>
      <c r="B1121" s="7" t="s">
        <v>128</v>
      </c>
      <c r="C1121" s="7" t="s">
        <v>129</v>
      </c>
      <c r="D1121" s="7" t="s">
        <v>23</v>
      </c>
      <c r="E1121" s="7" t="s">
        <v>338</v>
      </c>
      <c r="F1121" s="7" t="s">
        <v>16</v>
      </c>
      <c r="G1121" s="7" t="s">
        <v>182</v>
      </c>
      <c r="H1121" s="7">
        <v>3</v>
      </c>
      <c r="I1121" s="2">
        <v>15.95</v>
      </c>
      <c r="J1121" s="2">
        <f>Tabla2[[#This Row],[Quantity]]*I1121</f>
        <v>47.849999999999994</v>
      </c>
      <c r="K1121" s="6">
        <f>MONTH(Tabla2[[#This Row],[OrderDate]])</f>
        <v>12</v>
      </c>
      <c r="L1121" s="6">
        <f>YEAR(Tabla2[[#This Row],[OrderDate]])</f>
        <v>2025</v>
      </c>
      <c r="M1121" s="7" t="s">
        <v>2315</v>
      </c>
      <c r="N1121" s="7" t="s">
        <v>91</v>
      </c>
    </row>
    <row r="1122" spans="1:14" x14ac:dyDescent="0.35">
      <c r="A1122" s="7" t="s">
        <v>2316</v>
      </c>
      <c r="B1122" s="7" t="s">
        <v>1677</v>
      </c>
      <c r="C1122" s="7" t="s">
        <v>1678</v>
      </c>
      <c r="D1122" s="7" t="s">
        <v>67</v>
      </c>
      <c r="E1122" s="7" t="s">
        <v>68</v>
      </c>
      <c r="F1122" s="7" t="s">
        <v>50</v>
      </c>
      <c r="G1122" s="7" t="s">
        <v>51</v>
      </c>
      <c r="H1122" s="7">
        <v>4</v>
      </c>
      <c r="I1122" s="2">
        <v>568.69000000000005</v>
      </c>
      <c r="J1122" s="2">
        <f>Tabla2[[#This Row],[Quantity]]*I1122</f>
        <v>2274.7600000000002</v>
      </c>
      <c r="K1122" s="6">
        <f>MONTH(Tabla2[[#This Row],[OrderDate]])</f>
        <v>5</v>
      </c>
      <c r="L1122" s="6">
        <f>YEAR(Tabla2[[#This Row],[OrderDate]])</f>
        <v>2024</v>
      </c>
      <c r="M1122" s="7" t="s">
        <v>874</v>
      </c>
      <c r="N1122" s="7" t="s">
        <v>19</v>
      </c>
    </row>
    <row r="1123" spans="1:14" x14ac:dyDescent="0.35">
      <c r="A1123" s="7" t="s">
        <v>2317</v>
      </c>
      <c r="B1123" s="7" t="s">
        <v>1073</v>
      </c>
      <c r="C1123" s="7" t="s">
        <v>1074</v>
      </c>
      <c r="D1123" s="7" t="s">
        <v>40</v>
      </c>
      <c r="E1123" s="7" t="s">
        <v>120</v>
      </c>
      <c r="F1123" s="7" t="s">
        <v>16</v>
      </c>
      <c r="G1123" s="7" t="s">
        <v>177</v>
      </c>
      <c r="H1123" s="7">
        <v>5</v>
      </c>
      <c r="I1123" s="2">
        <v>670.9</v>
      </c>
      <c r="J1123" s="2">
        <f>Tabla2[[#This Row],[Quantity]]*I1123</f>
        <v>3354.5</v>
      </c>
      <c r="K1123" s="6">
        <f>MONTH(Tabla2[[#This Row],[OrderDate]])</f>
        <v>3</v>
      </c>
      <c r="L1123" s="6">
        <f>YEAR(Tabla2[[#This Row],[OrderDate]])</f>
        <v>2025</v>
      </c>
      <c r="M1123" s="7" t="s">
        <v>1468</v>
      </c>
      <c r="N1123" s="7" t="s">
        <v>36</v>
      </c>
    </row>
    <row r="1124" spans="1:14" x14ac:dyDescent="0.35">
      <c r="A1124" s="7" t="s">
        <v>2318</v>
      </c>
      <c r="B1124" s="7" t="s">
        <v>532</v>
      </c>
      <c r="C1124" s="7" t="s">
        <v>533</v>
      </c>
      <c r="D1124" s="7" t="s">
        <v>67</v>
      </c>
      <c r="E1124" s="7" t="s">
        <v>130</v>
      </c>
      <c r="F1124" s="7" t="s">
        <v>25</v>
      </c>
      <c r="G1124" s="7" t="s">
        <v>74</v>
      </c>
      <c r="H1124" s="7">
        <v>3</v>
      </c>
      <c r="I1124" s="2">
        <v>1168.07</v>
      </c>
      <c r="J1124" s="2">
        <f>Tabla2[[#This Row],[Quantity]]*I1124</f>
        <v>3504.21</v>
      </c>
      <c r="K1124" s="6">
        <f>MONTH(Tabla2[[#This Row],[OrderDate]])</f>
        <v>7</v>
      </c>
      <c r="L1124" s="6">
        <f>YEAR(Tabla2[[#This Row],[OrderDate]])</f>
        <v>2024</v>
      </c>
      <c r="M1124" s="7" t="s">
        <v>414</v>
      </c>
      <c r="N1124" s="7" t="s">
        <v>91</v>
      </c>
    </row>
    <row r="1125" spans="1:14" x14ac:dyDescent="0.35">
      <c r="A1125" s="7" t="s">
        <v>2319</v>
      </c>
      <c r="B1125" s="7" t="s">
        <v>1092</v>
      </c>
      <c r="C1125" s="7" t="s">
        <v>1093</v>
      </c>
      <c r="D1125" s="7" t="s">
        <v>67</v>
      </c>
      <c r="E1125" s="7" t="s">
        <v>115</v>
      </c>
      <c r="F1125" s="7" t="s">
        <v>25</v>
      </c>
      <c r="G1125" s="7" t="s">
        <v>62</v>
      </c>
      <c r="H1125" s="7">
        <v>1</v>
      </c>
      <c r="I1125" s="2">
        <v>1378.94</v>
      </c>
      <c r="J1125" s="2">
        <f>Tabla2[[#This Row],[Quantity]]*I1125</f>
        <v>1378.94</v>
      </c>
      <c r="K1125" s="6">
        <f>MONTH(Tabla2[[#This Row],[OrderDate]])</f>
        <v>12</v>
      </c>
      <c r="L1125" s="6">
        <f>YEAR(Tabla2[[#This Row],[OrderDate]])</f>
        <v>2025</v>
      </c>
      <c r="M1125" s="7" t="s">
        <v>2320</v>
      </c>
      <c r="N1125" s="7" t="s">
        <v>28</v>
      </c>
    </row>
    <row r="1126" spans="1:14" x14ac:dyDescent="0.35">
      <c r="A1126" s="7" t="s">
        <v>2321</v>
      </c>
      <c r="B1126" s="7" t="s">
        <v>384</v>
      </c>
      <c r="C1126" s="7" t="s">
        <v>385</v>
      </c>
      <c r="D1126" s="7" t="s">
        <v>32</v>
      </c>
      <c r="E1126" s="7" t="s">
        <v>203</v>
      </c>
      <c r="F1126" s="7" t="s">
        <v>25</v>
      </c>
      <c r="G1126" s="7" t="s">
        <v>34</v>
      </c>
      <c r="H1126" s="7">
        <v>2</v>
      </c>
      <c r="I1126" s="2">
        <v>1317.84</v>
      </c>
      <c r="J1126" s="2">
        <f>Tabla2[[#This Row],[Quantity]]*I1126</f>
        <v>2635.68</v>
      </c>
      <c r="K1126" s="6">
        <f>MONTH(Tabla2[[#This Row],[OrderDate]])</f>
        <v>12</v>
      </c>
      <c r="L1126" s="6">
        <f>YEAR(Tabla2[[#This Row],[OrderDate]])</f>
        <v>2024</v>
      </c>
      <c r="M1126" s="7" t="s">
        <v>277</v>
      </c>
      <c r="N1126" s="7" t="s">
        <v>45</v>
      </c>
    </row>
    <row r="1127" spans="1:14" x14ac:dyDescent="0.35">
      <c r="A1127" s="7" t="s">
        <v>2322</v>
      </c>
      <c r="B1127" s="7" t="s">
        <v>1419</v>
      </c>
      <c r="C1127" s="7" t="s">
        <v>1420</v>
      </c>
      <c r="D1127" s="7" t="s">
        <v>23</v>
      </c>
      <c r="E1127" s="7" t="s">
        <v>338</v>
      </c>
      <c r="F1127" s="7" t="s">
        <v>25</v>
      </c>
      <c r="G1127" s="7" t="s">
        <v>74</v>
      </c>
      <c r="H1127" s="7">
        <v>1</v>
      </c>
      <c r="I1127" s="2">
        <v>379.13</v>
      </c>
      <c r="J1127" s="2">
        <f>Tabla2[[#This Row],[Quantity]]*I1127</f>
        <v>379.13</v>
      </c>
      <c r="K1127" s="6">
        <f>MONTH(Tabla2[[#This Row],[OrderDate]])</f>
        <v>9</v>
      </c>
      <c r="L1127" s="6">
        <f>YEAR(Tabla2[[#This Row],[OrderDate]])</f>
        <v>2025</v>
      </c>
      <c r="M1127" s="7" t="s">
        <v>1299</v>
      </c>
      <c r="N1127" s="7" t="s">
        <v>28</v>
      </c>
    </row>
    <row r="1128" spans="1:14" x14ac:dyDescent="0.35">
      <c r="A1128" s="7" t="s">
        <v>2323</v>
      </c>
      <c r="B1128" s="7" t="s">
        <v>496</v>
      </c>
      <c r="C1128" s="7" t="s">
        <v>497</v>
      </c>
      <c r="D1128" s="7" t="s">
        <v>14</v>
      </c>
      <c r="E1128" s="7" t="s">
        <v>95</v>
      </c>
      <c r="F1128" s="7" t="s">
        <v>25</v>
      </c>
      <c r="G1128" s="7" t="s">
        <v>139</v>
      </c>
      <c r="H1128" s="7">
        <v>1</v>
      </c>
      <c r="I1128" s="2">
        <v>505.89</v>
      </c>
      <c r="J1128" s="2">
        <f>Tabla2[[#This Row],[Quantity]]*I1128</f>
        <v>505.89</v>
      </c>
      <c r="K1128" s="6">
        <f>MONTH(Tabla2[[#This Row],[OrderDate]])</f>
        <v>11</v>
      </c>
      <c r="L1128" s="6">
        <f>YEAR(Tabla2[[#This Row],[OrderDate]])</f>
        <v>2025</v>
      </c>
      <c r="M1128" s="7" t="s">
        <v>1835</v>
      </c>
      <c r="N1128" s="7" t="s">
        <v>36</v>
      </c>
    </row>
    <row r="1129" spans="1:14" x14ac:dyDescent="0.35">
      <c r="A1129" s="7" t="s">
        <v>2324</v>
      </c>
      <c r="B1129" s="7" t="s">
        <v>832</v>
      </c>
      <c r="C1129" s="7" t="s">
        <v>833</v>
      </c>
      <c r="D1129" s="7" t="s">
        <v>67</v>
      </c>
      <c r="E1129" s="7" t="s">
        <v>68</v>
      </c>
      <c r="F1129" s="7" t="s">
        <v>25</v>
      </c>
      <c r="G1129" s="7" t="s">
        <v>74</v>
      </c>
      <c r="H1129" s="7">
        <v>1</v>
      </c>
      <c r="I1129" s="2">
        <v>1064.76</v>
      </c>
      <c r="J1129" s="2">
        <f>Tabla2[[#This Row],[Quantity]]*I1129</f>
        <v>1064.76</v>
      </c>
      <c r="K1129" s="6">
        <f>MONTH(Tabla2[[#This Row],[OrderDate]])</f>
        <v>2</v>
      </c>
      <c r="L1129" s="6">
        <f>YEAR(Tabla2[[#This Row],[OrderDate]])</f>
        <v>2024</v>
      </c>
      <c r="M1129" s="7" t="s">
        <v>747</v>
      </c>
      <c r="N1129" s="7" t="s">
        <v>19</v>
      </c>
    </row>
    <row r="1130" spans="1:14" x14ac:dyDescent="0.35">
      <c r="A1130" s="7" t="s">
        <v>2325</v>
      </c>
      <c r="B1130" s="7" t="s">
        <v>1131</v>
      </c>
      <c r="C1130" s="7" t="s">
        <v>1132</v>
      </c>
      <c r="D1130" s="7" t="s">
        <v>67</v>
      </c>
      <c r="E1130" s="7" t="s">
        <v>130</v>
      </c>
      <c r="F1130" s="7" t="s">
        <v>42</v>
      </c>
      <c r="G1130" s="7" t="s">
        <v>80</v>
      </c>
      <c r="H1130" s="7">
        <v>4</v>
      </c>
      <c r="I1130" s="2">
        <v>977.54</v>
      </c>
      <c r="J1130" s="2">
        <f>Tabla2[[#This Row],[Quantity]]*I1130</f>
        <v>3910.16</v>
      </c>
      <c r="K1130" s="6">
        <f>MONTH(Tabla2[[#This Row],[OrderDate]])</f>
        <v>9</v>
      </c>
      <c r="L1130" s="6">
        <f>YEAR(Tabla2[[#This Row],[OrderDate]])</f>
        <v>2025</v>
      </c>
      <c r="M1130" s="7" t="s">
        <v>1942</v>
      </c>
      <c r="N1130" s="7" t="s">
        <v>91</v>
      </c>
    </row>
    <row r="1131" spans="1:14" x14ac:dyDescent="0.35">
      <c r="A1131" s="7" t="s">
        <v>2326</v>
      </c>
      <c r="B1131" s="7" t="s">
        <v>439</v>
      </c>
      <c r="C1131" s="7" t="s">
        <v>440</v>
      </c>
      <c r="D1131" s="7" t="s">
        <v>32</v>
      </c>
      <c r="E1131" s="7" t="s">
        <v>33</v>
      </c>
      <c r="F1131" s="7" t="s">
        <v>25</v>
      </c>
      <c r="G1131" s="7" t="s">
        <v>26</v>
      </c>
      <c r="H1131" s="7">
        <v>2</v>
      </c>
      <c r="I1131" s="2">
        <v>1206.92</v>
      </c>
      <c r="J1131" s="2">
        <f>Tabla2[[#This Row],[Quantity]]*I1131</f>
        <v>2413.84</v>
      </c>
      <c r="K1131" s="6">
        <f>MONTH(Tabla2[[#This Row],[OrderDate]])</f>
        <v>4</v>
      </c>
      <c r="L1131" s="6">
        <f>YEAR(Tabla2[[#This Row],[OrderDate]])</f>
        <v>2024</v>
      </c>
      <c r="M1131" s="7" t="s">
        <v>2327</v>
      </c>
      <c r="N1131" s="7" t="s">
        <v>19</v>
      </c>
    </row>
    <row r="1132" spans="1:14" x14ac:dyDescent="0.35">
      <c r="A1132" s="7" t="s">
        <v>2328</v>
      </c>
      <c r="B1132" s="7" t="s">
        <v>1101</v>
      </c>
      <c r="C1132" s="7" t="s">
        <v>1102</v>
      </c>
      <c r="D1132" s="7" t="s">
        <v>14</v>
      </c>
      <c r="E1132" s="7" t="s">
        <v>95</v>
      </c>
      <c r="F1132" s="7" t="s">
        <v>50</v>
      </c>
      <c r="G1132" s="7" t="s">
        <v>216</v>
      </c>
      <c r="H1132" s="7">
        <v>4</v>
      </c>
      <c r="I1132" s="2">
        <v>1121.78</v>
      </c>
      <c r="J1132" s="2">
        <f>Tabla2[[#This Row],[Quantity]]*I1132</f>
        <v>4487.12</v>
      </c>
      <c r="K1132" s="6">
        <f>MONTH(Tabla2[[#This Row],[OrderDate]])</f>
        <v>2</v>
      </c>
      <c r="L1132" s="6">
        <f>YEAR(Tabla2[[#This Row],[OrderDate]])</f>
        <v>2024</v>
      </c>
      <c r="M1132" s="7" t="s">
        <v>1669</v>
      </c>
      <c r="N1132" s="7" t="s">
        <v>91</v>
      </c>
    </row>
    <row r="1133" spans="1:14" x14ac:dyDescent="0.35">
      <c r="A1133" s="7" t="s">
        <v>2329</v>
      </c>
      <c r="B1133" s="7" t="s">
        <v>137</v>
      </c>
      <c r="C1133" s="7" t="s">
        <v>138</v>
      </c>
      <c r="D1133" s="7" t="s">
        <v>40</v>
      </c>
      <c r="E1133" s="7" t="s">
        <v>120</v>
      </c>
      <c r="F1133" s="7" t="s">
        <v>16</v>
      </c>
      <c r="G1133" s="7" t="s">
        <v>148</v>
      </c>
      <c r="H1133" s="7">
        <v>3</v>
      </c>
      <c r="I1133" s="2">
        <v>689.7</v>
      </c>
      <c r="J1133" s="2">
        <f>Tabla2[[#This Row],[Quantity]]*I1133</f>
        <v>2069.1000000000004</v>
      </c>
      <c r="K1133" s="6">
        <f>MONTH(Tabla2[[#This Row],[OrderDate]])</f>
        <v>7</v>
      </c>
      <c r="L1133" s="6">
        <f>YEAR(Tabla2[[#This Row],[OrderDate]])</f>
        <v>2025</v>
      </c>
      <c r="M1133" s="7" t="s">
        <v>1371</v>
      </c>
      <c r="N1133" s="7" t="s">
        <v>36</v>
      </c>
    </row>
    <row r="1134" spans="1:14" x14ac:dyDescent="0.35">
      <c r="A1134" s="7" t="s">
        <v>2330</v>
      </c>
      <c r="B1134" s="7" t="s">
        <v>1176</v>
      </c>
      <c r="C1134" s="7" t="s">
        <v>1177</v>
      </c>
      <c r="D1134" s="7" t="s">
        <v>40</v>
      </c>
      <c r="E1134" s="7" t="s">
        <v>79</v>
      </c>
      <c r="F1134" s="7" t="s">
        <v>42</v>
      </c>
      <c r="G1134" s="7" t="s">
        <v>89</v>
      </c>
      <c r="H1134" s="7">
        <v>4</v>
      </c>
      <c r="I1134" s="2">
        <v>1071.8599999999999</v>
      </c>
      <c r="J1134" s="2">
        <f>Tabla2[[#This Row],[Quantity]]*I1134</f>
        <v>4287.4399999999996</v>
      </c>
      <c r="K1134" s="6">
        <f>MONTH(Tabla2[[#This Row],[OrderDate]])</f>
        <v>8</v>
      </c>
      <c r="L1134" s="6">
        <f>YEAR(Tabla2[[#This Row],[OrderDate]])</f>
        <v>2025</v>
      </c>
      <c r="M1134" s="7" t="s">
        <v>2331</v>
      </c>
      <c r="N1134" s="7" t="s">
        <v>28</v>
      </c>
    </row>
    <row r="1135" spans="1:14" x14ac:dyDescent="0.35">
      <c r="A1135" s="7" t="s">
        <v>2332</v>
      </c>
      <c r="B1135" s="7" t="s">
        <v>738</v>
      </c>
      <c r="C1135" s="7" t="s">
        <v>739</v>
      </c>
      <c r="D1135" s="7" t="s">
        <v>40</v>
      </c>
      <c r="E1135" s="7" t="s">
        <v>79</v>
      </c>
      <c r="F1135" s="7" t="s">
        <v>42</v>
      </c>
      <c r="G1135" s="7" t="s">
        <v>80</v>
      </c>
      <c r="H1135" s="7">
        <v>1</v>
      </c>
      <c r="I1135" s="2">
        <v>1433.46</v>
      </c>
      <c r="J1135" s="2">
        <f>Tabla2[[#This Row],[Quantity]]*I1135</f>
        <v>1433.46</v>
      </c>
      <c r="K1135" s="6">
        <f>MONTH(Tabla2[[#This Row],[OrderDate]])</f>
        <v>9</v>
      </c>
      <c r="L1135" s="6">
        <f>YEAR(Tabla2[[#This Row],[OrderDate]])</f>
        <v>2025</v>
      </c>
      <c r="M1135" s="7" t="s">
        <v>2076</v>
      </c>
      <c r="N1135" s="7" t="s">
        <v>19</v>
      </c>
    </row>
    <row r="1136" spans="1:14" x14ac:dyDescent="0.35">
      <c r="A1136" s="7" t="s">
        <v>2333</v>
      </c>
      <c r="B1136" s="7" t="s">
        <v>1131</v>
      </c>
      <c r="C1136" s="7" t="s">
        <v>1132</v>
      </c>
      <c r="D1136" s="7" t="s">
        <v>40</v>
      </c>
      <c r="E1136" s="7" t="s">
        <v>41</v>
      </c>
      <c r="F1136" s="7" t="s">
        <v>101</v>
      </c>
      <c r="G1136" s="7" t="s">
        <v>649</v>
      </c>
      <c r="H1136" s="7">
        <v>2</v>
      </c>
      <c r="I1136" s="2">
        <v>870.08</v>
      </c>
      <c r="J1136" s="2">
        <f>Tabla2[[#This Row],[Quantity]]*I1136</f>
        <v>1740.16</v>
      </c>
      <c r="K1136" s="6">
        <f>MONTH(Tabla2[[#This Row],[OrderDate]])</f>
        <v>12</v>
      </c>
      <c r="L1136" s="6">
        <f>YEAR(Tabla2[[#This Row],[OrderDate]])</f>
        <v>2025</v>
      </c>
      <c r="M1136" s="7" t="s">
        <v>2334</v>
      </c>
      <c r="N1136" s="7" t="s">
        <v>45</v>
      </c>
    </row>
    <row r="1137" spans="1:14" x14ac:dyDescent="0.35">
      <c r="A1137" s="7" t="s">
        <v>2335</v>
      </c>
      <c r="B1137" s="7" t="s">
        <v>1226</v>
      </c>
      <c r="C1137" s="7" t="s">
        <v>1227</v>
      </c>
      <c r="D1137" s="7" t="s">
        <v>32</v>
      </c>
      <c r="E1137" s="7" t="s">
        <v>61</v>
      </c>
      <c r="F1137" s="7" t="s">
        <v>42</v>
      </c>
      <c r="G1137" s="7" t="s">
        <v>225</v>
      </c>
      <c r="H1137" s="7">
        <v>2</v>
      </c>
      <c r="I1137" s="2">
        <v>20.3</v>
      </c>
      <c r="J1137" s="2">
        <f>Tabla2[[#This Row],[Quantity]]*I1137</f>
        <v>40.6</v>
      </c>
      <c r="K1137" s="6">
        <f>MONTH(Tabla2[[#This Row],[OrderDate]])</f>
        <v>3</v>
      </c>
      <c r="L1137" s="6">
        <f>YEAR(Tabla2[[#This Row],[OrderDate]])</f>
        <v>2026</v>
      </c>
      <c r="M1137" s="7" t="s">
        <v>2336</v>
      </c>
      <c r="N1137" s="7" t="s">
        <v>28</v>
      </c>
    </row>
    <row r="1138" spans="1:14" x14ac:dyDescent="0.35">
      <c r="A1138" s="7" t="s">
        <v>2337</v>
      </c>
      <c r="B1138" s="7" t="s">
        <v>1743</v>
      </c>
      <c r="C1138" s="7" t="s">
        <v>1744</v>
      </c>
      <c r="D1138" s="7" t="s">
        <v>67</v>
      </c>
      <c r="E1138" s="7" t="s">
        <v>68</v>
      </c>
      <c r="F1138" s="7" t="s">
        <v>42</v>
      </c>
      <c r="G1138" s="7" t="s">
        <v>80</v>
      </c>
      <c r="H1138" s="7">
        <v>3</v>
      </c>
      <c r="I1138" s="2">
        <v>1436.04</v>
      </c>
      <c r="J1138" s="2">
        <f>Tabla2[[#This Row],[Quantity]]*I1138</f>
        <v>4308.12</v>
      </c>
      <c r="K1138" s="6">
        <f>MONTH(Tabla2[[#This Row],[OrderDate]])</f>
        <v>6</v>
      </c>
      <c r="L1138" s="6">
        <f>YEAR(Tabla2[[#This Row],[OrderDate]])</f>
        <v>2025</v>
      </c>
      <c r="M1138" s="7" t="s">
        <v>2338</v>
      </c>
      <c r="N1138" s="7" t="s">
        <v>28</v>
      </c>
    </row>
    <row r="1139" spans="1:14" x14ac:dyDescent="0.35">
      <c r="A1139" s="7" t="s">
        <v>2339</v>
      </c>
      <c r="B1139" s="7" t="s">
        <v>65</v>
      </c>
      <c r="C1139" s="7" t="s">
        <v>66</v>
      </c>
      <c r="D1139" s="7" t="s">
        <v>40</v>
      </c>
      <c r="E1139" s="7" t="s">
        <v>41</v>
      </c>
      <c r="F1139" s="7" t="s">
        <v>16</v>
      </c>
      <c r="G1139" s="7" t="s">
        <v>182</v>
      </c>
      <c r="H1139" s="7">
        <v>3</v>
      </c>
      <c r="I1139" s="2">
        <v>1041.73</v>
      </c>
      <c r="J1139" s="2">
        <f>Tabla2[[#This Row],[Quantity]]*I1139</f>
        <v>3125.19</v>
      </c>
      <c r="K1139" s="6">
        <f>MONTH(Tabla2[[#This Row],[OrderDate]])</f>
        <v>5</v>
      </c>
      <c r="L1139" s="6">
        <f>YEAR(Tabla2[[#This Row],[OrderDate]])</f>
        <v>2025</v>
      </c>
      <c r="M1139" s="7" t="s">
        <v>2340</v>
      </c>
      <c r="N1139" s="7" t="s">
        <v>91</v>
      </c>
    </row>
    <row r="1140" spans="1:14" x14ac:dyDescent="0.35">
      <c r="A1140" s="7" t="s">
        <v>2341</v>
      </c>
      <c r="B1140" s="7" t="s">
        <v>925</v>
      </c>
      <c r="C1140" s="7" t="s">
        <v>926</v>
      </c>
      <c r="D1140" s="7" t="s">
        <v>67</v>
      </c>
      <c r="E1140" s="7" t="s">
        <v>68</v>
      </c>
      <c r="F1140" s="7" t="s">
        <v>25</v>
      </c>
      <c r="G1140" s="7" t="s">
        <v>34</v>
      </c>
      <c r="H1140" s="7">
        <v>3</v>
      </c>
      <c r="I1140" s="2">
        <v>530.67999999999995</v>
      </c>
      <c r="J1140" s="2">
        <f>Tabla2[[#This Row],[Quantity]]*I1140</f>
        <v>1592.04</v>
      </c>
      <c r="K1140" s="6">
        <f>MONTH(Tabla2[[#This Row],[OrderDate]])</f>
        <v>1</v>
      </c>
      <c r="L1140" s="6">
        <f>YEAR(Tabla2[[#This Row],[OrderDate]])</f>
        <v>2025</v>
      </c>
      <c r="M1140" s="7" t="s">
        <v>404</v>
      </c>
      <c r="N1140" s="7" t="s">
        <v>19</v>
      </c>
    </row>
    <row r="1141" spans="1:14" x14ac:dyDescent="0.35">
      <c r="A1141" s="7" t="s">
        <v>2342</v>
      </c>
      <c r="B1141" s="7" t="s">
        <v>206</v>
      </c>
      <c r="C1141" s="7" t="s">
        <v>207</v>
      </c>
      <c r="D1141" s="7" t="s">
        <v>67</v>
      </c>
      <c r="E1141" s="7" t="s">
        <v>130</v>
      </c>
      <c r="F1141" s="7" t="s">
        <v>101</v>
      </c>
      <c r="G1141" s="7" t="s">
        <v>237</v>
      </c>
      <c r="H1141" s="7">
        <v>4</v>
      </c>
      <c r="I1141" s="2">
        <v>679.53</v>
      </c>
      <c r="J1141" s="2">
        <f>Tabla2[[#This Row],[Quantity]]*I1141</f>
        <v>2718.12</v>
      </c>
      <c r="K1141" s="6">
        <f>MONTH(Tabla2[[#This Row],[OrderDate]])</f>
        <v>1</v>
      </c>
      <c r="L1141" s="6">
        <f>YEAR(Tabla2[[#This Row],[OrderDate]])</f>
        <v>2026</v>
      </c>
      <c r="M1141" s="7" t="s">
        <v>1048</v>
      </c>
      <c r="N1141" s="7" t="s">
        <v>19</v>
      </c>
    </row>
    <row r="1142" spans="1:14" x14ac:dyDescent="0.35">
      <c r="A1142" s="7" t="s">
        <v>2343</v>
      </c>
      <c r="B1142" s="7" t="s">
        <v>690</v>
      </c>
      <c r="C1142" s="7" t="s">
        <v>691</v>
      </c>
      <c r="D1142" s="7" t="s">
        <v>23</v>
      </c>
      <c r="E1142" s="7" t="s">
        <v>24</v>
      </c>
      <c r="F1142" s="7" t="s">
        <v>16</v>
      </c>
      <c r="G1142" s="7" t="s">
        <v>182</v>
      </c>
      <c r="H1142" s="7">
        <v>5</v>
      </c>
      <c r="I1142" s="2">
        <v>298.82</v>
      </c>
      <c r="J1142" s="2">
        <f>Tabla2[[#This Row],[Quantity]]*I1142</f>
        <v>1494.1</v>
      </c>
      <c r="K1142" s="6">
        <f>MONTH(Tabla2[[#This Row],[OrderDate]])</f>
        <v>5</v>
      </c>
      <c r="L1142" s="6">
        <f>YEAR(Tabla2[[#This Row],[OrderDate]])</f>
        <v>2024</v>
      </c>
      <c r="M1142" s="7" t="s">
        <v>1803</v>
      </c>
      <c r="N1142" s="7" t="s">
        <v>28</v>
      </c>
    </row>
    <row r="1143" spans="1:14" x14ac:dyDescent="0.35">
      <c r="A1143" s="7" t="s">
        <v>2344</v>
      </c>
      <c r="B1143" s="7" t="s">
        <v>1532</v>
      </c>
      <c r="C1143" s="7" t="s">
        <v>1533</v>
      </c>
      <c r="D1143" s="7" t="s">
        <v>23</v>
      </c>
      <c r="E1143" s="7" t="s">
        <v>338</v>
      </c>
      <c r="F1143" s="7" t="s">
        <v>25</v>
      </c>
      <c r="G1143" s="7" t="s">
        <v>139</v>
      </c>
      <c r="H1143" s="7">
        <v>1</v>
      </c>
      <c r="I1143" s="2">
        <v>1122.95</v>
      </c>
      <c r="J1143" s="2">
        <f>Tabla2[[#This Row],[Quantity]]*I1143</f>
        <v>1122.95</v>
      </c>
      <c r="K1143" s="6">
        <f>MONTH(Tabla2[[#This Row],[OrderDate]])</f>
        <v>7</v>
      </c>
      <c r="L1143" s="6">
        <f>YEAR(Tabla2[[#This Row],[OrderDate]])</f>
        <v>2024</v>
      </c>
      <c r="M1143" s="7" t="s">
        <v>534</v>
      </c>
      <c r="N1143" s="7" t="s">
        <v>19</v>
      </c>
    </row>
    <row r="1144" spans="1:14" x14ac:dyDescent="0.35">
      <c r="A1144" s="7" t="s">
        <v>2345</v>
      </c>
      <c r="B1144" s="7" t="s">
        <v>832</v>
      </c>
      <c r="C1144" s="7" t="s">
        <v>833</v>
      </c>
      <c r="D1144" s="7" t="s">
        <v>32</v>
      </c>
      <c r="E1144" s="7" t="s">
        <v>203</v>
      </c>
      <c r="F1144" s="7" t="s">
        <v>16</v>
      </c>
      <c r="G1144" s="7" t="s">
        <v>17</v>
      </c>
      <c r="H1144" s="7">
        <v>1</v>
      </c>
      <c r="I1144" s="2">
        <v>1142.19</v>
      </c>
      <c r="J1144" s="2">
        <f>Tabla2[[#This Row],[Quantity]]*I1144</f>
        <v>1142.19</v>
      </c>
      <c r="K1144" s="6">
        <f>MONTH(Tabla2[[#This Row],[OrderDate]])</f>
        <v>2</v>
      </c>
      <c r="L1144" s="6">
        <f>YEAR(Tabla2[[#This Row],[OrderDate]])</f>
        <v>2025</v>
      </c>
      <c r="M1144" s="7" t="s">
        <v>1224</v>
      </c>
      <c r="N1144" s="7" t="s">
        <v>45</v>
      </c>
    </row>
    <row r="1145" spans="1:14" x14ac:dyDescent="0.35">
      <c r="A1145" s="7" t="s">
        <v>2346</v>
      </c>
      <c r="B1145" s="7" t="s">
        <v>321</v>
      </c>
      <c r="C1145" s="7" t="s">
        <v>322</v>
      </c>
      <c r="D1145" s="7" t="s">
        <v>40</v>
      </c>
      <c r="E1145" s="7" t="s">
        <v>120</v>
      </c>
      <c r="F1145" s="7" t="s">
        <v>16</v>
      </c>
      <c r="G1145" s="7" t="s">
        <v>17</v>
      </c>
      <c r="H1145" s="7">
        <v>3</v>
      </c>
      <c r="I1145" s="2">
        <v>882.18</v>
      </c>
      <c r="J1145" s="2">
        <f>Tabla2[[#This Row],[Quantity]]*I1145</f>
        <v>2646.54</v>
      </c>
      <c r="K1145" s="6">
        <f>MONTH(Tabla2[[#This Row],[OrderDate]])</f>
        <v>8</v>
      </c>
      <c r="L1145" s="6">
        <f>YEAR(Tabla2[[#This Row],[OrderDate]])</f>
        <v>2025</v>
      </c>
      <c r="M1145" s="7" t="s">
        <v>830</v>
      </c>
      <c r="N1145" s="7" t="s">
        <v>19</v>
      </c>
    </row>
    <row r="1146" spans="1:14" x14ac:dyDescent="0.35">
      <c r="A1146" s="7" t="s">
        <v>2347</v>
      </c>
      <c r="B1146" s="7" t="s">
        <v>2348</v>
      </c>
      <c r="C1146" s="7" t="s">
        <v>2349</v>
      </c>
      <c r="D1146" s="7" t="s">
        <v>23</v>
      </c>
      <c r="E1146" s="7" t="s">
        <v>24</v>
      </c>
      <c r="F1146" s="7" t="s">
        <v>101</v>
      </c>
      <c r="G1146" s="7" t="s">
        <v>373</v>
      </c>
      <c r="H1146" s="7">
        <v>5</v>
      </c>
      <c r="I1146" s="2">
        <v>1026.4100000000001</v>
      </c>
      <c r="J1146" s="2">
        <f>Tabla2[[#This Row],[Quantity]]*I1146</f>
        <v>5132.05</v>
      </c>
      <c r="K1146" s="6">
        <f>MONTH(Tabla2[[#This Row],[OrderDate]])</f>
        <v>10</v>
      </c>
      <c r="L1146" s="6">
        <f>YEAR(Tabla2[[#This Row],[OrderDate]])</f>
        <v>2025</v>
      </c>
      <c r="M1146" s="7" t="s">
        <v>2000</v>
      </c>
      <c r="N1146" s="7" t="s">
        <v>45</v>
      </c>
    </row>
    <row r="1147" spans="1:14" x14ac:dyDescent="0.35">
      <c r="A1147" s="7" t="s">
        <v>2350</v>
      </c>
      <c r="B1147" s="7" t="s">
        <v>54</v>
      </c>
      <c r="C1147" s="7" t="s">
        <v>55</v>
      </c>
      <c r="D1147" s="7" t="s">
        <v>14</v>
      </c>
      <c r="E1147" s="7" t="s">
        <v>125</v>
      </c>
      <c r="F1147" s="7" t="s">
        <v>16</v>
      </c>
      <c r="G1147" s="7" t="s">
        <v>177</v>
      </c>
      <c r="H1147" s="7">
        <v>5</v>
      </c>
      <c r="I1147" s="2">
        <v>1191.57</v>
      </c>
      <c r="J1147" s="2">
        <f>Tabla2[[#This Row],[Quantity]]*I1147</f>
        <v>5957.8499999999995</v>
      </c>
      <c r="K1147" s="6">
        <f>MONTH(Tabla2[[#This Row],[OrderDate]])</f>
        <v>3</v>
      </c>
      <c r="L1147" s="6">
        <f>YEAR(Tabla2[[#This Row],[OrderDate]])</f>
        <v>2026</v>
      </c>
      <c r="M1147" s="7" t="s">
        <v>1116</v>
      </c>
      <c r="N1147" s="7" t="s">
        <v>36</v>
      </c>
    </row>
    <row r="1148" spans="1:14" x14ac:dyDescent="0.35">
      <c r="A1148" s="7" t="s">
        <v>2351</v>
      </c>
      <c r="B1148" s="7" t="s">
        <v>707</v>
      </c>
      <c r="C1148" s="7" t="s">
        <v>708</v>
      </c>
      <c r="D1148" s="7" t="s">
        <v>40</v>
      </c>
      <c r="E1148" s="7" t="s">
        <v>41</v>
      </c>
      <c r="F1148" s="7" t="s">
        <v>16</v>
      </c>
      <c r="G1148" s="7" t="s">
        <v>177</v>
      </c>
      <c r="H1148" s="7">
        <v>4</v>
      </c>
      <c r="I1148" s="2">
        <v>914.43</v>
      </c>
      <c r="J1148" s="2">
        <f>Tabla2[[#This Row],[Quantity]]*I1148</f>
        <v>3657.72</v>
      </c>
      <c r="K1148" s="6">
        <f>MONTH(Tabla2[[#This Row],[OrderDate]])</f>
        <v>6</v>
      </c>
      <c r="L1148" s="6">
        <f>YEAR(Tabla2[[#This Row],[OrderDate]])</f>
        <v>2024</v>
      </c>
      <c r="M1148" s="7" t="s">
        <v>896</v>
      </c>
      <c r="N1148" s="7" t="s">
        <v>36</v>
      </c>
    </row>
    <row r="1149" spans="1:14" x14ac:dyDescent="0.35">
      <c r="A1149" s="7" t="s">
        <v>2352</v>
      </c>
      <c r="B1149" s="7" t="s">
        <v>707</v>
      </c>
      <c r="C1149" s="7" t="s">
        <v>708</v>
      </c>
      <c r="D1149" s="7" t="s">
        <v>40</v>
      </c>
      <c r="E1149" s="7" t="s">
        <v>79</v>
      </c>
      <c r="F1149" s="7" t="s">
        <v>25</v>
      </c>
      <c r="G1149" s="7" t="s">
        <v>74</v>
      </c>
      <c r="H1149" s="7">
        <v>1</v>
      </c>
      <c r="I1149" s="2">
        <v>253.91</v>
      </c>
      <c r="J1149" s="2">
        <f>Tabla2[[#This Row],[Quantity]]*I1149</f>
        <v>253.91</v>
      </c>
      <c r="K1149" s="6">
        <f>MONTH(Tabla2[[#This Row],[OrderDate]])</f>
        <v>3</v>
      </c>
      <c r="L1149" s="6">
        <f>YEAR(Tabla2[[#This Row],[OrderDate]])</f>
        <v>2024</v>
      </c>
      <c r="M1149" s="7" t="s">
        <v>452</v>
      </c>
      <c r="N1149" s="7" t="s">
        <v>45</v>
      </c>
    </row>
    <row r="1150" spans="1:14" x14ac:dyDescent="0.35">
      <c r="A1150" s="7" t="s">
        <v>2353</v>
      </c>
      <c r="B1150" s="7" t="s">
        <v>333</v>
      </c>
      <c r="C1150" s="7" t="s">
        <v>334</v>
      </c>
      <c r="D1150" s="7" t="s">
        <v>67</v>
      </c>
      <c r="E1150" s="7" t="s">
        <v>68</v>
      </c>
      <c r="F1150" s="7" t="s">
        <v>101</v>
      </c>
      <c r="G1150" s="7" t="s">
        <v>237</v>
      </c>
      <c r="H1150" s="7">
        <v>5</v>
      </c>
      <c r="I1150" s="2">
        <v>985.62</v>
      </c>
      <c r="J1150" s="2">
        <f>Tabla2[[#This Row],[Quantity]]*I1150</f>
        <v>4928.1000000000004</v>
      </c>
      <c r="K1150" s="6">
        <f>MONTH(Tabla2[[#This Row],[OrderDate]])</f>
        <v>7</v>
      </c>
      <c r="L1150" s="6">
        <f>YEAR(Tabla2[[#This Row],[OrderDate]])</f>
        <v>2024</v>
      </c>
      <c r="M1150" s="7" t="s">
        <v>2354</v>
      </c>
      <c r="N1150" s="7" t="s">
        <v>45</v>
      </c>
    </row>
    <row r="1151" spans="1:14" x14ac:dyDescent="0.35">
      <c r="A1151" s="7" t="s">
        <v>2355</v>
      </c>
      <c r="B1151" s="7" t="s">
        <v>1438</v>
      </c>
      <c r="C1151" s="7" t="s">
        <v>1439</v>
      </c>
      <c r="D1151" s="7" t="s">
        <v>14</v>
      </c>
      <c r="E1151" s="7" t="s">
        <v>125</v>
      </c>
      <c r="F1151" s="7" t="s">
        <v>16</v>
      </c>
      <c r="G1151" s="7" t="s">
        <v>177</v>
      </c>
      <c r="H1151" s="7">
        <v>5</v>
      </c>
      <c r="I1151" s="2">
        <v>492.6</v>
      </c>
      <c r="J1151" s="2">
        <f>Tabla2[[#This Row],[Quantity]]*I1151</f>
        <v>2463</v>
      </c>
      <c r="K1151" s="6">
        <f>MONTH(Tabla2[[#This Row],[OrderDate]])</f>
        <v>3</v>
      </c>
      <c r="L1151" s="6">
        <f>YEAR(Tabla2[[#This Row],[OrderDate]])</f>
        <v>2026</v>
      </c>
      <c r="M1151" s="7" t="s">
        <v>2230</v>
      </c>
      <c r="N1151" s="7" t="s">
        <v>45</v>
      </c>
    </row>
    <row r="1152" spans="1:14" x14ac:dyDescent="0.35">
      <c r="A1152" s="7" t="s">
        <v>2356</v>
      </c>
      <c r="B1152" s="7" t="s">
        <v>341</v>
      </c>
      <c r="C1152" s="7" t="s">
        <v>342</v>
      </c>
      <c r="D1152" s="7" t="s">
        <v>14</v>
      </c>
      <c r="E1152" s="7" t="s">
        <v>125</v>
      </c>
      <c r="F1152" s="7" t="s">
        <v>16</v>
      </c>
      <c r="G1152" s="7" t="s">
        <v>17</v>
      </c>
      <c r="H1152" s="7">
        <v>1</v>
      </c>
      <c r="I1152" s="2">
        <v>521.42999999999995</v>
      </c>
      <c r="J1152" s="2">
        <f>Tabla2[[#This Row],[Quantity]]*I1152</f>
        <v>521.42999999999995</v>
      </c>
      <c r="K1152" s="6">
        <f>MONTH(Tabla2[[#This Row],[OrderDate]])</f>
        <v>3</v>
      </c>
      <c r="L1152" s="6">
        <f>YEAR(Tabla2[[#This Row],[OrderDate]])</f>
        <v>2024</v>
      </c>
      <c r="M1152" s="7" t="s">
        <v>1731</v>
      </c>
      <c r="N1152" s="7" t="s">
        <v>19</v>
      </c>
    </row>
    <row r="1153" spans="1:14" x14ac:dyDescent="0.35">
      <c r="A1153" s="7" t="s">
        <v>2357</v>
      </c>
      <c r="B1153" s="7" t="s">
        <v>248</v>
      </c>
      <c r="C1153" s="7" t="s">
        <v>249</v>
      </c>
      <c r="D1153" s="7" t="s">
        <v>40</v>
      </c>
      <c r="E1153" s="7" t="s">
        <v>41</v>
      </c>
      <c r="F1153" s="7" t="s">
        <v>50</v>
      </c>
      <c r="G1153" s="7" t="s">
        <v>216</v>
      </c>
      <c r="H1153" s="7">
        <v>1</v>
      </c>
      <c r="I1153" s="2">
        <v>374.6</v>
      </c>
      <c r="J1153" s="2">
        <f>Tabla2[[#This Row],[Quantity]]*I1153</f>
        <v>374.6</v>
      </c>
      <c r="K1153" s="6">
        <f>MONTH(Tabla2[[#This Row],[OrderDate]])</f>
        <v>7</v>
      </c>
      <c r="L1153" s="6">
        <f>YEAR(Tabla2[[#This Row],[OrderDate]])</f>
        <v>2025</v>
      </c>
      <c r="M1153" s="7" t="s">
        <v>572</v>
      </c>
      <c r="N1153" s="7" t="s">
        <v>19</v>
      </c>
    </row>
    <row r="1154" spans="1:14" x14ac:dyDescent="0.35">
      <c r="A1154" s="7" t="s">
        <v>2358</v>
      </c>
      <c r="B1154" s="7" t="s">
        <v>464</v>
      </c>
      <c r="C1154" s="7" t="s">
        <v>465</v>
      </c>
      <c r="D1154" s="7" t="s">
        <v>67</v>
      </c>
      <c r="E1154" s="7" t="s">
        <v>68</v>
      </c>
      <c r="F1154" s="7" t="s">
        <v>25</v>
      </c>
      <c r="G1154" s="7" t="s">
        <v>139</v>
      </c>
      <c r="H1154" s="7">
        <v>2</v>
      </c>
      <c r="I1154" s="2">
        <v>1147.9100000000001</v>
      </c>
      <c r="J1154" s="2">
        <f>Tabla2[[#This Row],[Quantity]]*I1154</f>
        <v>2295.8200000000002</v>
      </c>
      <c r="K1154" s="6">
        <f>MONTH(Tabla2[[#This Row],[OrderDate]])</f>
        <v>8</v>
      </c>
      <c r="L1154" s="6">
        <f>YEAR(Tabla2[[#This Row],[OrderDate]])</f>
        <v>2025</v>
      </c>
      <c r="M1154" s="7" t="s">
        <v>1553</v>
      </c>
      <c r="N1154" s="7" t="s">
        <v>19</v>
      </c>
    </row>
    <row r="1155" spans="1:14" x14ac:dyDescent="0.35">
      <c r="A1155" s="7" t="s">
        <v>2359</v>
      </c>
      <c r="B1155" s="7" t="s">
        <v>658</v>
      </c>
      <c r="C1155" s="7" t="s">
        <v>659</v>
      </c>
      <c r="D1155" s="7" t="s">
        <v>67</v>
      </c>
      <c r="E1155" s="7" t="s">
        <v>68</v>
      </c>
      <c r="F1155" s="7" t="s">
        <v>50</v>
      </c>
      <c r="G1155" s="7" t="s">
        <v>170</v>
      </c>
      <c r="H1155" s="7">
        <v>2</v>
      </c>
      <c r="I1155" s="2">
        <v>655.29</v>
      </c>
      <c r="J1155" s="2">
        <f>Tabla2[[#This Row],[Quantity]]*I1155</f>
        <v>1310.58</v>
      </c>
      <c r="K1155" s="6">
        <f>MONTH(Tabla2[[#This Row],[OrderDate]])</f>
        <v>6</v>
      </c>
      <c r="L1155" s="6">
        <f>YEAR(Tabla2[[#This Row],[OrderDate]])</f>
        <v>2025</v>
      </c>
      <c r="M1155" s="7" t="s">
        <v>2054</v>
      </c>
      <c r="N1155" s="7" t="s">
        <v>28</v>
      </c>
    </row>
    <row r="1156" spans="1:14" x14ac:dyDescent="0.35">
      <c r="A1156" s="7" t="s">
        <v>2360</v>
      </c>
      <c r="B1156" s="7" t="s">
        <v>406</v>
      </c>
      <c r="C1156" s="7" t="s">
        <v>407</v>
      </c>
      <c r="D1156" s="7" t="s">
        <v>40</v>
      </c>
      <c r="E1156" s="7" t="s">
        <v>41</v>
      </c>
      <c r="F1156" s="7" t="s">
        <v>42</v>
      </c>
      <c r="G1156" s="7" t="s">
        <v>80</v>
      </c>
      <c r="H1156" s="7">
        <v>2</v>
      </c>
      <c r="I1156" s="2">
        <v>612.12</v>
      </c>
      <c r="J1156" s="2">
        <f>Tabla2[[#This Row],[Quantity]]*I1156</f>
        <v>1224.24</v>
      </c>
      <c r="K1156" s="6">
        <f>MONTH(Tabla2[[#This Row],[OrderDate]])</f>
        <v>10</v>
      </c>
      <c r="L1156" s="6">
        <f>YEAR(Tabla2[[#This Row],[OrderDate]])</f>
        <v>2025</v>
      </c>
      <c r="M1156" s="7" t="s">
        <v>1892</v>
      </c>
      <c r="N1156" s="7" t="s">
        <v>28</v>
      </c>
    </row>
    <row r="1157" spans="1:14" x14ac:dyDescent="0.35">
      <c r="A1157" s="7" t="s">
        <v>2361</v>
      </c>
      <c r="B1157" s="7" t="s">
        <v>514</v>
      </c>
      <c r="C1157" s="7" t="s">
        <v>515</v>
      </c>
      <c r="D1157" s="7" t="s">
        <v>67</v>
      </c>
      <c r="E1157" s="7" t="s">
        <v>115</v>
      </c>
      <c r="F1157" s="7" t="s">
        <v>101</v>
      </c>
      <c r="G1157" s="7" t="s">
        <v>165</v>
      </c>
      <c r="H1157" s="7">
        <v>2</v>
      </c>
      <c r="I1157" s="2">
        <v>782.77</v>
      </c>
      <c r="J1157" s="2">
        <f>Tabla2[[#This Row],[Quantity]]*I1157</f>
        <v>1565.54</v>
      </c>
      <c r="K1157" s="6">
        <f>MONTH(Tabla2[[#This Row],[OrderDate]])</f>
        <v>6</v>
      </c>
      <c r="L1157" s="6">
        <f>YEAR(Tabla2[[#This Row],[OrderDate]])</f>
        <v>2024</v>
      </c>
      <c r="M1157" s="7" t="s">
        <v>2362</v>
      </c>
      <c r="N1157" s="7" t="s">
        <v>45</v>
      </c>
    </row>
    <row r="1158" spans="1:14" x14ac:dyDescent="0.35">
      <c r="A1158" s="7" t="s">
        <v>2363</v>
      </c>
      <c r="B1158" s="7" t="s">
        <v>548</v>
      </c>
      <c r="C1158" s="7" t="s">
        <v>549</v>
      </c>
      <c r="D1158" s="7" t="s">
        <v>14</v>
      </c>
      <c r="E1158" s="7" t="s">
        <v>266</v>
      </c>
      <c r="F1158" s="7" t="s">
        <v>50</v>
      </c>
      <c r="G1158" s="7" t="s">
        <v>51</v>
      </c>
      <c r="H1158" s="7">
        <v>3</v>
      </c>
      <c r="I1158" s="2">
        <v>441.34</v>
      </c>
      <c r="J1158" s="2">
        <f>Tabla2[[#This Row],[Quantity]]*I1158</f>
        <v>1324.02</v>
      </c>
      <c r="K1158" s="6">
        <f>MONTH(Tabla2[[#This Row],[OrderDate]])</f>
        <v>3</v>
      </c>
      <c r="L1158" s="6">
        <f>YEAR(Tabla2[[#This Row],[OrderDate]])</f>
        <v>2026</v>
      </c>
      <c r="M1158" s="7" t="s">
        <v>985</v>
      </c>
      <c r="N1158" s="7" t="s">
        <v>28</v>
      </c>
    </row>
    <row r="1159" spans="1:14" x14ac:dyDescent="0.35">
      <c r="A1159" s="7" t="s">
        <v>2364</v>
      </c>
      <c r="B1159" s="7" t="s">
        <v>838</v>
      </c>
      <c r="C1159" s="7" t="s">
        <v>839</v>
      </c>
      <c r="D1159" s="7" t="s">
        <v>32</v>
      </c>
      <c r="E1159" s="7" t="s">
        <v>203</v>
      </c>
      <c r="F1159" s="7" t="s">
        <v>42</v>
      </c>
      <c r="G1159" s="7" t="s">
        <v>170</v>
      </c>
      <c r="H1159" s="7">
        <v>4</v>
      </c>
      <c r="I1159" s="2">
        <v>211.21</v>
      </c>
      <c r="J1159" s="2">
        <f>Tabla2[[#This Row],[Quantity]]*I1159</f>
        <v>844.84</v>
      </c>
      <c r="K1159" s="6">
        <f>MONTH(Tabla2[[#This Row],[OrderDate]])</f>
        <v>8</v>
      </c>
      <c r="L1159" s="6">
        <f>YEAR(Tabla2[[#This Row],[OrderDate]])</f>
        <v>2025</v>
      </c>
      <c r="M1159" s="7" t="s">
        <v>1007</v>
      </c>
      <c r="N1159" s="7" t="s">
        <v>19</v>
      </c>
    </row>
    <row r="1160" spans="1:14" x14ac:dyDescent="0.35">
      <c r="A1160" s="7" t="s">
        <v>2365</v>
      </c>
      <c r="B1160" s="7" t="s">
        <v>1743</v>
      </c>
      <c r="C1160" s="7" t="s">
        <v>1744</v>
      </c>
      <c r="D1160" s="7" t="s">
        <v>14</v>
      </c>
      <c r="E1160" s="7" t="s">
        <v>266</v>
      </c>
      <c r="F1160" s="7" t="s">
        <v>101</v>
      </c>
      <c r="G1160" s="7" t="s">
        <v>237</v>
      </c>
      <c r="H1160" s="7">
        <v>3</v>
      </c>
      <c r="I1160" s="2">
        <v>1186.9100000000001</v>
      </c>
      <c r="J1160" s="2">
        <f>Tabla2[[#This Row],[Quantity]]*I1160</f>
        <v>3560.7300000000005</v>
      </c>
      <c r="K1160" s="6">
        <f>MONTH(Tabla2[[#This Row],[OrderDate]])</f>
        <v>2</v>
      </c>
      <c r="L1160" s="6">
        <f>YEAR(Tabla2[[#This Row],[OrderDate]])</f>
        <v>2026</v>
      </c>
      <c r="M1160" s="7" t="s">
        <v>1367</v>
      </c>
      <c r="N1160" s="7" t="s">
        <v>19</v>
      </c>
    </row>
    <row r="1161" spans="1:14" x14ac:dyDescent="0.35">
      <c r="A1161" s="7" t="s">
        <v>2366</v>
      </c>
      <c r="B1161" s="7" t="s">
        <v>797</v>
      </c>
      <c r="C1161" s="7" t="s">
        <v>798</v>
      </c>
      <c r="D1161" s="7" t="s">
        <v>67</v>
      </c>
      <c r="E1161" s="7" t="s">
        <v>68</v>
      </c>
      <c r="F1161" s="7" t="s">
        <v>16</v>
      </c>
      <c r="G1161" s="7" t="s">
        <v>230</v>
      </c>
      <c r="H1161" s="7">
        <v>4</v>
      </c>
      <c r="I1161" s="2">
        <v>1470.69</v>
      </c>
      <c r="J1161" s="2">
        <f>Tabla2[[#This Row],[Quantity]]*I1161</f>
        <v>5882.76</v>
      </c>
      <c r="K1161" s="6">
        <f>MONTH(Tabla2[[#This Row],[OrderDate]])</f>
        <v>11</v>
      </c>
      <c r="L1161" s="6">
        <f>YEAR(Tabla2[[#This Row],[OrderDate]])</f>
        <v>2024</v>
      </c>
      <c r="M1161" s="7" t="s">
        <v>2100</v>
      </c>
      <c r="N1161" s="7" t="s">
        <v>91</v>
      </c>
    </row>
    <row r="1162" spans="1:14" x14ac:dyDescent="0.35">
      <c r="A1162" s="7" t="s">
        <v>2367</v>
      </c>
      <c r="B1162" s="7" t="s">
        <v>1278</v>
      </c>
      <c r="C1162" s="7" t="s">
        <v>1279</v>
      </c>
      <c r="D1162" s="7" t="s">
        <v>14</v>
      </c>
      <c r="E1162" s="7" t="s">
        <v>125</v>
      </c>
      <c r="F1162" s="7" t="s">
        <v>25</v>
      </c>
      <c r="G1162" s="7" t="s">
        <v>74</v>
      </c>
      <c r="H1162" s="7">
        <v>2</v>
      </c>
      <c r="I1162" s="2">
        <v>1123.77</v>
      </c>
      <c r="J1162" s="2">
        <f>Tabla2[[#This Row],[Quantity]]*I1162</f>
        <v>2247.54</v>
      </c>
      <c r="K1162" s="6">
        <f>MONTH(Tabla2[[#This Row],[OrderDate]])</f>
        <v>9</v>
      </c>
      <c r="L1162" s="6">
        <f>YEAR(Tabla2[[#This Row],[OrderDate]])</f>
        <v>2024</v>
      </c>
      <c r="M1162" s="7" t="s">
        <v>1754</v>
      </c>
      <c r="N1162" s="7" t="s">
        <v>91</v>
      </c>
    </row>
    <row r="1163" spans="1:14" x14ac:dyDescent="0.35">
      <c r="A1163" s="7" t="s">
        <v>2368</v>
      </c>
      <c r="B1163" s="7" t="s">
        <v>864</v>
      </c>
      <c r="C1163" s="7" t="s">
        <v>865</v>
      </c>
      <c r="D1163" s="7" t="s">
        <v>14</v>
      </c>
      <c r="E1163" s="7" t="s">
        <v>125</v>
      </c>
      <c r="F1163" s="7" t="s">
        <v>25</v>
      </c>
      <c r="G1163" s="7" t="s">
        <v>34</v>
      </c>
      <c r="H1163" s="7">
        <v>1</v>
      </c>
      <c r="I1163" s="2">
        <v>11.36</v>
      </c>
      <c r="J1163" s="2">
        <f>Tabla2[[#This Row],[Quantity]]*I1163</f>
        <v>11.36</v>
      </c>
      <c r="K1163" s="6">
        <f>MONTH(Tabla2[[#This Row],[OrderDate]])</f>
        <v>1</v>
      </c>
      <c r="L1163" s="6">
        <f>YEAR(Tabla2[[#This Row],[OrderDate]])</f>
        <v>2024</v>
      </c>
      <c r="M1163" s="7" t="s">
        <v>75</v>
      </c>
      <c r="N1163" s="7" t="s">
        <v>45</v>
      </c>
    </row>
    <row r="1164" spans="1:14" x14ac:dyDescent="0.35">
      <c r="A1164" s="7" t="s">
        <v>2369</v>
      </c>
      <c r="B1164" s="7" t="s">
        <v>72</v>
      </c>
      <c r="C1164" s="7" t="s">
        <v>73</v>
      </c>
      <c r="D1164" s="7" t="s">
        <v>40</v>
      </c>
      <c r="E1164" s="7" t="s">
        <v>79</v>
      </c>
      <c r="F1164" s="7" t="s">
        <v>101</v>
      </c>
      <c r="G1164" s="7" t="s">
        <v>373</v>
      </c>
      <c r="H1164" s="7">
        <v>1</v>
      </c>
      <c r="I1164" s="2">
        <v>1458.24</v>
      </c>
      <c r="J1164" s="2">
        <f>Tabla2[[#This Row],[Quantity]]*I1164</f>
        <v>1458.24</v>
      </c>
      <c r="K1164" s="6">
        <f>MONTH(Tabla2[[#This Row],[OrderDate]])</f>
        <v>8</v>
      </c>
      <c r="L1164" s="6">
        <f>YEAR(Tabla2[[#This Row],[OrderDate]])</f>
        <v>2025</v>
      </c>
      <c r="M1164" s="7" t="s">
        <v>1344</v>
      </c>
      <c r="N1164" s="7" t="s">
        <v>28</v>
      </c>
    </row>
    <row r="1165" spans="1:14" x14ac:dyDescent="0.35">
      <c r="A1165" s="7" t="s">
        <v>2370</v>
      </c>
      <c r="B1165" s="7" t="s">
        <v>1516</v>
      </c>
      <c r="C1165" s="7" t="s">
        <v>1517</v>
      </c>
      <c r="D1165" s="7" t="s">
        <v>40</v>
      </c>
      <c r="E1165" s="7" t="s">
        <v>120</v>
      </c>
      <c r="F1165" s="7" t="s">
        <v>50</v>
      </c>
      <c r="G1165" s="7" t="s">
        <v>216</v>
      </c>
      <c r="H1165" s="7">
        <v>1</v>
      </c>
      <c r="I1165" s="2">
        <v>646.91999999999996</v>
      </c>
      <c r="J1165" s="2">
        <f>Tabla2[[#This Row],[Quantity]]*I1165</f>
        <v>646.91999999999996</v>
      </c>
      <c r="K1165" s="6">
        <f>MONTH(Tabla2[[#This Row],[OrderDate]])</f>
        <v>3</v>
      </c>
      <c r="L1165" s="6">
        <f>YEAR(Tabla2[[#This Row],[OrderDate]])</f>
        <v>2024</v>
      </c>
      <c r="M1165" s="7" t="s">
        <v>2371</v>
      </c>
      <c r="N1165" s="7" t="s">
        <v>45</v>
      </c>
    </row>
    <row r="1166" spans="1:14" x14ac:dyDescent="0.35">
      <c r="A1166" s="7" t="s">
        <v>2372</v>
      </c>
      <c r="B1166" s="7" t="s">
        <v>738</v>
      </c>
      <c r="C1166" s="7" t="s">
        <v>739</v>
      </c>
      <c r="D1166" s="7" t="s">
        <v>40</v>
      </c>
      <c r="E1166" s="7" t="s">
        <v>120</v>
      </c>
      <c r="F1166" s="7" t="s">
        <v>42</v>
      </c>
      <c r="G1166" s="7" t="s">
        <v>170</v>
      </c>
      <c r="H1166" s="7">
        <v>5</v>
      </c>
      <c r="I1166" s="2">
        <v>407.1</v>
      </c>
      <c r="J1166" s="2">
        <f>Tabla2[[#This Row],[Quantity]]*I1166</f>
        <v>2035.5</v>
      </c>
      <c r="K1166" s="6">
        <f>MONTH(Tabla2[[#This Row],[OrderDate]])</f>
        <v>3</v>
      </c>
      <c r="L1166" s="6">
        <f>YEAR(Tabla2[[#This Row],[OrderDate]])</f>
        <v>2025</v>
      </c>
      <c r="M1166" s="7" t="s">
        <v>1338</v>
      </c>
      <c r="N1166" s="7" t="s">
        <v>36</v>
      </c>
    </row>
    <row r="1167" spans="1:14" x14ac:dyDescent="0.35">
      <c r="A1167" s="7" t="s">
        <v>2373</v>
      </c>
      <c r="B1167" s="7" t="s">
        <v>532</v>
      </c>
      <c r="C1167" s="7" t="s">
        <v>533</v>
      </c>
      <c r="D1167" s="7" t="s">
        <v>32</v>
      </c>
      <c r="E1167" s="7" t="s">
        <v>61</v>
      </c>
      <c r="F1167" s="7" t="s">
        <v>42</v>
      </c>
      <c r="G1167" s="7" t="s">
        <v>80</v>
      </c>
      <c r="H1167" s="7">
        <v>3</v>
      </c>
      <c r="I1167" s="2">
        <v>792.03</v>
      </c>
      <c r="J1167" s="2">
        <f>Tabla2[[#This Row],[Quantity]]*I1167</f>
        <v>2376.09</v>
      </c>
      <c r="K1167" s="6">
        <f>MONTH(Tabla2[[#This Row],[OrderDate]])</f>
        <v>8</v>
      </c>
      <c r="L1167" s="6">
        <f>YEAR(Tabla2[[#This Row],[OrderDate]])</f>
        <v>2025</v>
      </c>
      <c r="M1167" s="7" t="s">
        <v>600</v>
      </c>
      <c r="N1167" s="7" t="s">
        <v>28</v>
      </c>
    </row>
    <row r="1168" spans="1:14" x14ac:dyDescent="0.35">
      <c r="A1168" s="7" t="s">
        <v>2374</v>
      </c>
      <c r="B1168" s="7" t="s">
        <v>1159</v>
      </c>
      <c r="C1168" s="7" t="s">
        <v>1160</v>
      </c>
      <c r="D1168" s="7" t="s">
        <v>23</v>
      </c>
      <c r="E1168" s="7" t="s">
        <v>338</v>
      </c>
      <c r="F1168" s="7" t="s">
        <v>50</v>
      </c>
      <c r="G1168" s="7" t="s">
        <v>170</v>
      </c>
      <c r="H1168" s="7">
        <v>4</v>
      </c>
      <c r="I1168" s="2">
        <v>151.97</v>
      </c>
      <c r="J1168" s="2">
        <f>Tabla2[[#This Row],[Quantity]]*I1168</f>
        <v>607.88</v>
      </c>
      <c r="K1168" s="6">
        <f>MONTH(Tabla2[[#This Row],[OrderDate]])</f>
        <v>1</v>
      </c>
      <c r="L1168" s="6">
        <f>YEAR(Tabla2[[#This Row],[OrderDate]])</f>
        <v>2025</v>
      </c>
      <c r="M1168" s="7" t="s">
        <v>2164</v>
      </c>
      <c r="N1168" s="7" t="s">
        <v>36</v>
      </c>
    </row>
    <row r="1169" spans="1:14" x14ac:dyDescent="0.35">
      <c r="A1169" s="7" t="s">
        <v>2375</v>
      </c>
      <c r="B1169" s="7" t="s">
        <v>396</v>
      </c>
      <c r="C1169" s="7" t="s">
        <v>397</v>
      </c>
      <c r="D1169" s="7" t="s">
        <v>32</v>
      </c>
      <c r="E1169" s="7" t="s">
        <v>33</v>
      </c>
      <c r="F1169" s="7" t="s">
        <v>42</v>
      </c>
      <c r="G1169" s="7" t="s">
        <v>170</v>
      </c>
      <c r="H1169" s="7">
        <v>2</v>
      </c>
      <c r="I1169" s="2">
        <v>225.39</v>
      </c>
      <c r="J1169" s="2">
        <f>Tabla2[[#This Row],[Quantity]]*I1169</f>
        <v>450.78</v>
      </c>
      <c r="K1169" s="6">
        <f>MONTH(Tabla2[[#This Row],[OrderDate]])</f>
        <v>1</v>
      </c>
      <c r="L1169" s="6">
        <f>YEAR(Tabla2[[#This Row],[OrderDate]])</f>
        <v>2024</v>
      </c>
      <c r="M1169" s="7" t="s">
        <v>1756</v>
      </c>
      <c r="N1169" s="7" t="s">
        <v>91</v>
      </c>
    </row>
    <row r="1170" spans="1:14" x14ac:dyDescent="0.35">
      <c r="A1170" s="7" t="s">
        <v>2376</v>
      </c>
      <c r="B1170" s="7" t="s">
        <v>901</v>
      </c>
      <c r="C1170" s="7" t="s">
        <v>902</v>
      </c>
      <c r="D1170" s="7" t="s">
        <v>23</v>
      </c>
      <c r="E1170" s="7" t="s">
        <v>49</v>
      </c>
      <c r="F1170" s="7" t="s">
        <v>101</v>
      </c>
      <c r="G1170" s="7" t="s">
        <v>237</v>
      </c>
      <c r="H1170" s="7">
        <v>2</v>
      </c>
      <c r="I1170" s="2">
        <v>449.2</v>
      </c>
      <c r="J1170" s="2">
        <f>Tabla2[[#This Row],[Quantity]]*I1170</f>
        <v>898.4</v>
      </c>
      <c r="K1170" s="6">
        <f>MONTH(Tabla2[[#This Row],[OrderDate]])</f>
        <v>9</v>
      </c>
      <c r="L1170" s="6">
        <f>YEAR(Tabla2[[#This Row],[OrderDate]])</f>
        <v>2024</v>
      </c>
      <c r="M1170" s="7" t="s">
        <v>2377</v>
      </c>
      <c r="N1170" s="7" t="s">
        <v>36</v>
      </c>
    </row>
    <row r="1171" spans="1:14" x14ac:dyDescent="0.35">
      <c r="A1171" s="7" t="s">
        <v>2378</v>
      </c>
      <c r="B1171" s="7" t="s">
        <v>838</v>
      </c>
      <c r="C1171" s="7" t="s">
        <v>839</v>
      </c>
      <c r="D1171" s="7" t="s">
        <v>40</v>
      </c>
      <c r="E1171" s="7" t="s">
        <v>79</v>
      </c>
      <c r="F1171" s="7" t="s">
        <v>16</v>
      </c>
      <c r="G1171" s="7" t="s">
        <v>148</v>
      </c>
      <c r="H1171" s="7">
        <v>5</v>
      </c>
      <c r="I1171" s="2">
        <v>497.94</v>
      </c>
      <c r="J1171" s="2">
        <f>Tabla2[[#This Row],[Quantity]]*I1171</f>
        <v>2489.6999999999998</v>
      </c>
      <c r="K1171" s="6">
        <f>MONTH(Tabla2[[#This Row],[OrderDate]])</f>
        <v>1</v>
      </c>
      <c r="L1171" s="6">
        <f>YEAR(Tabla2[[#This Row],[OrderDate]])</f>
        <v>2026</v>
      </c>
      <c r="M1171" s="7" t="s">
        <v>912</v>
      </c>
      <c r="N1171" s="7" t="s">
        <v>36</v>
      </c>
    </row>
    <row r="1172" spans="1:14" x14ac:dyDescent="0.35">
      <c r="A1172" s="7" t="s">
        <v>2379</v>
      </c>
      <c r="B1172" s="7" t="s">
        <v>918</v>
      </c>
      <c r="C1172" s="7" t="s">
        <v>919</v>
      </c>
      <c r="D1172" s="7" t="s">
        <v>40</v>
      </c>
      <c r="E1172" s="7" t="s">
        <v>41</v>
      </c>
      <c r="F1172" s="7" t="s">
        <v>16</v>
      </c>
      <c r="G1172" s="7" t="s">
        <v>148</v>
      </c>
      <c r="H1172" s="7">
        <v>5</v>
      </c>
      <c r="I1172" s="2">
        <v>86.95</v>
      </c>
      <c r="J1172" s="2">
        <f>Tabla2[[#This Row],[Quantity]]*I1172</f>
        <v>434.75</v>
      </c>
      <c r="K1172" s="6">
        <f>MONTH(Tabla2[[#This Row],[OrderDate]])</f>
        <v>5</v>
      </c>
      <c r="L1172" s="6">
        <f>YEAR(Tabla2[[#This Row],[OrderDate]])</f>
        <v>2024</v>
      </c>
      <c r="M1172" s="7" t="s">
        <v>1984</v>
      </c>
      <c r="N1172" s="7" t="s">
        <v>28</v>
      </c>
    </row>
    <row r="1173" spans="1:14" x14ac:dyDescent="0.35">
      <c r="A1173" s="7" t="s">
        <v>2380</v>
      </c>
      <c r="B1173" s="7" t="s">
        <v>1046</v>
      </c>
      <c r="C1173" s="7" t="s">
        <v>1047</v>
      </c>
      <c r="D1173" s="7" t="s">
        <v>40</v>
      </c>
      <c r="E1173" s="7" t="s">
        <v>41</v>
      </c>
      <c r="F1173" s="7" t="s">
        <v>42</v>
      </c>
      <c r="G1173" s="7" t="s">
        <v>80</v>
      </c>
      <c r="H1173" s="7">
        <v>1</v>
      </c>
      <c r="I1173" s="2">
        <v>585.16999999999996</v>
      </c>
      <c r="J1173" s="2">
        <f>Tabla2[[#This Row],[Quantity]]*I1173</f>
        <v>585.16999999999996</v>
      </c>
      <c r="K1173" s="6">
        <f>MONTH(Tabla2[[#This Row],[OrderDate]])</f>
        <v>1</v>
      </c>
      <c r="L1173" s="6">
        <f>YEAR(Tabla2[[#This Row],[OrderDate]])</f>
        <v>2024</v>
      </c>
      <c r="M1173" s="7" t="s">
        <v>1118</v>
      </c>
      <c r="N1173" s="7" t="s">
        <v>19</v>
      </c>
    </row>
    <row r="1174" spans="1:14" x14ac:dyDescent="0.35">
      <c r="A1174" s="7" t="s">
        <v>2381</v>
      </c>
      <c r="B1174" s="7" t="s">
        <v>1170</v>
      </c>
      <c r="C1174" s="7" t="s">
        <v>1171</v>
      </c>
      <c r="D1174" s="7" t="s">
        <v>40</v>
      </c>
      <c r="E1174" s="7" t="s">
        <v>120</v>
      </c>
      <c r="F1174" s="7" t="s">
        <v>42</v>
      </c>
      <c r="G1174" s="7" t="s">
        <v>43</v>
      </c>
      <c r="H1174" s="7">
        <v>3</v>
      </c>
      <c r="I1174" s="2">
        <v>1374.42</v>
      </c>
      <c r="J1174" s="2">
        <f>Tabla2[[#This Row],[Quantity]]*I1174</f>
        <v>4123.26</v>
      </c>
      <c r="K1174" s="6">
        <f>MONTH(Tabla2[[#This Row],[OrderDate]])</f>
        <v>3</v>
      </c>
      <c r="L1174" s="6">
        <f>YEAR(Tabla2[[#This Row],[OrderDate]])</f>
        <v>2024</v>
      </c>
      <c r="M1174" s="7" t="s">
        <v>807</v>
      </c>
      <c r="N1174" s="7" t="s">
        <v>45</v>
      </c>
    </row>
    <row r="1175" spans="1:14" x14ac:dyDescent="0.35">
      <c r="A1175" s="7" t="s">
        <v>2382</v>
      </c>
      <c r="B1175" s="7" t="s">
        <v>402</v>
      </c>
      <c r="C1175" s="7" t="s">
        <v>403</v>
      </c>
      <c r="D1175" s="7" t="s">
        <v>32</v>
      </c>
      <c r="E1175" s="7" t="s">
        <v>203</v>
      </c>
      <c r="F1175" s="7" t="s">
        <v>16</v>
      </c>
      <c r="G1175" s="7" t="s">
        <v>177</v>
      </c>
      <c r="H1175" s="7">
        <v>3</v>
      </c>
      <c r="I1175" s="2">
        <v>522.64</v>
      </c>
      <c r="J1175" s="2">
        <f>Tabla2[[#This Row],[Quantity]]*I1175</f>
        <v>1567.92</v>
      </c>
      <c r="K1175" s="6">
        <f>MONTH(Tabla2[[#This Row],[OrderDate]])</f>
        <v>7</v>
      </c>
      <c r="L1175" s="6">
        <f>YEAR(Tabla2[[#This Row],[OrderDate]])</f>
        <v>2025</v>
      </c>
      <c r="M1175" s="7" t="s">
        <v>1501</v>
      </c>
      <c r="N1175" s="7" t="s">
        <v>45</v>
      </c>
    </row>
    <row r="1176" spans="1:14" x14ac:dyDescent="0.35">
      <c r="A1176" s="7" t="s">
        <v>2383</v>
      </c>
      <c r="B1176" s="7" t="s">
        <v>707</v>
      </c>
      <c r="C1176" s="7" t="s">
        <v>708</v>
      </c>
      <c r="D1176" s="7" t="s">
        <v>40</v>
      </c>
      <c r="E1176" s="7" t="s">
        <v>41</v>
      </c>
      <c r="F1176" s="7" t="s">
        <v>50</v>
      </c>
      <c r="G1176" s="7" t="s">
        <v>170</v>
      </c>
      <c r="H1176" s="7">
        <v>1</v>
      </c>
      <c r="I1176" s="2">
        <v>866.12</v>
      </c>
      <c r="J1176" s="2">
        <f>Tabla2[[#This Row],[Quantity]]*I1176</f>
        <v>866.12</v>
      </c>
      <c r="K1176" s="6">
        <f>MONTH(Tabla2[[#This Row],[OrderDate]])</f>
        <v>3</v>
      </c>
      <c r="L1176" s="6">
        <f>YEAR(Tabla2[[#This Row],[OrderDate]])</f>
        <v>2025</v>
      </c>
      <c r="M1176" s="7" t="s">
        <v>293</v>
      </c>
      <c r="N1176" s="7" t="s">
        <v>36</v>
      </c>
    </row>
    <row r="1177" spans="1:14" x14ac:dyDescent="0.35">
      <c r="A1177" s="7" t="s">
        <v>2384</v>
      </c>
      <c r="B1177" s="7" t="s">
        <v>1285</v>
      </c>
      <c r="C1177" s="7" t="s">
        <v>1286</v>
      </c>
      <c r="D1177" s="7" t="s">
        <v>40</v>
      </c>
      <c r="E1177" s="7" t="s">
        <v>41</v>
      </c>
      <c r="F1177" s="7" t="s">
        <v>101</v>
      </c>
      <c r="G1177" s="7" t="s">
        <v>102</v>
      </c>
      <c r="H1177" s="7">
        <v>3</v>
      </c>
      <c r="I1177" s="2">
        <v>1279.55</v>
      </c>
      <c r="J1177" s="2">
        <f>Tabla2[[#This Row],[Quantity]]*I1177</f>
        <v>3838.6499999999996</v>
      </c>
      <c r="K1177" s="6">
        <f>MONTH(Tabla2[[#This Row],[OrderDate]])</f>
        <v>2</v>
      </c>
      <c r="L1177" s="6">
        <f>YEAR(Tabla2[[#This Row],[OrderDate]])</f>
        <v>2024</v>
      </c>
      <c r="M1177" s="7" t="s">
        <v>1332</v>
      </c>
      <c r="N1177" s="7" t="s">
        <v>45</v>
      </c>
    </row>
    <row r="1178" spans="1:14" x14ac:dyDescent="0.35">
      <c r="A1178" s="7" t="s">
        <v>2385</v>
      </c>
      <c r="B1178" s="7" t="s">
        <v>128</v>
      </c>
      <c r="C1178" s="7" t="s">
        <v>129</v>
      </c>
      <c r="D1178" s="7" t="s">
        <v>32</v>
      </c>
      <c r="E1178" s="7" t="s">
        <v>203</v>
      </c>
      <c r="F1178" s="7" t="s">
        <v>16</v>
      </c>
      <c r="G1178" s="7" t="s">
        <v>177</v>
      </c>
      <c r="H1178" s="7">
        <v>3</v>
      </c>
      <c r="I1178" s="2">
        <v>1492.75</v>
      </c>
      <c r="J1178" s="2">
        <f>Tabla2[[#This Row],[Quantity]]*I1178</f>
        <v>4478.25</v>
      </c>
      <c r="K1178" s="6">
        <f>MONTH(Tabla2[[#This Row],[OrderDate]])</f>
        <v>10</v>
      </c>
      <c r="L1178" s="6">
        <f>YEAR(Tabla2[[#This Row],[OrderDate]])</f>
        <v>2025</v>
      </c>
      <c r="M1178" s="7" t="s">
        <v>267</v>
      </c>
      <c r="N1178" s="7" t="s">
        <v>45</v>
      </c>
    </row>
    <row r="1179" spans="1:14" x14ac:dyDescent="0.35">
      <c r="A1179" s="7" t="s">
        <v>2386</v>
      </c>
      <c r="B1179" s="7" t="s">
        <v>12</v>
      </c>
      <c r="C1179" s="7" t="s">
        <v>13</v>
      </c>
      <c r="D1179" s="7" t="s">
        <v>14</v>
      </c>
      <c r="E1179" s="7" t="s">
        <v>266</v>
      </c>
      <c r="F1179" s="7" t="s">
        <v>25</v>
      </c>
      <c r="G1179" s="7" t="s">
        <v>34</v>
      </c>
      <c r="H1179" s="7">
        <v>1</v>
      </c>
      <c r="I1179" s="2">
        <v>749.39</v>
      </c>
      <c r="J1179" s="2">
        <f>Tabla2[[#This Row],[Quantity]]*I1179</f>
        <v>749.39</v>
      </c>
      <c r="K1179" s="6">
        <f>MONTH(Tabla2[[#This Row],[OrderDate]])</f>
        <v>9</v>
      </c>
      <c r="L1179" s="6">
        <f>YEAR(Tabla2[[#This Row],[OrderDate]])</f>
        <v>2025</v>
      </c>
      <c r="M1179" s="7" t="s">
        <v>701</v>
      </c>
      <c r="N1179" s="7" t="s">
        <v>28</v>
      </c>
    </row>
    <row r="1180" spans="1:14" x14ac:dyDescent="0.35">
      <c r="A1180" s="7" t="s">
        <v>2387</v>
      </c>
      <c r="B1180" s="7" t="s">
        <v>1281</v>
      </c>
      <c r="C1180" s="7" t="s">
        <v>1282</v>
      </c>
      <c r="D1180" s="7" t="s">
        <v>23</v>
      </c>
      <c r="E1180" s="7" t="s">
        <v>338</v>
      </c>
      <c r="F1180" s="7" t="s">
        <v>16</v>
      </c>
      <c r="G1180" s="7" t="s">
        <v>148</v>
      </c>
      <c r="H1180" s="7">
        <v>3</v>
      </c>
      <c r="I1180" s="2">
        <v>1252.78</v>
      </c>
      <c r="J1180" s="2">
        <f>Tabla2[[#This Row],[Quantity]]*I1180</f>
        <v>3758.34</v>
      </c>
      <c r="K1180" s="6">
        <f>MONTH(Tabla2[[#This Row],[OrderDate]])</f>
        <v>5</v>
      </c>
      <c r="L1180" s="6">
        <f>YEAR(Tabla2[[#This Row],[OrderDate]])</f>
        <v>2025</v>
      </c>
      <c r="M1180" s="7" t="s">
        <v>2388</v>
      </c>
      <c r="N1180" s="7" t="s">
        <v>19</v>
      </c>
    </row>
    <row r="1181" spans="1:14" x14ac:dyDescent="0.35">
      <c r="A1181" s="7" t="s">
        <v>2389</v>
      </c>
      <c r="B1181" s="7" t="s">
        <v>574</v>
      </c>
      <c r="C1181" s="7" t="s">
        <v>575</v>
      </c>
      <c r="D1181" s="7" t="s">
        <v>32</v>
      </c>
      <c r="E1181" s="7" t="s">
        <v>61</v>
      </c>
      <c r="F1181" s="7" t="s">
        <v>25</v>
      </c>
      <c r="G1181" s="7" t="s">
        <v>34</v>
      </c>
      <c r="H1181" s="7">
        <v>2</v>
      </c>
      <c r="I1181" s="2">
        <v>1118.99</v>
      </c>
      <c r="J1181" s="2">
        <f>Tabla2[[#This Row],[Quantity]]*I1181</f>
        <v>2237.98</v>
      </c>
      <c r="K1181" s="6">
        <f>MONTH(Tabla2[[#This Row],[OrderDate]])</f>
        <v>6</v>
      </c>
      <c r="L1181" s="6">
        <f>YEAR(Tabla2[[#This Row],[OrderDate]])</f>
        <v>2024</v>
      </c>
      <c r="M1181" s="7" t="s">
        <v>149</v>
      </c>
      <c r="N1181" s="7" t="s">
        <v>19</v>
      </c>
    </row>
    <row r="1182" spans="1:14" x14ac:dyDescent="0.35">
      <c r="A1182" s="7" t="s">
        <v>2390</v>
      </c>
      <c r="B1182" s="7" t="s">
        <v>159</v>
      </c>
      <c r="C1182" s="7" t="s">
        <v>160</v>
      </c>
      <c r="D1182" s="7" t="s">
        <v>14</v>
      </c>
      <c r="E1182" s="7" t="s">
        <v>125</v>
      </c>
      <c r="F1182" s="7" t="s">
        <v>25</v>
      </c>
      <c r="G1182" s="7" t="s">
        <v>139</v>
      </c>
      <c r="H1182" s="7">
        <v>1</v>
      </c>
      <c r="I1182" s="2">
        <v>305.04000000000002</v>
      </c>
      <c r="J1182" s="2">
        <f>Tabla2[[#This Row],[Quantity]]*I1182</f>
        <v>305.04000000000002</v>
      </c>
      <c r="K1182" s="6">
        <f>MONTH(Tabla2[[#This Row],[OrderDate]])</f>
        <v>3</v>
      </c>
      <c r="L1182" s="6">
        <f>YEAR(Tabla2[[#This Row],[OrderDate]])</f>
        <v>2024</v>
      </c>
      <c r="M1182" s="7" t="s">
        <v>452</v>
      </c>
      <c r="N1182" s="7" t="s">
        <v>28</v>
      </c>
    </row>
    <row r="1183" spans="1:14" x14ac:dyDescent="0.35">
      <c r="A1183" s="7" t="s">
        <v>2391</v>
      </c>
      <c r="B1183" s="7" t="s">
        <v>681</v>
      </c>
      <c r="C1183" s="7" t="s">
        <v>682</v>
      </c>
      <c r="D1183" s="7" t="s">
        <v>67</v>
      </c>
      <c r="E1183" s="7" t="s">
        <v>130</v>
      </c>
      <c r="F1183" s="7" t="s">
        <v>42</v>
      </c>
      <c r="G1183" s="7" t="s">
        <v>80</v>
      </c>
      <c r="H1183" s="7">
        <v>1</v>
      </c>
      <c r="I1183" s="2">
        <v>1429.33</v>
      </c>
      <c r="J1183" s="2">
        <f>Tabla2[[#This Row],[Quantity]]*I1183</f>
        <v>1429.33</v>
      </c>
      <c r="K1183" s="6">
        <f>MONTH(Tabla2[[#This Row],[OrderDate]])</f>
        <v>11</v>
      </c>
      <c r="L1183" s="6">
        <f>YEAR(Tabla2[[#This Row],[OrderDate]])</f>
        <v>2025</v>
      </c>
      <c r="M1183" s="7" t="s">
        <v>890</v>
      </c>
      <c r="N1183" s="7" t="s">
        <v>19</v>
      </c>
    </row>
    <row r="1184" spans="1:14" x14ac:dyDescent="0.35">
      <c r="A1184" s="7" t="s">
        <v>2392</v>
      </c>
      <c r="B1184" s="7" t="s">
        <v>384</v>
      </c>
      <c r="C1184" s="7" t="s">
        <v>385</v>
      </c>
      <c r="D1184" s="7" t="s">
        <v>23</v>
      </c>
      <c r="E1184" s="7" t="s">
        <v>24</v>
      </c>
      <c r="F1184" s="7" t="s">
        <v>101</v>
      </c>
      <c r="G1184" s="7" t="s">
        <v>165</v>
      </c>
      <c r="H1184" s="7">
        <v>2</v>
      </c>
      <c r="I1184" s="2">
        <v>1216.3699999999999</v>
      </c>
      <c r="J1184" s="2">
        <f>Tabla2[[#This Row],[Quantity]]*I1184</f>
        <v>2432.7399999999998</v>
      </c>
      <c r="K1184" s="6">
        <f>MONTH(Tabla2[[#This Row],[OrderDate]])</f>
        <v>3</v>
      </c>
      <c r="L1184" s="6">
        <f>YEAR(Tabla2[[#This Row],[OrderDate]])</f>
        <v>2024</v>
      </c>
      <c r="M1184" s="7" t="s">
        <v>1436</v>
      </c>
      <c r="N1184" s="7" t="s">
        <v>45</v>
      </c>
    </row>
    <row r="1185" spans="1:14" x14ac:dyDescent="0.35">
      <c r="A1185" s="7" t="s">
        <v>2393</v>
      </c>
      <c r="B1185" s="7" t="s">
        <v>1743</v>
      </c>
      <c r="C1185" s="7" t="s">
        <v>1744</v>
      </c>
      <c r="D1185" s="7" t="s">
        <v>23</v>
      </c>
      <c r="E1185" s="7" t="s">
        <v>24</v>
      </c>
      <c r="F1185" s="7" t="s">
        <v>101</v>
      </c>
      <c r="G1185" s="7" t="s">
        <v>373</v>
      </c>
      <c r="H1185" s="7">
        <v>5</v>
      </c>
      <c r="I1185" s="2">
        <v>990.09</v>
      </c>
      <c r="J1185" s="2">
        <f>Tabla2[[#This Row],[Quantity]]*I1185</f>
        <v>4950.45</v>
      </c>
      <c r="K1185" s="6">
        <f>MONTH(Tabla2[[#This Row],[OrderDate]])</f>
        <v>5</v>
      </c>
      <c r="L1185" s="6">
        <f>YEAR(Tabla2[[#This Row],[OrderDate]])</f>
        <v>2024</v>
      </c>
      <c r="M1185" s="7" t="s">
        <v>844</v>
      </c>
      <c r="N1185" s="7" t="s">
        <v>28</v>
      </c>
    </row>
    <row r="1186" spans="1:14" x14ac:dyDescent="0.35">
      <c r="A1186" s="7" t="s">
        <v>2394</v>
      </c>
      <c r="B1186" s="7" t="s">
        <v>197</v>
      </c>
      <c r="C1186" s="7" t="s">
        <v>198</v>
      </c>
      <c r="D1186" s="7" t="s">
        <v>14</v>
      </c>
      <c r="E1186" s="7" t="s">
        <v>15</v>
      </c>
      <c r="F1186" s="7" t="s">
        <v>42</v>
      </c>
      <c r="G1186" s="7" t="s">
        <v>89</v>
      </c>
      <c r="H1186" s="7">
        <v>5</v>
      </c>
      <c r="I1186" s="2">
        <v>663.12</v>
      </c>
      <c r="J1186" s="2">
        <f>Tabla2[[#This Row],[Quantity]]*I1186</f>
        <v>3315.6</v>
      </c>
      <c r="K1186" s="6">
        <f>MONTH(Tabla2[[#This Row],[OrderDate]])</f>
        <v>11</v>
      </c>
      <c r="L1186" s="6">
        <f>YEAR(Tabla2[[#This Row],[OrderDate]])</f>
        <v>2025</v>
      </c>
      <c r="M1186" s="7" t="s">
        <v>1026</v>
      </c>
      <c r="N1186" s="7" t="s">
        <v>45</v>
      </c>
    </row>
    <row r="1187" spans="1:14" x14ac:dyDescent="0.35">
      <c r="A1187" s="7" t="s">
        <v>2395</v>
      </c>
      <c r="B1187" s="7" t="s">
        <v>1285</v>
      </c>
      <c r="C1187" s="7" t="s">
        <v>1286</v>
      </c>
      <c r="D1187" s="7" t="s">
        <v>14</v>
      </c>
      <c r="E1187" s="7" t="s">
        <v>266</v>
      </c>
      <c r="F1187" s="7" t="s">
        <v>16</v>
      </c>
      <c r="G1187" s="7" t="s">
        <v>182</v>
      </c>
      <c r="H1187" s="7">
        <v>1</v>
      </c>
      <c r="I1187" s="2">
        <v>1331</v>
      </c>
      <c r="J1187" s="2">
        <f>Tabla2[[#This Row],[Quantity]]*I1187</f>
        <v>1331</v>
      </c>
      <c r="K1187" s="6">
        <f>MONTH(Tabla2[[#This Row],[OrderDate]])</f>
        <v>8</v>
      </c>
      <c r="L1187" s="6">
        <f>YEAR(Tabla2[[#This Row],[OrderDate]])</f>
        <v>2025</v>
      </c>
      <c r="M1187" s="7" t="s">
        <v>2396</v>
      </c>
      <c r="N1187" s="7" t="s">
        <v>91</v>
      </c>
    </row>
    <row r="1188" spans="1:14" x14ac:dyDescent="0.35">
      <c r="A1188" s="7" t="s">
        <v>2397</v>
      </c>
      <c r="B1188" s="7" t="s">
        <v>1179</v>
      </c>
      <c r="C1188" s="7" t="s">
        <v>1180</v>
      </c>
      <c r="D1188" s="7" t="s">
        <v>14</v>
      </c>
      <c r="E1188" s="7" t="s">
        <v>100</v>
      </c>
      <c r="F1188" s="7" t="s">
        <v>50</v>
      </c>
      <c r="G1188" s="7" t="s">
        <v>170</v>
      </c>
      <c r="H1188" s="7">
        <v>4</v>
      </c>
      <c r="I1188" s="2">
        <v>1252.45</v>
      </c>
      <c r="J1188" s="2">
        <f>Tabla2[[#This Row],[Quantity]]*I1188</f>
        <v>5009.8</v>
      </c>
      <c r="K1188" s="6">
        <f>MONTH(Tabla2[[#This Row],[OrderDate]])</f>
        <v>11</v>
      </c>
      <c r="L1188" s="6">
        <f>YEAR(Tabla2[[#This Row],[OrderDate]])</f>
        <v>2025</v>
      </c>
      <c r="M1188" s="7" t="s">
        <v>890</v>
      </c>
      <c r="N1188" s="7" t="s">
        <v>19</v>
      </c>
    </row>
    <row r="1189" spans="1:14" x14ac:dyDescent="0.35">
      <c r="A1189" s="7" t="s">
        <v>2398</v>
      </c>
      <c r="B1189" s="7" t="s">
        <v>2399</v>
      </c>
      <c r="C1189" s="7" t="s">
        <v>2400</v>
      </c>
      <c r="D1189" s="7" t="s">
        <v>32</v>
      </c>
      <c r="E1189" s="7" t="s">
        <v>61</v>
      </c>
      <c r="F1189" s="7" t="s">
        <v>42</v>
      </c>
      <c r="G1189" s="7" t="s">
        <v>89</v>
      </c>
      <c r="H1189" s="7">
        <v>3</v>
      </c>
      <c r="I1189" s="2">
        <v>874.9</v>
      </c>
      <c r="J1189" s="2">
        <f>Tabla2[[#This Row],[Quantity]]*I1189</f>
        <v>2624.7</v>
      </c>
      <c r="K1189" s="6">
        <f>MONTH(Tabla2[[#This Row],[OrderDate]])</f>
        <v>1</v>
      </c>
      <c r="L1189" s="6">
        <f>YEAR(Tabla2[[#This Row],[OrderDate]])</f>
        <v>2025</v>
      </c>
      <c r="M1189" s="7" t="s">
        <v>876</v>
      </c>
      <c r="N1189" s="7" t="s">
        <v>28</v>
      </c>
    </row>
    <row r="1190" spans="1:14" x14ac:dyDescent="0.35">
      <c r="A1190" s="7" t="s">
        <v>2401</v>
      </c>
      <c r="B1190" s="7" t="s">
        <v>180</v>
      </c>
      <c r="C1190" s="7" t="s">
        <v>181</v>
      </c>
      <c r="D1190" s="7" t="s">
        <v>32</v>
      </c>
      <c r="E1190" s="7" t="s">
        <v>61</v>
      </c>
      <c r="F1190" s="7" t="s">
        <v>16</v>
      </c>
      <c r="G1190" s="7" t="s">
        <v>177</v>
      </c>
      <c r="H1190" s="7">
        <v>5</v>
      </c>
      <c r="I1190" s="2">
        <v>350.3</v>
      </c>
      <c r="J1190" s="2">
        <f>Tabla2[[#This Row],[Quantity]]*I1190</f>
        <v>1751.5</v>
      </c>
      <c r="K1190" s="6">
        <f>MONTH(Tabla2[[#This Row],[OrderDate]])</f>
        <v>12</v>
      </c>
      <c r="L1190" s="6">
        <f>YEAR(Tabla2[[#This Row],[OrderDate]])</f>
        <v>2025</v>
      </c>
      <c r="M1190" s="7" t="s">
        <v>2221</v>
      </c>
      <c r="N1190" s="7" t="s">
        <v>91</v>
      </c>
    </row>
    <row r="1191" spans="1:14" x14ac:dyDescent="0.35">
      <c r="A1191" s="7" t="s">
        <v>2402</v>
      </c>
      <c r="B1191" s="7" t="s">
        <v>396</v>
      </c>
      <c r="C1191" s="7" t="s">
        <v>397</v>
      </c>
      <c r="D1191" s="7" t="s">
        <v>67</v>
      </c>
      <c r="E1191" s="7" t="s">
        <v>130</v>
      </c>
      <c r="F1191" s="7" t="s">
        <v>50</v>
      </c>
      <c r="G1191" s="7" t="s">
        <v>170</v>
      </c>
      <c r="H1191" s="7">
        <v>4</v>
      </c>
      <c r="I1191" s="2">
        <v>1080.22</v>
      </c>
      <c r="J1191" s="2">
        <f>Tabla2[[#This Row],[Quantity]]*I1191</f>
        <v>4320.88</v>
      </c>
      <c r="K1191" s="6">
        <f>MONTH(Tabla2[[#This Row],[OrderDate]])</f>
        <v>12</v>
      </c>
      <c r="L1191" s="6">
        <f>YEAR(Tabla2[[#This Row],[OrderDate]])</f>
        <v>2025</v>
      </c>
      <c r="M1191" s="7" t="s">
        <v>1491</v>
      </c>
      <c r="N1191" s="7" t="s">
        <v>45</v>
      </c>
    </row>
    <row r="1192" spans="1:14" x14ac:dyDescent="0.35">
      <c r="A1192" s="7" t="s">
        <v>2403</v>
      </c>
      <c r="B1192" s="7" t="s">
        <v>359</v>
      </c>
      <c r="C1192" s="7" t="s">
        <v>360</v>
      </c>
      <c r="D1192" s="7" t="s">
        <v>67</v>
      </c>
      <c r="E1192" s="7" t="s">
        <v>68</v>
      </c>
      <c r="F1192" s="7" t="s">
        <v>101</v>
      </c>
      <c r="G1192" s="7" t="s">
        <v>373</v>
      </c>
      <c r="H1192" s="7">
        <v>1</v>
      </c>
      <c r="I1192" s="2">
        <v>907.84</v>
      </c>
      <c r="J1192" s="2">
        <f>Tabla2[[#This Row],[Quantity]]*I1192</f>
        <v>907.84</v>
      </c>
      <c r="K1192" s="6">
        <f>MONTH(Tabla2[[#This Row],[OrderDate]])</f>
        <v>7</v>
      </c>
      <c r="L1192" s="6">
        <f>YEAR(Tabla2[[#This Row],[OrderDate]])</f>
        <v>2024</v>
      </c>
      <c r="M1192" s="7" t="s">
        <v>1727</v>
      </c>
      <c r="N1192" s="7" t="s">
        <v>45</v>
      </c>
    </row>
    <row r="1193" spans="1:14" x14ac:dyDescent="0.35">
      <c r="A1193" s="7" t="s">
        <v>2404</v>
      </c>
      <c r="B1193" s="7" t="s">
        <v>707</v>
      </c>
      <c r="C1193" s="7" t="s">
        <v>708</v>
      </c>
      <c r="D1193" s="7" t="s">
        <v>67</v>
      </c>
      <c r="E1193" s="7" t="s">
        <v>68</v>
      </c>
      <c r="F1193" s="7" t="s">
        <v>101</v>
      </c>
      <c r="G1193" s="7" t="s">
        <v>165</v>
      </c>
      <c r="H1193" s="7">
        <v>3</v>
      </c>
      <c r="I1193" s="2">
        <v>1321.2</v>
      </c>
      <c r="J1193" s="2">
        <f>Tabla2[[#This Row],[Quantity]]*I1193</f>
        <v>3963.6000000000004</v>
      </c>
      <c r="K1193" s="6">
        <f>MONTH(Tabla2[[#This Row],[OrderDate]])</f>
        <v>12</v>
      </c>
      <c r="L1193" s="6">
        <f>YEAR(Tabla2[[#This Row],[OrderDate]])</f>
        <v>2025</v>
      </c>
      <c r="M1193" s="7" t="s">
        <v>2405</v>
      </c>
      <c r="N1193" s="7" t="s">
        <v>28</v>
      </c>
    </row>
    <row r="1194" spans="1:14" x14ac:dyDescent="0.35">
      <c r="A1194" s="7" t="s">
        <v>2406</v>
      </c>
      <c r="B1194" s="7" t="s">
        <v>1212</v>
      </c>
      <c r="C1194" s="7" t="s">
        <v>1213</v>
      </c>
      <c r="D1194" s="7" t="s">
        <v>32</v>
      </c>
      <c r="E1194" s="7" t="s">
        <v>61</v>
      </c>
      <c r="F1194" s="7" t="s">
        <v>101</v>
      </c>
      <c r="G1194" s="7" t="s">
        <v>237</v>
      </c>
      <c r="H1194" s="7">
        <v>5</v>
      </c>
      <c r="I1194" s="2">
        <v>667.41</v>
      </c>
      <c r="J1194" s="2">
        <f>Tabla2[[#This Row],[Quantity]]*I1194</f>
        <v>3337.0499999999997</v>
      </c>
      <c r="K1194" s="6">
        <f>MONTH(Tabla2[[#This Row],[OrderDate]])</f>
        <v>9</v>
      </c>
      <c r="L1194" s="6">
        <f>YEAR(Tabla2[[#This Row],[OrderDate]])</f>
        <v>2024</v>
      </c>
      <c r="M1194" s="7" t="s">
        <v>289</v>
      </c>
      <c r="N1194" s="7" t="s">
        <v>91</v>
      </c>
    </row>
    <row r="1195" spans="1:14" x14ac:dyDescent="0.35">
      <c r="A1195" s="7" t="s">
        <v>2407</v>
      </c>
      <c r="B1195" s="7" t="s">
        <v>402</v>
      </c>
      <c r="C1195" s="7" t="s">
        <v>403</v>
      </c>
      <c r="D1195" s="7" t="s">
        <v>40</v>
      </c>
      <c r="E1195" s="7" t="s">
        <v>120</v>
      </c>
      <c r="F1195" s="7" t="s">
        <v>16</v>
      </c>
      <c r="G1195" s="7" t="s">
        <v>182</v>
      </c>
      <c r="H1195" s="7">
        <v>3</v>
      </c>
      <c r="I1195" s="2">
        <v>1370.24</v>
      </c>
      <c r="J1195" s="2">
        <f>Tabla2[[#This Row],[Quantity]]*I1195</f>
        <v>4110.72</v>
      </c>
      <c r="K1195" s="6">
        <f>MONTH(Tabla2[[#This Row],[OrderDate]])</f>
        <v>11</v>
      </c>
      <c r="L1195" s="6">
        <f>YEAR(Tabla2[[#This Row],[OrderDate]])</f>
        <v>2024</v>
      </c>
      <c r="M1195" s="7" t="s">
        <v>2100</v>
      </c>
      <c r="N1195" s="7" t="s">
        <v>19</v>
      </c>
    </row>
    <row r="1196" spans="1:14" x14ac:dyDescent="0.35">
      <c r="A1196" s="7" t="s">
        <v>2408</v>
      </c>
      <c r="B1196" s="7" t="s">
        <v>809</v>
      </c>
      <c r="C1196" s="7" t="s">
        <v>810</v>
      </c>
      <c r="D1196" s="7" t="s">
        <v>32</v>
      </c>
      <c r="E1196" s="7" t="s">
        <v>61</v>
      </c>
      <c r="F1196" s="7" t="s">
        <v>42</v>
      </c>
      <c r="G1196" s="7" t="s">
        <v>80</v>
      </c>
      <c r="H1196" s="7">
        <v>1</v>
      </c>
      <c r="I1196" s="2">
        <v>940.44</v>
      </c>
      <c r="J1196" s="2">
        <f>Tabla2[[#This Row],[Quantity]]*I1196</f>
        <v>940.44</v>
      </c>
      <c r="K1196" s="6">
        <f>MONTH(Tabla2[[#This Row],[OrderDate]])</f>
        <v>6</v>
      </c>
      <c r="L1196" s="6">
        <f>YEAR(Tabla2[[#This Row],[OrderDate]])</f>
        <v>2024</v>
      </c>
      <c r="M1196" s="7" t="s">
        <v>2409</v>
      </c>
      <c r="N1196" s="7" t="s">
        <v>91</v>
      </c>
    </row>
    <row r="1197" spans="1:14" x14ac:dyDescent="0.35">
      <c r="A1197" s="7" t="s">
        <v>2410</v>
      </c>
      <c r="B1197" s="7" t="s">
        <v>868</v>
      </c>
      <c r="C1197" s="7" t="s">
        <v>869</v>
      </c>
      <c r="D1197" s="7" t="s">
        <v>23</v>
      </c>
      <c r="E1197" s="7" t="s">
        <v>49</v>
      </c>
      <c r="F1197" s="7" t="s">
        <v>50</v>
      </c>
      <c r="G1197" s="7" t="s">
        <v>69</v>
      </c>
      <c r="H1197" s="7">
        <v>5</v>
      </c>
      <c r="I1197" s="2">
        <v>784.23</v>
      </c>
      <c r="J1197" s="2">
        <f>Tabla2[[#This Row],[Quantity]]*I1197</f>
        <v>3921.15</v>
      </c>
      <c r="K1197" s="6">
        <f>MONTH(Tabla2[[#This Row],[OrderDate]])</f>
        <v>2</v>
      </c>
      <c r="L1197" s="6">
        <f>YEAR(Tabla2[[#This Row],[OrderDate]])</f>
        <v>2024</v>
      </c>
      <c r="M1197" s="7" t="s">
        <v>1852</v>
      </c>
      <c r="N1197" s="7" t="s">
        <v>45</v>
      </c>
    </row>
    <row r="1198" spans="1:14" x14ac:dyDescent="0.35">
      <c r="A1198" s="7" t="s">
        <v>2411</v>
      </c>
      <c r="B1198" s="7" t="s">
        <v>820</v>
      </c>
      <c r="C1198" s="7" t="s">
        <v>821</v>
      </c>
      <c r="D1198" s="7" t="s">
        <v>32</v>
      </c>
      <c r="E1198" s="7" t="s">
        <v>61</v>
      </c>
      <c r="F1198" s="7" t="s">
        <v>101</v>
      </c>
      <c r="G1198" s="7" t="s">
        <v>165</v>
      </c>
      <c r="H1198" s="7">
        <v>3</v>
      </c>
      <c r="I1198" s="2">
        <v>538.27</v>
      </c>
      <c r="J1198" s="2">
        <f>Tabla2[[#This Row],[Quantity]]*I1198</f>
        <v>1614.81</v>
      </c>
      <c r="K1198" s="6">
        <f>MONTH(Tabla2[[#This Row],[OrderDate]])</f>
        <v>7</v>
      </c>
      <c r="L1198" s="6">
        <f>YEAR(Tabla2[[#This Row],[OrderDate]])</f>
        <v>2025</v>
      </c>
      <c r="M1198" s="7" t="s">
        <v>2412</v>
      </c>
      <c r="N1198" s="7" t="s">
        <v>28</v>
      </c>
    </row>
    <row r="1199" spans="1:14" x14ac:dyDescent="0.35">
      <c r="A1199" s="7" t="s">
        <v>2413</v>
      </c>
      <c r="B1199" s="7" t="s">
        <v>1677</v>
      </c>
      <c r="C1199" s="7" t="s">
        <v>1678</v>
      </c>
      <c r="D1199" s="7" t="s">
        <v>40</v>
      </c>
      <c r="E1199" s="7" t="s">
        <v>120</v>
      </c>
      <c r="F1199" s="7" t="s">
        <v>50</v>
      </c>
      <c r="G1199" s="7" t="s">
        <v>216</v>
      </c>
      <c r="H1199" s="7">
        <v>1</v>
      </c>
      <c r="I1199" s="2">
        <v>61.73</v>
      </c>
      <c r="J1199" s="2">
        <f>Tabla2[[#This Row],[Quantity]]*I1199</f>
        <v>61.73</v>
      </c>
      <c r="K1199" s="6">
        <f>MONTH(Tabla2[[#This Row],[OrderDate]])</f>
        <v>8</v>
      </c>
      <c r="L1199" s="6">
        <f>YEAR(Tabla2[[#This Row],[OrderDate]])</f>
        <v>2025</v>
      </c>
      <c r="M1199" s="7" t="s">
        <v>1344</v>
      </c>
      <c r="N1199" s="7" t="s">
        <v>36</v>
      </c>
    </row>
    <row r="1200" spans="1:14" x14ac:dyDescent="0.35">
      <c r="A1200" s="7" t="s">
        <v>2414</v>
      </c>
      <c r="B1200" s="7" t="s">
        <v>396</v>
      </c>
      <c r="C1200" s="7" t="s">
        <v>397</v>
      </c>
      <c r="D1200" s="7" t="s">
        <v>67</v>
      </c>
      <c r="E1200" s="7" t="s">
        <v>68</v>
      </c>
      <c r="F1200" s="7" t="s">
        <v>25</v>
      </c>
      <c r="G1200" s="7" t="s">
        <v>74</v>
      </c>
      <c r="H1200" s="7">
        <v>3</v>
      </c>
      <c r="I1200" s="2">
        <v>432.97</v>
      </c>
      <c r="J1200" s="2">
        <f>Tabla2[[#This Row],[Quantity]]*I1200</f>
        <v>1298.9100000000001</v>
      </c>
      <c r="K1200" s="6">
        <f>MONTH(Tabla2[[#This Row],[OrderDate]])</f>
        <v>5</v>
      </c>
      <c r="L1200" s="6">
        <f>YEAR(Tabla2[[#This Row],[OrderDate]])</f>
        <v>2025</v>
      </c>
      <c r="M1200" s="7" t="s">
        <v>2415</v>
      </c>
      <c r="N1200" s="7" t="s">
        <v>45</v>
      </c>
    </row>
    <row r="1201" spans="1:14" x14ac:dyDescent="0.35">
      <c r="A1201" s="7" t="s">
        <v>2416</v>
      </c>
      <c r="B1201" s="7" t="s">
        <v>718</v>
      </c>
      <c r="C1201" s="7" t="s">
        <v>719</v>
      </c>
      <c r="D1201" s="7" t="s">
        <v>23</v>
      </c>
      <c r="E1201" s="7" t="s">
        <v>24</v>
      </c>
      <c r="F1201" s="7" t="s">
        <v>101</v>
      </c>
      <c r="G1201" s="7" t="s">
        <v>165</v>
      </c>
      <c r="H1201" s="7">
        <v>1</v>
      </c>
      <c r="I1201" s="2">
        <v>641.04</v>
      </c>
      <c r="J1201" s="2">
        <f>Tabla2[[#This Row],[Quantity]]*I1201</f>
        <v>641.04</v>
      </c>
      <c r="K1201" s="6">
        <f>MONTH(Tabla2[[#This Row],[OrderDate]])</f>
        <v>11</v>
      </c>
      <c r="L1201" s="6">
        <f>YEAR(Tabla2[[#This Row],[OrderDate]])</f>
        <v>2025</v>
      </c>
      <c r="M1201" s="7" t="s">
        <v>890</v>
      </c>
      <c r="N1201" s="7" t="s">
        <v>36</v>
      </c>
    </row>
    <row r="1202" spans="1:14" x14ac:dyDescent="0.35">
      <c r="A1202" s="7" t="s">
        <v>2417</v>
      </c>
      <c r="B1202" s="7" t="s">
        <v>206</v>
      </c>
      <c r="C1202" s="7" t="s">
        <v>207</v>
      </c>
      <c r="D1202" s="7" t="s">
        <v>14</v>
      </c>
      <c r="E1202" s="7" t="s">
        <v>266</v>
      </c>
      <c r="F1202" s="7" t="s">
        <v>25</v>
      </c>
      <c r="G1202" s="7" t="s">
        <v>62</v>
      </c>
      <c r="H1202" s="7">
        <v>1</v>
      </c>
      <c r="I1202" s="2">
        <v>1070.8699999999999</v>
      </c>
      <c r="J1202" s="2">
        <f>Tabla2[[#This Row],[Quantity]]*I1202</f>
        <v>1070.8699999999999</v>
      </c>
      <c r="K1202" s="6">
        <f>MONTH(Tabla2[[#This Row],[OrderDate]])</f>
        <v>8</v>
      </c>
      <c r="L1202" s="6">
        <f>YEAR(Tabla2[[#This Row],[OrderDate]])</f>
        <v>2025</v>
      </c>
      <c r="M1202" s="7" t="s">
        <v>1553</v>
      </c>
      <c r="N1202" s="7" t="s">
        <v>28</v>
      </c>
    </row>
    <row r="1203" spans="1:14" x14ac:dyDescent="0.35">
      <c r="A1203" s="7" t="s">
        <v>2418</v>
      </c>
      <c r="B1203" s="7" t="s">
        <v>1444</v>
      </c>
      <c r="C1203" s="7" t="s">
        <v>1445</v>
      </c>
      <c r="D1203" s="7" t="s">
        <v>32</v>
      </c>
      <c r="E1203" s="7" t="s">
        <v>33</v>
      </c>
      <c r="F1203" s="7" t="s">
        <v>25</v>
      </c>
      <c r="G1203" s="7" t="s">
        <v>26</v>
      </c>
      <c r="H1203" s="7">
        <v>5</v>
      </c>
      <c r="I1203" s="2">
        <v>1059.02</v>
      </c>
      <c r="J1203" s="2">
        <f>Tabla2[[#This Row],[Quantity]]*I1203</f>
        <v>5295.1</v>
      </c>
      <c r="K1203" s="6">
        <f>MONTH(Tabla2[[#This Row],[OrderDate]])</f>
        <v>2</v>
      </c>
      <c r="L1203" s="6">
        <f>YEAR(Tabla2[[#This Row],[OrderDate]])</f>
        <v>2026</v>
      </c>
      <c r="M1203" s="7" t="s">
        <v>35</v>
      </c>
      <c r="N1203" s="7" t="s">
        <v>19</v>
      </c>
    </row>
    <row r="1204" spans="1:14" x14ac:dyDescent="0.35">
      <c r="A1204" s="7" t="s">
        <v>2419</v>
      </c>
      <c r="B1204" s="7" t="s">
        <v>146</v>
      </c>
      <c r="C1204" s="7" t="s">
        <v>147</v>
      </c>
      <c r="D1204" s="7" t="s">
        <v>67</v>
      </c>
      <c r="E1204" s="7" t="s">
        <v>115</v>
      </c>
      <c r="F1204" s="7" t="s">
        <v>25</v>
      </c>
      <c r="G1204" s="7" t="s">
        <v>26</v>
      </c>
      <c r="H1204" s="7">
        <v>3</v>
      </c>
      <c r="I1204" s="2">
        <v>445.54</v>
      </c>
      <c r="J1204" s="2">
        <f>Tabla2[[#This Row],[Quantity]]*I1204</f>
        <v>1336.6200000000001</v>
      </c>
      <c r="K1204" s="6">
        <f>MONTH(Tabla2[[#This Row],[OrderDate]])</f>
        <v>3</v>
      </c>
      <c r="L1204" s="6">
        <f>YEAR(Tabla2[[#This Row],[OrderDate]])</f>
        <v>2026</v>
      </c>
      <c r="M1204" s="7" t="s">
        <v>2420</v>
      </c>
      <c r="N1204" s="7" t="s">
        <v>36</v>
      </c>
    </row>
    <row r="1205" spans="1:14" x14ac:dyDescent="0.35">
      <c r="A1205" s="7" t="s">
        <v>2421</v>
      </c>
      <c r="B1205" s="7" t="s">
        <v>1369</v>
      </c>
      <c r="C1205" s="7" t="s">
        <v>1370</v>
      </c>
      <c r="D1205" s="7" t="s">
        <v>67</v>
      </c>
      <c r="E1205" s="7" t="s">
        <v>130</v>
      </c>
      <c r="F1205" s="7" t="s">
        <v>16</v>
      </c>
      <c r="G1205" s="7" t="s">
        <v>230</v>
      </c>
      <c r="H1205" s="7">
        <v>2</v>
      </c>
      <c r="I1205" s="2">
        <v>908.54</v>
      </c>
      <c r="J1205" s="2">
        <f>Tabla2[[#This Row],[Quantity]]*I1205</f>
        <v>1817.08</v>
      </c>
      <c r="K1205" s="6">
        <f>MONTH(Tabla2[[#This Row],[OrderDate]])</f>
        <v>9</v>
      </c>
      <c r="L1205" s="6">
        <f>YEAR(Tabla2[[#This Row],[OrderDate]])</f>
        <v>2025</v>
      </c>
      <c r="M1205" s="7" t="s">
        <v>1701</v>
      </c>
      <c r="N1205" s="7" t="s">
        <v>19</v>
      </c>
    </row>
    <row r="1206" spans="1:14" x14ac:dyDescent="0.35">
      <c r="A1206" s="7" t="s">
        <v>2422</v>
      </c>
      <c r="B1206" s="7" t="s">
        <v>197</v>
      </c>
      <c r="C1206" s="7" t="s">
        <v>198</v>
      </c>
      <c r="D1206" s="7" t="s">
        <v>67</v>
      </c>
      <c r="E1206" s="7" t="s">
        <v>130</v>
      </c>
      <c r="F1206" s="7" t="s">
        <v>50</v>
      </c>
      <c r="G1206" s="7" t="s">
        <v>170</v>
      </c>
      <c r="H1206" s="7">
        <v>3</v>
      </c>
      <c r="I1206" s="2">
        <v>883.37</v>
      </c>
      <c r="J1206" s="2">
        <f>Tabla2[[#This Row],[Quantity]]*I1206</f>
        <v>2650.11</v>
      </c>
      <c r="K1206" s="6">
        <f>MONTH(Tabla2[[#This Row],[OrderDate]])</f>
        <v>6</v>
      </c>
      <c r="L1206" s="6">
        <f>YEAR(Tabla2[[#This Row],[OrderDate]])</f>
        <v>2025</v>
      </c>
      <c r="M1206" s="7" t="s">
        <v>2423</v>
      </c>
      <c r="N1206" s="7" t="s">
        <v>36</v>
      </c>
    </row>
    <row r="1207" spans="1:14" x14ac:dyDescent="0.35">
      <c r="A1207" s="7" t="s">
        <v>2424</v>
      </c>
      <c r="B1207" s="7" t="s">
        <v>123</v>
      </c>
      <c r="C1207" s="7" t="s">
        <v>124</v>
      </c>
      <c r="D1207" s="7" t="s">
        <v>32</v>
      </c>
      <c r="E1207" s="7" t="s">
        <v>33</v>
      </c>
      <c r="F1207" s="7" t="s">
        <v>25</v>
      </c>
      <c r="G1207" s="7" t="s">
        <v>34</v>
      </c>
      <c r="H1207" s="7">
        <v>2</v>
      </c>
      <c r="I1207" s="2">
        <v>125.6</v>
      </c>
      <c r="J1207" s="2">
        <f>Tabla2[[#This Row],[Quantity]]*I1207</f>
        <v>251.2</v>
      </c>
      <c r="K1207" s="6">
        <f>MONTH(Tabla2[[#This Row],[OrderDate]])</f>
        <v>9</v>
      </c>
      <c r="L1207" s="6">
        <f>YEAR(Tabla2[[#This Row],[OrderDate]])</f>
        <v>2025</v>
      </c>
      <c r="M1207" s="7" t="s">
        <v>157</v>
      </c>
      <c r="N1207" s="7" t="s">
        <v>91</v>
      </c>
    </row>
    <row r="1208" spans="1:14" x14ac:dyDescent="0.35">
      <c r="A1208" s="7" t="s">
        <v>2425</v>
      </c>
      <c r="B1208" s="7" t="s">
        <v>742</v>
      </c>
      <c r="C1208" s="7" t="s">
        <v>743</v>
      </c>
      <c r="D1208" s="7" t="s">
        <v>40</v>
      </c>
      <c r="E1208" s="7" t="s">
        <v>41</v>
      </c>
      <c r="F1208" s="7" t="s">
        <v>101</v>
      </c>
      <c r="G1208" s="7" t="s">
        <v>165</v>
      </c>
      <c r="H1208" s="7">
        <v>4</v>
      </c>
      <c r="I1208" s="2">
        <v>1480.3</v>
      </c>
      <c r="J1208" s="2">
        <f>Tabla2[[#This Row],[Quantity]]*I1208</f>
        <v>5921.2</v>
      </c>
      <c r="K1208" s="6">
        <f>MONTH(Tabla2[[#This Row],[OrderDate]])</f>
        <v>2</v>
      </c>
      <c r="L1208" s="6">
        <f>YEAR(Tabla2[[#This Row],[OrderDate]])</f>
        <v>2026</v>
      </c>
      <c r="M1208" s="7" t="s">
        <v>1600</v>
      </c>
      <c r="N1208" s="7" t="s">
        <v>36</v>
      </c>
    </row>
    <row r="1209" spans="1:14" x14ac:dyDescent="0.35">
      <c r="A1209" s="7" t="s">
        <v>2426</v>
      </c>
      <c r="B1209" s="7" t="s">
        <v>1170</v>
      </c>
      <c r="C1209" s="7" t="s">
        <v>1171</v>
      </c>
      <c r="D1209" s="7" t="s">
        <v>23</v>
      </c>
      <c r="E1209" s="7" t="s">
        <v>49</v>
      </c>
      <c r="F1209" s="7" t="s">
        <v>42</v>
      </c>
      <c r="G1209" s="7" t="s">
        <v>43</v>
      </c>
      <c r="H1209" s="7">
        <v>5</v>
      </c>
      <c r="I1209" s="2">
        <v>288.2</v>
      </c>
      <c r="J1209" s="2">
        <f>Tabla2[[#This Row],[Quantity]]*I1209</f>
        <v>1441</v>
      </c>
      <c r="K1209" s="6">
        <f>MONTH(Tabla2[[#This Row],[OrderDate]])</f>
        <v>7</v>
      </c>
      <c r="L1209" s="6">
        <f>YEAR(Tabla2[[#This Row],[OrderDate]])</f>
        <v>2024</v>
      </c>
      <c r="M1209" s="7" t="s">
        <v>1251</v>
      </c>
      <c r="N1209" s="7" t="s">
        <v>19</v>
      </c>
    </row>
    <row r="1210" spans="1:14" x14ac:dyDescent="0.35">
      <c r="A1210" s="7" t="s">
        <v>2427</v>
      </c>
      <c r="B1210" s="7" t="s">
        <v>197</v>
      </c>
      <c r="C1210" s="7" t="s">
        <v>198</v>
      </c>
      <c r="D1210" s="7" t="s">
        <v>32</v>
      </c>
      <c r="E1210" s="7" t="s">
        <v>33</v>
      </c>
      <c r="F1210" s="7" t="s">
        <v>42</v>
      </c>
      <c r="G1210" s="7" t="s">
        <v>43</v>
      </c>
      <c r="H1210" s="7">
        <v>3</v>
      </c>
      <c r="I1210" s="2">
        <v>587.5</v>
      </c>
      <c r="J1210" s="2">
        <f>Tabla2[[#This Row],[Quantity]]*I1210</f>
        <v>1762.5</v>
      </c>
      <c r="K1210" s="6">
        <f>MONTH(Tabla2[[#This Row],[OrderDate]])</f>
        <v>8</v>
      </c>
      <c r="L1210" s="6">
        <f>YEAR(Tabla2[[#This Row],[OrderDate]])</f>
        <v>2024</v>
      </c>
      <c r="M1210" s="7" t="s">
        <v>2428</v>
      </c>
      <c r="N1210" s="7" t="s">
        <v>45</v>
      </c>
    </row>
    <row r="1211" spans="1:14" x14ac:dyDescent="0.35">
      <c r="A1211" s="7" t="s">
        <v>2429</v>
      </c>
      <c r="B1211" s="7" t="s">
        <v>1301</v>
      </c>
      <c r="C1211" s="7" t="s">
        <v>1302</v>
      </c>
      <c r="D1211" s="7" t="s">
        <v>32</v>
      </c>
      <c r="E1211" s="7" t="s">
        <v>33</v>
      </c>
      <c r="F1211" s="7" t="s">
        <v>101</v>
      </c>
      <c r="G1211" s="7" t="s">
        <v>165</v>
      </c>
      <c r="H1211" s="7">
        <v>4</v>
      </c>
      <c r="I1211" s="2">
        <v>708.14</v>
      </c>
      <c r="J1211" s="2">
        <f>Tabla2[[#This Row],[Quantity]]*I1211</f>
        <v>2832.56</v>
      </c>
      <c r="K1211" s="6">
        <f>MONTH(Tabla2[[#This Row],[OrderDate]])</f>
        <v>2</v>
      </c>
      <c r="L1211" s="6">
        <f>YEAR(Tabla2[[#This Row],[OrderDate]])</f>
        <v>2024</v>
      </c>
      <c r="M1211" s="7" t="s">
        <v>2430</v>
      </c>
      <c r="N1211" s="7" t="s">
        <v>36</v>
      </c>
    </row>
    <row r="1212" spans="1:14" x14ac:dyDescent="0.35">
      <c r="A1212" s="7" t="s">
        <v>2431</v>
      </c>
      <c r="B1212" s="7" t="s">
        <v>751</v>
      </c>
      <c r="C1212" s="7" t="s">
        <v>752</v>
      </c>
      <c r="D1212" s="7" t="s">
        <v>40</v>
      </c>
      <c r="E1212" s="7" t="s">
        <v>79</v>
      </c>
      <c r="F1212" s="7" t="s">
        <v>42</v>
      </c>
      <c r="G1212" s="7" t="s">
        <v>170</v>
      </c>
      <c r="H1212" s="7">
        <v>2</v>
      </c>
      <c r="I1212" s="2">
        <v>581.30999999999995</v>
      </c>
      <c r="J1212" s="2">
        <f>Tabla2[[#This Row],[Quantity]]*I1212</f>
        <v>1162.6199999999999</v>
      </c>
      <c r="K1212" s="6">
        <f>MONTH(Tabla2[[#This Row],[OrderDate]])</f>
        <v>9</v>
      </c>
      <c r="L1212" s="6">
        <f>YEAR(Tabla2[[#This Row],[OrderDate]])</f>
        <v>2025</v>
      </c>
      <c r="M1212" s="7" t="s">
        <v>1598</v>
      </c>
      <c r="N1212" s="7" t="s">
        <v>91</v>
      </c>
    </row>
    <row r="1213" spans="1:14" x14ac:dyDescent="0.35">
      <c r="A1213" s="7" t="s">
        <v>2432</v>
      </c>
      <c r="B1213" s="7" t="s">
        <v>1496</v>
      </c>
      <c r="C1213" s="7" t="s">
        <v>1497</v>
      </c>
      <c r="D1213" s="7" t="s">
        <v>32</v>
      </c>
      <c r="E1213" s="7" t="s">
        <v>203</v>
      </c>
      <c r="F1213" s="7" t="s">
        <v>101</v>
      </c>
      <c r="G1213" s="7" t="s">
        <v>237</v>
      </c>
      <c r="H1213" s="7">
        <v>3</v>
      </c>
      <c r="I1213" s="2">
        <v>1168.45</v>
      </c>
      <c r="J1213" s="2">
        <f>Tabla2[[#This Row],[Quantity]]*I1213</f>
        <v>3505.3500000000004</v>
      </c>
      <c r="K1213" s="6">
        <f>MONTH(Tabla2[[#This Row],[OrderDate]])</f>
        <v>3</v>
      </c>
      <c r="L1213" s="6">
        <f>YEAR(Tabla2[[#This Row],[OrderDate]])</f>
        <v>2026</v>
      </c>
      <c r="M1213" s="7" t="s">
        <v>512</v>
      </c>
      <c r="N1213" s="7" t="s">
        <v>19</v>
      </c>
    </row>
    <row r="1214" spans="1:14" x14ac:dyDescent="0.35">
      <c r="A1214" s="7" t="s">
        <v>2433</v>
      </c>
      <c r="B1214" s="7" t="s">
        <v>228</v>
      </c>
      <c r="C1214" s="7" t="s">
        <v>229</v>
      </c>
      <c r="D1214" s="7" t="s">
        <v>40</v>
      </c>
      <c r="E1214" s="7" t="s">
        <v>41</v>
      </c>
      <c r="F1214" s="7" t="s">
        <v>25</v>
      </c>
      <c r="G1214" s="7" t="s">
        <v>34</v>
      </c>
      <c r="H1214" s="7">
        <v>3</v>
      </c>
      <c r="I1214" s="2">
        <v>179.2</v>
      </c>
      <c r="J1214" s="2">
        <f>Tabla2[[#This Row],[Quantity]]*I1214</f>
        <v>537.59999999999991</v>
      </c>
      <c r="K1214" s="6">
        <f>MONTH(Tabla2[[#This Row],[OrderDate]])</f>
        <v>7</v>
      </c>
      <c r="L1214" s="6">
        <f>YEAR(Tabla2[[#This Row],[OrderDate]])</f>
        <v>2024</v>
      </c>
      <c r="M1214" s="7" t="s">
        <v>221</v>
      </c>
      <c r="N1214" s="7" t="s">
        <v>45</v>
      </c>
    </row>
    <row r="1215" spans="1:14" x14ac:dyDescent="0.35">
      <c r="A1215" s="7" t="s">
        <v>2434</v>
      </c>
      <c r="B1215" s="7" t="s">
        <v>105</v>
      </c>
      <c r="C1215" s="7" t="s">
        <v>106</v>
      </c>
      <c r="D1215" s="7" t="s">
        <v>32</v>
      </c>
      <c r="E1215" s="7" t="s">
        <v>61</v>
      </c>
      <c r="F1215" s="7" t="s">
        <v>16</v>
      </c>
      <c r="G1215" s="7" t="s">
        <v>230</v>
      </c>
      <c r="H1215" s="7">
        <v>1</v>
      </c>
      <c r="I1215" s="2">
        <v>1463.65</v>
      </c>
      <c r="J1215" s="2">
        <f>Tabla2[[#This Row],[Quantity]]*I1215</f>
        <v>1463.65</v>
      </c>
      <c r="K1215" s="6">
        <f>MONTH(Tabla2[[#This Row],[OrderDate]])</f>
        <v>5</v>
      </c>
      <c r="L1215" s="6">
        <f>YEAR(Tabla2[[#This Row],[OrderDate]])</f>
        <v>2024</v>
      </c>
      <c r="M1215" s="7" t="s">
        <v>2153</v>
      </c>
      <c r="N1215" s="7" t="s">
        <v>28</v>
      </c>
    </row>
    <row r="1216" spans="1:14" x14ac:dyDescent="0.35">
      <c r="A1216" s="7" t="s">
        <v>2435</v>
      </c>
      <c r="B1216" s="7" t="s">
        <v>325</v>
      </c>
      <c r="C1216" s="7" t="s">
        <v>326</v>
      </c>
      <c r="D1216" s="7" t="s">
        <v>14</v>
      </c>
      <c r="E1216" s="7" t="s">
        <v>266</v>
      </c>
      <c r="F1216" s="7" t="s">
        <v>50</v>
      </c>
      <c r="G1216" s="7" t="s">
        <v>170</v>
      </c>
      <c r="H1216" s="7">
        <v>4</v>
      </c>
      <c r="I1216" s="2">
        <v>561.64</v>
      </c>
      <c r="J1216" s="2">
        <f>Tabla2[[#This Row],[Quantity]]*I1216</f>
        <v>2246.56</v>
      </c>
      <c r="K1216" s="6">
        <f>MONTH(Tabla2[[#This Row],[OrderDate]])</f>
        <v>2</v>
      </c>
      <c r="L1216" s="6">
        <f>YEAR(Tabla2[[#This Row],[OrderDate]])</f>
        <v>2024</v>
      </c>
      <c r="M1216" s="7" t="s">
        <v>1669</v>
      </c>
      <c r="N1216" s="7" t="s">
        <v>45</v>
      </c>
    </row>
    <row r="1217" spans="1:14" x14ac:dyDescent="0.35">
      <c r="A1217" s="7" t="s">
        <v>2436</v>
      </c>
      <c r="B1217" s="7" t="s">
        <v>299</v>
      </c>
      <c r="C1217" s="7" t="s">
        <v>300</v>
      </c>
      <c r="D1217" s="7" t="s">
        <v>67</v>
      </c>
      <c r="E1217" s="7" t="s">
        <v>68</v>
      </c>
      <c r="F1217" s="7" t="s">
        <v>25</v>
      </c>
      <c r="G1217" s="7" t="s">
        <v>74</v>
      </c>
      <c r="H1217" s="7">
        <v>4</v>
      </c>
      <c r="I1217" s="2">
        <v>1046.51</v>
      </c>
      <c r="J1217" s="2">
        <f>Tabla2[[#This Row],[Quantity]]*I1217</f>
        <v>4186.04</v>
      </c>
      <c r="K1217" s="6">
        <f>MONTH(Tabla2[[#This Row],[OrderDate]])</f>
        <v>3</v>
      </c>
      <c r="L1217" s="6">
        <f>YEAR(Tabla2[[#This Row],[OrderDate]])</f>
        <v>2026</v>
      </c>
      <c r="M1217" s="7" t="s">
        <v>2437</v>
      </c>
      <c r="N1217" s="7" t="s">
        <v>28</v>
      </c>
    </row>
    <row r="1218" spans="1:14" x14ac:dyDescent="0.35">
      <c r="A1218" s="7" t="s">
        <v>2438</v>
      </c>
      <c r="B1218" s="7" t="s">
        <v>1226</v>
      </c>
      <c r="C1218" s="7" t="s">
        <v>1227</v>
      </c>
      <c r="D1218" s="7" t="s">
        <v>32</v>
      </c>
      <c r="E1218" s="7" t="s">
        <v>61</v>
      </c>
      <c r="F1218" s="7" t="s">
        <v>50</v>
      </c>
      <c r="G1218" s="7" t="s">
        <v>56</v>
      </c>
      <c r="H1218" s="7">
        <v>3</v>
      </c>
      <c r="I1218" s="2">
        <v>1011.97</v>
      </c>
      <c r="J1218" s="2">
        <f>Tabla2[[#This Row],[Quantity]]*I1218</f>
        <v>3035.91</v>
      </c>
      <c r="K1218" s="6">
        <f>MONTH(Tabla2[[#This Row],[OrderDate]])</f>
        <v>2</v>
      </c>
      <c r="L1218" s="6">
        <f>YEAR(Tabla2[[#This Row],[OrderDate]])</f>
        <v>2026</v>
      </c>
      <c r="M1218" s="7" t="s">
        <v>2439</v>
      </c>
      <c r="N1218" s="7" t="s">
        <v>19</v>
      </c>
    </row>
    <row r="1219" spans="1:14" x14ac:dyDescent="0.35">
      <c r="A1219" s="7" t="s">
        <v>2440</v>
      </c>
      <c r="B1219" s="7" t="s">
        <v>355</v>
      </c>
      <c r="C1219" s="7" t="s">
        <v>356</v>
      </c>
      <c r="D1219" s="7" t="s">
        <v>67</v>
      </c>
      <c r="E1219" s="7" t="s">
        <v>68</v>
      </c>
      <c r="F1219" s="7" t="s">
        <v>42</v>
      </c>
      <c r="G1219" s="7" t="s">
        <v>225</v>
      </c>
      <c r="H1219" s="7">
        <v>2</v>
      </c>
      <c r="I1219" s="2">
        <v>690.96</v>
      </c>
      <c r="J1219" s="2">
        <f>Tabla2[[#This Row],[Quantity]]*I1219</f>
        <v>1381.92</v>
      </c>
      <c r="K1219" s="6">
        <f>MONTH(Tabla2[[#This Row],[OrderDate]])</f>
        <v>1</v>
      </c>
      <c r="L1219" s="6">
        <f>YEAR(Tabla2[[#This Row],[OrderDate]])</f>
        <v>2025</v>
      </c>
      <c r="M1219" s="7" t="s">
        <v>1873</v>
      </c>
      <c r="N1219" s="7" t="s">
        <v>19</v>
      </c>
    </row>
    <row r="1220" spans="1:14" x14ac:dyDescent="0.35">
      <c r="A1220" s="7" t="s">
        <v>2441</v>
      </c>
      <c r="B1220" s="7" t="s">
        <v>1516</v>
      </c>
      <c r="C1220" s="7" t="s">
        <v>1517</v>
      </c>
      <c r="D1220" s="7" t="s">
        <v>23</v>
      </c>
      <c r="E1220" s="7" t="s">
        <v>338</v>
      </c>
      <c r="F1220" s="7" t="s">
        <v>101</v>
      </c>
      <c r="G1220" s="7" t="s">
        <v>165</v>
      </c>
      <c r="H1220" s="7">
        <v>3</v>
      </c>
      <c r="I1220" s="2">
        <v>116.71</v>
      </c>
      <c r="J1220" s="2">
        <f>Tabla2[[#This Row],[Quantity]]*I1220</f>
        <v>350.13</v>
      </c>
      <c r="K1220" s="6">
        <f>MONTH(Tabla2[[#This Row],[OrderDate]])</f>
        <v>6</v>
      </c>
      <c r="L1220" s="6">
        <f>YEAR(Tabla2[[#This Row],[OrderDate]])</f>
        <v>2025</v>
      </c>
      <c r="M1220" s="7" t="s">
        <v>305</v>
      </c>
      <c r="N1220" s="7" t="s">
        <v>91</v>
      </c>
    </row>
    <row r="1221" spans="1:14" x14ac:dyDescent="0.35">
      <c r="A1221" s="7" t="s">
        <v>2442</v>
      </c>
      <c r="B1221" s="7" t="s">
        <v>1203</v>
      </c>
      <c r="C1221" s="7" t="s">
        <v>1204</v>
      </c>
      <c r="D1221" s="7" t="s">
        <v>32</v>
      </c>
      <c r="E1221" s="7" t="s">
        <v>33</v>
      </c>
      <c r="F1221" s="7" t="s">
        <v>101</v>
      </c>
      <c r="G1221" s="7" t="s">
        <v>373</v>
      </c>
      <c r="H1221" s="7">
        <v>4</v>
      </c>
      <c r="I1221" s="2">
        <v>1153.3800000000001</v>
      </c>
      <c r="J1221" s="2">
        <f>Tabla2[[#This Row],[Quantity]]*I1221</f>
        <v>4613.5200000000004</v>
      </c>
      <c r="K1221" s="6">
        <f>MONTH(Tabla2[[#This Row],[OrderDate]])</f>
        <v>11</v>
      </c>
      <c r="L1221" s="6">
        <f>YEAR(Tabla2[[#This Row],[OrderDate]])</f>
        <v>2024</v>
      </c>
      <c r="M1221" s="7" t="s">
        <v>1735</v>
      </c>
      <c r="N1221" s="7" t="s">
        <v>45</v>
      </c>
    </row>
    <row r="1222" spans="1:14" x14ac:dyDescent="0.35">
      <c r="A1222" s="7" t="s">
        <v>2443</v>
      </c>
      <c r="B1222" s="7" t="s">
        <v>711</v>
      </c>
      <c r="C1222" s="7" t="s">
        <v>712</v>
      </c>
      <c r="D1222" s="7" t="s">
        <v>67</v>
      </c>
      <c r="E1222" s="7" t="s">
        <v>68</v>
      </c>
      <c r="F1222" s="7" t="s">
        <v>16</v>
      </c>
      <c r="G1222" s="7" t="s">
        <v>182</v>
      </c>
      <c r="H1222" s="7">
        <v>2</v>
      </c>
      <c r="I1222" s="2">
        <v>1472.11</v>
      </c>
      <c r="J1222" s="2">
        <f>Tabla2[[#This Row],[Quantity]]*I1222</f>
        <v>2944.22</v>
      </c>
      <c r="K1222" s="6">
        <f>MONTH(Tabla2[[#This Row],[OrderDate]])</f>
        <v>3</v>
      </c>
      <c r="L1222" s="6">
        <f>YEAR(Tabla2[[#This Row],[OrderDate]])</f>
        <v>2025</v>
      </c>
      <c r="M1222" s="7" t="s">
        <v>1016</v>
      </c>
      <c r="N1222" s="7" t="s">
        <v>28</v>
      </c>
    </row>
    <row r="1223" spans="1:14" x14ac:dyDescent="0.35">
      <c r="A1223" s="7" t="s">
        <v>2444</v>
      </c>
      <c r="B1223" s="7" t="s">
        <v>1046</v>
      </c>
      <c r="C1223" s="7" t="s">
        <v>1047</v>
      </c>
      <c r="D1223" s="7" t="s">
        <v>32</v>
      </c>
      <c r="E1223" s="7" t="s">
        <v>61</v>
      </c>
      <c r="F1223" s="7" t="s">
        <v>16</v>
      </c>
      <c r="G1223" s="7" t="s">
        <v>182</v>
      </c>
      <c r="H1223" s="7">
        <v>4</v>
      </c>
      <c r="I1223" s="2">
        <v>891.2</v>
      </c>
      <c r="J1223" s="2">
        <f>Tabla2[[#This Row],[Quantity]]*I1223</f>
        <v>3564.8</v>
      </c>
      <c r="K1223" s="6">
        <f>MONTH(Tabla2[[#This Row],[OrderDate]])</f>
        <v>3</v>
      </c>
      <c r="L1223" s="6">
        <f>YEAR(Tabla2[[#This Row],[OrderDate]])</f>
        <v>2026</v>
      </c>
      <c r="M1223" s="7" t="s">
        <v>2437</v>
      </c>
      <c r="N1223" s="7" t="s">
        <v>45</v>
      </c>
    </row>
    <row r="1224" spans="1:14" x14ac:dyDescent="0.35">
      <c r="A1224" s="7" t="s">
        <v>2445</v>
      </c>
      <c r="B1224" s="7" t="s">
        <v>376</v>
      </c>
      <c r="C1224" s="7" t="s">
        <v>377</v>
      </c>
      <c r="D1224" s="7" t="s">
        <v>40</v>
      </c>
      <c r="E1224" s="7" t="s">
        <v>41</v>
      </c>
      <c r="F1224" s="7" t="s">
        <v>42</v>
      </c>
      <c r="G1224" s="7" t="s">
        <v>225</v>
      </c>
      <c r="H1224" s="7">
        <v>2</v>
      </c>
      <c r="I1224" s="2">
        <v>117.33</v>
      </c>
      <c r="J1224" s="2">
        <f>Tabla2[[#This Row],[Quantity]]*I1224</f>
        <v>234.66</v>
      </c>
      <c r="K1224" s="6">
        <f>MONTH(Tabla2[[#This Row],[OrderDate]])</f>
        <v>2</v>
      </c>
      <c r="L1224" s="6">
        <f>YEAR(Tabla2[[#This Row],[OrderDate]])</f>
        <v>2026</v>
      </c>
      <c r="M1224" s="7" t="s">
        <v>2446</v>
      </c>
      <c r="N1224" s="7" t="s">
        <v>28</v>
      </c>
    </row>
    <row r="1225" spans="1:14" x14ac:dyDescent="0.35">
      <c r="A1225" s="7" t="s">
        <v>2447</v>
      </c>
      <c r="B1225" s="7" t="s">
        <v>1532</v>
      </c>
      <c r="C1225" s="7" t="s">
        <v>1533</v>
      </c>
      <c r="D1225" s="7" t="s">
        <v>23</v>
      </c>
      <c r="E1225" s="7" t="s">
        <v>24</v>
      </c>
      <c r="F1225" s="7" t="s">
        <v>101</v>
      </c>
      <c r="G1225" s="7" t="s">
        <v>102</v>
      </c>
      <c r="H1225" s="7">
        <v>3</v>
      </c>
      <c r="I1225" s="2">
        <v>729.44</v>
      </c>
      <c r="J1225" s="2">
        <f>Tabla2[[#This Row],[Quantity]]*I1225</f>
        <v>2188.3200000000002</v>
      </c>
      <c r="K1225" s="6">
        <f>MONTH(Tabla2[[#This Row],[OrderDate]])</f>
        <v>1</v>
      </c>
      <c r="L1225" s="6">
        <f>YEAR(Tabla2[[#This Row],[OrderDate]])</f>
        <v>2024</v>
      </c>
      <c r="M1225" s="7" t="s">
        <v>1894</v>
      </c>
      <c r="N1225" s="7" t="s">
        <v>45</v>
      </c>
    </row>
    <row r="1226" spans="1:14" x14ac:dyDescent="0.35">
      <c r="A1226" s="7" t="s">
        <v>2448</v>
      </c>
      <c r="B1226" s="7" t="s">
        <v>2188</v>
      </c>
      <c r="C1226" s="7" t="s">
        <v>2189</v>
      </c>
      <c r="D1226" s="7" t="s">
        <v>14</v>
      </c>
      <c r="E1226" s="7" t="s">
        <v>125</v>
      </c>
      <c r="F1226" s="7" t="s">
        <v>101</v>
      </c>
      <c r="G1226" s="7" t="s">
        <v>373</v>
      </c>
      <c r="H1226" s="7">
        <v>5</v>
      </c>
      <c r="I1226" s="2">
        <v>1276.92</v>
      </c>
      <c r="J1226" s="2">
        <f>Tabla2[[#This Row],[Quantity]]*I1226</f>
        <v>6384.6</v>
      </c>
      <c r="K1226" s="6">
        <f>MONTH(Tabla2[[#This Row],[OrderDate]])</f>
        <v>12</v>
      </c>
      <c r="L1226" s="6">
        <f>YEAR(Tabla2[[#This Row],[OrderDate]])</f>
        <v>2025</v>
      </c>
      <c r="M1226" s="7" t="s">
        <v>2334</v>
      </c>
      <c r="N1226" s="7" t="s">
        <v>91</v>
      </c>
    </row>
    <row r="1227" spans="1:14" x14ac:dyDescent="0.35">
      <c r="A1227" s="7" t="s">
        <v>2449</v>
      </c>
      <c r="B1227" s="7" t="s">
        <v>311</v>
      </c>
      <c r="C1227" s="7" t="s">
        <v>312</v>
      </c>
      <c r="D1227" s="7" t="s">
        <v>40</v>
      </c>
      <c r="E1227" s="7" t="s">
        <v>41</v>
      </c>
      <c r="F1227" s="7" t="s">
        <v>50</v>
      </c>
      <c r="G1227" s="7" t="s">
        <v>216</v>
      </c>
      <c r="H1227" s="7">
        <v>4</v>
      </c>
      <c r="I1227" s="2">
        <v>717.62</v>
      </c>
      <c r="J1227" s="2">
        <f>Tabla2[[#This Row],[Quantity]]*I1227</f>
        <v>2870.48</v>
      </c>
      <c r="K1227" s="6">
        <f>MONTH(Tabla2[[#This Row],[OrderDate]])</f>
        <v>10</v>
      </c>
      <c r="L1227" s="6">
        <f>YEAR(Tabla2[[#This Row],[OrderDate]])</f>
        <v>2024</v>
      </c>
      <c r="M1227" s="7" t="s">
        <v>2450</v>
      </c>
      <c r="N1227" s="7" t="s">
        <v>36</v>
      </c>
    </row>
    <row r="1228" spans="1:14" x14ac:dyDescent="0.35">
      <c r="A1228" s="7" t="s">
        <v>2451</v>
      </c>
      <c r="B1228" s="7" t="s">
        <v>464</v>
      </c>
      <c r="C1228" s="7" t="s">
        <v>465</v>
      </c>
      <c r="D1228" s="7" t="s">
        <v>14</v>
      </c>
      <c r="E1228" s="7" t="s">
        <v>95</v>
      </c>
      <c r="F1228" s="7" t="s">
        <v>101</v>
      </c>
      <c r="G1228" s="7" t="s">
        <v>102</v>
      </c>
      <c r="H1228" s="7">
        <v>5</v>
      </c>
      <c r="I1228" s="2">
        <v>1409.68</v>
      </c>
      <c r="J1228" s="2">
        <f>Tabla2[[#This Row],[Quantity]]*I1228</f>
        <v>7048.4000000000005</v>
      </c>
      <c r="K1228" s="6">
        <f>MONTH(Tabla2[[#This Row],[OrderDate]])</f>
        <v>10</v>
      </c>
      <c r="L1228" s="6">
        <f>YEAR(Tabla2[[#This Row],[OrderDate]])</f>
        <v>2025</v>
      </c>
      <c r="M1228" s="7" t="s">
        <v>161</v>
      </c>
      <c r="N1228" s="7" t="s">
        <v>91</v>
      </c>
    </row>
    <row r="1229" spans="1:14" x14ac:dyDescent="0.35">
      <c r="A1229" s="7" t="s">
        <v>2452</v>
      </c>
      <c r="B1229" s="7" t="s">
        <v>711</v>
      </c>
      <c r="C1229" s="7" t="s">
        <v>712</v>
      </c>
      <c r="D1229" s="7" t="s">
        <v>40</v>
      </c>
      <c r="E1229" s="7" t="s">
        <v>79</v>
      </c>
      <c r="F1229" s="7" t="s">
        <v>25</v>
      </c>
      <c r="G1229" s="7" t="s">
        <v>74</v>
      </c>
      <c r="H1229" s="7">
        <v>1</v>
      </c>
      <c r="I1229" s="2">
        <v>255.27</v>
      </c>
      <c r="J1229" s="2">
        <f>Tabla2[[#This Row],[Quantity]]*I1229</f>
        <v>255.27</v>
      </c>
      <c r="K1229" s="6">
        <f>MONTH(Tabla2[[#This Row],[OrderDate]])</f>
        <v>1</v>
      </c>
      <c r="L1229" s="6">
        <f>YEAR(Tabla2[[#This Row],[OrderDate]])</f>
        <v>2026</v>
      </c>
      <c r="M1229" s="7" t="s">
        <v>433</v>
      </c>
      <c r="N1229" s="7" t="s">
        <v>45</v>
      </c>
    </row>
    <row r="1230" spans="1:14" x14ac:dyDescent="0.35">
      <c r="A1230" s="7" t="s">
        <v>2453</v>
      </c>
      <c r="B1230" s="7" t="s">
        <v>1001</v>
      </c>
      <c r="C1230" s="7" t="s">
        <v>1002</v>
      </c>
      <c r="D1230" s="7" t="s">
        <v>40</v>
      </c>
      <c r="E1230" s="7" t="s">
        <v>79</v>
      </c>
      <c r="F1230" s="7" t="s">
        <v>25</v>
      </c>
      <c r="G1230" s="7" t="s">
        <v>62</v>
      </c>
      <c r="H1230" s="7">
        <v>5</v>
      </c>
      <c r="I1230" s="2">
        <v>669.5</v>
      </c>
      <c r="J1230" s="2">
        <f>Tabla2[[#This Row],[Quantity]]*I1230</f>
        <v>3347.5</v>
      </c>
      <c r="K1230" s="6">
        <f>MONTH(Tabla2[[#This Row],[OrderDate]])</f>
        <v>7</v>
      </c>
      <c r="L1230" s="6">
        <f>YEAR(Tabla2[[#This Row],[OrderDate]])</f>
        <v>2025</v>
      </c>
      <c r="M1230" s="7" t="s">
        <v>486</v>
      </c>
      <c r="N1230" s="7" t="s">
        <v>91</v>
      </c>
    </row>
    <row r="1231" spans="1:14" x14ac:dyDescent="0.35">
      <c r="A1231" s="7" t="s">
        <v>2454</v>
      </c>
      <c r="B1231" s="7" t="s">
        <v>142</v>
      </c>
      <c r="C1231" s="7" t="s">
        <v>143</v>
      </c>
      <c r="D1231" s="7" t="s">
        <v>67</v>
      </c>
      <c r="E1231" s="7" t="s">
        <v>68</v>
      </c>
      <c r="F1231" s="7" t="s">
        <v>101</v>
      </c>
      <c r="G1231" s="7" t="s">
        <v>237</v>
      </c>
      <c r="H1231" s="7">
        <v>2</v>
      </c>
      <c r="I1231" s="2">
        <v>769.94</v>
      </c>
      <c r="J1231" s="2">
        <f>Tabla2[[#This Row],[Quantity]]*I1231</f>
        <v>1539.88</v>
      </c>
      <c r="K1231" s="6">
        <f>MONTH(Tabla2[[#This Row],[OrderDate]])</f>
        <v>7</v>
      </c>
      <c r="L1231" s="6">
        <f>YEAR(Tabla2[[#This Row],[OrderDate]])</f>
        <v>2024</v>
      </c>
      <c r="M1231" s="7" t="s">
        <v>1251</v>
      </c>
      <c r="N1231" s="7" t="s">
        <v>45</v>
      </c>
    </row>
    <row r="1232" spans="1:14" x14ac:dyDescent="0.35">
      <c r="A1232" s="7" t="s">
        <v>2455</v>
      </c>
      <c r="B1232" s="7" t="s">
        <v>1516</v>
      </c>
      <c r="C1232" s="7" t="s">
        <v>1517</v>
      </c>
      <c r="D1232" s="7" t="s">
        <v>23</v>
      </c>
      <c r="E1232" s="7" t="s">
        <v>49</v>
      </c>
      <c r="F1232" s="7" t="s">
        <v>50</v>
      </c>
      <c r="G1232" s="7" t="s">
        <v>216</v>
      </c>
      <c r="H1232" s="7">
        <v>1</v>
      </c>
      <c r="I1232" s="2">
        <v>971.39</v>
      </c>
      <c r="J1232" s="2">
        <f>Tabla2[[#This Row],[Quantity]]*I1232</f>
        <v>971.39</v>
      </c>
      <c r="K1232" s="6">
        <f>MONTH(Tabla2[[#This Row],[OrderDate]])</f>
        <v>7</v>
      </c>
      <c r="L1232" s="6">
        <f>YEAR(Tabla2[[#This Row],[OrderDate]])</f>
        <v>2025</v>
      </c>
      <c r="M1232" s="7" t="s">
        <v>2223</v>
      </c>
      <c r="N1232" s="7" t="s">
        <v>45</v>
      </c>
    </row>
    <row r="1233" spans="1:14" x14ac:dyDescent="0.35">
      <c r="A1233" s="7" t="s">
        <v>2456</v>
      </c>
      <c r="B1233" s="7" t="s">
        <v>723</v>
      </c>
      <c r="C1233" s="7" t="s">
        <v>724</v>
      </c>
      <c r="D1233" s="7" t="s">
        <v>67</v>
      </c>
      <c r="E1233" s="7" t="s">
        <v>115</v>
      </c>
      <c r="F1233" s="7" t="s">
        <v>25</v>
      </c>
      <c r="G1233" s="7" t="s">
        <v>139</v>
      </c>
      <c r="H1233" s="7">
        <v>5</v>
      </c>
      <c r="I1233" s="2">
        <v>148.58000000000001</v>
      </c>
      <c r="J1233" s="2">
        <f>Tabla2[[#This Row],[Quantity]]*I1233</f>
        <v>742.90000000000009</v>
      </c>
      <c r="K1233" s="6">
        <f>MONTH(Tabla2[[#This Row],[OrderDate]])</f>
        <v>2</v>
      </c>
      <c r="L1233" s="6">
        <f>YEAR(Tabla2[[#This Row],[OrderDate]])</f>
        <v>2024</v>
      </c>
      <c r="M1233" s="7" t="s">
        <v>1669</v>
      </c>
      <c r="N1233" s="7" t="s">
        <v>91</v>
      </c>
    </row>
    <row r="1234" spans="1:14" x14ac:dyDescent="0.35">
      <c r="A1234" s="7" t="s">
        <v>2457</v>
      </c>
      <c r="B1234" s="7" t="s">
        <v>1662</v>
      </c>
      <c r="C1234" s="7" t="s">
        <v>1663</v>
      </c>
      <c r="D1234" s="7" t="s">
        <v>23</v>
      </c>
      <c r="E1234" s="7" t="s">
        <v>49</v>
      </c>
      <c r="F1234" s="7" t="s">
        <v>101</v>
      </c>
      <c r="G1234" s="7" t="s">
        <v>373</v>
      </c>
      <c r="H1234" s="7">
        <v>1</v>
      </c>
      <c r="I1234" s="2">
        <v>1293.52</v>
      </c>
      <c r="J1234" s="2">
        <f>Tabla2[[#This Row],[Quantity]]*I1234</f>
        <v>1293.52</v>
      </c>
      <c r="K1234" s="6">
        <f>MONTH(Tabla2[[#This Row],[OrderDate]])</f>
        <v>12</v>
      </c>
      <c r="L1234" s="6">
        <f>YEAR(Tabla2[[#This Row],[OrderDate]])</f>
        <v>2024</v>
      </c>
      <c r="M1234" s="7" t="s">
        <v>2237</v>
      </c>
      <c r="N1234" s="7" t="s">
        <v>91</v>
      </c>
    </row>
    <row r="1235" spans="1:14" x14ac:dyDescent="0.35">
      <c r="A1235" s="7" t="s">
        <v>2458</v>
      </c>
      <c r="B1235" s="7" t="s">
        <v>1793</v>
      </c>
      <c r="C1235" s="7" t="s">
        <v>1794</v>
      </c>
      <c r="D1235" s="7" t="s">
        <v>14</v>
      </c>
      <c r="E1235" s="7" t="s">
        <v>15</v>
      </c>
      <c r="F1235" s="7" t="s">
        <v>25</v>
      </c>
      <c r="G1235" s="7" t="s">
        <v>62</v>
      </c>
      <c r="H1235" s="7">
        <v>2</v>
      </c>
      <c r="I1235" s="2">
        <v>748.52</v>
      </c>
      <c r="J1235" s="2">
        <f>Tabla2[[#This Row],[Quantity]]*I1235</f>
        <v>1497.04</v>
      </c>
      <c r="K1235" s="6">
        <f>MONTH(Tabla2[[#This Row],[OrderDate]])</f>
        <v>1</v>
      </c>
      <c r="L1235" s="6">
        <f>YEAR(Tabla2[[#This Row],[OrderDate]])</f>
        <v>2025</v>
      </c>
      <c r="M1235" s="7" t="s">
        <v>1809</v>
      </c>
      <c r="N1235" s="7" t="s">
        <v>19</v>
      </c>
    </row>
    <row r="1236" spans="1:14" x14ac:dyDescent="0.35">
      <c r="A1236" s="7" t="s">
        <v>2459</v>
      </c>
      <c r="B1236" s="7" t="s">
        <v>201</v>
      </c>
      <c r="C1236" s="7" t="s">
        <v>202</v>
      </c>
      <c r="D1236" s="7" t="s">
        <v>67</v>
      </c>
      <c r="E1236" s="7" t="s">
        <v>68</v>
      </c>
      <c r="F1236" s="7" t="s">
        <v>101</v>
      </c>
      <c r="G1236" s="7" t="s">
        <v>165</v>
      </c>
      <c r="H1236" s="7">
        <v>5</v>
      </c>
      <c r="I1236" s="2">
        <v>903.42</v>
      </c>
      <c r="J1236" s="2">
        <f>Tabla2[[#This Row],[Quantity]]*I1236</f>
        <v>4517.0999999999995</v>
      </c>
      <c r="K1236" s="6">
        <f>MONTH(Tabla2[[#This Row],[OrderDate]])</f>
        <v>9</v>
      </c>
      <c r="L1236" s="6">
        <f>YEAR(Tabla2[[#This Row],[OrderDate]])</f>
        <v>2024</v>
      </c>
      <c r="M1236" s="7" t="s">
        <v>2377</v>
      </c>
      <c r="N1236" s="7" t="s">
        <v>45</v>
      </c>
    </row>
    <row r="1237" spans="1:14" x14ac:dyDescent="0.35">
      <c r="A1237" s="7" t="s">
        <v>2460</v>
      </c>
      <c r="B1237" s="7" t="s">
        <v>901</v>
      </c>
      <c r="C1237" s="7" t="s">
        <v>902</v>
      </c>
      <c r="D1237" s="7" t="s">
        <v>67</v>
      </c>
      <c r="E1237" s="7" t="s">
        <v>130</v>
      </c>
      <c r="F1237" s="7" t="s">
        <v>42</v>
      </c>
      <c r="G1237" s="7" t="s">
        <v>225</v>
      </c>
      <c r="H1237" s="7">
        <v>5</v>
      </c>
      <c r="I1237" s="2">
        <v>468.4</v>
      </c>
      <c r="J1237" s="2">
        <f>Tabla2[[#This Row],[Quantity]]*I1237</f>
        <v>2342</v>
      </c>
      <c r="K1237" s="6">
        <f>MONTH(Tabla2[[#This Row],[OrderDate]])</f>
        <v>9</v>
      </c>
      <c r="L1237" s="6">
        <f>YEAR(Tabla2[[#This Row],[OrderDate]])</f>
        <v>2024</v>
      </c>
      <c r="M1237" s="7" t="s">
        <v>1408</v>
      </c>
      <c r="N1237" s="7" t="s">
        <v>45</v>
      </c>
    </row>
    <row r="1238" spans="1:14" x14ac:dyDescent="0.35">
      <c r="A1238" s="7" t="s">
        <v>2461</v>
      </c>
      <c r="B1238" s="7" t="s">
        <v>1137</v>
      </c>
      <c r="C1238" s="7" t="s">
        <v>1138</v>
      </c>
      <c r="D1238" s="7" t="s">
        <v>67</v>
      </c>
      <c r="E1238" s="7" t="s">
        <v>130</v>
      </c>
      <c r="F1238" s="7" t="s">
        <v>16</v>
      </c>
      <c r="G1238" s="7" t="s">
        <v>17</v>
      </c>
      <c r="H1238" s="7">
        <v>2</v>
      </c>
      <c r="I1238" s="2">
        <v>584.70000000000005</v>
      </c>
      <c r="J1238" s="2">
        <f>Tabla2[[#This Row],[Quantity]]*I1238</f>
        <v>1169.4000000000001</v>
      </c>
      <c r="K1238" s="6">
        <f>MONTH(Tabla2[[#This Row],[OrderDate]])</f>
        <v>12</v>
      </c>
      <c r="L1238" s="6">
        <f>YEAR(Tabla2[[#This Row],[OrderDate]])</f>
        <v>2025</v>
      </c>
      <c r="M1238" s="7" t="s">
        <v>2315</v>
      </c>
      <c r="N1238" s="7" t="s">
        <v>28</v>
      </c>
    </row>
    <row r="1239" spans="1:14" x14ac:dyDescent="0.35">
      <c r="A1239" s="7" t="s">
        <v>2462</v>
      </c>
      <c r="B1239" s="7" t="s">
        <v>1028</v>
      </c>
      <c r="C1239" s="7" t="s">
        <v>1029</v>
      </c>
      <c r="D1239" s="7" t="s">
        <v>14</v>
      </c>
      <c r="E1239" s="7" t="s">
        <v>266</v>
      </c>
      <c r="F1239" s="7" t="s">
        <v>16</v>
      </c>
      <c r="G1239" s="7" t="s">
        <v>177</v>
      </c>
      <c r="H1239" s="7">
        <v>2</v>
      </c>
      <c r="I1239" s="2">
        <v>1094.7</v>
      </c>
      <c r="J1239" s="2">
        <f>Tabla2[[#This Row],[Quantity]]*I1239</f>
        <v>2189.4</v>
      </c>
      <c r="K1239" s="6">
        <f>MONTH(Tabla2[[#This Row],[OrderDate]])</f>
        <v>11</v>
      </c>
      <c r="L1239" s="6">
        <f>YEAR(Tabla2[[#This Row],[OrderDate]])</f>
        <v>2024</v>
      </c>
      <c r="M1239" s="7" t="s">
        <v>2463</v>
      </c>
      <c r="N1239" s="7" t="s">
        <v>28</v>
      </c>
    </row>
    <row r="1240" spans="1:14" x14ac:dyDescent="0.35">
      <c r="A1240" s="7" t="s">
        <v>2464</v>
      </c>
      <c r="B1240" s="7" t="s">
        <v>590</v>
      </c>
      <c r="C1240" s="7" t="s">
        <v>591</v>
      </c>
      <c r="D1240" s="7" t="s">
        <v>32</v>
      </c>
      <c r="E1240" s="7" t="s">
        <v>33</v>
      </c>
      <c r="F1240" s="7" t="s">
        <v>50</v>
      </c>
      <c r="G1240" s="7" t="s">
        <v>170</v>
      </c>
      <c r="H1240" s="7">
        <v>1</v>
      </c>
      <c r="I1240" s="2">
        <v>360.44</v>
      </c>
      <c r="J1240" s="2">
        <f>Tabla2[[#This Row],[Quantity]]*I1240</f>
        <v>360.44</v>
      </c>
      <c r="K1240" s="6">
        <f>MONTH(Tabla2[[#This Row],[OrderDate]])</f>
        <v>10</v>
      </c>
      <c r="L1240" s="6">
        <f>YEAR(Tabla2[[#This Row],[OrderDate]])</f>
        <v>2024</v>
      </c>
      <c r="M1240" s="7" t="s">
        <v>2465</v>
      </c>
      <c r="N1240" s="7" t="s">
        <v>28</v>
      </c>
    </row>
    <row r="1241" spans="1:14" x14ac:dyDescent="0.35">
      <c r="A1241" s="7" t="s">
        <v>2466</v>
      </c>
      <c r="B1241" s="7" t="s">
        <v>201</v>
      </c>
      <c r="C1241" s="7" t="s">
        <v>202</v>
      </c>
      <c r="D1241" s="7" t="s">
        <v>40</v>
      </c>
      <c r="E1241" s="7" t="s">
        <v>79</v>
      </c>
      <c r="F1241" s="7" t="s">
        <v>50</v>
      </c>
      <c r="G1241" s="7" t="s">
        <v>69</v>
      </c>
      <c r="H1241" s="7">
        <v>5</v>
      </c>
      <c r="I1241" s="2">
        <v>479.66</v>
      </c>
      <c r="J1241" s="2">
        <f>Tabla2[[#This Row],[Quantity]]*I1241</f>
        <v>2398.3000000000002</v>
      </c>
      <c r="K1241" s="6">
        <f>MONTH(Tabla2[[#This Row],[OrderDate]])</f>
        <v>5</v>
      </c>
      <c r="L1241" s="6">
        <f>YEAR(Tabla2[[#This Row],[OrderDate]])</f>
        <v>2025</v>
      </c>
      <c r="M1241" s="7" t="s">
        <v>662</v>
      </c>
      <c r="N1241" s="7" t="s">
        <v>91</v>
      </c>
    </row>
    <row r="1242" spans="1:14" x14ac:dyDescent="0.35">
      <c r="A1242" s="7" t="s">
        <v>2467</v>
      </c>
      <c r="B1242" s="7" t="s">
        <v>842</v>
      </c>
      <c r="C1242" s="7" t="s">
        <v>843</v>
      </c>
      <c r="D1242" s="7" t="s">
        <v>40</v>
      </c>
      <c r="E1242" s="7" t="s">
        <v>120</v>
      </c>
      <c r="F1242" s="7" t="s">
        <v>50</v>
      </c>
      <c r="G1242" s="7" t="s">
        <v>56</v>
      </c>
      <c r="H1242" s="7">
        <v>2</v>
      </c>
      <c r="I1242" s="2">
        <v>859.2</v>
      </c>
      <c r="J1242" s="2">
        <f>Tabla2[[#This Row],[Quantity]]*I1242</f>
        <v>1718.4</v>
      </c>
      <c r="K1242" s="6">
        <f>MONTH(Tabla2[[#This Row],[OrderDate]])</f>
        <v>1</v>
      </c>
      <c r="L1242" s="6">
        <f>YEAR(Tabla2[[#This Row],[OrderDate]])</f>
        <v>2026</v>
      </c>
      <c r="M1242" s="7" t="s">
        <v>1235</v>
      </c>
      <c r="N1242" s="7" t="s">
        <v>36</v>
      </c>
    </row>
    <row r="1243" spans="1:14" x14ac:dyDescent="0.35">
      <c r="A1243" s="7" t="s">
        <v>2468</v>
      </c>
      <c r="B1243" s="7" t="s">
        <v>367</v>
      </c>
      <c r="C1243" s="7" t="s">
        <v>368</v>
      </c>
      <c r="D1243" s="7" t="s">
        <v>67</v>
      </c>
      <c r="E1243" s="7" t="s">
        <v>68</v>
      </c>
      <c r="F1243" s="7" t="s">
        <v>16</v>
      </c>
      <c r="G1243" s="7" t="s">
        <v>182</v>
      </c>
      <c r="H1243" s="7">
        <v>5</v>
      </c>
      <c r="I1243" s="2">
        <v>1189.8599999999999</v>
      </c>
      <c r="J1243" s="2">
        <f>Tabla2[[#This Row],[Quantity]]*I1243</f>
        <v>5949.2999999999993</v>
      </c>
      <c r="K1243" s="6">
        <f>MONTH(Tabla2[[#This Row],[OrderDate]])</f>
        <v>4</v>
      </c>
      <c r="L1243" s="6">
        <f>YEAR(Tabla2[[#This Row],[OrderDate]])</f>
        <v>2025</v>
      </c>
      <c r="M1243" s="7" t="s">
        <v>1612</v>
      </c>
      <c r="N1243" s="7" t="s">
        <v>19</v>
      </c>
    </row>
    <row r="1244" spans="1:14" x14ac:dyDescent="0.35">
      <c r="A1244" s="7" t="s">
        <v>2469</v>
      </c>
      <c r="B1244" s="7" t="s">
        <v>464</v>
      </c>
      <c r="C1244" s="7" t="s">
        <v>465</v>
      </c>
      <c r="D1244" s="7" t="s">
        <v>32</v>
      </c>
      <c r="E1244" s="7" t="s">
        <v>33</v>
      </c>
      <c r="F1244" s="7" t="s">
        <v>101</v>
      </c>
      <c r="G1244" s="7" t="s">
        <v>373</v>
      </c>
      <c r="H1244" s="7">
        <v>2</v>
      </c>
      <c r="I1244" s="2">
        <v>982.36</v>
      </c>
      <c r="J1244" s="2">
        <f>Tabla2[[#This Row],[Quantity]]*I1244</f>
        <v>1964.72</v>
      </c>
      <c r="K1244" s="6">
        <f>MONTH(Tabla2[[#This Row],[OrderDate]])</f>
        <v>10</v>
      </c>
      <c r="L1244" s="6">
        <f>YEAR(Tabla2[[#This Row],[OrderDate]])</f>
        <v>2025</v>
      </c>
      <c r="M1244" s="7" t="s">
        <v>1540</v>
      </c>
      <c r="N1244" s="7" t="s">
        <v>28</v>
      </c>
    </row>
    <row r="1245" spans="1:14" x14ac:dyDescent="0.35">
      <c r="A1245" s="7" t="s">
        <v>2470</v>
      </c>
      <c r="B1245" s="7" t="s">
        <v>1307</v>
      </c>
      <c r="C1245" s="7" t="s">
        <v>1308</v>
      </c>
      <c r="D1245" s="7" t="s">
        <v>67</v>
      </c>
      <c r="E1245" s="7" t="s">
        <v>130</v>
      </c>
      <c r="F1245" s="7" t="s">
        <v>101</v>
      </c>
      <c r="G1245" s="7" t="s">
        <v>165</v>
      </c>
      <c r="H1245" s="7">
        <v>2</v>
      </c>
      <c r="I1245" s="2">
        <v>1410.05</v>
      </c>
      <c r="J1245" s="2">
        <f>Tabla2[[#This Row],[Quantity]]*I1245</f>
        <v>2820.1</v>
      </c>
      <c r="K1245" s="6">
        <f>MONTH(Tabla2[[#This Row],[OrderDate]])</f>
        <v>12</v>
      </c>
      <c r="L1245" s="6">
        <f>YEAR(Tabla2[[#This Row],[OrderDate]])</f>
        <v>2024</v>
      </c>
      <c r="M1245" s="7" t="s">
        <v>938</v>
      </c>
      <c r="N1245" s="7" t="s">
        <v>45</v>
      </c>
    </row>
    <row r="1246" spans="1:14" x14ac:dyDescent="0.35">
      <c r="A1246" s="7" t="s">
        <v>2471</v>
      </c>
      <c r="B1246" s="7" t="s">
        <v>173</v>
      </c>
      <c r="C1246" s="7" t="s">
        <v>174</v>
      </c>
      <c r="D1246" s="7" t="s">
        <v>23</v>
      </c>
      <c r="E1246" s="7" t="s">
        <v>24</v>
      </c>
      <c r="F1246" s="7" t="s">
        <v>25</v>
      </c>
      <c r="G1246" s="7" t="s">
        <v>26</v>
      </c>
      <c r="H1246" s="7">
        <v>2</v>
      </c>
      <c r="I1246" s="2">
        <v>375.58</v>
      </c>
      <c r="J1246" s="2">
        <f>Tabla2[[#This Row],[Quantity]]*I1246</f>
        <v>751.16</v>
      </c>
      <c r="K1246" s="6">
        <f>MONTH(Tabla2[[#This Row],[OrderDate]])</f>
        <v>12</v>
      </c>
      <c r="L1246" s="6">
        <f>YEAR(Tabla2[[#This Row],[OrderDate]])</f>
        <v>2024</v>
      </c>
      <c r="M1246" s="7" t="s">
        <v>2046</v>
      </c>
      <c r="N1246" s="7" t="s">
        <v>19</v>
      </c>
    </row>
    <row r="1247" spans="1:14" x14ac:dyDescent="0.35">
      <c r="A1247" s="7" t="s">
        <v>2472</v>
      </c>
      <c r="B1247" s="7" t="s">
        <v>345</v>
      </c>
      <c r="C1247" s="7" t="s">
        <v>346</v>
      </c>
      <c r="D1247" s="7" t="s">
        <v>14</v>
      </c>
      <c r="E1247" s="7" t="s">
        <v>266</v>
      </c>
      <c r="F1247" s="7" t="s">
        <v>25</v>
      </c>
      <c r="G1247" s="7" t="s">
        <v>26</v>
      </c>
      <c r="H1247" s="7">
        <v>2</v>
      </c>
      <c r="I1247" s="2">
        <v>968.03</v>
      </c>
      <c r="J1247" s="2">
        <f>Tabla2[[#This Row],[Quantity]]*I1247</f>
        <v>1936.06</v>
      </c>
      <c r="K1247" s="6">
        <f>MONTH(Tabla2[[#This Row],[OrderDate]])</f>
        <v>1</v>
      </c>
      <c r="L1247" s="6">
        <f>YEAR(Tabla2[[#This Row],[OrderDate]])</f>
        <v>2024</v>
      </c>
      <c r="M1247" s="7" t="s">
        <v>468</v>
      </c>
      <c r="N1247" s="7" t="s">
        <v>36</v>
      </c>
    </row>
    <row r="1248" spans="1:14" x14ac:dyDescent="0.35">
      <c r="A1248" s="7" t="s">
        <v>2473</v>
      </c>
      <c r="B1248" s="7" t="s">
        <v>767</v>
      </c>
      <c r="C1248" s="7" t="s">
        <v>768</v>
      </c>
      <c r="D1248" s="7" t="s">
        <v>67</v>
      </c>
      <c r="E1248" s="7" t="s">
        <v>130</v>
      </c>
      <c r="F1248" s="7" t="s">
        <v>42</v>
      </c>
      <c r="G1248" s="7" t="s">
        <v>170</v>
      </c>
      <c r="H1248" s="7">
        <v>2</v>
      </c>
      <c r="I1248" s="2">
        <v>356.81</v>
      </c>
      <c r="J1248" s="2">
        <f>Tabla2[[#This Row],[Quantity]]*I1248</f>
        <v>713.62</v>
      </c>
      <c r="K1248" s="6">
        <f>MONTH(Tabla2[[#This Row],[OrderDate]])</f>
        <v>12</v>
      </c>
      <c r="L1248" s="6">
        <f>YEAR(Tabla2[[#This Row],[OrderDate]])</f>
        <v>2025</v>
      </c>
      <c r="M1248" s="7" t="s">
        <v>2474</v>
      </c>
      <c r="N1248" s="7" t="s">
        <v>91</v>
      </c>
    </row>
    <row r="1249" spans="1:14" x14ac:dyDescent="0.35">
      <c r="A1249" s="7" t="s">
        <v>2475</v>
      </c>
      <c r="B1249" s="7" t="s">
        <v>506</v>
      </c>
      <c r="C1249" s="7" t="s">
        <v>507</v>
      </c>
      <c r="D1249" s="7" t="s">
        <v>14</v>
      </c>
      <c r="E1249" s="7" t="s">
        <v>100</v>
      </c>
      <c r="F1249" s="7" t="s">
        <v>25</v>
      </c>
      <c r="G1249" s="7" t="s">
        <v>74</v>
      </c>
      <c r="H1249" s="7">
        <v>1</v>
      </c>
      <c r="I1249" s="2">
        <v>1209.81</v>
      </c>
      <c r="J1249" s="2">
        <f>Tabla2[[#This Row],[Quantity]]*I1249</f>
        <v>1209.81</v>
      </c>
      <c r="K1249" s="6">
        <f>MONTH(Tabla2[[#This Row],[OrderDate]])</f>
        <v>12</v>
      </c>
      <c r="L1249" s="6">
        <f>YEAR(Tabla2[[#This Row],[OrderDate]])</f>
        <v>2025</v>
      </c>
      <c r="M1249" s="7" t="s">
        <v>2320</v>
      </c>
      <c r="N1249" s="7" t="s">
        <v>19</v>
      </c>
    </row>
    <row r="1250" spans="1:14" x14ac:dyDescent="0.35">
      <c r="A1250" s="7" t="s">
        <v>2476</v>
      </c>
      <c r="B1250" s="7" t="s">
        <v>189</v>
      </c>
      <c r="C1250" s="7" t="s">
        <v>190</v>
      </c>
      <c r="D1250" s="7" t="s">
        <v>23</v>
      </c>
      <c r="E1250" s="7" t="s">
        <v>24</v>
      </c>
      <c r="F1250" s="7" t="s">
        <v>101</v>
      </c>
      <c r="G1250" s="7" t="s">
        <v>165</v>
      </c>
      <c r="H1250" s="7">
        <v>5</v>
      </c>
      <c r="I1250" s="2">
        <v>1397.74</v>
      </c>
      <c r="J1250" s="2">
        <f>Tabla2[[#This Row],[Quantity]]*I1250</f>
        <v>6988.7</v>
      </c>
      <c r="K1250" s="6">
        <f>MONTH(Tabla2[[#This Row],[OrderDate]])</f>
        <v>6</v>
      </c>
      <c r="L1250" s="6">
        <f>YEAR(Tabla2[[#This Row],[OrderDate]])</f>
        <v>2025</v>
      </c>
      <c r="M1250" s="7" t="s">
        <v>1987</v>
      </c>
      <c r="N1250" s="7" t="s">
        <v>28</v>
      </c>
    </row>
    <row r="1251" spans="1:14" x14ac:dyDescent="0.35">
      <c r="A1251" s="7" t="s">
        <v>2477</v>
      </c>
      <c r="B1251" s="7" t="s">
        <v>185</v>
      </c>
      <c r="C1251" s="7" t="s">
        <v>186</v>
      </c>
      <c r="D1251" s="7" t="s">
        <v>40</v>
      </c>
      <c r="E1251" s="7" t="s">
        <v>120</v>
      </c>
      <c r="F1251" s="7" t="s">
        <v>42</v>
      </c>
      <c r="G1251" s="7" t="s">
        <v>89</v>
      </c>
      <c r="H1251" s="7">
        <v>1</v>
      </c>
      <c r="I1251" s="2">
        <v>121.39</v>
      </c>
      <c r="J1251" s="2">
        <f>Tabla2[[#This Row],[Quantity]]*I1251</f>
        <v>121.39</v>
      </c>
      <c r="K1251" s="6">
        <f>MONTH(Tabla2[[#This Row],[OrderDate]])</f>
        <v>6</v>
      </c>
      <c r="L1251" s="6">
        <f>YEAR(Tabla2[[#This Row],[OrderDate]])</f>
        <v>2024</v>
      </c>
      <c r="M1251" s="7" t="s">
        <v>2478</v>
      </c>
      <c r="N1251" s="7" t="s">
        <v>36</v>
      </c>
    </row>
    <row r="1252" spans="1:14" x14ac:dyDescent="0.35">
      <c r="A1252" s="7" t="s">
        <v>2479</v>
      </c>
      <c r="B1252" s="7" t="s">
        <v>464</v>
      </c>
      <c r="C1252" s="7" t="s">
        <v>465</v>
      </c>
      <c r="D1252" s="7" t="s">
        <v>14</v>
      </c>
      <c r="E1252" s="7" t="s">
        <v>100</v>
      </c>
      <c r="F1252" s="7" t="s">
        <v>25</v>
      </c>
      <c r="G1252" s="7" t="s">
        <v>74</v>
      </c>
      <c r="H1252" s="7">
        <v>3</v>
      </c>
      <c r="I1252" s="2">
        <v>1051.6300000000001</v>
      </c>
      <c r="J1252" s="2">
        <f>Tabla2[[#This Row],[Quantity]]*I1252</f>
        <v>3154.8900000000003</v>
      </c>
      <c r="K1252" s="6">
        <f>MONTH(Tabla2[[#This Row],[OrderDate]])</f>
        <v>3</v>
      </c>
      <c r="L1252" s="6">
        <f>YEAR(Tabla2[[#This Row],[OrderDate]])</f>
        <v>2026</v>
      </c>
      <c r="M1252" s="7" t="s">
        <v>1319</v>
      </c>
      <c r="N1252" s="7" t="s">
        <v>19</v>
      </c>
    </row>
    <row r="1253" spans="1:14" x14ac:dyDescent="0.35">
      <c r="A1253" s="7" t="s">
        <v>2480</v>
      </c>
      <c r="B1253" s="7" t="s">
        <v>960</v>
      </c>
      <c r="C1253" s="7" t="s">
        <v>961</v>
      </c>
      <c r="D1253" s="7" t="s">
        <v>67</v>
      </c>
      <c r="E1253" s="7" t="s">
        <v>115</v>
      </c>
      <c r="F1253" s="7" t="s">
        <v>25</v>
      </c>
      <c r="G1253" s="7" t="s">
        <v>34</v>
      </c>
      <c r="H1253" s="7">
        <v>3</v>
      </c>
      <c r="I1253" s="2">
        <v>246.4</v>
      </c>
      <c r="J1253" s="2">
        <f>Tabla2[[#This Row],[Quantity]]*I1253</f>
        <v>739.2</v>
      </c>
      <c r="K1253" s="6">
        <f>MONTH(Tabla2[[#This Row],[OrderDate]])</f>
        <v>1</v>
      </c>
      <c r="L1253" s="6">
        <f>YEAR(Tabla2[[#This Row],[OrderDate]])</f>
        <v>2025</v>
      </c>
      <c r="M1253" s="7" t="s">
        <v>431</v>
      </c>
      <c r="N1253" s="7" t="s">
        <v>36</v>
      </c>
    </row>
    <row r="1254" spans="1:14" x14ac:dyDescent="0.35">
      <c r="A1254" s="7" t="s">
        <v>2481</v>
      </c>
      <c r="B1254" s="7" t="s">
        <v>602</v>
      </c>
      <c r="C1254" s="7" t="s">
        <v>603</v>
      </c>
      <c r="D1254" s="7" t="s">
        <v>40</v>
      </c>
      <c r="E1254" s="7" t="s">
        <v>79</v>
      </c>
      <c r="F1254" s="7" t="s">
        <v>16</v>
      </c>
      <c r="G1254" s="7" t="s">
        <v>177</v>
      </c>
      <c r="H1254" s="7">
        <v>4</v>
      </c>
      <c r="I1254" s="2">
        <v>1019.25</v>
      </c>
      <c r="J1254" s="2">
        <f>Tabla2[[#This Row],[Quantity]]*I1254</f>
        <v>4077</v>
      </c>
      <c r="K1254" s="6">
        <f>MONTH(Tabla2[[#This Row],[OrderDate]])</f>
        <v>5</v>
      </c>
      <c r="L1254" s="6">
        <f>YEAR(Tabla2[[#This Row],[OrderDate]])</f>
        <v>2024</v>
      </c>
      <c r="M1254" s="7" t="s">
        <v>317</v>
      </c>
      <c r="N1254" s="7" t="s">
        <v>19</v>
      </c>
    </row>
    <row r="1255" spans="1:14" x14ac:dyDescent="0.35">
      <c r="A1255" s="7" t="s">
        <v>2482</v>
      </c>
      <c r="B1255" s="7" t="s">
        <v>185</v>
      </c>
      <c r="C1255" s="7" t="s">
        <v>186</v>
      </c>
      <c r="D1255" s="7" t="s">
        <v>14</v>
      </c>
      <c r="E1255" s="7" t="s">
        <v>15</v>
      </c>
      <c r="F1255" s="7" t="s">
        <v>50</v>
      </c>
      <c r="G1255" s="7" t="s">
        <v>170</v>
      </c>
      <c r="H1255" s="7">
        <v>3</v>
      </c>
      <c r="I1255" s="2">
        <v>248</v>
      </c>
      <c r="J1255" s="2">
        <f>Tabla2[[#This Row],[Quantity]]*I1255</f>
        <v>744</v>
      </c>
      <c r="K1255" s="6">
        <f>MONTH(Tabla2[[#This Row],[OrderDate]])</f>
        <v>5</v>
      </c>
      <c r="L1255" s="6">
        <f>YEAR(Tabla2[[#This Row],[OrderDate]])</f>
        <v>2025</v>
      </c>
      <c r="M1255" s="7" t="s">
        <v>669</v>
      </c>
      <c r="N1255" s="7" t="s">
        <v>19</v>
      </c>
    </row>
    <row r="1256" spans="1:14" x14ac:dyDescent="0.35">
      <c r="A1256" s="7" t="s">
        <v>2483</v>
      </c>
      <c r="B1256" s="7" t="s">
        <v>1005</v>
      </c>
      <c r="C1256" s="7" t="s">
        <v>1006</v>
      </c>
      <c r="D1256" s="7" t="s">
        <v>40</v>
      </c>
      <c r="E1256" s="7" t="s">
        <v>41</v>
      </c>
      <c r="F1256" s="7" t="s">
        <v>101</v>
      </c>
      <c r="G1256" s="7" t="s">
        <v>373</v>
      </c>
      <c r="H1256" s="7">
        <v>3</v>
      </c>
      <c r="I1256" s="2">
        <v>1091.6400000000001</v>
      </c>
      <c r="J1256" s="2">
        <f>Tabla2[[#This Row],[Quantity]]*I1256</f>
        <v>3274.92</v>
      </c>
      <c r="K1256" s="6">
        <f>MONTH(Tabla2[[#This Row],[OrderDate]])</f>
        <v>12</v>
      </c>
      <c r="L1256" s="6">
        <f>YEAR(Tabla2[[#This Row],[OrderDate]])</f>
        <v>2025</v>
      </c>
      <c r="M1256" s="7" t="s">
        <v>1763</v>
      </c>
      <c r="N1256" s="7" t="s">
        <v>19</v>
      </c>
    </row>
    <row r="1257" spans="1:14" x14ac:dyDescent="0.35">
      <c r="A1257" s="7" t="s">
        <v>2484</v>
      </c>
      <c r="B1257" s="7" t="s">
        <v>990</v>
      </c>
      <c r="C1257" s="7" t="s">
        <v>991</v>
      </c>
      <c r="D1257" s="7" t="s">
        <v>67</v>
      </c>
      <c r="E1257" s="7" t="s">
        <v>115</v>
      </c>
      <c r="F1257" s="7" t="s">
        <v>42</v>
      </c>
      <c r="G1257" s="7" t="s">
        <v>170</v>
      </c>
      <c r="H1257" s="7">
        <v>1</v>
      </c>
      <c r="I1257" s="2">
        <v>1037.5999999999999</v>
      </c>
      <c r="J1257" s="2">
        <f>Tabla2[[#This Row],[Quantity]]*I1257</f>
        <v>1037.5999999999999</v>
      </c>
      <c r="K1257" s="6">
        <f>MONTH(Tabla2[[#This Row],[OrderDate]])</f>
        <v>11</v>
      </c>
      <c r="L1257" s="6">
        <f>YEAR(Tabla2[[#This Row],[OrderDate]])</f>
        <v>2025</v>
      </c>
      <c r="M1257" s="7" t="s">
        <v>63</v>
      </c>
      <c r="N1257" s="7" t="s">
        <v>36</v>
      </c>
    </row>
    <row r="1258" spans="1:14" x14ac:dyDescent="0.35">
      <c r="A1258" s="7" t="s">
        <v>2485</v>
      </c>
      <c r="B1258" s="7" t="s">
        <v>109</v>
      </c>
      <c r="C1258" s="7" t="s">
        <v>110</v>
      </c>
      <c r="D1258" s="7" t="s">
        <v>23</v>
      </c>
      <c r="E1258" s="7" t="s">
        <v>49</v>
      </c>
      <c r="F1258" s="7" t="s">
        <v>25</v>
      </c>
      <c r="G1258" s="7" t="s">
        <v>62</v>
      </c>
      <c r="H1258" s="7">
        <v>2</v>
      </c>
      <c r="I1258" s="2">
        <v>645.76</v>
      </c>
      <c r="J1258" s="2">
        <f>Tabla2[[#This Row],[Quantity]]*I1258</f>
        <v>1291.52</v>
      </c>
      <c r="K1258" s="6">
        <f>MONTH(Tabla2[[#This Row],[OrderDate]])</f>
        <v>3</v>
      </c>
      <c r="L1258" s="6">
        <f>YEAR(Tabla2[[#This Row],[OrderDate]])</f>
        <v>2024</v>
      </c>
      <c r="M1258" s="7" t="s">
        <v>1108</v>
      </c>
      <c r="N1258" s="7" t="s">
        <v>45</v>
      </c>
    </row>
    <row r="1259" spans="1:14" x14ac:dyDescent="0.35">
      <c r="A1259" s="7" t="s">
        <v>2486</v>
      </c>
      <c r="B1259" s="7" t="s">
        <v>2399</v>
      </c>
      <c r="C1259" s="7" t="s">
        <v>2400</v>
      </c>
      <c r="D1259" s="7" t="s">
        <v>14</v>
      </c>
      <c r="E1259" s="7" t="s">
        <v>266</v>
      </c>
      <c r="F1259" s="7" t="s">
        <v>50</v>
      </c>
      <c r="G1259" s="7" t="s">
        <v>69</v>
      </c>
      <c r="H1259" s="7">
        <v>5</v>
      </c>
      <c r="I1259" s="2">
        <v>246.6</v>
      </c>
      <c r="J1259" s="2">
        <f>Tabla2[[#This Row],[Quantity]]*I1259</f>
        <v>1233</v>
      </c>
      <c r="K1259" s="6">
        <f>MONTH(Tabla2[[#This Row],[OrderDate]])</f>
        <v>5</v>
      </c>
      <c r="L1259" s="6">
        <f>YEAR(Tabla2[[#This Row],[OrderDate]])</f>
        <v>2025</v>
      </c>
      <c r="M1259" s="7" t="s">
        <v>1103</v>
      </c>
      <c r="N1259" s="7" t="s">
        <v>91</v>
      </c>
    </row>
    <row r="1260" spans="1:14" x14ac:dyDescent="0.35">
      <c r="A1260" s="7" t="s">
        <v>2487</v>
      </c>
      <c r="B1260" s="7" t="s">
        <v>219</v>
      </c>
      <c r="C1260" s="7" t="s">
        <v>220</v>
      </c>
      <c r="D1260" s="7" t="s">
        <v>32</v>
      </c>
      <c r="E1260" s="7" t="s">
        <v>203</v>
      </c>
      <c r="F1260" s="7" t="s">
        <v>50</v>
      </c>
      <c r="G1260" s="7" t="s">
        <v>69</v>
      </c>
      <c r="H1260" s="7">
        <v>3</v>
      </c>
      <c r="I1260" s="2">
        <v>1262.49</v>
      </c>
      <c r="J1260" s="2">
        <f>Tabla2[[#This Row],[Quantity]]*I1260</f>
        <v>3787.4700000000003</v>
      </c>
      <c r="K1260" s="6">
        <f>MONTH(Tabla2[[#This Row],[OrderDate]])</f>
        <v>1</v>
      </c>
      <c r="L1260" s="6">
        <f>YEAR(Tabla2[[#This Row],[OrderDate]])</f>
        <v>2026</v>
      </c>
      <c r="M1260" s="7" t="s">
        <v>614</v>
      </c>
      <c r="N1260" s="7" t="s">
        <v>45</v>
      </c>
    </row>
    <row r="1261" spans="1:14" x14ac:dyDescent="0.35">
      <c r="A1261" s="7" t="s">
        <v>2488</v>
      </c>
      <c r="B1261" s="7" t="s">
        <v>460</v>
      </c>
      <c r="C1261" s="7" t="s">
        <v>461</v>
      </c>
      <c r="D1261" s="7" t="s">
        <v>14</v>
      </c>
      <c r="E1261" s="7" t="s">
        <v>266</v>
      </c>
      <c r="F1261" s="7" t="s">
        <v>42</v>
      </c>
      <c r="G1261" s="7" t="s">
        <v>170</v>
      </c>
      <c r="H1261" s="7">
        <v>2</v>
      </c>
      <c r="I1261" s="2">
        <v>845.27</v>
      </c>
      <c r="J1261" s="2">
        <f>Tabla2[[#This Row],[Quantity]]*I1261</f>
        <v>1690.54</v>
      </c>
      <c r="K1261" s="6">
        <f>MONTH(Tabla2[[#This Row],[OrderDate]])</f>
        <v>4</v>
      </c>
      <c r="L1261" s="6">
        <f>YEAR(Tabla2[[#This Row],[OrderDate]])</f>
        <v>2025</v>
      </c>
      <c r="M1261" s="7" t="s">
        <v>538</v>
      </c>
      <c r="N1261" s="7" t="s">
        <v>91</v>
      </c>
    </row>
    <row r="1262" spans="1:14" x14ac:dyDescent="0.35">
      <c r="A1262" s="7" t="s">
        <v>2489</v>
      </c>
      <c r="B1262" s="7" t="s">
        <v>723</v>
      </c>
      <c r="C1262" s="7" t="s">
        <v>724</v>
      </c>
      <c r="D1262" s="7" t="s">
        <v>14</v>
      </c>
      <c r="E1262" s="7" t="s">
        <v>100</v>
      </c>
      <c r="F1262" s="7" t="s">
        <v>42</v>
      </c>
      <c r="G1262" s="7" t="s">
        <v>225</v>
      </c>
      <c r="H1262" s="7">
        <v>5</v>
      </c>
      <c r="I1262" s="2">
        <v>106.23</v>
      </c>
      <c r="J1262" s="2">
        <f>Tabla2[[#This Row],[Quantity]]*I1262</f>
        <v>531.15</v>
      </c>
      <c r="K1262" s="6">
        <f>MONTH(Tabla2[[#This Row],[OrderDate]])</f>
        <v>1</v>
      </c>
      <c r="L1262" s="6">
        <f>YEAR(Tabla2[[#This Row],[OrderDate]])</f>
        <v>2026</v>
      </c>
      <c r="M1262" s="7" t="s">
        <v>2490</v>
      </c>
      <c r="N1262" s="7" t="s">
        <v>45</v>
      </c>
    </row>
    <row r="1263" spans="1:14" x14ac:dyDescent="0.35">
      <c r="A1263" s="7" t="s">
        <v>2491</v>
      </c>
      <c r="B1263" s="7" t="s">
        <v>412</v>
      </c>
      <c r="C1263" s="7" t="s">
        <v>413</v>
      </c>
      <c r="D1263" s="7" t="s">
        <v>14</v>
      </c>
      <c r="E1263" s="7" t="s">
        <v>125</v>
      </c>
      <c r="F1263" s="7" t="s">
        <v>16</v>
      </c>
      <c r="G1263" s="7" t="s">
        <v>230</v>
      </c>
      <c r="H1263" s="7">
        <v>5</v>
      </c>
      <c r="I1263" s="2">
        <v>490.39</v>
      </c>
      <c r="J1263" s="2">
        <f>Tabla2[[#This Row],[Quantity]]*I1263</f>
        <v>2451.9499999999998</v>
      </c>
      <c r="K1263" s="6">
        <f>MONTH(Tabla2[[#This Row],[OrderDate]])</f>
        <v>5</v>
      </c>
      <c r="L1263" s="6">
        <f>YEAR(Tabla2[[#This Row],[OrderDate]])</f>
        <v>2025</v>
      </c>
      <c r="M1263" s="7" t="s">
        <v>1458</v>
      </c>
      <c r="N1263" s="7" t="s">
        <v>45</v>
      </c>
    </row>
    <row r="1264" spans="1:14" x14ac:dyDescent="0.35">
      <c r="A1264" s="7" t="s">
        <v>2492</v>
      </c>
      <c r="B1264" s="7" t="s">
        <v>206</v>
      </c>
      <c r="C1264" s="7" t="s">
        <v>207</v>
      </c>
      <c r="D1264" s="7" t="s">
        <v>32</v>
      </c>
      <c r="E1264" s="7" t="s">
        <v>61</v>
      </c>
      <c r="F1264" s="7" t="s">
        <v>101</v>
      </c>
      <c r="G1264" s="7" t="s">
        <v>102</v>
      </c>
      <c r="H1264" s="7">
        <v>3</v>
      </c>
      <c r="I1264" s="2">
        <v>143.82</v>
      </c>
      <c r="J1264" s="2">
        <f>Tabla2[[#This Row],[Quantity]]*I1264</f>
        <v>431.46</v>
      </c>
      <c r="K1264" s="6">
        <f>MONTH(Tabla2[[#This Row],[OrderDate]])</f>
        <v>8</v>
      </c>
      <c r="L1264" s="6">
        <f>YEAR(Tabla2[[#This Row],[OrderDate]])</f>
        <v>2024</v>
      </c>
      <c r="M1264" s="7" t="s">
        <v>135</v>
      </c>
      <c r="N1264" s="7" t="s">
        <v>36</v>
      </c>
    </row>
    <row r="1265" spans="1:14" x14ac:dyDescent="0.35">
      <c r="A1265" s="7" t="s">
        <v>2493</v>
      </c>
      <c r="B1265" s="7" t="s">
        <v>2157</v>
      </c>
      <c r="C1265" s="7" t="s">
        <v>2158</v>
      </c>
      <c r="D1265" s="7" t="s">
        <v>14</v>
      </c>
      <c r="E1265" s="7" t="s">
        <v>95</v>
      </c>
      <c r="F1265" s="7" t="s">
        <v>25</v>
      </c>
      <c r="G1265" s="7" t="s">
        <v>74</v>
      </c>
      <c r="H1265" s="7">
        <v>1</v>
      </c>
      <c r="I1265" s="2">
        <v>311.02999999999997</v>
      </c>
      <c r="J1265" s="2">
        <f>Tabla2[[#This Row],[Quantity]]*I1265</f>
        <v>311.02999999999997</v>
      </c>
      <c r="K1265" s="6">
        <f>MONTH(Tabla2[[#This Row],[OrderDate]])</f>
        <v>9</v>
      </c>
      <c r="L1265" s="6">
        <f>YEAR(Tabla2[[#This Row],[OrderDate]])</f>
        <v>2024</v>
      </c>
      <c r="M1265" s="7" t="s">
        <v>1845</v>
      </c>
      <c r="N1265" s="7" t="s">
        <v>28</v>
      </c>
    </row>
    <row r="1266" spans="1:14" x14ac:dyDescent="0.35">
      <c r="A1266" s="7" t="s">
        <v>2494</v>
      </c>
      <c r="B1266" s="7" t="s">
        <v>185</v>
      </c>
      <c r="C1266" s="7" t="s">
        <v>186</v>
      </c>
      <c r="D1266" s="7" t="s">
        <v>67</v>
      </c>
      <c r="E1266" s="7" t="s">
        <v>115</v>
      </c>
      <c r="F1266" s="7" t="s">
        <v>42</v>
      </c>
      <c r="G1266" s="7" t="s">
        <v>170</v>
      </c>
      <c r="H1266" s="7">
        <v>5</v>
      </c>
      <c r="I1266" s="2">
        <v>701.47</v>
      </c>
      <c r="J1266" s="2">
        <f>Tabla2[[#This Row],[Quantity]]*I1266</f>
        <v>3507.3500000000004</v>
      </c>
      <c r="K1266" s="6">
        <f>MONTH(Tabla2[[#This Row],[OrderDate]])</f>
        <v>6</v>
      </c>
      <c r="L1266" s="6">
        <f>YEAR(Tabla2[[#This Row],[OrderDate]])</f>
        <v>2025</v>
      </c>
      <c r="M1266" s="7" t="s">
        <v>2495</v>
      </c>
      <c r="N1266" s="7" t="s">
        <v>28</v>
      </c>
    </row>
    <row r="1267" spans="1:14" x14ac:dyDescent="0.35">
      <c r="A1267" s="7" t="s">
        <v>2496</v>
      </c>
      <c r="B1267" s="7" t="s">
        <v>1940</v>
      </c>
      <c r="C1267" s="7" t="s">
        <v>1941</v>
      </c>
      <c r="D1267" s="7" t="s">
        <v>23</v>
      </c>
      <c r="E1267" s="7" t="s">
        <v>338</v>
      </c>
      <c r="F1267" s="7" t="s">
        <v>50</v>
      </c>
      <c r="G1267" s="7" t="s">
        <v>170</v>
      </c>
      <c r="H1267" s="7">
        <v>1</v>
      </c>
      <c r="I1267" s="2">
        <v>955.89</v>
      </c>
      <c r="J1267" s="2">
        <f>Tabla2[[#This Row],[Quantity]]*I1267</f>
        <v>955.89</v>
      </c>
      <c r="K1267" s="6">
        <f>MONTH(Tabla2[[#This Row],[OrderDate]])</f>
        <v>8</v>
      </c>
      <c r="L1267" s="6">
        <f>YEAR(Tabla2[[#This Row],[OrderDate]])</f>
        <v>2025</v>
      </c>
      <c r="M1267" s="7" t="s">
        <v>1992</v>
      </c>
      <c r="N1267" s="7" t="s">
        <v>91</v>
      </c>
    </row>
    <row r="1268" spans="1:14" x14ac:dyDescent="0.35">
      <c r="A1268" s="7" t="s">
        <v>2497</v>
      </c>
      <c r="B1268" s="7" t="s">
        <v>931</v>
      </c>
      <c r="C1268" s="7" t="s">
        <v>932</v>
      </c>
      <c r="D1268" s="7" t="s">
        <v>14</v>
      </c>
      <c r="E1268" s="7" t="s">
        <v>100</v>
      </c>
      <c r="F1268" s="7" t="s">
        <v>101</v>
      </c>
      <c r="G1268" s="7" t="s">
        <v>165</v>
      </c>
      <c r="H1268" s="7">
        <v>5</v>
      </c>
      <c r="I1268" s="2">
        <v>259.20999999999998</v>
      </c>
      <c r="J1268" s="2">
        <f>Tabla2[[#This Row],[Quantity]]*I1268</f>
        <v>1296.05</v>
      </c>
      <c r="K1268" s="6">
        <f>MONTH(Tabla2[[#This Row],[OrderDate]])</f>
        <v>7</v>
      </c>
      <c r="L1268" s="6">
        <f>YEAR(Tabla2[[#This Row],[OrderDate]])</f>
        <v>2024</v>
      </c>
      <c r="M1268" s="7" t="s">
        <v>1251</v>
      </c>
      <c r="N1268" s="7" t="s">
        <v>91</v>
      </c>
    </row>
    <row r="1269" spans="1:14" x14ac:dyDescent="0.35">
      <c r="A1269" s="7" t="s">
        <v>2498</v>
      </c>
      <c r="B1269" s="7" t="s">
        <v>348</v>
      </c>
      <c r="C1269" s="7" t="s">
        <v>349</v>
      </c>
      <c r="D1269" s="7" t="s">
        <v>14</v>
      </c>
      <c r="E1269" s="7" t="s">
        <v>15</v>
      </c>
      <c r="F1269" s="7" t="s">
        <v>101</v>
      </c>
      <c r="G1269" s="7" t="s">
        <v>102</v>
      </c>
      <c r="H1269" s="7">
        <v>1</v>
      </c>
      <c r="I1269" s="2">
        <v>1458.5</v>
      </c>
      <c r="J1269" s="2">
        <f>Tabla2[[#This Row],[Quantity]]*I1269</f>
        <v>1458.5</v>
      </c>
      <c r="K1269" s="6">
        <f>MONTH(Tabla2[[#This Row],[OrderDate]])</f>
        <v>7</v>
      </c>
      <c r="L1269" s="6">
        <f>YEAR(Tabla2[[#This Row],[OrderDate]])</f>
        <v>2025</v>
      </c>
      <c r="M1269" s="7" t="s">
        <v>1207</v>
      </c>
      <c r="N1269" s="7" t="s">
        <v>91</v>
      </c>
    </row>
    <row r="1270" spans="1:14" x14ac:dyDescent="0.35">
      <c r="A1270" s="7" t="s">
        <v>2499</v>
      </c>
      <c r="B1270" s="7" t="s">
        <v>1532</v>
      </c>
      <c r="C1270" s="7" t="s">
        <v>1533</v>
      </c>
      <c r="D1270" s="7" t="s">
        <v>67</v>
      </c>
      <c r="E1270" s="7" t="s">
        <v>115</v>
      </c>
      <c r="F1270" s="7" t="s">
        <v>16</v>
      </c>
      <c r="G1270" s="7" t="s">
        <v>177</v>
      </c>
      <c r="H1270" s="7">
        <v>4</v>
      </c>
      <c r="I1270" s="2">
        <v>1017.49</v>
      </c>
      <c r="J1270" s="2">
        <f>Tabla2[[#This Row],[Quantity]]*I1270</f>
        <v>4069.96</v>
      </c>
      <c r="K1270" s="6">
        <f>MONTH(Tabla2[[#This Row],[OrderDate]])</f>
        <v>3</v>
      </c>
      <c r="L1270" s="6">
        <f>YEAR(Tabla2[[#This Row],[OrderDate]])</f>
        <v>2026</v>
      </c>
      <c r="M1270" s="7" t="s">
        <v>1411</v>
      </c>
      <c r="N1270" s="7" t="s">
        <v>36</v>
      </c>
    </row>
    <row r="1271" spans="1:14" x14ac:dyDescent="0.35">
      <c r="A1271" s="7" t="s">
        <v>2500</v>
      </c>
      <c r="B1271" s="7" t="s">
        <v>552</v>
      </c>
      <c r="C1271" s="7" t="s">
        <v>553</v>
      </c>
      <c r="D1271" s="7" t="s">
        <v>23</v>
      </c>
      <c r="E1271" s="7" t="s">
        <v>49</v>
      </c>
      <c r="F1271" s="7" t="s">
        <v>101</v>
      </c>
      <c r="G1271" s="7" t="s">
        <v>649</v>
      </c>
      <c r="H1271" s="7">
        <v>4</v>
      </c>
      <c r="I1271" s="2">
        <v>714.62</v>
      </c>
      <c r="J1271" s="2">
        <f>Tabla2[[#This Row],[Quantity]]*I1271</f>
        <v>2858.48</v>
      </c>
      <c r="K1271" s="6">
        <f>MONTH(Tabla2[[#This Row],[OrderDate]])</f>
        <v>2</v>
      </c>
      <c r="L1271" s="6">
        <f>YEAR(Tabla2[[#This Row],[OrderDate]])</f>
        <v>2025</v>
      </c>
      <c r="M1271" s="7" t="s">
        <v>927</v>
      </c>
      <c r="N1271" s="7" t="s">
        <v>36</v>
      </c>
    </row>
    <row r="1272" spans="1:14" x14ac:dyDescent="0.35">
      <c r="A1272" s="7" t="s">
        <v>2501</v>
      </c>
      <c r="B1272" s="7" t="s">
        <v>827</v>
      </c>
      <c r="C1272" s="7" t="s">
        <v>828</v>
      </c>
      <c r="D1272" s="7" t="s">
        <v>23</v>
      </c>
      <c r="E1272" s="7" t="s">
        <v>49</v>
      </c>
      <c r="F1272" s="7" t="s">
        <v>16</v>
      </c>
      <c r="G1272" s="7" t="s">
        <v>230</v>
      </c>
      <c r="H1272" s="7">
        <v>2</v>
      </c>
      <c r="I1272" s="2">
        <v>1321.57</v>
      </c>
      <c r="J1272" s="2">
        <f>Tabla2[[#This Row],[Quantity]]*I1272</f>
        <v>2643.14</v>
      </c>
      <c r="K1272" s="6">
        <f>MONTH(Tabla2[[#This Row],[OrderDate]])</f>
        <v>4</v>
      </c>
      <c r="L1272" s="6">
        <f>YEAR(Tabla2[[#This Row],[OrderDate]])</f>
        <v>2024</v>
      </c>
      <c r="M1272" s="7" t="s">
        <v>365</v>
      </c>
      <c r="N1272" s="7" t="s">
        <v>28</v>
      </c>
    </row>
    <row r="1273" spans="1:14" x14ac:dyDescent="0.35">
      <c r="A1273" s="7" t="s">
        <v>2502</v>
      </c>
      <c r="B1273" s="7" t="s">
        <v>359</v>
      </c>
      <c r="C1273" s="7" t="s">
        <v>360</v>
      </c>
      <c r="D1273" s="7" t="s">
        <v>14</v>
      </c>
      <c r="E1273" s="7" t="s">
        <v>100</v>
      </c>
      <c r="F1273" s="7" t="s">
        <v>42</v>
      </c>
      <c r="G1273" s="7" t="s">
        <v>89</v>
      </c>
      <c r="H1273" s="7">
        <v>5</v>
      </c>
      <c r="I1273" s="2">
        <v>1494.87</v>
      </c>
      <c r="J1273" s="2">
        <f>Tabla2[[#This Row],[Quantity]]*I1273</f>
        <v>7474.3499999999995</v>
      </c>
      <c r="K1273" s="6">
        <f>MONTH(Tabla2[[#This Row],[OrderDate]])</f>
        <v>9</v>
      </c>
      <c r="L1273" s="6">
        <f>YEAR(Tabla2[[#This Row],[OrderDate]])</f>
        <v>2024</v>
      </c>
      <c r="M1273" s="7" t="s">
        <v>2503</v>
      </c>
      <c r="N1273" s="7" t="s">
        <v>45</v>
      </c>
    </row>
    <row r="1274" spans="1:14" x14ac:dyDescent="0.35">
      <c r="A1274" s="7" t="s">
        <v>2504</v>
      </c>
      <c r="B1274" s="7" t="s">
        <v>751</v>
      </c>
      <c r="C1274" s="7" t="s">
        <v>752</v>
      </c>
      <c r="D1274" s="7" t="s">
        <v>67</v>
      </c>
      <c r="E1274" s="7" t="s">
        <v>68</v>
      </c>
      <c r="F1274" s="7" t="s">
        <v>50</v>
      </c>
      <c r="G1274" s="7" t="s">
        <v>170</v>
      </c>
      <c r="H1274" s="7">
        <v>3</v>
      </c>
      <c r="I1274" s="2">
        <v>951.56</v>
      </c>
      <c r="J1274" s="2">
        <f>Tabla2[[#This Row],[Quantity]]*I1274</f>
        <v>2854.68</v>
      </c>
      <c r="K1274" s="6">
        <f>MONTH(Tabla2[[#This Row],[OrderDate]])</f>
        <v>1</v>
      </c>
      <c r="L1274" s="6">
        <f>YEAR(Tabla2[[#This Row],[OrderDate]])</f>
        <v>2024</v>
      </c>
      <c r="M1274" s="7" t="s">
        <v>1995</v>
      </c>
      <c r="N1274" s="7" t="s">
        <v>45</v>
      </c>
    </row>
    <row r="1275" spans="1:14" x14ac:dyDescent="0.35">
      <c r="A1275" s="7" t="s">
        <v>2505</v>
      </c>
      <c r="B1275" s="7" t="s">
        <v>214</v>
      </c>
      <c r="C1275" s="7" t="s">
        <v>215</v>
      </c>
      <c r="D1275" s="7" t="s">
        <v>32</v>
      </c>
      <c r="E1275" s="7" t="s">
        <v>203</v>
      </c>
      <c r="F1275" s="7" t="s">
        <v>25</v>
      </c>
      <c r="G1275" s="7" t="s">
        <v>139</v>
      </c>
      <c r="H1275" s="7">
        <v>1</v>
      </c>
      <c r="I1275" s="2">
        <v>870.43</v>
      </c>
      <c r="J1275" s="2">
        <f>Tabla2[[#This Row],[Quantity]]*I1275</f>
        <v>870.43</v>
      </c>
      <c r="K1275" s="6">
        <f>MONTH(Tabla2[[#This Row],[OrderDate]])</f>
        <v>4</v>
      </c>
      <c r="L1275" s="6">
        <f>YEAR(Tabla2[[#This Row],[OrderDate]])</f>
        <v>2025</v>
      </c>
      <c r="M1275" s="7" t="s">
        <v>1900</v>
      </c>
      <c r="N1275" s="7" t="s">
        <v>28</v>
      </c>
    </row>
    <row r="1276" spans="1:14" x14ac:dyDescent="0.35">
      <c r="A1276" s="7" t="s">
        <v>2506</v>
      </c>
      <c r="B1276" s="7" t="s">
        <v>269</v>
      </c>
      <c r="C1276" s="7" t="s">
        <v>270</v>
      </c>
      <c r="D1276" s="7" t="s">
        <v>32</v>
      </c>
      <c r="E1276" s="7" t="s">
        <v>61</v>
      </c>
      <c r="F1276" s="7" t="s">
        <v>42</v>
      </c>
      <c r="G1276" s="7" t="s">
        <v>43</v>
      </c>
      <c r="H1276" s="7">
        <v>2</v>
      </c>
      <c r="I1276" s="2">
        <v>243.33</v>
      </c>
      <c r="J1276" s="2">
        <f>Tabla2[[#This Row],[Quantity]]*I1276</f>
        <v>486.66</v>
      </c>
      <c r="K1276" s="6">
        <f>MONTH(Tabla2[[#This Row],[OrderDate]])</f>
        <v>12</v>
      </c>
      <c r="L1276" s="6">
        <f>YEAR(Tabla2[[#This Row],[OrderDate]])</f>
        <v>2025</v>
      </c>
      <c r="M1276" s="7" t="s">
        <v>131</v>
      </c>
      <c r="N1276" s="7" t="s">
        <v>28</v>
      </c>
    </row>
    <row r="1277" spans="1:14" x14ac:dyDescent="0.35">
      <c r="A1277" s="7" t="s">
        <v>2507</v>
      </c>
      <c r="B1277" s="7" t="s">
        <v>707</v>
      </c>
      <c r="C1277" s="7" t="s">
        <v>708</v>
      </c>
      <c r="D1277" s="7" t="s">
        <v>23</v>
      </c>
      <c r="E1277" s="7" t="s">
        <v>338</v>
      </c>
      <c r="F1277" s="7" t="s">
        <v>50</v>
      </c>
      <c r="G1277" s="7" t="s">
        <v>216</v>
      </c>
      <c r="H1277" s="7">
        <v>5</v>
      </c>
      <c r="I1277" s="2">
        <v>982.76</v>
      </c>
      <c r="J1277" s="2">
        <f>Tabla2[[#This Row],[Quantity]]*I1277</f>
        <v>4913.8</v>
      </c>
      <c r="K1277" s="6">
        <f>MONTH(Tabla2[[#This Row],[OrderDate]])</f>
        <v>1</v>
      </c>
      <c r="L1277" s="6">
        <f>YEAR(Tabla2[[#This Row],[OrderDate]])</f>
        <v>2024</v>
      </c>
      <c r="M1277" s="7" t="s">
        <v>410</v>
      </c>
      <c r="N1277" s="7" t="s">
        <v>28</v>
      </c>
    </row>
    <row r="1278" spans="1:14" x14ac:dyDescent="0.35">
      <c r="A1278" s="7" t="s">
        <v>2508</v>
      </c>
      <c r="B1278" s="7" t="s">
        <v>355</v>
      </c>
      <c r="C1278" s="7" t="s">
        <v>356</v>
      </c>
      <c r="D1278" s="7" t="s">
        <v>32</v>
      </c>
      <c r="E1278" s="7" t="s">
        <v>203</v>
      </c>
      <c r="F1278" s="7" t="s">
        <v>101</v>
      </c>
      <c r="G1278" s="7" t="s">
        <v>649</v>
      </c>
      <c r="H1278" s="7">
        <v>5</v>
      </c>
      <c r="I1278" s="2">
        <v>59.89</v>
      </c>
      <c r="J1278" s="2">
        <f>Tabla2[[#This Row],[Quantity]]*I1278</f>
        <v>299.45</v>
      </c>
      <c r="K1278" s="6">
        <f>MONTH(Tabla2[[#This Row],[OrderDate]])</f>
        <v>6</v>
      </c>
      <c r="L1278" s="6">
        <f>YEAR(Tabla2[[#This Row],[OrderDate]])</f>
        <v>2024</v>
      </c>
      <c r="M1278" s="7" t="s">
        <v>313</v>
      </c>
      <c r="N1278" s="7" t="s">
        <v>45</v>
      </c>
    </row>
    <row r="1279" spans="1:14" x14ac:dyDescent="0.35">
      <c r="A1279" s="7" t="s">
        <v>2509</v>
      </c>
      <c r="B1279" s="7" t="s">
        <v>1828</v>
      </c>
      <c r="C1279" s="7" t="s">
        <v>1829</v>
      </c>
      <c r="D1279" s="7" t="s">
        <v>23</v>
      </c>
      <c r="E1279" s="7" t="s">
        <v>49</v>
      </c>
      <c r="F1279" s="7" t="s">
        <v>16</v>
      </c>
      <c r="G1279" s="7" t="s">
        <v>17</v>
      </c>
      <c r="H1279" s="7">
        <v>1</v>
      </c>
      <c r="I1279" s="2">
        <v>569.74</v>
      </c>
      <c r="J1279" s="2">
        <f>Tabla2[[#This Row],[Quantity]]*I1279</f>
        <v>569.74</v>
      </c>
      <c r="K1279" s="6">
        <f>MONTH(Tabla2[[#This Row],[OrderDate]])</f>
        <v>11</v>
      </c>
      <c r="L1279" s="6">
        <f>YEAR(Tabla2[[#This Row],[OrderDate]])</f>
        <v>2025</v>
      </c>
      <c r="M1279" s="7" t="s">
        <v>789</v>
      </c>
      <c r="N1279" s="7" t="s">
        <v>36</v>
      </c>
    </row>
    <row r="1280" spans="1:14" x14ac:dyDescent="0.35">
      <c r="A1280" s="7" t="s">
        <v>2510</v>
      </c>
      <c r="B1280" s="7" t="s">
        <v>295</v>
      </c>
      <c r="C1280" s="7" t="s">
        <v>296</v>
      </c>
      <c r="D1280" s="7" t="s">
        <v>32</v>
      </c>
      <c r="E1280" s="7" t="s">
        <v>33</v>
      </c>
      <c r="F1280" s="7" t="s">
        <v>25</v>
      </c>
      <c r="G1280" s="7" t="s">
        <v>139</v>
      </c>
      <c r="H1280" s="7">
        <v>5</v>
      </c>
      <c r="I1280" s="2">
        <v>137.06</v>
      </c>
      <c r="J1280" s="2">
        <f>Tabla2[[#This Row],[Quantity]]*I1280</f>
        <v>685.3</v>
      </c>
      <c r="K1280" s="6">
        <f>MONTH(Tabla2[[#This Row],[OrderDate]])</f>
        <v>4</v>
      </c>
      <c r="L1280" s="6">
        <f>YEAR(Tabla2[[#This Row],[OrderDate]])</f>
        <v>2024</v>
      </c>
      <c r="M1280" s="7" t="s">
        <v>1040</v>
      </c>
      <c r="N1280" s="7" t="s">
        <v>19</v>
      </c>
    </row>
    <row r="1281" spans="1:14" x14ac:dyDescent="0.35">
      <c r="A1281" s="7" t="s">
        <v>2511</v>
      </c>
      <c r="B1281" s="7" t="s">
        <v>359</v>
      </c>
      <c r="C1281" s="7" t="s">
        <v>360</v>
      </c>
      <c r="D1281" s="7" t="s">
        <v>67</v>
      </c>
      <c r="E1281" s="7" t="s">
        <v>68</v>
      </c>
      <c r="F1281" s="7" t="s">
        <v>16</v>
      </c>
      <c r="G1281" s="7" t="s">
        <v>177</v>
      </c>
      <c r="H1281" s="7">
        <v>1</v>
      </c>
      <c r="I1281" s="2">
        <v>630.6</v>
      </c>
      <c r="J1281" s="2">
        <f>Tabla2[[#This Row],[Quantity]]*I1281</f>
        <v>630.6</v>
      </c>
      <c r="K1281" s="6">
        <f>MONTH(Tabla2[[#This Row],[OrderDate]])</f>
        <v>9</v>
      </c>
      <c r="L1281" s="6">
        <f>YEAR(Tabla2[[#This Row],[OrderDate]])</f>
        <v>2025</v>
      </c>
      <c r="M1281" s="7" t="s">
        <v>1716</v>
      </c>
      <c r="N1281" s="7" t="s">
        <v>45</v>
      </c>
    </row>
    <row r="1282" spans="1:14" x14ac:dyDescent="0.35">
      <c r="A1282" s="7" t="s">
        <v>2512</v>
      </c>
      <c r="B1282" s="7" t="s">
        <v>1196</v>
      </c>
      <c r="C1282" s="7" t="s">
        <v>1197</v>
      </c>
      <c r="D1282" s="7" t="s">
        <v>14</v>
      </c>
      <c r="E1282" s="7" t="s">
        <v>15</v>
      </c>
      <c r="F1282" s="7" t="s">
        <v>16</v>
      </c>
      <c r="G1282" s="7" t="s">
        <v>182</v>
      </c>
      <c r="H1282" s="7">
        <v>1</v>
      </c>
      <c r="I1282" s="2">
        <v>1234.21</v>
      </c>
      <c r="J1282" s="2">
        <f>Tabla2[[#This Row],[Quantity]]*I1282</f>
        <v>1234.21</v>
      </c>
      <c r="K1282" s="6">
        <f>MONTH(Tabla2[[#This Row],[OrderDate]])</f>
        <v>9</v>
      </c>
      <c r="L1282" s="6">
        <f>YEAR(Tabla2[[#This Row],[OrderDate]])</f>
        <v>2025</v>
      </c>
      <c r="M1282" s="7" t="s">
        <v>1701</v>
      </c>
      <c r="N1282" s="7" t="s">
        <v>91</v>
      </c>
    </row>
    <row r="1283" spans="1:14" x14ac:dyDescent="0.35">
      <c r="A1283" s="7" t="s">
        <v>2513</v>
      </c>
      <c r="B1283" s="7" t="s">
        <v>206</v>
      </c>
      <c r="C1283" s="7" t="s">
        <v>207</v>
      </c>
      <c r="D1283" s="7" t="s">
        <v>23</v>
      </c>
      <c r="E1283" s="7" t="s">
        <v>24</v>
      </c>
      <c r="F1283" s="7" t="s">
        <v>42</v>
      </c>
      <c r="G1283" s="7" t="s">
        <v>89</v>
      </c>
      <c r="H1283" s="7">
        <v>4</v>
      </c>
      <c r="I1283" s="2">
        <v>1091.9000000000001</v>
      </c>
      <c r="J1283" s="2">
        <f>Tabla2[[#This Row],[Quantity]]*I1283</f>
        <v>4367.6000000000004</v>
      </c>
      <c r="K1283" s="6">
        <f>MONTH(Tabla2[[#This Row],[OrderDate]])</f>
        <v>12</v>
      </c>
      <c r="L1283" s="6">
        <f>YEAR(Tabla2[[#This Row],[OrderDate]])</f>
        <v>2024</v>
      </c>
      <c r="M1283" s="7" t="s">
        <v>1919</v>
      </c>
      <c r="N1283" s="7" t="s">
        <v>28</v>
      </c>
    </row>
    <row r="1284" spans="1:14" x14ac:dyDescent="0.35">
      <c r="A1284" s="7" t="s">
        <v>2514</v>
      </c>
      <c r="B1284" s="7" t="s">
        <v>269</v>
      </c>
      <c r="C1284" s="7" t="s">
        <v>270</v>
      </c>
      <c r="D1284" s="7" t="s">
        <v>67</v>
      </c>
      <c r="E1284" s="7" t="s">
        <v>130</v>
      </c>
      <c r="F1284" s="7" t="s">
        <v>101</v>
      </c>
      <c r="G1284" s="7" t="s">
        <v>102</v>
      </c>
      <c r="H1284" s="7">
        <v>4</v>
      </c>
      <c r="I1284" s="2">
        <v>1313.19</v>
      </c>
      <c r="J1284" s="2">
        <f>Tabla2[[#This Row],[Quantity]]*I1284</f>
        <v>5252.76</v>
      </c>
      <c r="K1284" s="6">
        <f>MONTH(Tabla2[[#This Row],[OrderDate]])</f>
        <v>8</v>
      </c>
      <c r="L1284" s="6">
        <f>YEAR(Tabla2[[#This Row],[OrderDate]])</f>
        <v>2024</v>
      </c>
      <c r="M1284" s="7" t="s">
        <v>822</v>
      </c>
      <c r="N1284" s="7" t="s">
        <v>19</v>
      </c>
    </row>
    <row r="1285" spans="1:14" x14ac:dyDescent="0.35">
      <c r="A1285" s="7" t="s">
        <v>2515</v>
      </c>
      <c r="B1285" s="7" t="s">
        <v>960</v>
      </c>
      <c r="C1285" s="7" t="s">
        <v>961</v>
      </c>
      <c r="D1285" s="7" t="s">
        <v>32</v>
      </c>
      <c r="E1285" s="7" t="s">
        <v>33</v>
      </c>
      <c r="F1285" s="7" t="s">
        <v>101</v>
      </c>
      <c r="G1285" s="7" t="s">
        <v>165</v>
      </c>
      <c r="H1285" s="7">
        <v>4</v>
      </c>
      <c r="I1285" s="2">
        <v>428.62</v>
      </c>
      <c r="J1285" s="2">
        <f>Tabla2[[#This Row],[Quantity]]*I1285</f>
        <v>1714.48</v>
      </c>
      <c r="K1285" s="6">
        <f>MONTH(Tabla2[[#This Row],[OrderDate]])</f>
        <v>5</v>
      </c>
      <c r="L1285" s="6">
        <f>YEAR(Tabla2[[#This Row],[OrderDate]])</f>
        <v>2025</v>
      </c>
      <c r="M1285" s="7" t="s">
        <v>570</v>
      </c>
      <c r="N1285" s="7" t="s">
        <v>45</v>
      </c>
    </row>
    <row r="1286" spans="1:14" x14ac:dyDescent="0.35">
      <c r="A1286" s="7" t="s">
        <v>2516</v>
      </c>
      <c r="B1286" s="7" t="s">
        <v>925</v>
      </c>
      <c r="C1286" s="7" t="s">
        <v>926</v>
      </c>
      <c r="D1286" s="7" t="s">
        <v>14</v>
      </c>
      <c r="E1286" s="7" t="s">
        <v>100</v>
      </c>
      <c r="F1286" s="7" t="s">
        <v>50</v>
      </c>
      <c r="G1286" s="7" t="s">
        <v>51</v>
      </c>
      <c r="H1286" s="7">
        <v>5</v>
      </c>
      <c r="I1286" s="2">
        <v>1206.25</v>
      </c>
      <c r="J1286" s="2">
        <f>Tabla2[[#This Row],[Quantity]]*I1286</f>
        <v>6031.25</v>
      </c>
      <c r="K1286" s="6">
        <f>MONTH(Tabla2[[#This Row],[OrderDate]])</f>
        <v>9</v>
      </c>
      <c r="L1286" s="6">
        <f>YEAR(Tabla2[[#This Row],[OrderDate]])</f>
        <v>2025</v>
      </c>
      <c r="M1286" s="7" t="s">
        <v>2294</v>
      </c>
      <c r="N1286" s="7" t="s">
        <v>19</v>
      </c>
    </row>
    <row r="1287" spans="1:14" x14ac:dyDescent="0.35">
      <c r="A1287" s="7" t="s">
        <v>2517</v>
      </c>
      <c r="B1287" s="7" t="s">
        <v>677</v>
      </c>
      <c r="C1287" s="7" t="s">
        <v>678</v>
      </c>
      <c r="D1287" s="7" t="s">
        <v>67</v>
      </c>
      <c r="E1287" s="7" t="s">
        <v>130</v>
      </c>
      <c r="F1287" s="7" t="s">
        <v>50</v>
      </c>
      <c r="G1287" s="7" t="s">
        <v>216</v>
      </c>
      <c r="H1287" s="7">
        <v>3</v>
      </c>
      <c r="I1287" s="2">
        <v>245.74</v>
      </c>
      <c r="J1287" s="2">
        <f>Tabla2[[#This Row],[Quantity]]*I1287</f>
        <v>737.22</v>
      </c>
      <c r="K1287" s="6">
        <f>MONTH(Tabla2[[#This Row],[OrderDate]])</f>
        <v>7</v>
      </c>
      <c r="L1287" s="6">
        <f>YEAR(Tabla2[[#This Row],[OrderDate]])</f>
        <v>2025</v>
      </c>
      <c r="M1287" s="7" t="s">
        <v>2518</v>
      </c>
      <c r="N1287" s="7" t="s">
        <v>28</v>
      </c>
    </row>
    <row r="1288" spans="1:14" x14ac:dyDescent="0.35">
      <c r="A1288" s="7" t="s">
        <v>2519</v>
      </c>
      <c r="B1288" s="7" t="s">
        <v>579</v>
      </c>
      <c r="C1288" s="7" t="s">
        <v>580</v>
      </c>
      <c r="D1288" s="7" t="s">
        <v>23</v>
      </c>
      <c r="E1288" s="7" t="s">
        <v>338</v>
      </c>
      <c r="F1288" s="7" t="s">
        <v>25</v>
      </c>
      <c r="G1288" s="7" t="s">
        <v>139</v>
      </c>
      <c r="H1288" s="7">
        <v>2</v>
      </c>
      <c r="I1288" s="2">
        <v>256.31</v>
      </c>
      <c r="J1288" s="2">
        <f>Tabla2[[#This Row],[Quantity]]*I1288</f>
        <v>512.62</v>
      </c>
      <c r="K1288" s="6">
        <f>MONTH(Tabla2[[#This Row],[OrderDate]])</f>
        <v>7</v>
      </c>
      <c r="L1288" s="6">
        <f>YEAR(Tabla2[[#This Row],[OrderDate]])</f>
        <v>2024</v>
      </c>
      <c r="M1288" s="7" t="s">
        <v>204</v>
      </c>
      <c r="N1288" s="7" t="s">
        <v>36</v>
      </c>
    </row>
    <row r="1289" spans="1:14" x14ac:dyDescent="0.35">
      <c r="A1289" s="7" t="s">
        <v>2520</v>
      </c>
      <c r="B1289" s="7" t="s">
        <v>964</v>
      </c>
      <c r="C1289" s="7" t="s">
        <v>965</v>
      </c>
      <c r="D1289" s="7" t="s">
        <v>14</v>
      </c>
      <c r="E1289" s="7" t="s">
        <v>100</v>
      </c>
      <c r="F1289" s="7" t="s">
        <v>50</v>
      </c>
      <c r="G1289" s="7" t="s">
        <v>56</v>
      </c>
      <c r="H1289" s="7">
        <v>2</v>
      </c>
      <c r="I1289" s="2">
        <v>143.52000000000001</v>
      </c>
      <c r="J1289" s="2">
        <f>Tabla2[[#This Row],[Quantity]]*I1289</f>
        <v>287.04000000000002</v>
      </c>
      <c r="K1289" s="6">
        <f>MONTH(Tabla2[[#This Row],[OrderDate]])</f>
        <v>11</v>
      </c>
      <c r="L1289" s="6">
        <f>YEAR(Tabla2[[#This Row],[OrderDate]])</f>
        <v>2025</v>
      </c>
      <c r="M1289" s="7" t="s">
        <v>1026</v>
      </c>
      <c r="N1289" s="7" t="s">
        <v>36</v>
      </c>
    </row>
    <row r="1290" spans="1:14" x14ac:dyDescent="0.35">
      <c r="A1290" s="7" t="s">
        <v>2521</v>
      </c>
      <c r="B1290" s="7" t="s">
        <v>30</v>
      </c>
      <c r="C1290" s="7" t="s">
        <v>31</v>
      </c>
      <c r="D1290" s="7" t="s">
        <v>40</v>
      </c>
      <c r="E1290" s="7" t="s">
        <v>79</v>
      </c>
      <c r="F1290" s="7" t="s">
        <v>101</v>
      </c>
      <c r="G1290" s="7" t="s">
        <v>102</v>
      </c>
      <c r="H1290" s="7">
        <v>3</v>
      </c>
      <c r="I1290" s="2">
        <v>1137.6600000000001</v>
      </c>
      <c r="J1290" s="2">
        <f>Tabla2[[#This Row],[Quantity]]*I1290</f>
        <v>3412.9800000000005</v>
      </c>
      <c r="K1290" s="6">
        <f>MONTH(Tabla2[[#This Row],[OrderDate]])</f>
        <v>12</v>
      </c>
      <c r="L1290" s="6">
        <f>YEAR(Tabla2[[#This Row],[OrderDate]])</f>
        <v>2025</v>
      </c>
      <c r="M1290" s="7" t="s">
        <v>2334</v>
      </c>
      <c r="N1290" s="7" t="s">
        <v>19</v>
      </c>
    </row>
    <row r="1291" spans="1:14" x14ac:dyDescent="0.35">
      <c r="A1291" s="7" t="s">
        <v>2522</v>
      </c>
      <c r="B1291" s="7" t="s">
        <v>594</v>
      </c>
      <c r="C1291" s="7" t="s">
        <v>595</v>
      </c>
      <c r="D1291" s="7" t="s">
        <v>32</v>
      </c>
      <c r="E1291" s="7" t="s">
        <v>61</v>
      </c>
      <c r="F1291" s="7" t="s">
        <v>101</v>
      </c>
      <c r="G1291" s="7" t="s">
        <v>102</v>
      </c>
      <c r="H1291" s="7">
        <v>4</v>
      </c>
      <c r="I1291" s="2">
        <v>319.69</v>
      </c>
      <c r="J1291" s="2">
        <f>Tabla2[[#This Row],[Quantity]]*I1291</f>
        <v>1278.76</v>
      </c>
      <c r="K1291" s="6">
        <f>MONTH(Tabla2[[#This Row],[OrderDate]])</f>
        <v>2</v>
      </c>
      <c r="L1291" s="6">
        <f>YEAR(Tabla2[[#This Row],[OrderDate]])</f>
        <v>2026</v>
      </c>
      <c r="M1291" s="7" t="s">
        <v>35</v>
      </c>
      <c r="N1291" s="7" t="s">
        <v>28</v>
      </c>
    </row>
    <row r="1292" spans="1:14" x14ac:dyDescent="0.35">
      <c r="A1292" s="7" t="s">
        <v>2523</v>
      </c>
      <c r="B1292" s="7" t="s">
        <v>376</v>
      </c>
      <c r="C1292" s="7" t="s">
        <v>377</v>
      </c>
      <c r="D1292" s="7" t="s">
        <v>23</v>
      </c>
      <c r="E1292" s="7" t="s">
        <v>338</v>
      </c>
      <c r="F1292" s="7" t="s">
        <v>50</v>
      </c>
      <c r="G1292" s="7" t="s">
        <v>51</v>
      </c>
      <c r="H1292" s="7">
        <v>3</v>
      </c>
      <c r="I1292" s="2">
        <v>746.26</v>
      </c>
      <c r="J1292" s="2">
        <f>Tabla2[[#This Row],[Quantity]]*I1292</f>
        <v>2238.7799999999997</v>
      </c>
      <c r="K1292" s="6">
        <f>MONTH(Tabla2[[#This Row],[OrderDate]])</f>
        <v>1</v>
      </c>
      <c r="L1292" s="6">
        <f>YEAR(Tabla2[[#This Row],[OrderDate]])</f>
        <v>2026</v>
      </c>
      <c r="M1292" s="7" t="s">
        <v>1373</v>
      </c>
      <c r="N1292" s="7" t="s">
        <v>91</v>
      </c>
    </row>
    <row r="1293" spans="1:14" x14ac:dyDescent="0.35">
      <c r="A1293" s="7" t="s">
        <v>2524</v>
      </c>
      <c r="B1293" s="7" t="s">
        <v>690</v>
      </c>
      <c r="C1293" s="7" t="s">
        <v>691</v>
      </c>
      <c r="D1293" s="7" t="s">
        <v>23</v>
      </c>
      <c r="E1293" s="7" t="s">
        <v>49</v>
      </c>
      <c r="F1293" s="7" t="s">
        <v>50</v>
      </c>
      <c r="G1293" s="7" t="s">
        <v>56</v>
      </c>
      <c r="H1293" s="7">
        <v>3</v>
      </c>
      <c r="I1293" s="2">
        <v>451.65</v>
      </c>
      <c r="J1293" s="2">
        <f>Tabla2[[#This Row],[Quantity]]*I1293</f>
        <v>1354.9499999999998</v>
      </c>
      <c r="K1293" s="6">
        <f>MONTH(Tabla2[[#This Row],[OrderDate]])</f>
        <v>2</v>
      </c>
      <c r="L1293" s="6">
        <f>YEAR(Tabla2[[#This Row],[OrderDate]])</f>
        <v>2024</v>
      </c>
      <c r="M1293" s="7" t="s">
        <v>1174</v>
      </c>
      <c r="N1293" s="7" t="s">
        <v>45</v>
      </c>
    </row>
    <row r="1294" spans="1:14" x14ac:dyDescent="0.35">
      <c r="A1294" s="7" t="s">
        <v>2525</v>
      </c>
      <c r="B1294" s="7" t="s">
        <v>1203</v>
      </c>
      <c r="C1294" s="7" t="s">
        <v>1204</v>
      </c>
      <c r="D1294" s="7" t="s">
        <v>23</v>
      </c>
      <c r="E1294" s="7" t="s">
        <v>338</v>
      </c>
      <c r="F1294" s="7" t="s">
        <v>25</v>
      </c>
      <c r="G1294" s="7" t="s">
        <v>34</v>
      </c>
      <c r="H1294" s="7">
        <v>2</v>
      </c>
      <c r="I1294" s="2">
        <v>298.11</v>
      </c>
      <c r="J1294" s="2">
        <f>Tabla2[[#This Row],[Quantity]]*I1294</f>
        <v>596.22</v>
      </c>
      <c r="K1294" s="6">
        <f>MONTH(Tabla2[[#This Row],[OrderDate]])</f>
        <v>12</v>
      </c>
      <c r="L1294" s="6">
        <f>YEAR(Tabla2[[#This Row],[OrderDate]])</f>
        <v>2025</v>
      </c>
      <c r="M1294" s="7" t="s">
        <v>382</v>
      </c>
      <c r="N1294" s="7" t="s">
        <v>45</v>
      </c>
    </row>
    <row r="1295" spans="1:14" x14ac:dyDescent="0.35">
      <c r="A1295" s="7" t="s">
        <v>2526</v>
      </c>
      <c r="B1295" s="7" t="s">
        <v>21</v>
      </c>
      <c r="C1295" s="7" t="s">
        <v>22</v>
      </c>
      <c r="D1295" s="7" t="s">
        <v>14</v>
      </c>
      <c r="E1295" s="7" t="s">
        <v>100</v>
      </c>
      <c r="F1295" s="7" t="s">
        <v>42</v>
      </c>
      <c r="G1295" s="7" t="s">
        <v>80</v>
      </c>
      <c r="H1295" s="7">
        <v>5</v>
      </c>
      <c r="I1295" s="2">
        <v>164.72</v>
      </c>
      <c r="J1295" s="2">
        <f>Tabla2[[#This Row],[Quantity]]*I1295</f>
        <v>823.6</v>
      </c>
      <c r="K1295" s="6">
        <f>MONTH(Tabla2[[#This Row],[OrderDate]])</f>
        <v>1</v>
      </c>
      <c r="L1295" s="6">
        <f>YEAR(Tabla2[[#This Row],[OrderDate]])</f>
        <v>2025</v>
      </c>
      <c r="M1295" s="7" t="s">
        <v>140</v>
      </c>
      <c r="N1295" s="7" t="s">
        <v>28</v>
      </c>
    </row>
    <row r="1296" spans="1:14" x14ac:dyDescent="0.35">
      <c r="A1296" s="7" t="s">
        <v>2527</v>
      </c>
      <c r="B1296" s="7" t="s">
        <v>193</v>
      </c>
      <c r="C1296" s="7" t="s">
        <v>194</v>
      </c>
      <c r="D1296" s="7" t="s">
        <v>23</v>
      </c>
      <c r="E1296" s="7" t="s">
        <v>49</v>
      </c>
      <c r="F1296" s="7" t="s">
        <v>101</v>
      </c>
      <c r="G1296" s="7" t="s">
        <v>165</v>
      </c>
      <c r="H1296" s="7">
        <v>3</v>
      </c>
      <c r="I1296" s="2">
        <v>139.66</v>
      </c>
      <c r="J1296" s="2">
        <f>Tabla2[[#This Row],[Quantity]]*I1296</f>
        <v>418.98</v>
      </c>
      <c r="K1296" s="6">
        <f>MONTH(Tabla2[[#This Row],[OrderDate]])</f>
        <v>6</v>
      </c>
      <c r="L1296" s="6">
        <f>YEAR(Tabla2[[#This Row],[OrderDate]])</f>
        <v>2024</v>
      </c>
      <c r="M1296" s="7" t="s">
        <v>896</v>
      </c>
      <c r="N1296" s="7" t="s">
        <v>36</v>
      </c>
    </row>
    <row r="1297" spans="1:14" x14ac:dyDescent="0.35">
      <c r="A1297" s="7" t="s">
        <v>2528</v>
      </c>
      <c r="B1297" s="7" t="s">
        <v>742</v>
      </c>
      <c r="C1297" s="7" t="s">
        <v>743</v>
      </c>
      <c r="D1297" s="7" t="s">
        <v>23</v>
      </c>
      <c r="E1297" s="7" t="s">
        <v>338</v>
      </c>
      <c r="F1297" s="7" t="s">
        <v>50</v>
      </c>
      <c r="G1297" s="7" t="s">
        <v>170</v>
      </c>
      <c r="H1297" s="7">
        <v>5</v>
      </c>
      <c r="I1297" s="2">
        <v>1213.5899999999999</v>
      </c>
      <c r="J1297" s="2">
        <f>Tabla2[[#This Row],[Quantity]]*I1297</f>
        <v>6067.95</v>
      </c>
      <c r="K1297" s="6">
        <f>MONTH(Tabla2[[#This Row],[OrderDate]])</f>
        <v>11</v>
      </c>
      <c r="L1297" s="6">
        <f>YEAR(Tabla2[[#This Row],[OrderDate]])</f>
        <v>2025</v>
      </c>
      <c r="M1297" s="7" t="s">
        <v>2260</v>
      </c>
      <c r="N1297" s="7" t="s">
        <v>36</v>
      </c>
    </row>
    <row r="1298" spans="1:14" x14ac:dyDescent="0.35">
      <c r="A1298" s="7" t="s">
        <v>2529</v>
      </c>
      <c r="B1298" s="7" t="s">
        <v>388</v>
      </c>
      <c r="C1298" s="7" t="s">
        <v>389</v>
      </c>
      <c r="D1298" s="7" t="s">
        <v>67</v>
      </c>
      <c r="E1298" s="7" t="s">
        <v>130</v>
      </c>
      <c r="F1298" s="7" t="s">
        <v>42</v>
      </c>
      <c r="G1298" s="7" t="s">
        <v>80</v>
      </c>
      <c r="H1298" s="7">
        <v>5</v>
      </c>
      <c r="I1298" s="2">
        <v>973.34</v>
      </c>
      <c r="J1298" s="2">
        <f>Tabla2[[#This Row],[Quantity]]*I1298</f>
        <v>4866.7</v>
      </c>
      <c r="K1298" s="6">
        <f>MONTH(Tabla2[[#This Row],[OrderDate]])</f>
        <v>12</v>
      </c>
      <c r="L1298" s="6">
        <f>YEAR(Tabla2[[#This Row],[OrderDate]])</f>
        <v>2024</v>
      </c>
      <c r="M1298" s="7" t="s">
        <v>1432</v>
      </c>
      <c r="N1298" s="7" t="s">
        <v>45</v>
      </c>
    </row>
    <row r="1299" spans="1:14" x14ac:dyDescent="0.35">
      <c r="A1299" s="7" t="s">
        <v>2530</v>
      </c>
      <c r="B1299" s="7" t="s">
        <v>59</v>
      </c>
      <c r="C1299" s="7" t="s">
        <v>60</v>
      </c>
      <c r="D1299" s="7" t="s">
        <v>23</v>
      </c>
      <c r="E1299" s="7" t="s">
        <v>49</v>
      </c>
      <c r="F1299" s="7" t="s">
        <v>42</v>
      </c>
      <c r="G1299" s="7" t="s">
        <v>80</v>
      </c>
      <c r="H1299" s="7">
        <v>1</v>
      </c>
      <c r="I1299" s="2">
        <v>619.54999999999995</v>
      </c>
      <c r="J1299" s="2">
        <f>Tabla2[[#This Row],[Quantity]]*I1299</f>
        <v>619.54999999999995</v>
      </c>
      <c r="K1299" s="6">
        <f>MONTH(Tabla2[[#This Row],[OrderDate]])</f>
        <v>4</v>
      </c>
      <c r="L1299" s="6">
        <f>YEAR(Tabla2[[#This Row],[OrderDate]])</f>
        <v>2024</v>
      </c>
      <c r="M1299" s="7" t="s">
        <v>1440</v>
      </c>
      <c r="N1299" s="7" t="s">
        <v>19</v>
      </c>
    </row>
    <row r="1300" spans="1:14" x14ac:dyDescent="0.35">
      <c r="A1300" s="7" t="s">
        <v>2531</v>
      </c>
      <c r="B1300" s="7" t="s">
        <v>273</v>
      </c>
      <c r="C1300" s="7" t="s">
        <v>274</v>
      </c>
      <c r="D1300" s="7" t="s">
        <v>40</v>
      </c>
      <c r="E1300" s="7" t="s">
        <v>79</v>
      </c>
      <c r="F1300" s="7" t="s">
        <v>50</v>
      </c>
      <c r="G1300" s="7" t="s">
        <v>51</v>
      </c>
      <c r="H1300" s="7">
        <v>5</v>
      </c>
      <c r="I1300" s="2">
        <v>1358.61</v>
      </c>
      <c r="J1300" s="2">
        <f>Tabla2[[#This Row],[Quantity]]*I1300</f>
        <v>6793.0499999999993</v>
      </c>
      <c r="K1300" s="6">
        <f>MONTH(Tabla2[[#This Row],[OrderDate]])</f>
        <v>3</v>
      </c>
      <c r="L1300" s="6">
        <f>YEAR(Tabla2[[#This Row],[OrderDate]])</f>
        <v>2024</v>
      </c>
      <c r="M1300" s="7" t="s">
        <v>2532</v>
      </c>
      <c r="N1300" s="7" t="s">
        <v>28</v>
      </c>
    </row>
    <row r="1301" spans="1:14" x14ac:dyDescent="0.35">
      <c r="A1301" s="7" t="s">
        <v>2533</v>
      </c>
      <c r="B1301" s="7" t="s">
        <v>838</v>
      </c>
      <c r="C1301" s="7" t="s">
        <v>839</v>
      </c>
      <c r="D1301" s="7" t="s">
        <v>23</v>
      </c>
      <c r="E1301" s="7" t="s">
        <v>24</v>
      </c>
      <c r="F1301" s="7" t="s">
        <v>50</v>
      </c>
      <c r="G1301" s="7" t="s">
        <v>216</v>
      </c>
      <c r="H1301" s="7">
        <v>1</v>
      </c>
      <c r="I1301" s="2">
        <v>738.31</v>
      </c>
      <c r="J1301" s="2">
        <f>Tabla2[[#This Row],[Quantity]]*I1301</f>
        <v>738.31</v>
      </c>
      <c r="K1301" s="6">
        <f>MONTH(Tabla2[[#This Row],[OrderDate]])</f>
        <v>8</v>
      </c>
      <c r="L1301" s="6">
        <f>YEAR(Tabla2[[#This Row],[OrderDate]])</f>
        <v>2025</v>
      </c>
      <c r="M1301" s="7" t="s">
        <v>2534</v>
      </c>
      <c r="N1301" s="7" t="s">
        <v>45</v>
      </c>
    </row>
    <row r="1302" spans="1:14" x14ac:dyDescent="0.35">
      <c r="A1302" s="7" t="s">
        <v>2535</v>
      </c>
      <c r="B1302" s="7" t="s">
        <v>450</v>
      </c>
      <c r="C1302" s="7" t="s">
        <v>451</v>
      </c>
      <c r="D1302" s="7" t="s">
        <v>32</v>
      </c>
      <c r="E1302" s="7" t="s">
        <v>203</v>
      </c>
      <c r="F1302" s="7" t="s">
        <v>50</v>
      </c>
      <c r="G1302" s="7" t="s">
        <v>170</v>
      </c>
      <c r="H1302" s="7">
        <v>2</v>
      </c>
      <c r="I1302" s="2">
        <v>1362.83</v>
      </c>
      <c r="J1302" s="2">
        <f>Tabla2[[#This Row],[Quantity]]*I1302</f>
        <v>2725.66</v>
      </c>
      <c r="K1302" s="6">
        <f>MONTH(Tabla2[[#This Row],[OrderDate]])</f>
        <v>1</v>
      </c>
      <c r="L1302" s="6">
        <f>YEAR(Tabla2[[#This Row],[OrderDate]])</f>
        <v>2026</v>
      </c>
      <c r="M1302" s="7" t="s">
        <v>2490</v>
      </c>
      <c r="N1302" s="7" t="s">
        <v>45</v>
      </c>
    </row>
    <row r="1303" spans="1:14" x14ac:dyDescent="0.35">
      <c r="A1303" s="7" t="s">
        <v>2536</v>
      </c>
      <c r="B1303" s="7" t="s">
        <v>1428</v>
      </c>
      <c r="C1303" s="7" t="s">
        <v>1429</v>
      </c>
      <c r="D1303" s="7" t="s">
        <v>67</v>
      </c>
      <c r="E1303" s="7" t="s">
        <v>115</v>
      </c>
      <c r="F1303" s="7" t="s">
        <v>16</v>
      </c>
      <c r="G1303" s="7" t="s">
        <v>177</v>
      </c>
      <c r="H1303" s="7">
        <v>3</v>
      </c>
      <c r="I1303" s="2">
        <v>1281.72</v>
      </c>
      <c r="J1303" s="2">
        <f>Tabla2[[#This Row],[Quantity]]*I1303</f>
        <v>3845.16</v>
      </c>
      <c r="K1303" s="6">
        <f>MONTH(Tabla2[[#This Row],[OrderDate]])</f>
        <v>7</v>
      </c>
      <c r="L1303" s="6">
        <f>YEAR(Tabla2[[#This Row],[OrderDate]])</f>
        <v>2024</v>
      </c>
      <c r="M1303" s="7" t="s">
        <v>1251</v>
      </c>
      <c r="N1303" s="7" t="s">
        <v>91</v>
      </c>
    </row>
    <row r="1304" spans="1:14" x14ac:dyDescent="0.35">
      <c r="A1304" s="7" t="s">
        <v>2537</v>
      </c>
      <c r="B1304" s="7" t="s">
        <v>470</v>
      </c>
      <c r="C1304" s="7" t="s">
        <v>471</v>
      </c>
      <c r="D1304" s="7" t="s">
        <v>14</v>
      </c>
      <c r="E1304" s="7" t="s">
        <v>266</v>
      </c>
      <c r="F1304" s="7" t="s">
        <v>101</v>
      </c>
      <c r="G1304" s="7" t="s">
        <v>237</v>
      </c>
      <c r="H1304" s="7">
        <v>5</v>
      </c>
      <c r="I1304" s="2">
        <v>390.71</v>
      </c>
      <c r="J1304" s="2">
        <f>Tabla2[[#This Row],[Quantity]]*I1304</f>
        <v>1953.55</v>
      </c>
      <c r="K1304" s="6">
        <f>MONTH(Tabla2[[#This Row],[OrderDate]])</f>
        <v>10</v>
      </c>
      <c r="L1304" s="6">
        <f>YEAR(Tabla2[[#This Row],[OrderDate]])</f>
        <v>2024</v>
      </c>
      <c r="M1304" s="7" t="s">
        <v>811</v>
      </c>
      <c r="N1304" s="7" t="s">
        <v>36</v>
      </c>
    </row>
    <row r="1305" spans="1:14" x14ac:dyDescent="0.35">
      <c r="A1305" s="7" t="s">
        <v>2538</v>
      </c>
      <c r="B1305" s="7" t="s">
        <v>2245</v>
      </c>
      <c r="C1305" s="7" t="s">
        <v>2246</v>
      </c>
      <c r="D1305" s="7" t="s">
        <v>32</v>
      </c>
      <c r="E1305" s="7" t="s">
        <v>203</v>
      </c>
      <c r="F1305" s="7" t="s">
        <v>42</v>
      </c>
      <c r="G1305" s="7" t="s">
        <v>89</v>
      </c>
      <c r="H1305" s="7">
        <v>5</v>
      </c>
      <c r="I1305" s="2">
        <v>714.44</v>
      </c>
      <c r="J1305" s="2">
        <f>Tabla2[[#This Row],[Quantity]]*I1305</f>
        <v>3572.2000000000003</v>
      </c>
      <c r="K1305" s="6">
        <f>MONTH(Tabla2[[#This Row],[OrderDate]])</f>
        <v>1</v>
      </c>
      <c r="L1305" s="6">
        <f>YEAR(Tabla2[[#This Row],[OrderDate]])</f>
        <v>2026</v>
      </c>
      <c r="M1305" s="7" t="s">
        <v>1660</v>
      </c>
      <c r="N1305" s="7" t="s">
        <v>45</v>
      </c>
    </row>
    <row r="1306" spans="1:14" x14ac:dyDescent="0.35">
      <c r="A1306" s="7" t="s">
        <v>2539</v>
      </c>
      <c r="B1306" s="7" t="s">
        <v>622</v>
      </c>
      <c r="C1306" s="7" t="s">
        <v>623</v>
      </c>
      <c r="D1306" s="7" t="s">
        <v>14</v>
      </c>
      <c r="E1306" s="7" t="s">
        <v>100</v>
      </c>
      <c r="F1306" s="7" t="s">
        <v>50</v>
      </c>
      <c r="G1306" s="7" t="s">
        <v>216</v>
      </c>
      <c r="H1306" s="7">
        <v>3</v>
      </c>
      <c r="I1306" s="2">
        <v>1105.6300000000001</v>
      </c>
      <c r="J1306" s="2">
        <f>Tabla2[[#This Row],[Quantity]]*I1306</f>
        <v>3316.8900000000003</v>
      </c>
      <c r="K1306" s="6">
        <f>MONTH(Tabla2[[#This Row],[OrderDate]])</f>
        <v>4</v>
      </c>
      <c r="L1306" s="6">
        <f>YEAR(Tabla2[[#This Row],[OrderDate]])</f>
        <v>2024</v>
      </c>
      <c r="M1306" s="7" t="s">
        <v>2540</v>
      </c>
      <c r="N1306" s="7" t="s">
        <v>28</v>
      </c>
    </row>
    <row r="1307" spans="1:14" x14ac:dyDescent="0.35">
      <c r="A1307" s="7" t="s">
        <v>2541</v>
      </c>
      <c r="B1307" s="7" t="s">
        <v>464</v>
      </c>
      <c r="C1307" s="7" t="s">
        <v>465</v>
      </c>
      <c r="D1307" s="7" t="s">
        <v>40</v>
      </c>
      <c r="E1307" s="7" t="s">
        <v>79</v>
      </c>
      <c r="F1307" s="7" t="s">
        <v>25</v>
      </c>
      <c r="G1307" s="7" t="s">
        <v>74</v>
      </c>
      <c r="H1307" s="7">
        <v>1</v>
      </c>
      <c r="I1307" s="2">
        <v>201.66</v>
      </c>
      <c r="J1307" s="2">
        <f>Tabla2[[#This Row],[Quantity]]*I1307</f>
        <v>201.66</v>
      </c>
      <c r="K1307" s="6">
        <f>MONTH(Tabla2[[#This Row],[OrderDate]])</f>
        <v>12</v>
      </c>
      <c r="L1307" s="6">
        <f>YEAR(Tabla2[[#This Row],[OrderDate]])</f>
        <v>2025</v>
      </c>
      <c r="M1307" s="7" t="s">
        <v>2542</v>
      </c>
      <c r="N1307" s="7" t="s">
        <v>36</v>
      </c>
    </row>
    <row r="1308" spans="1:14" x14ac:dyDescent="0.35">
      <c r="A1308" s="7" t="s">
        <v>2543</v>
      </c>
      <c r="B1308" s="7" t="s">
        <v>367</v>
      </c>
      <c r="C1308" s="7" t="s">
        <v>368</v>
      </c>
      <c r="D1308" s="7" t="s">
        <v>40</v>
      </c>
      <c r="E1308" s="7" t="s">
        <v>41</v>
      </c>
      <c r="F1308" s="7" t="s">
        <v>16</v>
      </c>
      <c r="G1308" s="7" t="s">
        <v>230</v>
      </c>
      <c r="H1308" s="7">
        <v>1</v>
      </c>
      <c r="I1308" s="2">
        <v>470</v>
      </c>
      <c r="J1308" s="2">
        <f>Tabla2[[#This Row],[Quantity]]*I1308</f>
        <v>470</v>
      </c>
      <c r="K1308" s="6">
        <f>MONTH(Tabla2[[#This Row],[OrderDate]])</f>
        <v>2</v>
      </c>
      <c r="L1308" s="6">
        <f>YEAR(Tabla2[[#This Row],[OrderDate]])</f>
        <v>2024</v>
      </c>
      <c r="M1308" s="7" t="s">
        <v>528</v>
      </c>
      <c r="N1308" s="7" t="s">
        <v>36</v>
      </c>
    </row>
    <row r="1309" spans="1:14" x14ac:dyDescent="0.35">
      <c r="A1309" s="7" t="s">
        <v>2544</v>
      </c>
      <c r="B1309" s="7" t="s">
        <v>1464</v>
      </c>
      <c r="C1309" s="7" t="s">
        <v>1465</v>
      </c>
      <c r="D1309" s="7" t="s">
        <v>67</v>
      </c>
      <c r="E1309" s="7" t="s">
        <v>68</v>
      </c>
      <c r="F1309" s="7" t="s">
        <v>101</v>
      </c>
      <c r="G1309" s="7" t="s">
        <v>237</v>
      </c>
      <c r="H1309" s="7">
        <v>4</v>
      </c>
      <c r="I1309" s="2">
        <v>1289.3499999999999</v>
      </c>
      <c r="J1309" s="2">
        <f>Tabla2[[#This Row],[Quantity]]*I1309</f>
        <v>5157.3999999999996</v>
      </c>
      <c r="K1309" s="6">
        <f>MONTH(Tabla2[[#This Row],[OrderDate]])</f>
        <v>7</v>
      </c>
      <c r="L1309" s="6">
        <f>YEAR(Tabla2[[#This Row],[OrderDate]])</f>
        <v>2024</v>
      </c>
      <c r="M1309" s="7" t="s">
        <v>596</v>
      </c>
      <c r="N1309" s="7" t="s">
        <v>45</v>
      </c>
    </row>
    <row r="1310" spans="1:14" x14ac:dyDescent="0.35">
      <c r="A1310" s="7" t="s">
        <v>2545</v>
      </c>
      <c r="B1310" s="7" t="s">
        <v>163</v>
      </c>
      <c r="C1310" s="7" t="s">
        <v>164</v>
      </c>
      <c r="D1310" s="7" t="s">
        <v>14</v>
      </c>
      <c r="E1310" s="7" t="s">
        <v>125</v>
      </c>
      <c r="F1310" s="7" t="s">
        <v>25</v>
      </c>
      <c r="G1310" s="7" t="s">
        <v>62</v>
      </c>
      <c r="H1310" s="7">
        <v>5</v>
      </c>
      <c r="I1310" s="2">
        <v>421.54</v>
      </c>
      <c r="J1310" s="2">
        <f>Tabla2[[#This Row],[Quantity]]*I1310</f>
        <v>2107.7000000000003</v>
      </c>
      <c r="K1310" s="6">
        <f>MONTH(Tabla2[[#This Row],[OrderDate]])</f>
        <v>12</v>
      </c>
      <c r="L1310" s="6">
        <f>YEAR(Tabla2[[#This Row],[OrderDate]])</f>
        <v>2025</v>
      </c>
      <c r="M1310" s="7" t="s">
        <v>1491</v>
      </c>
      <c r="N1310" s="7" t="s">
        <v>28</v>
      </c>
    </row>
    <row r="1311" spans="1:14" x14ac:dyDescent="0.35">
      <c r="A1311" s="7" t="s">
        <v>2546</v>
      </c>
      <c r="B1311" s="7" t="s">
        <v>838</v>
      </c>
      <c r="C1311" s="7" t="s">
        <v>839</v>
      </c>
      <c r="D1311" s="7" t="s">
        <v>67</v>
      </c>
      <c r="E1311" s="7" t="s">
        <v>68</v>
      </c>
      <c r="F1311" s="7" t="s">
        <v>16</v>
      </c>
      <c r="G1311" s="7" t="s">
        <v>182</v>
      </c>
      <c r="H1311" s="7">
        <v>2</v>
      </c>
      <c r="I1311" s="2">
        <v>124.18</v>
      </c>
      <c r="J1311" s="2">
        <f>Tabla2[[#This Row],[Quantity]]*I1311</f>
        <v>248.36</v>
      </c>
      <c r="K1311" s="6">
        <f>MONTH(Tabla2[[#This Row],[OrderDate]])</f>
        <v>11</v>
      </c>
      <c r="L1311" s="6">
        <f>YEAR(Tabla2[[#This Row],[OrderDate]])</f>
        <v>2024</v>
      </c>
      <c r="M1311" s="7" t="s">
        <v>2547</v>
      </c>
      <c r="N1311" s="7" t="s">
        <v>91</v>
      </c>
    </row>
    <row r="1312" spans="1:14" x14ac:dyDescent="0.35">
      <c r="A1312" s="7" t="s">
        <v>2548</v>
      </c>
      <c r="B1312" s="7" t="s">
        <v>832</v>
      </c>
      <c r="C1312" s="7" t="s">
        <v>833</v>
      </c>
      <c r="D1312" s="7" t="s">
        <v>67</v>
      </c>
      <c r="E1312" s="7" t="s">
        <v>115</v>
      </c>
      <c r="F1312" s="7" t="s">
        <v>42</v>
      </c>
      <c r="G1312" s="7" t="s">
        <v>89</v>
      </c>
      <c r="H1312" s="7">
        <v>5</v>
      </c>
      <c r="I1312" s="2">
        <v>801.12</v>
      </c>
      <c r="J1312" s="2">
        <f>Tabla2[[#This Row],[Quantity]]*I1312</f>
        <v>4005.6</v>
      </c>
      <c r="K1312" s="6">
        <f>MONTH(Tabla2[[#This Row],[OrderDate]])</f>
        <v>2</v>
      </c>
      <c r="L1312" s="6">
        <f>YEAR(Tabla2[[#This Row],[OrderDate]])</f>
        <v>2026</v>
      </c>
      <c r="M1312" s="7" t="s">
        <v>795</v>
      </c>
      <c r="N1312" s="7" t="s">
        <v>19</v>
      </c>
    </row>
    <row r="1313" spans="1:14" x14ac:dyDescent="0.35">
      <c r="A1313" s="7" t="s">
        <v>2549</v>
      </c>
      <c r="B1313" s="7" t="s">
        <v>244</v>
      </c>
      <c r="C1313" s="7" t="s">
        <v>245</v>
      </c>
      <c r="D1313" s="7" t="s">
        <v>14</v>
      </c>
      <c r="E1313" s="7" t="s">
        <v>15</v>
      </c>
      <c r="F1313" s="7" t="s">
        <v>25</v>
      </c>
      <c r="G1313" s="7" t="s">
        <v>74</v>
      </c>
      <c r="H1313" s="7">
        <v>2</v>
      </c>
      <c r="I1313" s="2">
        <v>1329.51</v>
      </c>
      <c r="J1313" s="2">
        <f>Tabla2[[#This Row],[Quantity]]*I1313</f>
        <v>2659.02</v>
      </c>
      <c r="K1313" s="6">
        <f>MONTH(Tabla2[[#This Row],[OrderDate]])</f>
        <v>4</v>
      </c>
      <c r="L1313" s="6">
        <f>YEAR(Tabla2[[#This Row],[OrderDate]])</f>
        <v>2024</v>
      </c>
      <c r="M1313" s="7" t="s">
        <v>730</v>
      </c>
      <c r="N1313" s="7" t="s">
        <v>36</v>
      </c>
    </row>
    <row r="1314" spans="1:14" x14ac:dyDescent="0.35">
      <c r="A1314" s="7" t="s">
        <v>2550</v>
      </c>
      <c r="B1314" s="7" t="s">
        <v>518</v>
      </c>
      <c r="C1314" s="7" t="s">
        <v>519</v>
      </c>
      <c r="D1314" s="7" t="s">
        <v>23</v>
      </c>
      <c r="E1314" s="7" t="s">
        <v>49</v>
      </c>
      <c r="F1314" s="7" t="s">
        <v>101</v>
      </c>
      <c r="G1314" s="7" t="s">
        <v>165</v>
      </c>
      <c r="H1314" s="7">
        <v>3</v>
      </c>
      <c r="I1314" s="2">
        <v>26.89</v>
      </c>
      <c r="J1314" s="2">
        <f>Tabla2[[#This Row],[Quantity]]*I1314</f>
        <v>80.67</v>
      </c>
      <c r="K1314" s="6">
        <f>MONTH(Tabla2[[#This Row],[OrderDate]])</f>
        <v>10</v>
      </c>
      <c r="L1314" s="6">
        <f>YEAR(Tabla2[[#This Row],[OrderDate]])</f>
        <v>2025</v>
      </c>
      <c r="M1314" s="7" t="s">
        <v>2551</v>
      </c>
      <c r="N1314" s="7" t="s">
        <v>45</v>
      </c>
    </row>
    <row r="1315" spans="1:14" x14ac:dyDescent="0.35">
      <c r="A1315" s="7" t="s">
        <v>2552</v>
      </c>
      <c r="B1315" s="7" t="s">
        <v>1464</v>
      </c>
      <c r="C1315" s="7" t="s">
        <v>1465</v>
      </c>
      <c r="D1315" s="7" t="s">
        <v>40</v>
      </c>
      <c r="E1315" s="7" t="s">
        <v>41</v>
      </c>
      <c r="F1315" s="7" t="s">
        <v>16</v>
      </c>
      <c r="G1315" s="7" t="s">
        <v>230</v>
      </c>
      <c r="H1315" s="7">
        <v>2</v>
      </c>
      <c r="I1315" s="2">
        <v>231.94</v>
      </c>
      <c r="J1315" s="2">
        <f>Tabla2[[#This Row],[Quantity]]*I1315</f>
        <v>463.88</v>
      </c>
      <c r="K1315" s="6">
        <f>MONTH(Tabla2[[#This Row],[OrderDate]])</f>
        <v>8</v>
      </c>
      <c r="L1315" s="6">
        <f>YEAR(Tabla2[[#This Row],[OrderDate]])</f>
        <v>2024</v>
      </c>
      <c r="M1315" s="7" t="s">
        <v>1536</v>
      </c>
      <c r="N1315" s="7" t="s">
        <v>28</v>
      </c>
    </row>
    <row r="1316" spans="1:14" x14ac:dyDescent="0.35">
      <c r="A1316" s="7" t="s">
        <v>2553</v>
      </c>
      <c r="B1316" s="7" t="s">
        <v>210</v>
      </c>
      <c r="C1316" s="7" t="s">
        <v>211</v>
      </c>
      <c r="D1316" s="7" t="s">
        <v>40</v>
      </c>
      <c r="E1316" s="7" t="s">
        <v>120</v>
      </c>
      <c r="F1316" s="7" t="s">
        <v>42</v>
      </c>
      <c r="G1316" s="7" t="s">
        <v>43</v>
      </c>
      <c r="H1316" s="7">
        <v>2</v>
      </c>
      <c r="I1316" s="2">
        <v>1428.98</v>
      </c>
      <c r="J1316" s="2">
        <f>Tabla2[[#This Row],[Quantity]]*I1316</f>
        <v>2857.96</v>
      </c>
      <c r="K1316" s="6">
        <f>MONTH(Tabla2[[#This Row],[OrderDate]])</f>
        <v>3</v>
      </c>
      <c r="L1316" s="6">
        <f>YEAR(Tabla2[[#This Row],[OrderDate]])</f>
        <v>2026</v>
      </c>
      <c r="M1316" s="7" t="s">
        <v>2554</v>
      </c>
      <c r="N1316" s="7" t="s">
        <v>45</v>
      </c>
    </row>
    <row r="1317" spans="1:14" x14ac:dyDescent="0.35">
      <c r="A1317" s="7" t="s">
        <v>2555</v>
      </c>
      <c r="B1317" s="7" t="s">
        <v>759</v>
      </c>
      <c r="C1317" s="7" t="s">
        <v>760</v>
      </c>
      <c r="D1317" s="7" t="s">
        <v>40</v>
      </c>
      <c r="E1317" s="7" t="s">
        <v>120</v>
      </c>
      <c r="F1317" s="7" t="s">
        <v>101</v>
      </c>
      <c r="G1317" s="7" t="s">
        <v>373</v>
      </c>
      <c r="H1317" s="7">
        <v>2</v>
      </c>
      <c r="I1317" s="2">
        <v>619.21</v>
      </c>
      <c r="J1317" s="2">
        <f>Tabla2[[#This Row],[Quantity]]*I1317</f>
        <v>1238.42</v>
      </c>
      <c r="K1317" s="6">
        <f>MONTH(Tabla2[[#This Row],[OrderDate]])</f>
        <v>6</v>
      </c>
      <c r="L1317" s="6">
        <f>YEAR(Tabla2[[#This Row],[OrderDate]])</f>
        <v>2024</v>
      </c>
      <c r="M1317" s="7" t="s">
        <v>2556</v>
      </c>
      <c r="N1317" s="7" t="s">
        <v>91</v>
      </c>
    </row>
    <row r="1318" spans="1:14" x14ac:dyDescent="0.35">
      <c r="A1318" s="7" t="s">
        <v>2557</v>
      </c>
      <c r="B1318" s="7" t="s">
        <v>21</v>
      </c>
      <c r="C1318" s="7" t="s">
        <v>22</v>
      </c>
      <c r="D1318" s="7" t="s">
        <v>32</v>
      </c>
      <c r="E1318" s="7" t="s">
        <v>203</v>
      </c>
      <c r="F1318" s="7" t="s">
        <v>42</v>
      </c>
      <c r="G1318" s="7" t="s">
        <v>89</v>
      </c>
      <c r="H1318" s="7">
        <v>2</v>
      </c>
      <c r="I1318" s="2">
        <v>615.24</v>
      </c>
      <c r="J1318" s="2">
        <f>Tabla2[[#This Row],[Quantity]]*I1318</f>
        <v>1230.48</v>
      </c>
      <c r="K1318" s="6">
        <f>MONTH(Tabla2[[#This Row],[OrderDate]])</f>
        <v>5</v>
      </c>
      <c r="L1318" s="6">
        <f>YEAR(Tabla2[[#This Row],[OrderDate]])</f>
        <v>2024</v>
      </c>
      <c r="M1318" s="7" t="s">
        <v>2042</v>
      </c>
      <c r="N1318" s="7" t="s">
        <v>36</v>
      </c>
    </row>
    <row r="1319" spans="1:14" x14ac:dyDescent="0.35">
      <c r="A1319" s="7" t="s">
        <v>2558</v>
      </c>
      <c r="B1319" s="7" t="s">
        <v>1340</v>
      </c>
      <c r="C1319" s="7" t="s">
        <v>1341</v>
      </c>
      <c r="D1319" s="7" t="s">
        <v>23</v>
      </c>
      <c r="E1319" s="7" t="s">
        <v>24</v>
      </c>
      <c r="F1319" s="7" t="s">
        <v>16</v>
      </c>
      <c r="G1319" s="7" t="s">
        <v>230</v>
      </c>
      <c r="H1319" s="7">
        <v>3</v>
      </c>
      <c r="I1319" s="2">
        <v>116.67</v>
      </c>
      <c r="J1319" s="2">
        <f>Tabla2[[#This Row],[Quantity]]*I1319</f>
        <v>350.01</v>
      </c>
      <c r="K1319" s="6">
        <f>MONTH(Tabla2[[#This Row],[OrderDate]])</f>
        <v>11</v>
      </c>
      <c r="L1319" s="6">
        <f>YEAR(Tabla2[[#This Row],[OrderDate]])</f>
        <v>2025</v>
      </c>
      <c r="M1319" s="7" t="s">
        <v>956</v>
      </c>
      <c r="N1319" s="7" t="s">
        <v>45</v>
      </c>
    </row>
    <row r="1320" spans="1:14" x14ac:dyDescent="0.35">
      <c r="A1320" s="7" t="s">
        <v>2559</v>
      </c>
      <c r="B1320" s="7" t="s">
        <v>1307</v>
      </c>
      <c r="C1320" s="7" t="s">
        <v>1308</v>
      </c>
      <c r="D1320" s="7" t="s">
        <v>32</v>
      </c>
      <c r="E1320" s="7" t="s">
        <v>33</v>
      </c>
      <c r="F1320" s="7" t="s">
        <v>25</v>
      </c>
      <c r="G1320" s="7" t="s">
        <v>62</v>
      </c>
      <c r="H1320" s="7">
        <v>3</v>
      </c>
      <c r="I1320" s="2">
        <v>900.82</v>
      </c>
      <c r="J1320" s="2">
        <f>Tabla2[[#This Row],[Quantity]]*I1320</f>
        <v>2702.46</v>
      </c>
      <c r="K1320" s="6">
        <f>MONTH(Tabla2[[#This Row],[OrderDate]])</f>
        <v>1</v>
      </c>
      <c r="L1320" s="6">
        <f>YEAR(Tabla2[[#This Row],[OrderDate]])</f>
        <v>2025</v>
      </c>
      <c r="M1320" s="7" t="s">
        <v>1122</v>
      </c>
      <c r="N1320" s="7" t="s">
        <v>19</v>
      </c>
    </row>
    <row r="1321" spans="1:14" x14ac:dyDescent="0.35">
      <c r="A1321" s="7" t="s">
        <v>2560</v>
      </c>
      <c r="B1321" s="7" t="s">
        <v>311</v>
      </c>
      <c r="C1321" s="7" t="s">
        <v>312</v>
      </c>
      <c r="D1321" s="7" t="s">
        <v>23</v>
      </c>
      <c r="E1321" s="7" t="s">
        <v>49</v>
      </c>
      <c r="F1321" s="7" t="s">
        <v>101</v>
      </c>
      <c r="G1321" s="7" t="s">
        <v>373</v>
      </c>
      <c r="H1321" s="7">
        <v>4</v>
      </c>
      <c r="I1321" s="2">
        <v>357.02</v>
      </c>
      <c r="J1321" s="2">
        <f>Tabla2[[#This Row],[Quantity]]*I1321</f>
        <v>1428.08</v>
      </c>
      <c r="K1321" s="6">
        <f>MONTH(Tabla2[[#This Row],[OrderDate]])</f>
        <v>10</v>
      </c>
      <c r="L1321" s="6">
        <f>YEAR(Tabla2[[#This Row],[OrderDate]])</f>
        <v>2025</v>
      </c>
      <c r="M1321" s="7" t="s">
        <v>2561</v>
      </c>
      <c r="N1321" s="7" t="s">
        <v>91</v>
      </c>
    </row>
    <row r="1322" spans="1:14" x14ac:dyDescent="0.35">
      <c r="A1322" s="7" t="s">
        <v>2562</v>
      </c>
      <c r="B1322" s="7" t="s">
        <v>223</v>
      </c>
      <c r="C1322" s="7" t="s">
        <v>224</v>
      </c>
      <c r="D1322" s="7" t="s">
        <v>23</v>
      </c>
      <c r="E1322" s="7" t="s">
        <v>338</v>
      </c>
      <c r="F1322" s="7" t="s">
        <v>101</v>
      </c>
      <c r="G1322" s="7" t="s">
        <v>165</v>
      </c>
      <c r="H1322" s="7">
        <v>2</v>
      </c>
      <c r="I1322" s="2">
        <v>539.83000000000004</v>
      </c>
      <c r="J1322" s="2">
        <f>Tabla2[[#This Row],[Quantity]]*I1322</f>
        <v>1079.6600000000001</v>
      </c>
      <c r="K1322" s="6">
        <f>MONTH(Tabla2[[#This Row],[OrderDate]])</f>
        <v>4</v>
      </c>
      <c r="L1322" s="6">
        <f>YEAR(Tabla2[[#This Row],[OrderDate]])</f>
        <v>2024</v>
      </c>
      <c r="M1322" s="7" t="s">
        <v>2327</v>
      </c>
      <c r="N1322" s="7" t="s">
        <v>19</v>
      </c>
    </row>
    <row r="1323" spans="1:14" x14ac:dyDescent="0.35">
      <c r="A1323" s="7" t="s">
        <v>2563</v>
      </c>
      <c r="B1323" s="7" t="s">
        <v>248</v>
      </c>
      <c r="C1323" s="7" t="s">
        <v>249</v>
      </c>
      <c r="D1323" s="7" t="s">
        <v>23</v>
      </c>
      <c r="E1323" s="7" t="s">
        <v>338</v>
      </c>
      <c r="F1323" s="7" t="s">
        <v>25</v>
      </c>
      <c r="G1323" s="7" t="s">
        <v>26</v>
      </c>
      <c r="H1323" s="7">
        <v>1</v>
      </c>
      <c r="I1323" s="2">
        <v>714.87</v>
      </c>
      <c r="J1323" s="2">
        <f>Tabla2[[#This Row],[Quantity]]*I1323</f>
        <v>714.87</v>
      </c>
      <c r="K1323" s="6">
        <f>MONTH(Tabla2[[#This Row],[OrderDate]])</f>
        <v>6</v>
      </c>
      <c r="L1323" s="6">
        <f>YEAR(Tabla2[[#This Row],[OrderDate]])</f>
        <v>2025</v>
      </c>
      <c r="M1323" s="7" t="s">
        <v>1378</v>
      </c>
      <c r="N1323" s="7" t="s">
        <v>19</v>
      </c>
    </row>
    <row r="1324" spans="1:14" x14ac:dyDescent="0.35">
      <c r="A1324" s="7" t="s">
        <v>2564</v>
      </c>
      <c r="B1324" s="7" t="s">
        <v>1167</v>
      </c>
      <c r="C1324" s="7" t="s">
        <v>1168</v>
      </c>
      <c r="D1324" s="7" t="s">
        <v>32</v>
      </c>
      <c r="E1324" s="7" t="s">
        <v>203</v>
      </c>
      <c r="F1324" s="7" t="s">
        <v>101</v>
      </c>
      <c r="G1324" s="7" t="s">
        <v>165</v>
      </c>
      <c r="H1324" s="7">
        <v>5</v>
      </c>
      <c r="I1324" s="2">
        <v>347.23</v>
      </c>
      <c r="J1324" s="2">
        <f>Tabla2[[#This Row],[Quantity]]*I1324</f>
        <v>1736.15</v>
      </c>
      <c r="K1324" s="6">
        <f>MONTH(Tabla2[[#This Row],[OrderDate]])</f>
        <v>10</v>
      </c>
      <c r="L1324" s="6">
        <f>YEAR(Tabla2[[#This Row],[OrderDate]])</f>
        <v>2024</v>
      </c>
      <c r="M1324" s="7" t="s">
        <v>2565</v>
      </c>
      <c r="N1324" s="7" t="s">
        <v>91</v>
      </c>
    </row>
    <row r="1325" spans="1:14" x14ac:dyDescent="0.35">
      <c r="A1325" s="7" t="s">
        <v>2566</v>
      </c>
      <c r="B1325" s="7" t="s">
        <v>1516</v>
      </c>
      <c r="C1325" s="7" t="s">
        <v>1517</v>
      </c>
      <c r="D1325" s="7" t="s">
        <v>32</v>
      </c>
      <c r="E1325" s="7" t="s">
        <v>33</v>
      </c>
      <c r="F1325" s="7" t="s">
        <v>16</v>
      </c>
      <c r="G1325" s="7" t="s">
        <v>17</v>
      </c>
      <c r="H1325" s="7">
        <v>4</v>
      </c>
      <c r="I1325" s="2">
        <v>460.63</v>
      </c>
      <c r="J1325" s="2">
        <f>Tabla2[[#This Row],[Quantity]]*I1325</f>
        <v>1842.52</v>
      </c>
      <c r="K1325" s="6">
        <f>MONTH(Tabla2[[#This Row],[OrderDate]])</f>
        <v>2</v>
      </c>
      <c r="L1325" s="6">
        <f>YEAR(Tabla2[[#This Row],[OrderDate]])</f>
        <v>2026</v>
      </c>
      <c r="M1325" s="7" t="s">
        <v>1489</v>
      </c>
      <c r="N1325" s="7" t="s">
        <v>28</v>
      </c>
    </row>
    <row r="1326" spans="1:14" x14ac:dyDescent="0.35">
      <c r="A1326" s="7" t="s">
        <v>2567</v>
      </c>
      <c r="B1326" s="7" t="s">
        <v>1278</v>
      </c>
      <c r="C1326" s="7" t="s">
        <v>1279</v>
      </c>
      <c r="D1326" s="7" t="s">
        <v>23</v>
      </c>
      <c r="E1326" s="7" t="s">
        <v>338</v>
      </c>
      <c r="F1326" s="7" t="s">
        <v>101</v>
      </c>
      <c r="G1326" s="7" t="s">
        <v>165</v>
      </c>
      <c r="H1326" s="7">
        <v>3</v>
      </c>
      <c r="I1326" s="2">
        <v>1251.3699999999999</v>
      </c>
      <c r="J1326" s="2">
        <f>Tabla2[[#This Row],[Quantity]]*I1326</f>
        <v>3754.1099999999997</v>
      </c>
      <c r="K1326" s="6">
        <f>MONTH(Tabla2[[#This Row],[OrderDate]])</f>
        <v>7</v>
      </c>
      <c r="L1326" s="6">
        <f>YEAR(Tabla2[[#This Row],[OrderDate]])</f>
        <v>2025</v>
      </c>
      <c r="M1326" s="7" t="s">
        <v>2568</v>
      </c>
      <c r="N1326" s="7" t="s">
        <v>45</v>
      </c>
    </row>
    <row r="1327" spans="1:14" x14ac:dyDescent="0.35">
      <c r="A1327" s="7" t="s">
        <v>2569</v>
      </c>
      <c r="B1327" s="7" t="s">
        <v>38</v>
      </c>
      <c r="C1327" s="7" t="s">
        <v>39</v>
      </c>
      <c r="D1327" s="7" t="s">
        <v>32</v>
      </c>
      <c r="E1327" s="7" t="s">
        <v>203</v>
      </c>
      <c r="F1327" s="7" t="s">
        <v>101</v>
      </c>
      <c r="G1327" s="7" t="s">
        <v>165</v>
      </c>
      <c r="H1327" s="7">
        <v>2</v>
      </c>
      <c r="I1327" s="2">
        <v>223.74</v>
      </c>
      <c r="J1327" s="2">
        <f>Tabla2[[#This Row],[Quantity]]*I1327</f>
        <v>447.48</v>
      </c>
      <c r="K1327" s="6">
        <f>MONTH(Tabla2[[#This Row],[OrderDate]])</f>
        <v>6</v>
      </c>
      <c r="L1327" s="6">
        <f>YEAR(Tabla2[[#This Row],[OrderDate]])</f>
        <v>2025</v>
      </c>
      <c r="M1327" s="7" t="s">
        <v>1378</v>
      </c>
      <c r="N1327" s="7" t="s">
        <v>28</v>
      </c>
    </row>
    <row r="1328" spans="1:14" x14ac:dyDescent="0.35">
      <c r="A1328" s="7" t="s">
        <v>2570</v>
      </c>
      <c r="B1328" s="7" t="s">
        <v>402</v>
      </c>
      <c r="C1328" s="7" t="s">
        <v>403</v>
      </c>
      <c r="D1328" s="7" t="s">
        <v>40</v>
      </c>
      <c r="E1328" s="7" t="s">
        <v>41</v>
      </c>
      <c r="F1328" s="7" t="s">
        <v>50</v>
      </c>
      <c r="G1328" s="7" t="s">
        <v>170</v>
      </c>
      <c r="H1328" s="7">
        <v>3</v>
      </c>
      <c r="I1328" s="2">
        <v>1030.26</v>
      </c>
      <c r="J1328" s="2">
        <f>Tabla2[[#This Row],[Quantity]]*I1328</f>
        <v>3090.7799999999997</v>
      </c>
      <c r="K1328" s="6">
        <f>MONTH(Tabla2[[#This Row],[OrderDate]])</f>
        <v>1</v>
      </c>
      <c r="L1328" s="6">
        <f>YEAR(Tabla2[[#This Row],[OrderDate]])</f>
        <v>2024</v>
      </c>
      <c r="M1328" s="7" t="s">
        <v>2146</v>
      </c>
      <c r="N1328" s="7" t="s">
        <v>45</v>
      </c>
    </row>
    <row r="1329" spans="1:14" x14ac:dyDescent="0.35">
      <c r="A1329" s="7" t="s">
        <v>2571</v>
      </c>
      <c r="B1329" s="7" t="s">
        <v>295</v>
      </c>
      <c r="C1329" s="7" t="s">
        <v>296</v>
      </c>
      <c r="D1329" s="7" t="s">
        <v>67</v>
      </c>
      <c r="E1329" s="7" t="s">
        <v>130</v>
      </c>
      <c r="F1329" s="7" t="s">
        <v>25</v>
      </c>
      <c r="G1329" s="7" t="s">
        <v>139</v>
      </c>
      <c r="H1329" s="7">
        <v>2</v>
      </c>
      <c r="I1329" s="2">
        <v>1271.95</v>
      </c>
      <c r="J1329" s="2">
        <f>Tabla2[[#This Row],[Quantity]]*I1329</f>
        <v>2543.9</v>
      </c>
      <c r="K1329" s="6">
        <f>MONTH(Tabla2[[#This Row],[OrderDate]])</f>
        <v>2</v>
      </c>
      <c r="L1329" s="6">
        <f>YEAR(Tabla2[[#This Row],[OrderDate]])</f>
        <v>2025</v>
      </c>
      <c r="M1329" s="7" t="s">
        <v>564</v>
      </c>
      <c r="N1329" s="7" t="s">
        <v>19</v>
      </c>
    </row>
    <row r="1330" spans="1:14" x14ac:dyDescent="0.35">
      <c r="A1330" s="7" t="s">
        <v>2572</v>
      </c>
      <c r="B1330" s="7" t="s">
        <v>1001</v>
      </c>
      <c r="C1330" s="7" t="s">
        <v>1002</v>
      </c>
      <c r="D1330" s="7" t="s">
        <v>23</v>
      </c>
      <c r="E1330" s="7" t="s">
        <v>338</v>
      </c>
      <c r="F1330" s="7" t="s">
        <v>16</v>
      </c>
      <c r="G1330" s="7" t="s">
        <v>177</v>
      </c>
      <c r="H1330" s="7">
        <v>5</v>
      </c>
      <c r="I1330" s="2">
        <v>1320.77</v>
      </c>
      <c r="J1330" s="2">
        <f>Tabla2[[#This Row],[Quantity]]*I1330</f>
        <v>6603.85</v>
      </c>
      <c r="K1330" s="6">
        <f>MONTH(Tabla2[[#This Row],[OrderDate]])</f>
        <v>5</v>
      </c>
      <c r="L1330" s="6">
        <f>YEAR(Tabla2[[#This Row],[OrderDate]])</f>
        <v>2025</v>
      </c>
      <c r="M1330" s="7" t="s">
        <v>483</v>
      </c>
      <c r="N1330" s="7" t="s">
        <v>28</v>
      </c>
    </row>
    <row r="1331" spans="1:14" x14ac:dyDescent="0.35">
      <c r="A1331" s="7" t="s">
        <v>2573</v>
      </c>
      <c r="B1331" s="7" t="s">
        <v>299</v>
      </c>
      <c r="C1331" s="7" t="s">
        <v>300</v>
      </c>
      <c r="D1331" s="7" t="s">
        <v>32</v>
      </c>
      <c r="E1331" s="7" t="s">
        <v>33</v>
      </c>
      <c r="F1331" s="7" t="s">
        <v>25</v>
      </c>
      <c r="G1331" s="7" t="s">
        <v>74</v>
      </c>
      <c r="H1331" s="7">
        <v>4</v>
      </c>
      <c r="I1331" s="2">
        <v>1333.68</v>
      </c>
      <c r="J1331" s="2">
        <f>Tabla2[[#This Row],[Quantity]]*I1331</f>
        <v>5334.72</v>
      </c>
      <c r="K1331" s="6">
        <f>MONTH(Tabla2[[#This Row],[OrderDate]])</f>
        <v>3</v>
      </c>
      <c r="L1331" s="6">
        <f>YEAR(Tabla2[[#This Row],[OrderDate]])</f>
        <v>2024</v>
      </c>
      <c r="M1331" s="7" t="s">
        <v>2052</v>
      </c>
      <c r="N1331" s="7" t="s">
        <v>28</v>
      </c>
    </row>
    <row r="1332" spans="1:14" x14ac:dyDescent="0.35">
      <c r="A1332" s="7" t="s">
        <v>2574</v>
      </c>
      <c r="B1332" s="7" t="s">
        <v>83</v>
      </c>
      <c r="C1332" s="7" t="s">
        <v>84</v>
      </c>
      <c r="D1332" s="7" t="s">
        <v>32</v>
      </c>
      <c r="E1332" s="7" t="s">
        <v>61</v>
      </c>
      <c r="F1332" s="7" t="s">
        <v>101</v>
      </c>
      <c r="G1332" s="7" t="s">
        <v>373</v>
      </c>
      <c r="H1332" s="7">
        <v>5</v>
      </c>
      <c r="I1332" s="2">
        <v>1207.02</v>
      </c>
      <c r="J1332" s="2">
        <f>Tabla2[[#This Row],[Quantity]]*I1332</f>
        <v>6035.1</v>
      </c>
      <c r="K1332" s="6">
        <f>MONTH(Tabla2[[#This Row],[OrderDate]])</f>
        <v>2</v>
      </c>
      <c r="L1332" s="6">
        <f>YEAR(Tabla2[[#This Row],[OrderDate]])</f>
        <v>2024</v>
      </c>
      <c r="M1332" s="7" t="s">
        <v>2575</v>
      </c>
      <c r="N1332" s="7" t="s">
        <v>28</v>
      </c>
    </row>
    <row r="1333" spans="1:14" x14ac:dyDescent="0.35">
      <c r="A1333" s="7" t="s">
        <v>2576</v>
      </c>
      <c r="B1333" s="7" t="s">
        <v>352</v>
      </c>
      <c r="C1333" s="7" t="s">
        <v>353</v>
      </c>
      <c r="D1333" s="7" t="s">
        <v>14</v>
      </c>
      <c r="E1333" s="7" t="s">
        <v>266</v>
      </c>
      <c r="F1333" s="7" t="s">
        <v>42</v>
      </c>
      <c r="G1333" s="7" t="s">
        <v>225</v>
      </c>
      <c r="H1333" s="7">
        <v>1</v>
      </c>
      <c r="I1333" s="2">
        <v>1402.67</v>
      </c>
      <c r="J1333" s="2">
        <f>Tabla2[[#This Row],[Quantity]]*I1333</f>
        <v>1402.67</v>
      </c>
      <c r="K1333" s="6">
        <f>MONTH(Tabla2[[#This Row],[OrderDate]])</f>
        <v>8</v>
      </c>
      <c r="L1333" s="6">
        <f>YEAR(Tabla2[[#This Row],[OrderDate]])</f>
        <v>2024</v>
      </c>
      <c r="M1333" s="7" t="s">
        <v>1564</v>
      </c>
      <c r="N1333" s="7" t="s">
        <v>19</v>
      </c>
    </row>
    <row r="1334" spans="1:14" x14ac:dyDescent="0.35">
      <c r="A1334" s="7" t="s">
        <v>2577</v>
      </c>
      <c r="B1334" s="7" t="s">
        <v>429</v>
      </c>
      <c r="C1334" s="7" t="s">
        <v>430</v>
      </c>
      <c r="D1334" s="7" t="s">
        <v>67</v>
      </c>
      <c r="E1334" s="7" t="s">
        <v>130</v>
      </c>
      <c r="F1334" s="7" t="s">
        <v>42</v>
      </c>
      <c r="G1334" s="7" t="s">
        <v>43</v>
      </c>
      <c r="H1334" s="7">
        <v>2</v>
      </c>
      <c r="I1334" s="2">
        <v>631.39</v>
      </c>
      <c r="J1334" s="2">
        <f>Tabla2[[#This Row],[Quantity]]*I1334</f>
        <v>1262.78</v>
      </c>
      <c r="K1334" s="6">
        <f>MONTH(Tabla2[[#This Row],[OrderDate]])</f>
        <v>5</v>
      </c>
      <c r="L1334" s="6">
        <f>YEAR(Tabla2[[#This Row],[OrderDate]])</f>
        <v>2025</v>
      </c>
      <c r="M1334" s="7" t="s">
        <v>2578</v>
      </c>
      <c r="N1334" s="7" t="s">
        <v>28</v>
      </c>
    </row>
    <row r="1335" spans="1:14" x14ac:dyDescent="0.35">
      <c r="A1335" s="7" t="s">
        <v>2579</v>
      </c>
      <c r="B1335" s="7" t="s">
        <v>622</v>
      </c>
      <c r="C1335" s="7" t="s">
        <v>623</v>
      </c>
      <c r="D1335" s="7" t="s">
        <v>23</v>
      </c>
      <c r="E1335" s="7" t="s">
        <v>49</v>
      </c>
      <c r="F1335" s="7" t="s">
        <v>50</v>
      </c>
      <c r="G1335" s="7" t="s">
        <v>69</v>
      </c>
      <c r="H1335" s="7">
        <v>5</v>
      </c>
      <c r="I1335" s="2">
        <v>1311.18</v>
      </c>
      <c r="J1335" s="2">
        <f>Tabla2[[#This Row],[Quantity]]*I1335</f>
        <v>6555.9000000000005</v>
      </c>
      <c r="K1335" s="6">
        <f>MONTH(Tabla2[[#This Row],[OrderDate]])</f>
        <v>6</v>
      </c>
      <c r="L1335" s="6">
        <f>YEAR(Tabla2[[#This Row],[OrderDate]])</f>
        <v>2024</v>
      </c>
      <c r="M1335" s="7" t="s">
        <v>1003</v>
      </c>
      <c r="N1335" s="7" t="s">
        <v>45</v>
      </c>
    </row>
    <row r="1336" spans="1:14" x14ac:dyDescent="0.35">
      <c r="A1336" s="7" t="s">
        <v>2580</v>
      </c>
      <c r="B1336" s="7" t="s">
        <v>235</v>
      </c>
      <c r="C1336" s="7" t="s">
        <v>236</v>
      </c>
      <c r="D1336" s="7" t="s">
        <v>32</v>
      </c>
      <c r="E1336" s="7" t="s">
        <v>203</v>
      </c>
      <c r="F1336" s="7" t="s">
        <v>50</v>
      </c>
      <c r="G1336" s="7" t="s">
        <v>69</v>
      </c>
      <c r="H1336" s="7">
        <v>3</v>
      </c>
      <c r="I1336" s="2">
        <v>211.33</v>
      </c>
      <c r="J1336" s="2">
        <f>Tabla2[[#This Row],[Quantity]]*I1336</f>
        <v>633.99</v>
      </c>
      <c r="K1336" s="6">
        <f>MONTH(Tabla2[[#This Row],[OrderDate]])</f>
        <v>10</v>
      </c>
      <c r="L1336" s="6">
        <f>YEAR(Tabla2[[#This Row],[OrderDate]])</f>
        <v>2025</v>
      </c>
      <c r="M1336" s="7" t="s">
        <v>2581</v>
      </c>
      <c r="N1336" s="7" t="s">
        <v>91</v>
      </c>
    </row>
    <row r="1337" spans="1:14" x14ac:dyDescent="0.35">
      <c r="A1337" s="7" t="s">
        <v>2582</v>
      </c>
      <c r="B1337" s="7" t="s">
        <v>605</v>
      </c>
      <c r="C1337" s="7" t="s">
        <v>606</v>
      </c>
      <c r="D1337" s="7" t="s">
        <v>67</v>
      </c>
      <c r="E1337" s="7" t="s">
        <v>115</v>
      </c>
      <c r="F1337" s="7" t="s">
        <v>16</v>
      </c>
      <c r="G1337" s="7" t="s">
        <v>177</v>
      </c>
      <c r="H1337" s="7">
        <v>2</v>
      </c>
      <c r="I1337" s="2">
        <v>1448.79</v>
      </c>
      <c r="J1337" s="2">
        <f>Tabla2[[#This Row],[Quantity]]*I1337</f>
        <v>2897.58</v>
      </c>
      <c r="K1337" s="6">
        <f>MONTH(Tabla2[[#This Row],[OrderDate]])</f>
        <v>9</v>
      </c>
      <c r="L1337" s="6">
        <f>YEAR(Tabla2[[#This Row],[OrderDate]])</f>
        <v>2025</v>
      </c>
      <c r="M1337" s="7" t="s">
        <v>2285</v>
      </c>
      <c r="N1337" s="7" t="s">
        <v>36</v>
      </c>
    </row>
    <row r="1338" spans="1:14" x14ac:dyDescent="0.35">
      <c r="A1338" s="7" t="s">
        <v>2583</v>
      </c>
      <c r="B1338" s="7" t="s">
        <v>496</v>
      </c>
      <c r="C1338" s="7" t="s">
        <v>497</v>
      </c>
      <c r="D1338" s="7" t="s">
        <v>40</v>
      </c>
      <c r="E1338" s="7" t="s">
        <v>41</v>
      </c>
      <c r="F1338" s="7" t="s">
        <v>101</v>
      </c>
      <c r="G1338" s="7" t="s">
        <v>237</v>
      </c>
      <c r="H1338" s="7">
        <v>4</v>
      </c>
      <c r="I1338" s="2">
        <v>1101.67</v>
      </c>
      <c r="J1338" s="2">
        <f>Tabla2[[#This Row],[Quantity]]*I1338</f>
        <v>4406.68</v>
      </c>
      <c r="K1338" s="6">
        <f>MONTH(Tabla2[[#This Row],[OrderDate]])</f>
        <v>9</v>
      </c>
      <c r="L1338" s="6">
        <f>YEAR(Tabla2[[#This Row],[OrderDate]])</f>
        <v>2025</v>
      </c>
      <c r="M1338" s="7" t="s">
        <v>1112</v>
      </c>
      <c r="N1338" s="7" t="s">
        <v>19</v>
      </c>
    </row>
    <row r="1339" spans="1:14" x14ac:dyDescent="0.35">
      <c r="A1339" s="7" t="s">
        <v>2584</v>
      </c>
      <c r="B1339" s="7" t="s">
        <v>72</v>
      </c>
      <c r="C1339" s="7" t="s">
        <v>73</v>
      </c>
      <c r="D1339" s="7" t="s">
        <v>14</v>
      </c>
      <c r="E1339" s="7" t="s">
        <v>15</v>
      </c>
      <c r="F1339" s="7" t="s">
        <v>25</v>
      </c>
      <c r="G1339" s="7" t="s">
        <v>62</v>
      </c>
      <c r="H1339" s="7">
        <v>2</v>
      </c>
      <c r="I1339" s="2">
        <v>1403.38</v>
      </c>
      <c r="J1339" s="2">
        <f>Tabla2[[#This Row],[Quantity]]*I1339</f>
        <v>2806.76</v>
      </c>
      <c r="K1339" s="6">
        <f>MONTH(Tabla2[[#This Row],[OrderDate]])</f>
        <v>10</v>
      </c>
      <c r="L1339" s="6">
        <f>YEAR(Tabla2[[#This Row],[OrderDate]])</f>
        <v>2025</v>
      </c>
      <c r="M1339" s="7" t="s">
        <v>1892</v>
      </c>
      <c r="N1339" s="7" t="s">
        <v>45</v>
      </c>
    </row>
    <row r="1340" spans="1:14" x14ac:dyDescent="0.35">
      <c r="A1340" s="7" t="s">
        <v>2585</v>
      </c>
      <c r="B1340" s="7" t="s">
        <v>2157</v>
      </c>
      <c r="C1340" s="7" t="s">
        <v>2158</v>
      </c>
      <c r="D1340" s="7" t="s">
        <v>14</v>
      </c>
      <c r="E1340" s="7" t="s">
        <v>266</v>
      </c>
      <c r="F1340" s="7" t="s">
        <v>25</v>
      </c>
      <c r="G1340" s="7" t="s">
        <v>34</v>
      </c>
      <c r="H1340" s="7">
        <v>3</v>
      </c>
      <c r="I1340" s="2">
        <v>1395.01</v>
      </c>
      <c r="J1340" s="2">
        <f>Tabla2[[#This Row],[Quantity]]*I1340</f>
        <v>4185.03</v>
      </c>
      <c r="K1340" s="6">
        <f>MONTH(Tabla2[[#This Row],[OrderDate]])</f>
        <v>4</v>
      </c>
      <c r="L1340" s="6">
        <f>YEAR(Tabla2[[#This Row],[OrderDate]])</f>
        <v>2025</v>
      </c>
      <c r="M1340" s="7" t="s">
        <v>490</v>
      </c>
      <c r="N1340" s="7" t="s">
        <v>36</v>
      </c>
    </row>
    <row r="1341" spans="1:14" x14ac:dyDescent="0.35">
      <c r="A1341" s="7" t="s">
        <v>2586</v>
      </c>
      <c r="B1341" s="7" t="s">
        <v>406</v>
      </c>
      <c r="C1341" s="7" t="s">
        <v>407</v>
      </c>
      <c r="D1341" s="7" t="s">
        <v>40</v>
      </c>
      <c r="E1341" s="7" t="s">
        <v>41</v>
      </c>
      <c r="F1341" s="7" t="s">
        <v>16</v>
      </c>
      <c r="G1341" s="7" t="s">
        <v>148</v>
      </c>
      <c r="H1341" s="7">
        <v>1</v>
      </c>
      <c r="I1341" s="2">
        <v>1347.47</v>
      </c>
      <c r="J1341" s="2">
        <f>Tabla2[[#This Row],[Quantity]]*I1341</f>
        <v>1347.47</v>
      </c>
      <c r="K1341" s="6">
        <f>MONTH(Tabla2[[#This Row],[OrderDate]])</f>
        <v>1</v>
      </c>
      <c r="L1341" s="6">
        <f>YEAR(Tabla2[[#This Row],[OrderDate]])</f>
        <v>2025</v>
      </c>
      <c r="M1341" s="7" t="s">
        <v>967</v>
      </c>
      <c r="N1341" s="7" t="s">
        <v>28</v>
      </c>
    </row>
    <row r="1342" spans="1:14" x14ac:dyDescent="0.35">
      <c r="A1342" s="7" t="s">
        <v>2587</v>
      </c>
      <c r="B1342" s="7" t="s">
        <v>2245</v>
      </c>
      <c r="C1342" s="7" t="s">
        <v>2246</v>
      </c>
      <c r="D1342" s="7" t="s">
        <v>32</v>
      </c>
      <c r="E1342" s="7" t="s">
        <v>203</v>
      </c>
      <c r="F1342" s="7" t="s">
        <v>101</v>
      </c>
      <c r="G1342" s="7" t="s">
        <v>165</v>
      </c>
      <c r="H1342" s="7">
        <v>5</v>
      </c>
      <c r="I1342" s="2">
        <v>1408.36</v>
      </c>
      <c r="J1342" s="2">
        <f>Tabla2[[#This Row],[Quantity]]*I1342</f>
        <v>7041.7999999999993</v>
      </c>
      <c r="K1342" s="6">
        <f>MONTH(Tabla2[[#This Row],[OrderDate]])</f>
        <v>9</v>
      </c>
      <c r="L1342" s="6">
        <f>YEAR(Tabla2[[#This Row],[OrderDate]])</f>
        <v>2025</v>
      </c>
      <c r="M1342" s="7" t="s">
        <v>2588</v>
      </c>
      <c r="N1342" s="7" t="s">
        <v>91</v>
      </c>
    </row>
    <row r="1343" spans="1:14" x14ac:dyDescent="0.35">
      <c r="A1343" s="7" t="s">
        <v>2589</v>
      </c>
      <c r="B1343" s="7" t="s">
        <v>168</v>
      </c>
      <c r="C1343" s="7" t="s">
        <v>169</v>
      </c>
      <c r="D1343" s="7" t="s">
        <v>23</v>
      </c>
      <c r="E1343" s="7" t="s">
        <v>24</v>
      </c>
      <c r="F1343" s="7" t="s">
        <v>25</v>
      </c>
      <c r="G1343" s="7" t="s">
        <v>34</v>
      </c>
      <c r="H1343" s="7">
        <v>4</v>
      </c>
      <c r="I1343" s="2">
        <v>1389.51</v>
      </c>
      <c r="J1343" s="2">
        <f>Tabla2[[#This Row],[Quantity]]*I1343</f>
        <v>5558.04</v>
      </c>
      <c r="K1343" s="6">
        <f>MONTH(Tabla2[[#This Row],[OrderDate]])</f>
        <v>5</v>
      </c>
      <c r="L1343" s="6">
        <f>YEAR(Tabla2[[#This Row],[OrderDate]])</f>
        <v>2025</v>
      </c>
      <c r="M1343" s="7" t="s">
        <v>2388</v>
      </c>
      <c r="N1343" s="7" t="s">
        <v>19</v>
      </c>
    </row>
    <row r="1344" spans="1:14" x14ac:dyDescent="0.35">
      <c r="A1344" s="7" t="s">
        <v>2590</v>
      </c>
      <c r="B1344" s="7" t="s">
        <v>269</v>
      </c>
      <c r="C1344" s="7" t="s">
        <v>270</v>
      </c>
      <c r="D1344" s="7" t="s">
        <v>14</v>
      </c>
      <c r="E1344" s="7" t="s">
        <v>95</v>
      </c>
      <c r="F1344" s="7" t="s">
        <v>25</v>
      </c>
      <c r="G1344" s="7" t="s">
        <v>34</v>
      </c>
      <c r="H1344" s="7">
        <v>2</v>
      </c>
      <c r="I1344" s="2">
        <v>525.82000000000005</v>
      </c>
      <c r="J1344" s="2">
        <f>Tabla2[[#This Row],[Quantity]]*I1344</f>
        <v>1051.6400000000001</v>
      </c>
      <c r="K1344" s="6">
        <f>MONTH(Tabla2[[#This Row],[OrderDate]])</f>
        <v>10</v>
      </c>
      <c r="L1344" s="6">
        <f>YEAR(Tabla2[[#This Row],[OrderDate]])</f>
        <v>2025</v>
      </c>
      <c r="M1344" s="7" t="s">
        <v>369</v>
      </c>
      <c r="N1344" s="7" t="s">
        <v>19</v>
      </c>
    </row>
    <row r="1345" spans="1:14" x14ac:dyDescent="0.35">
      <c r="A1345" s="7" t="s">
        <v>2591</v>
      </c>
      <c r="B1345" s="7" t="s">
        <v>763</v>
      </c>
      <c r="C1345" s="7" t="s">
        <v>764</v>
      </c>
      <c r="D1345" s="7" t="s">
        <v>32</v>
      </c>
      <c r="E1345" s="7" t="s">
        <v>33</v>
      </c>
      <c r="F1345" s="7" t="s">
        <v>25</v>
      </c>
      <c r="G1345" s="7" t="s">
        <v>74</v>
      </c>
      <c r="H1345" s="7">
        <v>5</v>
      </c>
      <c r="I1345" s="2">
        <v>378.06</v>
      </c>
      <c r="J1345" s="2">
        <f>Tabla2[[#This Row],[Quantity]]*I1345</f>
        <v>1890.3</v>
      </c>
      <c r="K1345" s="6">
        <f>MONTH(Tabla2[[#This Row],[OrderDate]])</f>
        <v>5</v>
      </c>
      <c r="L1345" s="6">
        <f>YEAR(Tabla2[[#This Row],[OrderDate]])</f>
        <v>2025</v>
      </c>
      <c r="M1345" s="7" t="s">
        <v>1631</v>
      </c>
      <c r="N1345" s="7" t="s">
        <v>19</v>
      </c>
    </row>
    <row r="1346" spans="1:14" x14ac:dyDescent="0.35">
      <c r="A1346" s="7" t="s">
        <v>2592</v>
      </c>
      <c r="B1346" s="7" t="s">
        <v>446</v>
      </c>
      <c r="C1346" s="7" t="s">
        <v>447</v>
      </c>
      <c r="D1346" s="7" t="s">
        <v>67</v>
      </c>
      <c r="E1346" s="7" t="s">
        <v>115</v>
      </c>
      <c r="F1346" s="7" t="s">
        <v>16</v>
      </c>
      <c r="G1346" s="7" t="s">
        <v>17</v>
      </c>
      <c r="H1346" s="7">
        <v>2</v>
      </c>
      <c r="I1346" s="2">
        <v>886.68</v>
      </c>
      <c r="J1346" s="2">
        <f>Tabla2[[#This Row],[Quantity]]*I1346</f>
        <v>1773.36</v>
      </c>
      <c r="K1346" s="6">
        <f>MONTH(Tabla2[[#This Row],[OrderDate]])</f>
        <v>12</v>
      </c>
      <c r="L1346" s="6">
        <f>YEAR(Tabla2[[#This Row],[OrderDate]])</f>
        <v>2025</v>
      </c>
      <c r="M1346" s="7" t="s">
        <v>1491</v>
      </c>
      <c r="N1346" s="7" t="s">
        <v>28</v>
      </c>
    </row>
    <row r="1347" spans="1:14" x14ac:dyDescent="0.35">
      <c r="A1347" s="7" t="s">
        <v>2593</v>
      </c>
      <c r="B1347" s="7" t="s">
        <v>2245</v>
      </c>
      <c r="C1347" s="7" t="s">
        <v>2246</v>
      </c>
      <c r="D1347" s="7" t="s">
        <v>32</v>
      </c>
      <c r="E1347" s="7" t="s">
        <v>33</v>
      </c>
      <c r="F1347" s="7" t="s">
        <v>50</v>
      </c>
      <c r="G1347" s="7" t="s">
        <v>69</v>
      </c>
      <c r="H1347" s="7">
        <v>1</v>
      </c>
      <c r="I1347" s="2">
        <v>886.63</v>
      </c>
      <c r="J1347" s="2">
        <f>Tabla2[[#This Row],[Quantity]]*I1347</f>
        <v>886.63</v>
      </c>
      <c r="K1347" s="6">
        <f>MONTH(Tabla2[[#This Row],[OrderDate]])</f>
        <v>3</v>
      </c>
      <c r="L1347" s="6">
        <f>YEAR(Tabla2[[#This Row],[OrderDate]])</f>
        <v>2026</v>
      </c>
      <c r="M1347" s="7" t="s">
        <v>2437</v>
      </c>
      <c r="N1347" s="7" t="s">
        <v>45</v>
      </c>
    </row>
    <row r="1348" spans="1:14" x14ac:dyDescent="0.35">
      <c r="A1348" s="7" t="s">
        <v>2594</v>
      </c>
      <c r="B1348" s="7" t="s">
        <v>742</v>
      </c>
      <c r="C1348" s="7" t="s">
        <v>743</v>
      </c>
      <c r="D1348" s="7" t="s">
        <v>14</v>
      </c>
      <c r="E1348" s="7" t="s">
        <v>95</v>
      </c>
      <c r="F1348" s="7" t="s">
        <v>42</v>
      </c>
      <c r="G1348" s="7" t="s">
        <v>43</v>
      </c>
      <c r="H1348" s="7">
        <v>2</v>
      </c>
      <c r="I1348" s="2">
        <v>374.21</v>
      </c>
      <c r="J1348" s="2">
        <f>Tabla2[[#This Row],[Quantity]]*I1348</f>
        <v>748.42</v>
      </c>
      <c r="K1348" s="6">
        <f>MONTH(Tabla2[[#This Row],[OrderDate]])</f>
        <v>7</v>
      </c>
      <c r="L1348" s="6">
        <f>YEAR(Tabla2[[#This Row],[OrderDate]])</f>
        <v>2025</v>
      </c>
      <c r="M1348" s="7" t="s">
        <v>2518</v>
      </c>
      <c r="N1348" s="7" t="s">
        <v>19</v>
      </c>
    </row>
    <row r="1349" spans="1:14" x14ac:dyDescent="0.35">
      <c r="A1349" s="7" t="s">
        <v>2595</v>
      </c>
      <c r="B1349" s="7" t="s">
        <v>481</v>
      </c>
      <c r="C1349" s="7" t="s">
        <v>482</v>
      </c>
      <c r="D1349" s="7" t="s">
        <v>67</v>
      </c>
      <c r="E1349" s="7" t="s">
        <v>130</v>
      </c>
      <c r="F1349" s="7" t="s">
        <v>50</v>
      </c>
      <c r="G1349" s="7" t="s">
        <v>69</v>
      </c>
      <c r="H1349" s="7">
        <v>1</v>
      </c>
      <c r="I1349" s="2">
        <v>490.06</v>
      </c>
      <c r="J1349" s="2">
        <f>Tabla2[[#This Row],[Quantity]]*I1349</f>
        <v>490.06</v>
      </c>
      <c r="K1349" s="6">
        <f>MONTH(Tabla2[[#This Row],[OrderDate]])</f>
        <v>1</v>
      </c>
      <c r="L1349" s="6">
        <f>YEAR(Tabla2[[#This Row],[OrderDate]])</f>
        <v>2024</v>
      </c>
      <c r="M1349" s="7" t="s">
        <v>2146</v>
      </c>
      <c r="N1349" s="7" t="s">
        <v>91</v>
      </c>
    </row>
    <row r="1350" spans="1:14" x14ac:dyDescent="0.35">
      <c r="A1350" s="7" t="s">
        <v>2596</v>
      </c>
      <c r="B1350" s="7" t="s">
        <v>1307</v>
      </c>
      <c r="C1350" s="7" t="s">
        <v>1308</v>
      </c>
      <c r="D1350" s="7" t="s">
        <v>40</v>
      </c>
      <c r="E1350" s="7" t="s">
        <v>120</v>
      </c>
      <c r="F1350" s="7" t="s">
        <v>50</v>
      </c>
      <c r="G1350" s="7" t="s">
        <v>51</v>
      </c>
      <c r="H1350" s="7">
        <v>5</v>
      </c>
      <c r="I1350" s="2">
        <v>1076.26</v>
      </c>
      <c r="J1350" s="2">
        <f>Tabla2[[#This Row],[Quantity]]*I1350</f>
        <v>5381.3</v>
      </c>
      <c r="K1350" s="6">
        <f>MONTH(Tabla2[[#This Row],[OrderDate]])</f>
        <v>6</v>
      </c>
      <c r="L1350" s="6">
        <f>YEAR(Tabla2[[#This Row],[OrderDate]])</f>
        <v>2025</v>
      </c>
      <c r="M1350" s="7" t="s">
        <v>1334</v>
      </c>
      <c r="N1350" s="7" t="s">
        <v>28</v>
      </c>
    </row>
    <row r="1351" spans="1:14" x14ac:dyDescent="0.35">
      <c r="A1351" s="7" t="s">
        <v>2597</v>
      </c>
      <c r="B1351" s="7" t="s">
        <v>506</v>
      </c>
      <c r="C1351" s="7" t="s">
        <v>507</v>
      </c>
      <c r="D1351" s="7" t="s">
        <v>32</v>
      </c>
      <c r="E1351" s="7" t="s">
        <v>33</v>
      </c>
      <c r="F1351" s="7" t="s">
        <v>16</v>
      </c>
      <c r="G1351" s="7" t="s">
        <v>17</v>
      </c>
      <c r="H1351" s="7">
        <v>2</v>
      </c>
      <c r="I1351" s="2">
        <v>1280.21</v>
      </c>
      <c r="J1351" s="2">
        <f>Tabla2[[#This Row],[Quantity]]*I1351</f>
        <v>2560.42</v>
      </c>
      <c r="K1351" s="6">
        <f>MONTH(Tabla2[[#This Row],[OrderDate]])</f>
        <v>12</v>
      </c>
      <c r="L1351" s="6">
        <f>YEAR(Tabla2[[#This Row],[OrderDate]])</f>
        <v>2024</v>
      </c>
      <c r="M1351" s="7" t="s">
        <v>27</v>
      </c>
      <c r="N1351" s="7" t="s">
        <v>19</v>
      </c>
    </row>
    <row r="1352" spans="1:14" x14ac:dyDescent="0.35">
      <c r="A1352" s="7" t="s">
        <v>2598</v>
      </c>
      <c r="B1352" s="7" t="s">
        <v>1307</v>
      </c>
      <c r="C1352" s="7" t="s">
        <v>1308</v>
      </c>
      <c r="D1352" s="7" t="s">
        <v>67</v>
      </c>
      <c r="E1352" s="7" t="s">
        <v>68</v>
      </c>
      <c r="F1352" s="7" t="s">
        <v>50</v>
      </c>
      <c r="G1352" s="7" t="s">
        <v>56</v>
      </c>
      <c r="H1352" s="7">
        <v>4</v>
      </c>
      <c r="I1352" s="2">
        <v>174.26</v>
      </c>
      <c r="J1352" s="2">
        <f>Tabla2[[#This Row],[Quantity]]*I1352</f>
        <v>697.04</v>
      </c>
      <c r="K1352" s="6">
        <f>MONTH(Tabla2[[#This Row],[OrderDate]])</f>
        <v>5</v>
      </c>
      <c r="L1352" s="6">
        <f>YEAR(Tabla2[[#This Row],[OrderDate]])</f>
        <v>2025</v>
      </c>
      <c r="M1352" s="7" t="s">
        <v>662</v>
      </c>
      <c r="N1352" s="7" t="s">
        <v>36</v>
      </c>
    </row>
    <row r="1353" spans="1:14" x14ac:dyDescent="0.35">
      <c r="A1353" s="7" t="s">
        <v>2599</v>
      </c>
      <c r="B1353" s="7" t="s">
        <v>922</v>
      </c>
      <c r="C1353" s="7" t="s">
        <v>923</v>
      </c>
      <c r="D1353" s="7" t="s">
        <v>40</v>
      </c>
      <c r="E1353" s="7" t="s">
        <v>120</v>
      </c>
      <c r="F1353" s="7" t="s">
        <v>101</v>
      </c>
      <c r="G1353" s="7" t="s">
        <v>165</v>
      </c>
      <c r="H1353" s="7">
        <v>5</v>
      </c>
      <c r="I1353" s="2">
        <v>79.290000000000006</v>
      </c>
      <c r="J1353" s="2">
        <f>Tabla2[[#This Row],[Quantity]]*I1353</f>
        <v>396.45000000000005</v>
      </c>
      <c r="K1353" s="6">
        <f>MONTH(Tabla2[[#This Row],[OrderDate]])</f>
        <v>9</v>
      </c>
      <c r="L1353" s="6">
        <f>YEAR(Tabla2[[#This Row],[OrderDate]])</f>
        <v>2024</v>
      </c>
      <c r="M1353" s="7" t="s">
        <v>975</v>
      </c>
      <c r="N1353" s="7" t="s">
        <v>36</v>
      </c>
    </row>
    <row r="1354" spans="1:14" x14ac:dyDescent="0.35">
      <c r="A1354" s="7" t="s">
        <v>2600</v>
      </c>
      <c r="B1354" s="7" t="s">
        <v>801</v>
      </c>
      <c r="C1354" s="7" t="s">
        <v>802</v>
      </c>
      <c r="D1354" s="7" t="s">
        <v>67</v>
      </c>
      <c r="E1354" s="7" t="s">
        <v>115</v>
      </c>
      <c r="F1354" s="7" t="s">
        <v>42</v>
      </c>
      <c r="G1354" s="7" t="s">
        <v>80</v>
      </c>
      <c r="H1354" s="7">
        <v>2</v>
      </c>
      <c r="I1354" s="2">
        <v>1384.47</v>
      </c>
      <c r="J1354" s="2">
        <f>Tabla2[[#This Row],[Quantity]]*I1354</f>
        <v>2768.94</v>
      </c>
      <c r="K1354" s="6">
        <f>MONTH(Tabla2[[#This Row],[OrderDate]])</f>
        <v>4</v>
      </c>
      <c r="L1354" s="6">
        <f>YEAR(Tabla2[[#This Row],[OrderDate]])</f>
        <v>2024</v>
      </c>
      <c r="M1354" s="7" t="s">
        <v>1421</v>
      </c>
      <c r="N1354" s="7" t="s">
        <v>45</v>
      </c>
    </row>
    <row r="1355" spans="1:14" x14ac:dyDescent="0.35">
      <c r="A1355" s="7" t="s">
        <v>2601</v>
      </c>
      <c r="B1355" s="7" t="s">
        <v>1278</v>
      </c>
      <c r="C1355" s="7" t="s">
        <v>1279</v>
      </c>
      <c r="D1355" s="7" t="s">
        <v>23</v>
      </c>
      <c r="E1355" s="7" t="s">
        <v>338</v>
      </c>
      <c r="F1355" s="7" t="s">
        <v>50</v>
      </c>
      <c r="G1355" s="7" t="s">
        <v>69</v>
      </c>
      <c r="H1355" s="7">
        <v>5</v>
      </c>
      <c r="I1355" s="2">
        <v>1478.83</v>
      </c>
      <c r="J1355" s="2">
        <f>Tabla2[[#This Row],[Quantity]]*I1355</f>
        <v>7394.15</v>
      </c>
      <c r="K1355" s="6">
        <f>MONTH(Tabla2[[#This Row],[OrderDate]])</f>
        <v>12</v>
      </c>
      <c r="L1355" s="6">
        <f>YEAR(Tabla2[[#This Row],[OrderDate]])</f>
        <v>2025</v>
      </c>
      <c r="M1355" s="7" t="s">
        <v>2315</v>
      </c>
      <c r="N1355" s="7" t="s">
        <v>36</v>
      </c>
    </row>
    <row r="1356" spans="1:14" x14ac:dyDescent="0.35">
      <c r="A1356" s="7" t="s">
        <v>2602</v>
      </c>
      <c r="B1356" s="7" t="s">
        <v>406</v>
      </c>
      <c r="C1356" s="7" t="s">
        <v>407</v>
      </c>
      <c r="D1356" s="7" t="s">
        <v>40</v>
      </c>
      <c r="E1356" s="7" t="s">
        <v>41</v>
      </c>
      <c r="F1356" s="7" t="s">
        <v>16</v>
      </c>
      <c r="G1356" s="7" t="s">
        <v>17</v>
      </c>
      <c r="H1356" s="7">
        <v>1</v>
      </c>
      <c r="I1356" s="2">
        <v>1382.34</v>
      </c>
      <c r="J1356" s="2">
        <f>Tabla2[[#This Row],[Quantity]]*I1356</f>
        <v>1382.34</v>
      </c>
      <c r="K1356" s="6">
        <f>MONTH(Tabla2[[#This Row],[OrderDate]])</f>
        <v>1</v>
      </c>
      <c r="L1356" s="6">
        <f>YEAR(Tabla2[[#This Row],[OrderDate]])</f>
        <v>2025</v>
      </c>
      <c r="M1356" s="7" t="s">
        <v>815</v>
      </c>
      <c r="N1356" s="7" t="s">
        <v>91</v>
      </c>
    </row>
    <row r="1357" spans="1:14" x14ac:dyDescent="0.35">
      <c r="A1357" s="7" t="s">
        <v>2603</v>
      </c>
      <c r="B1357" s="7" t="s">
        <v>348</v>
      </c>
      <c r="C1357" s="7" t="s">
        <v>349</v>
      </c>
      <c r="D1357" s="7" t="s">
        <v>23</v>
      </c>
      <c r="E1357" s="7" t="s">
        <v>24</v>
      </c>
      <c r="F1357" s="7" t="s">
        <v>101</v>
      </c>
      <c r="G1357" s="7" t="s">
        <v>102</v>
      </c>
      <c r="H1357" s="7">
        <v>4</v>
      </c>
      <c r="I1357" s="2">
        <v>795.29</v>
      </c>
      <c r="J1357" s="2">
        <f>Tabla2[[#This Row],[Quantity]]*I1357</f>
        <v>3181.16</v>
      </c>
      <c r="K1357" s="6">
        <f>MONTH(Tabla2[[#This Row],[OrderDate]])</f>
        <v>11</v>
      </c>
      <c r="L1357" s="6">
        <f>YEAR(Tabla2[[#This Row],[OrderDate]])</f>
        <v>2025</v>
      </c>
      <c r="M1357" s="7" t="s">
        <v>713</v>
      </c>
      <c r="N1357" s="7" t="s">
        <v>36</v>
      </c>
    </row>
    <row r="1358" spans="1:14" x14ac:dyDescent="0.35">
      <c r="A1358" s="7" t="s">
        <v>2604</v>
      </c>
      <c r="B1358" s="7" t="s">
        <v>388</v>
      </c>
      <c r="C1358" s="7" t="s">
        <v>389</v>
      </c>
      <c r="D1358" s="7" t="s">
        <v>32</v>
      </c>
      <c r="E1358" s="7" t="s">
        <v>203</v>
      </c>
      <c r="F1358" s="7" t="s">
        <v>16</v>
      </c>
      <c r="G1358" s="7" t="s">
        <v>230</v>
      </c>
      <c r="H1358" s="7">
        <v>1</v>
      </c>
      <c r="I1358" s="2">
        <v>282.33</v>
      </c>
      <c r="J1358" s="2">
        <f>Tabla2[[#This Row],[Quantity]]*I1358</f>
        <v>282.33</v>
      </c>
      <c r="K1358" s="6">
        <f>MONTH(Tabla2[[#This Row],[OrderDate]])</f>
        <v>10</v>
      </c>
      <c r="L1358" s="6">
        <f>YEAR(Tabla2[[#This Row],[OrderDate]])</f>
        <v>2024</v>
      </c>
      <c r="M1358" s="7" t="s">
        <v>1256</v>
      </c>
      <c r="N1358" s="7" t="s">
        <v>91</v>
      </c>
    </row>
    <row r="1359" spans="1:14" x14ac:dyDescent="0.35">
      <c r="A1359" s="7" t="s">
        <v>2605</v>
      </c>
      <c r="B1359" s="7" t="s">
        <v>240</v>
      </c>
      <c r="C1359" s="7" t="s">
        <v>241</v>
      </c>
      <c r="D1359" s="7" t="s">
        <v>14</v>
      </c>
      <c r="E1359" s="7" t="s">
        <v>100</v>
      </c>
      <c r="F1359" s="7" t="s">
        <v>25</v>
      </c>
      <c r="G1359" s="7" t="s">
        <v>74</v>
      </c>
      <c r="H1359" s="7">
        <v>4</v>
      </c>
      <c r="I1359" s="2">
        <v>1231.2</v>
      </c>
      <c r="J1359" s="2">
        <f>Tabla2[[#This Row],[Quantity]]*I1359</f>
        <v>4924.8</v>
      </c>
      <c r="K1359" s="6">
        <f>MONTH(Tabla2[[#This Row],[OrderDate]])</f>
        <v>5</v>
      </c>
      <c r="L1359" s="6">
        <f>YEAR(Tabla2[[#This Row],[OrderDate]])</f>
        <v>2025</v>
      </c>
      <c r="M1359" s="7" t="s">
        <v>2606</v>
      </c>
      <c r="N1359" s="7" t="s">
        <v>36</v>
      </c>
    </row>
    <row r="1360" spans="1:14" x14ac:dyDescent="0.35">
      <c r="A1360" s="7" t="s">
        <v>2607</v>
      </c>
      <c r="B1360" s="7" t="s">
        <v>180</v>
      </c>
      <c r="C1360" s="7" t="s">
        <v>181</v>
      </c>
      <c r="D1360" s="7" t="s">
        <v>40</v>
      </c>
      <c r="E1360" s="7" t="s">
        <v>41</v>
      </c>
      <c r="F1360" s="7" t="s">
        <v>50</v>
      </c>
      <c r="G1360" s="7" t="s">
        <v>51</v>
      </c>
      <c r="H1360" s="7">
        <v>2</v>
      </c>
      <c r="I1360" s="2">
        <v>1258.98</v>
      </c>
      <c r="J1360" s="2">
        <f>Tabla2[[#This Row],[Quantity]]*I1360</f>
        <v>2517.96</v>
      </c>
      <c r="K1360" s="6">
        <f>MONTH(Tabla2[[#This Row],[OrderDate]])</f>
        <v>8</v>
      </c>
      <c r="L1360" s="6">
        <f>YEAR(Tabla2[[#This Row],[OrderDate]])</f>
        <v>2024</v>
      </c>
      <c r="M1360" s="7" t="s">
        <v>1549</v>
      </c>
      <c r="N1360" s="7" t="s">
        <v>36</v>
      </c>
    </row>
    <row r="1361" spans="1:14" x14ac:dyDescent="0.35">
      <c r="A1361" s="7" t="s">
        <v>2608</v>
      </c>
      <c r="B1361" s="7" t="s">
        <v>681</v>
      </c>
      <c r="C1361" s="7" t="s">
        <v>682</v>
      </c>
      <c r="D1361" s="7" t="s">
        <v>32</v>
      </c>
      <c r="E1361" s="7" t="s">
        <v>33</v>
      </c>
      <c r="F1361" s="7" t="s">
        <v>25</v>
      </c>
      <c r="G1361" s="7" t="s">
        <v>26</v>
      </c>
      <c r="H1361" s="7">
        <v>5</v>
      </c>
      <c r="I1361" s="2">
        <v>1389.15</v>
      </c>
      <c r="J1361" s="2">
        <f>Tabla2[[#This Row],[Quantity]]*I1361</f>
        <v>6945.75</v>
      </c>
      <c r="K1361" s="6">
        <f>MONTH(Tabla2[[#This Row],[OrderDate]])</f>
        <v>11</v>
      </c>
      <c r="L1361" s="6">
        <f>YEAR(Tabla2[[#This Row],[OrderDate]])</f>
        <v>2024</v>
      </c>
      <c r="M1361" s="7" t="s">
        <v>2609</v>
      </c>
      <c r="N1361" s="7" t="s">
        <v>19</v>
      </c>
    </row>
    <row r="1362" spans="1:14" x14ac:dyDescent="0.35">
      <c r="A1362" s="7" t="s">
        <v>2610</v>
      </c>
      <c r="B1362" s="7" t="s">
        <v>380</v>
      </c>
      <c r="C1362" s="7" t="s">
        <v>381</v>
      </c>
      <c r="D1362" s="7" t="s">
        <v>23</v>
      </c>
      <c r="E1362" s="7" t="s">
        <v>338</v>
      </c>
      <c r="F1362" s="7" t="s">
        <v>101</v>
      </c>
      <c r="G1362" s="7" t="s">
        <v>102</v>
      </c>
      <c r="H1362" s="7">
        <v>2</v>
      </c>
      <c r="I1362" s="2">
        <v>1491.96</v>
      </c>
      <c r="J1362" s="2">
        <f>Tabla2[[#This Row],[Quantity]]*I1362</f>
        <v>2983.92</v>
      </c>
      <c r="K1362" s="6">
        <f>MONTH(Tabla2[[#This Row],[OrderDate]])</f>
        <v>10</v>
      </c>
      <c r="L1362" s="6">
        <f>YEAR(Tabla2[[#This Row],[OrderDate]])</f>
        <v>2024</v>
      </c>
      <c r="M1362" s="7" t="s">
        <v>166</v>
      </c>
      <c r="N1362" s="7" t="s">
        <v>28</v>
      </c>
    </row>
    <row r="1363" spans="1:14" x14ac:dyDescent="0.35">
      <c r="A1363" s="7" t="s">
        <v>2611</v>
      </c>
      <c r="B1363" s="7" t="s">
        <v>718</v>
      </c>
      <c r="C1363" s="7" t="s">
        <v>719</v>
      </c>
      <c r="D1363" s="7" t="s">
        <v>67</v>
      </c>
      <c r="E1363" s="7" t="s">
        <v>130</v>
      </c>
      <c r="F1363" s="7" t="s">
        <v>25</v>
      </c>
      <c r="G1363" s="7" t="s">
        <v>74</v>
      </c>
      <c r="H1363" s="7">
        <v>5</v>
      </c>
      <c r="I1363" s="2">
        <v>258.45999999999998</v>
      </c>
      <c r="J1363" s="2">
        <f>Tabla2[[#This Row],[Quantity]]*I1363</f>
        <v>1292.3</v>
      </c>
      <c r="K1363" s="6">
        <f>MONTH(Tabla2[[#This Row],[OrderDate]])</f>
        <v>7</v>
      </c>
      <c r="L1363" s="6">
        <f>YEAR(Tabla2[[#This Row],[OrderDate]])</f>
        <v>2024</v>
      </c>
      <c r="M1363" s="7" t="s">
        <v>297</v>
      </c>
      <c r="N1363" s="7" t="s">
        <v>28</v>
      </c>
    </row>
    <row r="1364" spans="1:14" x14ac:dyDescent="0.35">
      <c r="A1364" s="7" t="s">
        <v>2612</v>
      </c>
      <c r="B1364" s="7" t="s">
        <v>1246</v>
      </c>
      <c r="C1364" s="7" t="s">
        <v>1247</v>
      </c>
      <c r="D1364" s="7" t="s">
        <v>23</v>
      </c>
      <c r="E1364" s="7" t="s">
        <v>338</v>
      </c>
      <c r="F1364" s="7" t="s">
        <v>25</v>
      </c>
      <c r="G1364" s="7" t="s">
        <v>74</v>
      </c>
      <c r="H1364" s="7">
        <v>1</v>
      </c>
      <c r="I1364" s="2">
        <v>960.05</v>
      </c>
      <c r="J1364" s="2">
        <f>Tabla2[[#This Row],[Quantity]]*I1364</f>
        <v>960.05</v>
      </c>
      <c r="K1364" s="6">
        <f>MONTH(Tabla2[[#This Row],[OrderDate]])</f>
        <v>5</v>
      </c>
      <c r="L1364" s="6">
        <f>YEAR(Tabla2[[#This Row],[OrderDate]])</f>
        <v>2024</v>
      </c>
      <c r="M1364" s="7" t="s">
        <v>2613</v>
      </c>
      <c r="N1364" s="7" t="s">
        <v>28</v>
      </c>
    </row>
    <row r="1365" spans="1:14" x14ac:dyDescent="0.35">
      <c r="A1365" s="7" t="s">
        <v>2614</v>
      </c>
      <c r="B1365" s="7" t="s">
        <v>376</v>
      </c>
      <c r="C1365" s="7" t="s">
        <v>377</v>
      </c>
      <c r="D1365" s="7" t="s">
        <v>14</v>
      </c>
      <c r="E1365" s="7" t="s">
        <v>15</v>
      </c>
      <c r="F1365" s="7" t="s">
        <v>16</v>
      </c>
      <c r="G1365" s="7" t="s">
        <v>148</v>
      </c>
      <c r="H1365" s="7">
        <v>5</v>
      </c>
      <c r="I1365" s="2">
        <v>1429.33</v>
      </c>
      <c r="J1365" s="2">
        <f>Tabla2[[#This Row],[Quantity]]*I1365</f>
        <v>7146.65</v>
      </c>
      <c r="K1365" s="6">
        <f>MONTH(Tabla2[[#This Row],[OrderDate]])</f>
        <v>8</v>
      </c>
      <c r="L1365" s="6">
        <f>YEAR(Tabla2[[#This Row],[OrderDate]])</f>
        <v>2024</v>
      </c>
      <c r="M1365" s="7" t="s">
        <v>1931</v>
      </c>
      <c r="N1365" s="7" t="s">
        <v>45</v>
      </c>
    </row>
    <row r="1366" spans="1:14" x14ac:dyDescent="0.35">
      <c r="A1366" s="7" t="s">
        <v>2615</v>
      </c>
      <c r="B1366" s="7" t="s">
        <v>299</v>
      </c>
      <c r="C1366" s="7" t="s">
        <v>300</v>
      </c>
      <c r="D1366" s="7" t="s">
        <v>32</v>
      </c>
      <c r="E1366" s="7" t="s">
        <v>33</v>
      </c>
      <c r="F1366" s="7" t="s">
        <v>25</v>
      </c>
      <c r="G1366" s="7" t="s">
        <v>26</v>
      </c>
      <c r="H1366" s="7">
        <v>5</v>
      </c>
      <c r="I1366" s="2">
        <v>809.63</v>
      </c>
      <c r="J1366" s="2">
        <f>Tabla2[[#This Row],[Quantity]]*I1366</f>
        <v>4048.15</v>
      </c>
      <c r="K1366" s="6">
        <f>MONTH(Tabla2[[#This Row],[OrderDate]])</f>
        <v>8</v>
      </c>
      <c r="L1366" s="6">
        <f>YEAR(Tabla2[[#This Row],[OrderDate]])</f>
        <v>2025</v>
      </c>
      <c r="M1366" s="7" t="s">
        <v>1161</v>
      </c>
      <c r="N1366" s="7" t="s">
        <v>28</v>
      </c>
    </row>
    <row r="1367" spans="1:14" x14ac:dyDescent="0.35">
      <c r="A1367" s="7" t="s">
        <v>2616</v>
      </c>
      <c r="B1367" s="7" t="s">
        <v>1594</v>
      </c>
      <c r="C1367" s="7" t="s">
        <v>1595</v>
      </c>
      <c r="D1367" s="7" t="s">
        <v>23</v>
      </c>
      <c r="E1367" s="7" t="s">
        <v>49</v>
      </c>
      <c r="F1367" s="7" t="s">
        <v>25</v>
      </c>
      <c r="G1367" s="7" t="s">
        <v>34</v>
      </c>
      <c r="H1367" s="7">
        <v>1</v>
      </c>
      <c r="I1367" s="2">
        <v>1227.42</v>
      </c>
      <c r="J1367" s="2">
        <f>Tabla2[[#This Row],[Quantity]]*I1367</f>
        <v>1227.42</v>
      </c>
      <c r="K1367" s="6">
        <f>MONTH(Tabla2[[#This Row],[OrderDate]])</f>
        <v>12</v>
      </c>
      <c r="L1367" s="6">
        <f>YEAR(Tabla2[[#This Row],[OrderDate]])</f>
        <v>2025</v>
      </c>
      <c r="M1367" s="7" t="s">
        <v>1228</v>
      </c>
      <c r="N1367" s="7" t="s">
        <v>28</v>
      </c>
    </row>
    <row r="1368" spans="1:14" x14ac:dyDescent="0.35">
      <c r="A1368" s="7" t="s">
        <v>2617</v>
      </c>
      <c r="B1368" s="7" t="s">
        <v>2188</v>
      </c>
      <c r="C1368" s="7" t="s">
        <v>2189</v>
      </c>
      <c r="D1368" s="7" t="s">
        <v>67</v>
      </c>
      <c r="E1368" s="7" t="s">
        <v>130</v>
      </c>
      <c r="F1368" s="7" t="s">
        <v>42</v>
      </c>
      <c r="G1368" s="7" t="s">
        <v>89</v>
      </c>
      <c r="H1368" s="7">
        <v>1</v>
      </c>
      <c r="I1368" s="2">
        <v>1035.0999999999999</v>
      </c>
      <c r="J1368" s="2">
        <f>Tabla2[[#This Row],[Quantity]]*I1368</f>
        <v>1035.0999999999999</v>
      </c>
      <c r="K1368" s="6">
        <f>MONTH(Tabla2[[#This Row],[OrderDate]])</f>
        <v>4</v>
      </c>
      <c r="L1368" s="6">
        <f>YEAR(Tabla2[[#This Row],[OrderDate]])</f>
        <v>2025</v>
      </c>
      <c r="M1368" s="7" t="s">
        <v>1075</v>
      </c>
      <c r="N1368" s="7" t="s">
        <v>28</v>
      </c>
    </row>
    <row r="1369" spans="1:14" x14ac:dyDescent="0.35">
      <c r="A1369" s="7" t="s">
        <v>2618</v>
      </c>
      <c r="B1369" s="7" t="s">
        <v>521</v>
      </c>
      <c r="C1369" s="7" t="s">
        <v>522</v>
      </c>
      <c r="D1369" s="7" t="s">
        <v>40</v>
      </c>
      <c r="E1369" s="7" t="s">
        <v>120</v>
      </c>
      <c r="F1369" s="7" t="s">
        <v>42</v>
      </c>
      <c r="G1369" s="7" t="s">
        <v>43</v>
      </c>
      <c r="H1369" s="7">
        <v>2</v>
      </c>
      <c r="I1369" s="2">
        <v>640.55999999999995</v>
      </c>
      <c r="J1369" s="2">
        <f>Tabla2[[#This Row],[Quantity]]*I1369</f>
        <v>1281.1199999999999</v>
      </c>
      <c r="K1369" s="6">
        <f>MONTH(Tabla2[[#This Row],[OrderDate]])</f>
        <v>4</v>
      </c>
      <c r="L1369" s="6">
        <f>YEAR(Tabla2[[#This Row],[OrderDate]])</f>
        <v>2024</v>
      </c>
      <c r="M1369" s="7" t="s">
        <v>2232</v>
      </c>
      <c r="N1369" s="7" t="s">
        <v>28</v>
      </c>
    </row>
    <row r="1370" spans="1:14" x14ac:dyDescent="0.35">
      <c r="A1370" s="7" t="s">
        <v>2619</v>
      </c>
      <c r="B1370" s="7" t="s">
        <v>54</v>
      </c>
      <c r="C1370" s="7" t="s">
        <v>55</v>
      </c>
      <c r="D1370" s="7" t="s">
        <v>40</v>
      </c>
      <c r="E1370" s="7" t="s">
        <v>120</v>
      </c>
      <c r="F1370" s="7" t="s">
        <v>42</v>
      </c>
      <c r="G1370" s="7" t="s">
        <v>80</v>
      </c>
      <c r="H1370" s="7">
        <v>4</v>
      </c>
      <c r="I1370" s="2">
        <v>339.44</v>
      </c>
      <c r="J1370" s="2">
        <f>Tabla2[[#This Row],[Quantity]]*I1370</f>
        <v>1357.76</v>
      </c>
      <c r="K1370" s="6">
        <f>MONTH(Tabla2[[#This Row],[OrderDate]])</f>
        <v>8</v>
      </c>
      <c r="L1370" s="6">
        <f>YEAR(Tabla2[[#This Row],[OrderDate]])</f>
        <v>2024</v>
      </c>
      <c r="M1370" s="7" t="s">
        <v>466</v>
      </c>
      <c r="N1370" s="7" t="s">
        <v>91</v>
      </c>
    </row>
    <row r="1371" spans="1:14" x14ac:dyDescent="0.35">
      <c r="A1371" s="7" t="s">
        <v>2620</v>
      </c>
      <c r="B1371" s="7" t="s">
        <v>594</v>
      </c>
      <c r="C1371" s="7" t="s">
        <v>595</v>
      </c>
      <c r="D1371" s="7" t="s">
        <v>40</v>
      </c>
      <c r="E1371" s="7" t="s">
        <v>120</v>
      </c>
      <c r="F1371" s="7" t="s">
        <v>42</v>
      </c>
      <c r="G1371" s="7" t="s">
        <v>89</v>
      </c>
      <c r="H1371" s="7">
        <v>1</v>
      </c>
      <c r="I1371" s="2">
        <v>312.18</v>
      </c>
      <c r="J1371" s="2">
        <f>Tabla2[[#This Row],[Quantity]]*I1371</f>
        <v>312.18</v>
      </c>
      <c r="K1371" s="6">
        <f>MONTH(Tabla2[[#This Row],[OrderDate]])</f>
        <v>11</v>
      </c>
      <c r="L1371" s="6">
        <f>YEAR(Tabla2[[#This Row],[OrderDate]])</f>
        <v>2025</v>
      </c>
      <c r="M1371" s="7" t="s">
        <v>1026</v>
      </c>
      <c r="N1371" s="7" t="s">
        <v>45</v>
      </c>
    </row>
    <row r="1372" spans="1:14" x14ac:dyDescent="0.35">
      <c r="A1372" s="7" t="s">
        <v>2621</v>
      </c>
      <c r="B1372" s="7" t="s">
        <v>1662</v>
      </c>
      <c r="C1372" s="7" t="s">
        <v>1663</v>
      </c>
      <c r="D1372" s="7" t="s">
        <v>23</v>
      </c>
      <c r="E1372" s="7" t="s">
        <v>49</v>
      </c>
      <c r="F1372" s="7" t="s">
        <v>25</v>
      </c>
      <c r="G1372" s="7" t="s">
        <v>62</v>
      </c>
      <c r="H1372" s="7">
        <v>3</v>
      </c>
      <c r="I1372" s="2">
        <v>857.75</v>
      </c>
      <c r="J1372" s="2">
        <f>Tabla2[[#This Row],[Quantity]]*I1372</f>
        <v>2573.25</v>
      </c>
      <c r="K1372" s="6">
        <f>MONTH(Tabla2[[#This Row],[OrderDate]])</f>
        <v>5</v>
      </c>
      <c r="L1372" s="6">
        <f>YEAR(Tabla2[[#This Row],[OrderDate]])</f>
        <v>2024</v>
      </c>
      <c r="M1372" s="7" t="s">
        <v>2074</v>
      </c>
      <c r="N1372" s="7" t="s">
        <v>91</v>
      </c>
    </row>
    <row r="1373" spans="1:14" x14ac:dyDescent="0.35">
      <c r="A1373" s="7" t="s">
        <v>2622</v>
      </c>
      <c r="B1373" s="7" t="s">
        <v>878</v>
      </c>
      <c r="C1373" s="7" t="s">
        <v>879</v>
      </c>
      <c r="D1373" s="7" t="s">
        <v>40</v>
      </c>
      <c r="E1373" s="7" t="s">
        <v>120</v>
      </c>
      <c r="F1373" s="7" t="s">
        <v>25</v>
      </c>
      <c r="G1373" s="7" t="s">
        <v>34</v>
      </c>
      <c r="H1373" s="7">
        <v>5</v>
      </c>
      <c r="I1373" s="2">
        <v>783</v>
      </c>
      <c r="J1373" s="2">
        <f>Tabla2[[#This Row],[Quantity]]*I1373</f>
        <v>3915</v>
      </c>
      <c r="K1373" s="6">
        <f>MONTH(Tabla2[[#This Row],[OrderDate]])</f>
        <v>6</v>
      </c>
      <c r="L1373" s="6">
        <f>YEAR(Tabla2[[#This Row],[OrderDate]])</f>
        <v>2024</v>
      </c>
      <c r="M1373" s="7" t="s">
        <v>2623</v>
      </c>
      <c r="N1373" s="7" t="s">
        <v>36</v>
      </c>
    </row>
    <row r="1374" spans="1:14" x14ac:dyDescent="0.35">
      <c r="A1374" s="7" t="s">
        <v>2624</v>
      </c>
      <c r="B1374" s="7" t="s">
        <v>598</v>
      </c>
      <c r="C1374" s="7" t="s">
        <v>599</v>
      </c>
      <c r="D1374" s="7" t="s">
        <v>14</v>
      </c>
      <c r="E1374" s="7" t="s">
        <v>95</v>
      </c>
      <c r="F1374" s="7" t="s">
        <v>25</v>
      </c>
      <c r="G1374" s="7" t="s">
        <v>74</v>
      </c>
      <c r="H1374" s="7">
        <v>5</v>
      </c>
      <c r="I1374" s="2">
        <v>1382.17</v>
      </c>
      <c r="J1374" s="2">
        <f>Tabla2[[#This Row],[Quantity]]*I1374</f>
        <v>6910.85</v>
      </c>
      <c r="K1374" s="6">
        <f>MONTH(Tabla2[[#This Row],[OrderDate]])</f>
        <v>2</v>
      </c>
      <c r="L1374" s="6">
        <f>YEAR(Tabla2[[#This Row],[OrderDate]])</f>
        <v>2025</v>
      </c>
      <c r="M1374" s="7" t="s">
        <v>2057</v>
      </c>
      <c r="N1374" s="7" t="s">
        <v>45</v>
      </c>
    </row>
    <row r="1375" spans="1:14" x14ac:dyDescent="0.35">
      <c r="A1375" s="7" t="s">
        <v>2625</v>
      </c>
      <c r="B1375" s="7" t="s">
        <v>321</v>
      </c>
      <c r="C1375" s="7" t="s">
        <v>322</v>
      </c>
      <c r="D1375" s="7" t="s">
        <v>40</v>
      </c>
      <c r="E1375" s="7" t="s">
        <v>41</v>
      </c>
      <c r="F1375" s="7" t="s">
        <v>42</v>
      </c>
      <c r="G1375" s="7" t="s">
        <v>43</v>
      </c>
      <c r="H1375" s="7">
        <v>1</v>
      </c>
      <c r="I1375" s="2">
        <v>741.96</v>
      </c>
      <c r="J1375" s="2">
        <f>Tabla2[[#This Row],[Quantity]]*I1375</f>
        <v>741.96</v>
      </c>
      <c r="K1375" s="6">
        <f>MONTH(Tabla2[[#This Row],[OrderDate]])</f>
        <v>12</v>
      </c>
      <c r="L1375" s="6">
        <f>YEAR(Tabla2[[#This Row],[OrderDate]])</f>
        <v>2025</v>
      </c>
      <c r="M1375" s="7" t="s">
        <v>131</v>
      </c>
      <c r="N1375" s="7" t="s">
        <v>28</v>
      </c>
    </row>
    <row r="1376" spans="1:14" x14ac:dyDescent="0.35">
      <c r="A1376" s="7" t="s">
        <v>2626</v>
      </c>
      <c r="B1376" s="7" t="s">
        <v>544</v>
      </c>
      <c r="C1376" s="7" t="s">
        <v>545</v>
      </c>
      <c r="D1376" s="7" t="s">
        <v>23</v>
      </c>
      <c r="E1376" s="7" t="s">
        <v>338</v>
      </c>
      <c r="F1376" s="7" t="s">
        <v>16</v>
      </c>
      <c r="G1376" s="7" t="s">
        <v>182</v>
      </c>
      <c r="H1376" s="7">
        <v>3</v>
      </c>
      <c r="I1376" s="2">
        <v>1049.1300000000001</v>
      </c>
      <c r="J1376" s="2">
        <f>Tabla2[[#This Row],[Quantity]]*I1376</f>
        <v>3147.3900000000003</v>
      </c>
      <c r="K1376" s="6">
        <f>MONTH(Tabla2[[#This Row],[OrderDate]])</f>
        <v>10</v>
      </c>
      <c r="L1376" s="6">
        <f>YEAR(Tabla2[[#This Row],[OrderDate]])</f>
        <v>2025</v>
      </c>
      <c r="M1376" s="7" t="s">
        <v>267</v>
      </c>
      <c r="N1376" s="7" t="s">
        <v>91</v>
      </c>
    </row>
    <row r="1377" spans="1:14" x14ac:dyDescent="0.35">
      <c r="A1377" s="7" t="s">
        <v>2627</v>
      </c>
      <c r="B1377" s="7" t="s">
        <v>1046</v>
      </c>
      <c r="C1377" s="7" t="s">
        <v>1047</v>
      </c>
      <c r="D1377" s="7" t="s">
        <v>67</v>
      </c>
      <c r="E1377" s="7" t="s">
        <v>115</v>
      </c>
      <c r="F1377" s="7" t="s">
        <v>25</v>
      </c>
      <c r="G1377" s="7" t="s">
        <v>62</v>
      </c>
      <c r="H1377" s="7">
        <v>1</v>
      </c>
      <c r="I1377" s="2">
        <v>873.02</v>
      </c>
      <c r="J1377" s="2">
        <f>Tabla2[[#This Row],[Quantity]]*I1377</f>
        <v>873.02</v>
      </c>
      <c r="K1377" s="6">
        <f>MONTH(Tabla2[[#This Row],[OrderDate]])</f>
        <v>10</v>
      </c>
      <c r="L1377" s="6">
        <f>YEAR(Tabla2[[#This Row],[OrderDate]])</f>
        <v>2025</v>
      </c>
      <c r="M1377" s="7" t="s">
        <v>1266</v>
      </c>
      <c r="N1377" s="7" t="s">
        <v>36</v>
      </c>
    </row>
    <row r="1378" spans="1:14" x14ac:dyDescent="0.35">
      <c r="A1378" s="7" t="s">
        <v>2628</v>
      </c>
      <c r="B1378" s="7" t="s">
        <v>922</v>
      </c>
      <c r="C1378" s="7" t="s">
        <v>923</v>
      </c>
      <c r="D1378" s="7" t="s">
        <v>40</v>
      </c>
      <c r="E1378" s="7" t="s">
        <v>120</v>
      </c>
      <c r="F1378" s="7" t="s">
        <v>101</v>
      </c>
      <c r="G1378" s="7" t="s">
        <v>237</v>
      </c>
      <c r="H1378" s="7">
        <v>4</v>
      </c>
      <c r="I1378" s="2">
        <v>18.510000000000002</v>
      </c>
      <c r="J1378" s="2">
        <f>Tabla2[[#This Row],[Quantity]]*I1378</f>
        <v>74.040000000000006</v>
      </c>
      <c r="K1378" s="6">
        <f>MONTH(Tabla2[[#This Row],[OrderDate]])</f>
        <v>12</v>
      </c>
      <c r="L1378" s="6">
        <f>YEAR(Tabla2[[#This Row],[OrderDate]])</f>
        <v>2024</v>
      </c>
      <c r="M1378" s="7" t="s">
        <v>1479</v>
      </c>
      <c r="N1378" s="7" t="s">
        <v>36</v>
      </c>
    </row>
    <row r="1379" spans="1:14" x14ac:dyDescent="0.35">
      <c r="A1379" s="7" t="s">
        <v>2629</v>
      </c>
      <c r="B1379" s="7" t="s">
        <v>532</v>
      </c>
      <c r="C1379" s="7" t="s">
        <v>533</v>
      </c>
      <c r="D1379" s="7" t="s">
        <v>14</v>
      </c>
      <c r="E1379" s="7" t="s">
        <v>100</v>
      </c>
      <c r="F1379" s="7" t="s">
        <v>101</v>
      </c>
      <c r="G1379" s="7" t="s">
        <v>649</v>
      </c>
      <c r="H1379" s="7">
        <v>5</v>
      </c>
      <c r="I1379" s="2">
        <v>71.03</v>
      </c>
      <c r="J1379" s="2">
        <f>Tabla2[[#This Row],[Quantity]]*I1379</f>
        <v>355.15</v>
      </c>
      <c r="K1379" s="6">
        <f>MONTH(Tabla2[[#This Row],[OrderDate]])</f>
        <v>6</v>
      </c>
      <c r="L1379" s="6">
        <f>YEAR(Tabla2[[#This Row],[OrderDate]])</f>
        <v>2025</v>
      </c>
      <c r="M1379" s="7" t="s">
        <v>416</v>
      </c>
      <c r="N1379" s="7" t="s">
        <v>91</v>
      </c>
    </row>
    <row r="1380" spans="1:14" x14ac:dyDescent="0.35">
      <c r="A1380" s="7" t="s">
        <v>2630</v>
      </c>
      <c r="B1380" s="7" t="s">
        <v>727</v>
      </c>
      <c r="C1380" s="7" t="s">
        <v>728</v>
      </c>
      <c r="D1380" s="7" t="s">
        <v>40</v>
      </c>
      <c r="E1380" s="7" t="s">
        <v>120</v>
      </c>
      <c r="F1380" s="7" t="s">
        <v>16</v>
      </c>
      <c r="G1380" s="7" t="s">
        <v>177</v>
      </c>
      <c r="H1380" s="7">
        <v>2</v>
      </c>
      <c r="I1380" s="2">
        <v>730.49</v>
      </c>
      <c r="J1380" s="2">
        <f>Tabla2[[#This Row],[Quantity]]*I1380</f>
        <v>1460.98</v>
      </c>
      <c r="K1380" s="6">
        <f>MONTH(Tabla2[[#This Row],[OrderDate]])</f>
        <v>10</v>
      </c>
      <c r="L1380" s="6">
        <f>YEAR(Tabla2[[#This Row],[OrderDate]])</f>
        <v>2025</v>
      </c>
      <c r="M1380" s="7" t="s">
        <v>2631</v>
      </c>
      <c r="N1380" s="7" t="s">
        <v>28</v>
      </c>
    </row>
    <row r="1381" spans="1:14" x14ac:dyDescent="0.35">
      <c r="A1381" s="7" t="s">
        <v>2632</v>
      </c>
      <c r="B1381" s="7" t="s">
        <v>1058</v>
      </c>
      <c r="C1381" s="7" t="s">
        <v>1059</v>
      </c>
      <c r="D1381" s="7" t="s">
        <v>14</v>
      </c>
      <c r="E1381" s="7" t="s">
        <v>266</v>
      </c>
      <c r="F1381" s="7" t="s">
        <v>101</v>
      </c>
      <c r="G1381" s="7" t="s">
        <v>649</v>
      </c>
      <c r="H1381" s="7">
        <v>2</v>
      </c>
      <c r="I1381" s="2">
        <v>1000.42</v>
      </c>
      <c r="J1381" s="2">
        <f>Tabla2[[#This Row],[Quantity]]*I1381</f>
        <v>2000.84</v>
      </c>
      <c r="K1381" s="6">
        <f>MONTH(Tabla2[[#This Row],[OrderDate]])</f>
        <v>5</v>
      </c>
      <c r="L1381" s="6">
        <f>YEAR(Tabla2[[#This Row],[OrderDate]])</f>
        <v>2024</v>
      </c>
      <c r="M1381" s="7" t="s">
        <v>1542</v>
      </c>
      <c r="N1381" s="7" t="s">
        <v>36</v>
      </c>
    </row>
    <row r="1382" spans="1:14" x14ac:dyDescent="0.35">
      <c r="A1382" s="7" t="s">
        <v>2633</v>
      </c>
      <c r="B1382" s="7" t="s">
        <v>1005</v>
      </c>
      <c r="C1382" s="7" t="s">
        <v>1006</v>
      </c>
      <c r="D1382" s="7" t="s">
        <v>32</v>
      </c>
      <c r="E1382" s="7" t="s">
        <v>203</v>
      </c>
      <c r="F1382" s="7" t="s">
        <v>16</v>
      </c>
      <c r="G1382" s="7" t="s">
        <v>148</v>
      </c>
      <c r="H1382" s="7">
        <v>2</v>
      </c>
      <c r="I1382" s="2">
        <v>272.07</v>
      </c>
      <c r="J1382" s="2">
        <f>Tabla2[[#This Row],[Quantity]]*I1382</f>
        <v>544.14</v>
      </c>
      <c r="K1382" s="6">
        <f>MONTH(Tabla2[[#This Row],[OrderDate]])</f>
        <v>10</v>
      </c>
      <c r="L1382" s="6">
        <f>YEAR(Tabla2[[#This Row],[OrderDate]])</f>
        <v>2024</v>
      </c>
      <c r="M1382" s="7" t="s">
        <v>744</v>
      </c>
      <c r="N1382" s="7" t="s">
        <v>91</v>
      </c>
    </row>
    <row r="1383" spans="1:14" x14ac:dyDescent="0.35">
      <c r="A1383" s="7" t="s">
        <v>2634</v>
      </c>
      <c r="B1383" s="7" t="s">
        <v>1005</v>
      </c>
      <c r="C1383" s="7" t="s">
        <v>1006</v>
      </c>
      <c r="D1383" s="7" t="s">
        <v>40</v>
      </c>
      <c r="E1383" s="7" t="s">
        <v>120</v>
      </c>
      <c r="F1383" s="7" t="s">
        <v>101</v>
      </c>
      <c r="G1383" s="7" t="s">
        <v>373</v>
      </c>
      <c r="H1383" s="7">
        <v>5</v>
      </c>
      <c r="I1383" s="2">
        <v>316.02999999999997</v>
      </c>
      <c r="J1383" s="2">
        <f>Tabla2[[#This Row],[Quantity]]*I1383</f>
        <v>1580.1499999999999</v>
      </c>
      <c r="K1383" s="6">
        <f>MONTH(Tabla2[[#This Row],[OrderDate]])</f>
        <v>1</v>
      </c>
      <c r="L1383" s="6">
        <f>YEAR(Tabla2[[#This Row],[OrderDate]])</f>
        <v>2025</v>
      </c>
      <c r="M1383" s="7" t="s">
        <v>1982</v>
      </c>
      <c r="N1383" s="7" t="s">
        <v>28</v>
      </c>
    </row>
    <row r="1384" spans="1:14" x14ac:dyDescent="0.35">
      <c r="A1384" s="7" t="s">
        <v>2635</v>
      </c>
      <c r="B1384" s="7" t="s">
        <v>853</v>
      </c>
      <c r="C1384" s="7" t="s">
        <v>854</v>
      </c>
      <c r="D1384" s="7" t="s">
        <v>32</v>
      </c>
      <c r="E1384" s="7" t="s">
        <v>61</v>
      </c>
      <c r="F1384" s="7" t="s">
        <v>42</v>
      </c>
      <c r="G1384" s="7" t="s">
        <v>89</v>
      </c>
      <c r="H1384" s="7">
        <v>5</v>
      </c>
      <c r="I1384" s="2">
        <v>1333.85</v>
      </c>
      <c r="J1384" s="2">
        <f>Tabla2[[#This Row],[Quantity]]*I1384</f>
        <v>6669.25</v>
      </c>
      <c r="K1384" s="6">
        <f>MONTH(Tabla2[[#This Row],[OrderDate]])</f>
        <v>11</v>
      </c>
      <c r="L1384" s="6">
        <f>YEAR(Tabla2[[#This Row],[OrderDate]])</f>
        <v>2025</v>
      </c>
      <c r="M1384" s="7" t="s">
        <v>479</v>
      </c>
      <c r="N1384" s="7" t="s">
        <v>28</v>
      </c>
    </row>
    <row r="1385" spans="1:14" x14ac:dyDescent="0.35">
      <c r="A1385" s="7" t="s">
        <v>2636</v>
      </c>
      <c r="B1385" s="7" t="s">
        <v>30</v>
      </c>
      <c r="C1385" s="7" t="s">
        <v>31</v>
      </c>
      <c r="D1385" s="7" t="s">
        <v>32</v>
      </c>
      <c r="E1385" s="7" t="s">
        <v>203</v>
      </c>
      <c r="F1385" s="7" t="s">
        <v>16</v>
      </c>
      <c r="G1385" s="7" t="s">
        <v>17</v>
      </c>
      <c r="H1385" s="7">
        <v>5</v>
      </c>
      <c r="I1385" s="2">
        <v>1178.8</v>
      </c>
      <c r="J1385" s="2">
        <f>Tabla2[[#This Row],[Quantity]]*I1385</f>
        <v>5894</v>
      </c>
      <c r="K1385" s="6">
        <f>MONTH(Tabla2[[#This Row],[OrderDate]])</f>
        <v>12</v>
      </c>
      <c r="L1385" s="6">
        <f>YEAR(Tabla2[[#This Row],[OrderDate]])</f>
        <v>2024</v>
      </c>
      <c r="M1385" s="7" t="s">
        <v>1919</v>
      </c>
      <c r="N1385" s="7" t="s">
        <v>91</v>
      </c>
    </row>
    <row r="1386" spans="1:14" x14ac:dyDescent="0.35">
      <c r="A1386" s="7" t="s">
        <v>2637</v>
      </c>
      <c r="B1386" s="7" t="s">
        <v>460</v>
      </c>
      <c r="C1386" s="7" t="s">
        <v>461</v>
      </c>
      <c r="D1386" s="7" t="s">
        <v>40</v>
      </c>
      <c r="E1386" s="7" t="s">
        <v>41</v>
      </c>
      <c r="F1386" s="7" t="s">
        <v>25</v>
      </c>
      <c r="G1386" s="7" t="s">
        <v>139</v>
      </c>
      <c r="H1386" s="7">
        <v>2</v>
      </c>
      <c r="I1386" s="2">
        <v>504.34</v>
      </c>
      <c r="J1386" s="2">
        <f>Tabla2[[#This Row],[Quantity]]*I1386</f>
        <v>1008.68</v>
      </c>
      <c r="K1386" s="6">
        <f>MONTH(Tabla2[[#This Row],[OrderDate]])</f>
        <v>10</v>
      </c>
      <c r="L1386" s="6">
        <f>YEAR(Tabla2[[#This Row],[OrderDate]])</f>
        <v>2025</v>
      </c>
      <c r="M1386" s="7" t="s">
        <v>488</v>
      </c>
      <c r="N1386" s="7" t="s">
        <v>36</v>
      </c>
    </row>
    <row r="1387" spans="1:14" x14ac:dyDescent="0.35">
      <c r="A1387" s="7" t="s">
        <v>2638</v>
      </c>
      <c r="B1387" s="7" t="s">
        <v>1131</v>
      </c>
      <c r="C1387" s="7" t="s">
        <v>1132</v>
      </c>
      <c r="D1387" s="7" t="s">
        <v>67</v>
      </c>
      <c r="E1387" s="7" t="s">
        <v>130</v>
      </c>
      <c r="F1387" s="7" t="s">
        <v>50</v>
      </c>
      <c r="G1387" s="7" t="s">
        <v>216</v>
      </c>
      <c r="H1387" s="7">
        <v>2</v>
      </c>
      <c r="I1387" s="2">
        <v>1163.22</v>
      </c>
      <c r="J1387" s="2">
        <f>Tabla2[[#This Row],[Quantity]]*I1387</f>
        <v>2326.44</v>
      </c>
      <c r="K1387" s="6">
        <f>MONTH(Tabla2[[#This Row],[OrderDate]])</f>
        <v>1</v>
      </c>
      <c r="L1387" s="6">
        <f>YEAR(Tabla2[[#This Row],[OrderDate]])</f>
        <v>2026</v>
      </c>
      <c r="M1387" s="7" t="s">
        <v>2086</v>
      </c>
      <c r="N1387" s="7" t="s">
        <v>45</v>
      </c>
    </row>
    <row r="1388" spans="1:14" x14ac:dyDescent="0.35">
      <c r="A1388" s="7" t="s">
        <v>2639</v>
      </c>
      <c r="B1388" s="7" t="s">
        <v>210</v>
      </c>
      <c r="C1388" s="7" t="s">
        <v>211</v>
      </c>
      <c r="D1388" s="7" t="s">
        <v>67</v>
      </c>
      <c r="E1388" s="7" t="s">
        <v>130</v>
      </c>
      <c r="F1388" s="7" t="s">
        <v>101</v>
      </c>
      <c r="G1388" s="7" t="s">
        <v>165</v>
      </c>
      <c r="H1388" s="7">
        <v>4</v>
      </c>
      <c r="I1388" s="2">
        <v>680.36</v>
      </c>
      <c r="J1388" s="2">
        <f>Tabla2[[#This Row],[Quantity]]*I1388</f>
        <v>2721.44</v>
      </c>
      <c r="K1388" s="6">
        <f>MONTH(Tabla2[[#This Row],[OrderDate]])</f>
        <v>11</v>
      </c>
      <c r="L1388" s="6">
        <f>YEAR(Tabla2[[#This Row],[OrderDate]])</f>
        <v>2024</v>
      </c>
      <c r="M1388" s="7" t="s">
        <v>1934</v>
      </c>
      <c r="N1388" s="7" t="s">
        <v>36</v>
      </c>
    </row>
    <row r="1389" spans="1:14" x14ac:dyDescent="0.35">
      <c r="A1389" s="7" t="s">
        <v>2640</v>
      </c>
      <c r="B1389" s="7" t="s">
        <v>1058</v>
      </c>
      <c r="C1389" s="7" t="s">
        <v>1059</v>
      </c>
      <c r="D1389" s="7" t="s">
        <v>32</v>
      </c>
      <c r="E1389" s="7" t="s">
        <v>203</v>
      </c>
      <c r="F1389" s="7" t="s">
        <v>101</v>
      </c>
      <c r="G1389" s="7" t="s">
        <v>165</v>
      </c>
      <c r="H1389" s="7">
        <v>4</v>
      </c>
      <c r="I1389" s="2">
        <v>6.21</v>
      </c>
      <c r="J1389" s="2">
        <f>Tabla2[[#This Row],[Quantity]]*I1389</f>
        <v>24.84</v>
      </c>
      <c r="K1389" s="6">
        <f>MONTH(Tabla2[[#This Row],[OrderDate]])</f>
        <v>11</v>
      </c>
      <c r="L1389" s="6">
        <f>YEAR(Tabla2[[#This Row],[OrderDate]])</f>
        <v>2025</v>
      </c>
      <c r="M1389" s="7" t="s">
        <v>2641</v>
      </c>
      <c r="N1389" s="7" t="s">
        <v>19</v>
      </c>
    </row>
    <row r="1390" spans="1:14" x14ac:dyDescent="0.35">
      <c r="A1390" s="7" t="s">
        <v>2642</v>
      </c>
      <c r="B1390" s="7" t="s">
        <v>718</v>
      </c>
      <c r="C1390" s="7" t="s">
        <v>719</v>
      </c>
      <c r="D1390" s="7" t="s">
        <v>40</v>
      </c>
      <c r="E1390" s="7" t="s">
        <v>41</v>
      </c>
      <c r="F1390" s="7" t="s">
        <v>101</v>
      </c>
      <c r="G1390" s="7" t="s">
        <v>165</v>
      </c>
      <c r="H1390" s="7">
        <v>4</v>
      </c>
      <c r="I1390" s="2">
        <v>968.15</v>
      </c>
      <c r="J1390" s="2">
        <f>Tabla2[[#This Row],[Quantity]]*I1390</f>
        <v>3872.6</v>
      </c>
      <c r="K1390" s="6">
        <f>MONTH(Tabla2[[#This Row],[OrderDate]])</f>
        <v>2</v>
      </c>
      <c r="L1390" s="6">
        <f>YEAR(Tabla2[[#This Row],[OrderDate]])</f>
        <v>2025</v>
      </c>
      <c r="M1390" s="7" t="s">
        <v>2057</v>
      </c>
      <c r="N1390" s="7" t="s">
        <v>28</v>
      </c>
    </row>
    <row r="1391" spans="1:14" x14ac:dyDescent="0.35">
      <c r="A1391" s="7" t="s">
        <v>2643</v>
      </c>
      <c r="B1391" s="7" t="s">
        <v>1066</v>
      </c>
      <c r="C1391" s="7" t="s">
        <v>1067</v>
      </c>
      <c r="D1391" s="7" t="s">
        <v>32</v>
      </c>
      <c r="E1391" s="7" t="s">
        <v>33</v>
      </c>
      <c r="F1391" s="7" t="s">
        <v>25</v>
      </c>
      <c r="G1391" s="7" t="s">
        <v>62</v>
      </c>
      <c r="H1391" s="7">
        <v>5</v>
      </c>
      <c r="I1391" s="2">
        <v>777.62</v>
      </c>
      <c r="J1391" s="2">
        <f>Tabla2[[#This Row],[Quantity]]*I1391</f>
        <v>3888.1</v>
      </c>
      <c r="K1391" s="6">
        <f>MONTH(Tabla2[[#This Row],[OrderDate]])</f>
        <v>2</v>
      </c>
      <c r="L1391" s="6">
        <f>YEAR(Tabla2[[#This Row],[OrderDate]])</f>
        <v>2026</v>
      </c>
      <c r="M1391" s="7" t="s">
        <v>1367</v>
      </c>
      <c r="N1391" s="7" t="s">
        <v>91</v>
      </c>
    </row>
    <row r="1392" spans="1:14" x14ac:dyDescent="0.35">
      <c r="A1392" s="7" t="s">
        <v>2644</v>
      </c>
      <c r="B1392" s="7" t="s">
        <v>163</v>
      </c>
      <c r="C1392" s="7" t="s">
        <v>164</v>
      </c>
      <c r="D1392" s="7" t="s">
        <v>40</v>
      </c>
      <c r="E1392" s="7" t="s">
        <v>41</v>
      </c>
      <c r="F1392" s="7" t="s">
        <v>25</v>
      </c>
      <c r="G1392" s="7" t="s">
        <v>139</v>
      </c>
      <c r="H1392" s="7">
        <v>3</v>
      </c>
      <c r="I1392" s="2">
        <v>441.96</v>
      </c>
      <c r="J1392" s="2">
        <f>Tabla2[[#This Row],[Quantity]]*I1392</f>
        <v>1325.8799999999999</v>
      </c>
      <c r="K1392" s="6">
        <f>MONTH(Tabla2[[#This Row],[OrderDate]])</f>
        <v>9</v>
      </c>
      <c r="L1392" s="6">
        <f>YEAR(Tabla2[[#This Row],[OrderDate]])</f>
        <v>2024</v>
      </c>
      <c r="M1392" s="7" t="s">
        <v>1575</v>
      </c>
      <c r="N1392" s="7" t="s">
        <v>19</v>
      </c>
    </row>
    <row r="1393" spans="1:14" x14ac:dyDescent="0.35">
      <c r="A1393" s="7" t="s">
        <v>2645</v>
      </c>
      <c r="B1393" s="7" t="s">
        <v>336</v>
      </c>
      <c r="C1393" s="7" t="s">
        <v>337</v>
      </c>
      <c r="D1393" s="7" t="s">
        <v>14</v>
      </c>
      <c r="E1393" s="7" t="s">
        <v>266</v>
      </c>
      <c r="F1393" s="7" t="s">
        <v>42</v>
      </c>
      <c r="G1393" s="7" t="s">
        <v>225</v>
      </c>
      <c r="H1393" s="7">
        <v>3</v>
      </c>
      <c r="I1393" s="2">
        <v>1170.19</v>
      </c>
      <c r="J1393" s="2">
        <f>Tabla2[[#This Row],[Quantity]]*I1393</f>
        <v>3510.57</v>
      </c>
      <c r="K1393" s="6">
        <f>MONTH(Tabla2[[#This Row],[OrderDate]])</f>
        <v>1</v>
      </c>
      <c r="L1393" s="6">
        <f>YEAR(Tabla2[[#This Row],[OrderDate]])</f>
        <v>2025</v>
      </c>
      <c r="M1393" s="7" t="s">
        <v>1248</v>
      </c>
      <c r="N1393" s="7" t="s">
        <v>36</v>
      </c>
    </row>
    <row r="1394" spans="1:14" x14ac:dyDescent="0.35">
      <c r="A1394" s="7" t="s">
        <v>2646</v>
      </c>
      <c r="B1394" s="7" t="s">
        <v>496</v>
      </c>
      <c r="C1394" s="7" t="s">
        <v>497</v>
      </c>
      <c r="D1394" s="7" t="s">
        <v>67</v>
      </c>
      <c r="E1394" s="7" t="s">
        <v>130</v>
      </c>
      <c r="F1394" s="7" t="s">
        <v>50</v>
      </c>
      <c r="G1394" s="7" t="s">
        <v>56</v>
      </c>
      <c r="H1394" s="7">
        <v>3</v>
      </c>
      <c r="I1394" s="2">
        <v>14.35</v>
      </c>
      <c r="J1394" s="2">
        <f>Tabla2[[#This Row],[Quantity]]*I1394</f>
        <v>43.05</v>
      </c>
      <c r="K1394" s="6">
        <f>MONTH(Tabla2[[#This Row],[OrderDate]])</f>
        <v>7</v>
      </c>
      <c r="L1394" s="6">
        <f>YEAR(Tabla2[[#This Row],[OrderDate]])</f>
        <v>2025</v>
      </c>
      <c r="M1394" s="7" t="s">
        <v>2311</v>
      </c>
      <c r="N1394" s="7" t="s">
        <v>28</v>
      </c>
    </row>
    <row r="1395" spans="1:14" x14ac:dyDescent="0.35">
      <c r="A1395" s="7" t="s">
        <v>2647</v>
      </c>
      <c r="B1395" s="7" t="s">
        <v>715</v>
      </c>
      <c r="C1395" s="7" t="s">
        <v>716</v>
      </c>
      <c r="D1395" s="7" t="s">
        <v>23</v>
      </c>
      <c r="E1395" s="7" t="s">
        <v>24</v>
      </c>
      <c r="F1395" s="7" t="s">
        <v>42</v>
      </c>
      <c r="G1395" s="7" t="s">
        <v>225</v>
      </c>
      <c r="H1395" s="7">
        <v>3</v>
      </c>
      <c r="I1395" s="2">
        <v>1426.9</v>
      </c>
      <c r="J1395" s="2">
        <f>Tabla2[[#This Row],[Quantity]]*I1395</f>
        <v>4280.7000000000007</v>
      </c>
      <c r="K1395" s="6">
        <f>MONTH(Tabla2[[#This Row],[OrderDate]])</f>
        <v>9</v>
      </c>
      <c r="L1395" s="6">
        <f>YEAR(Tabla2[[#This Row],[OrderDate]])</f>
        <v>2024</v>
      </c>
      <c r="M1395" s="7" t="s">
        <v>2648</v>
      </c>
      <c r="N1395" s="7" t="s">
        <v>45</v>
      </c>
    </row>
    <row r="1396" spans="1:14" x14ac:dyDescent="0.35">
      <c r="A1396" s="7" t="s">
        <v>2649</v>
      </c>
      <c r="B1396" s="7" t="s">
        <v>367</v>
      </c>
      <c r="C1396" s="7" t="s">
        <v>368</v>
      </c>
      <c r="D1396" s="7" t="s">
        <v>32</v>
      </c>
      <c r="E1396" s="7" t="s">
        <v>203</v>
      </c>
      <c r="F1396" s="7" t="s">
        <v>16</v>
      </c>
      <c r="G1396" s="7" t="s">
        <v>230</v>
      </c>
      <c r="H1396" s="7">
        <v>3</v>
      </c>
      <c r="I1396" s="2">
        <v>1077.83</v>
      </c>
      <c r="J1396" s="2">
        <f>Tabla2[[#This Row],[Quantity]]*I1396</f>
        <v>3233.49</v>
      </c>
      <c r="K1396" s="6">
        <f>MONTH(Tabla2[[#This Row],[OrderDate]])</f>
        <v>2</v>
      </c>
      <c r="L1396" s="6">
        <f>YEAR(Tabla2[[#This Row],[OrderDate]])</f>
        <v>2026</v>
      </c>
      <c r="M1396" s="7" t="s">
        <v>35</v>
      </c>
      <c r="N1396" s="7" t="s">
        <v>28</v>
      </c>
    </row>
    <row r="1397" spans="1:14" x14ac:dyDescent="0.35">
      <c r="A1397" s="7" t="s">
        <v>2650</v>
      </c>
      <c r="B1397" s="7" t="s">
        <v>791</v>
      </c>
      <c r="C1397" s="7" t="s">
        <v>792</v>
      </c>
      <c r="D1397" s="7" t="s">
        <v>67</v>
      </c>
      <c r="E1397" s="7" t="s">
        <v>68</v>
      </c>
      <c r="F1397" s="7" t="s">
        <v>25</v>
      </c>
      <c r="G1397" s="7" t="s">
        <v>34</v>
      </c>
      <c r="H1397" s="7">
        <v>2</v>
      </c>
      <c r="I1397" s="2">
        <v>1095.1199999999999</v>
      </c>
      <c r="J1397" s="2">
        <f>Tabla2[[#This Row],[Quantity]]*I1397</f>
        <v>2190.2399999999998</v>
      </c>
      <c r="K1397" s="6">
        <f>MONTH(Tabla2[[#This Row],[OrderDate]])</f>
        <v>1</v>
      </c>
      <c r="L1397" s="6">
        <f>YEAR(Tabla2[[#This Row],[OrderDate]])</f>
        <v>2025</v>
      </c>
      <c r="M1397" s="7" t="s">
        <v>876</v>
      </c>
      <c r="N1397" s="7" t="s">
        <v>28</v>
      </c>
    </row>
    <row r="1398" spans="1:14" x14ac:dyDescent="0.35">
      <c r="A1398" s="7" t="s">
        <v>2651</v>
      </c>
      <c r="B1398" s="7" t="s">
        <v>2245</v>
      </c>
      <c r="C1398" s="7" t="s">
        <v>2246</v>
      </c>
      <c r="D1398" s="7" t="s">
        <v>67</v>
      </c>
      <c r="E1398" s="7" t="s">
        <v>130</v>
      </c>
      <c r="F1398" s="7" t="s">
        <v>101</v>
      </c>
      <c r="G1398" s="7" t="s">
        <v>165</v>
      </c>
      <c r="H1398" s="7">
        <v>5</v>
      </c>
      <c r="I1398" s="2">
        <v>1380.48</v>
      </c>
      <c r="J1398" s="2">
        <f>Tabla2[[#This Row],[Quantity]]*I1398</f>
        <v>6902.4</v>
      </c>
      <c r="K1398" s="6">
        <f>MONTH(Tabla2[[#This Row],[OrderDate]])</f>
        <v>1</v>
      </c>
      <c r="L1398" s="6">
        <f>YEAR(Tabla2[[#This Row],[OrderDate]])</f>
        <v>2026</v>
      </c>
      <c r="M1398" s="7" t="s">
        <v>2278</v>
      </c>
      <c r="N1398" s="7" t="s">
        <v>36</v>
      </c>
    </row>
    <row r="1399" spans="1:14" x14ac:dyDescent="0.35">
      <c r="A1399" s="7" t="s">
        <v>2652</v>
      </c>
      <c r="B1399" s="7" t="s">
        <v>163</v>
      </c>
      <c r="C1399" s="7" t="s">
        <v>164</v>
      </c>
      <c r="D1399" s="7" t="s">
        <v>14</v>
      </c>
      <c r="E1399" s="7" t="s">
        <v>266</v>
      </c>
      <c r="F1399" s="7" t="s">
        <v>16</v>
      </c>
      <c r="G1399" s="7" t="s">
        <v>17</v>
      </c>
      <c r="H1399" s="7">
        <v>3</v>
      </c>
      <c r="I1399" s="2">
        <v>1330.62</v>
      </c>
      <c r="J1399" s="2">
        <f>Tabla2[[#This Row],[Quantity]]*I1399</f>
        <v>3991.8599999999997</v>
      </c>
      <c r="K1399" s="6">
        <f>MONTH(Tabla2[[#This Row],[OrderDate]])</f>
        <v>11</v>
      </c>
      <c r="L1399" s="6">
        <f>YEAR(Tabla2[[#This Row],[OrderDate]])</f>
        <v>2024</v>
      </c>
      <c r="M1399" s="7" t="s">
        <v>1839</v>
      </c>
      <c r="N1399" s="7" t="s">
        <v>19</v>
      </c>
    </row>
    <row r="1400" spans="1:14" x14ac:dyDescent="0.35">
      <c r="A1400" s="7" t="s">
        <v>2653</v>
      </c>
      <c r="B1400" s="7" t="s">
        <v>1005</v>
      </c>
      <c r="C1400" s="7" t="s">
        <v>1006</v>
      </c>
      <c r="D1400" s="7" t="s">
        <v>32</v>
      </c>
      <c r="E1400" s="7" t="s">
        <v>203</v>
      </c>
      <c r="F1400" s="7" t="s">
        <v>101</v>
      </c>
      <c r="G1400" s="7" t="s">
        <v>102</v>
      </c>
      <c r="H1400" s="7">
        <v>3</v>
      </c>
      <c r="I1400" s="2">
        <v>1211.02</v>
      </c>
      <c r="J1400" s="2">
        <f>Tabla2[[#This Row],[Quantity]]*I1400</f>
        <v>3633.06</v>
      </c>
      <c r="K1400" s="6">
        <f>MONTH(Tabla2[[#This Row],[OrderDate]])</f>
        <v>2</v>
      </c>
      <c r="L1400" s="6">
        <f>YEAR(Tabla2[[#This Row],[OrderDate]])</f>
        <v>2026</v>
      </c>
      <c r="M1400" s="7" t="s">
        <v>35</v>
      </c>
      <c r="N1400" s="7" t="s">
        <v>91</v>
      </c>
    </row>
    <row r="1401" spans="1:14" x14ac:dyDescent="0.35">
      <c r="A1401" s="7" t="s">
        <v>2654</v>
      </c>
      <c r="B1401" s="7" t="s">
        <v>133</v>
      </c>
      <c r="C1401" s="7" t="s">
        <v>134</v>
      </c>
      <c r="D1401" s="7" t="s">
        <v>67</v>
      </c>
      <c r="E1401" s="7" t="s">
        <v>68</v>
      </c>
      <c r="F1401" s="7" t="s">
        <v>25</v>
      </c>
      <c r="G1401" s="7" t="s">
        <v>139</v>
      </c>
      <c r="H1401" s="7">
        <v>1</v>
      </c>
      <c r="I1401" s="2">
        <v>1365.02</v>
      </c>
      <c r="J1401" s="2">
        <f>Tabla2[[#This Row],[Quantity]]*I1401</f>
        <v>1365.02</v>
      </c>
      <c r="K1401" s="6">
        <f>MONTH(Tabla2[[#This Row],[OrderDate]])</f>
        <v>4</v>
      </c>
      <c r="L1401" s="6">
        <f>YEAR(Tabla2[[#This Row],[OrderDate]])</f>
        <v>2024</v>
      </c>
      <c r="M1401" s="7" t="s">
        <v>2655</v>
      </c>
      <c r="N1401" s="7" t="s">
        <v>36</v>
      </c>
    </row>
    <row r="1402" spans="1:14" x14ac:dyDescent="0.35">
      <c r="A1402" s="7" t="s">
        <v>2656</v>
      </c>
      <c r="B1402" s="7" t="s">
        <v>1428</v>
      </c>
      <c r="C1402" s="7" t="s">
        <v>1429</v>
      </c>
      <c r="D1402" s="7" t="s">
        <v>23</v>
      </c>
      <c r="E1402" s="7" t="s">
        <v>24</v>
      </c>
      <c r="F1402" s="7" t="s">
        <v>101</v>
      </c>
      <c r="G1402" s="7" t="s">
        <v>649</v>
      </c>
      <c r="H1402" s="7">
        <v>4</v>
      </c>
      <c r="I1402" s="2">
        <v>287.10000000000002</v>
      </c>
      <c r="J1402" s="2">
        <f>Tabla2[[#This Row],[Quantity]]*I1402</f>
        <v>1148.4000000000001</v>
      </c>
      <c r="K1402" s="6">
        <f>MONTH(Tabla2[[#This Row],[OrderDate]])</f>
        <v>5</v>
      </c>
      <c r="L1402" s="6">
        <f>YEAR(Tabla2[[#This Row],[OrderDate]])</f>
        <v>2024</v>
      </c>
      <c r="M1402" s="7" t="s">
        <v>1151</v>
      </c>
      <c r="N1402" s="7" t="s">
        <v>45</v>
      </c>
    </row>
    <row r="1403" spans="1:14" x14ac:dyDescent="0.35">
      <c r="A1403" s="7" t="s">
        <v>2657</v>
      </c>
      <c r="B1403" s="7" t="s">
        <v>755</v>
      </c>
      <c r="C1403" s="7" t="s">
        <v>756</v>
      </c>
      <c r="D1403" s="7" t="s">
        <v>40</v>
      </c>
      <c r="E1403" s="7" t="s">
        <v>79</v>
      </c>
      <c r="F1403" s="7" t="s">
        <v>16</v>
      </c>
      <c r="G1403" s="7" t="s">
        <v>17</v>
      </c>
      <c r="H1403" s="7">
        <v>2</v>
      </c>
      <c r="I1403" s="2">
        <v>1241.3800000000001</v>
      </c>
      <c r="J1403" s="2">
        <f>Tabla2[[#This Row],[Quantity]]*I1403</f>
        <v>2482.7600000000002</v>
      </c>
      <c r="K1403" s="6">
        <f>MONTH(Tabla2[[#This Row],[OrderDate]])</f>
        <v>3</v>
      </c>
      <c r="L1403" s="6">
        <f>YEAR(Tabla2[[#This Row],[OrderDate]])</f>
        <v>2024</v>
      </c>
      <c r="M1403" s="7" t="s">
        <v>1731</v>
      </c>
      <c r="N1403" s="7" t="s">
        <v>36</v>
      </c>
    </row>
    <row r="1404" spans="1:14" x14ac:dyDescent="0.35">
      <c r="A1404" s="7" t="s">
        <v>2658</v>
      </c>
      <c r="B1404" s="7" t="s">
        <v>1101</v>
      </c>
      <c r="C1404" s="7" t="s">
        <v>1102</v>
      </c>
      <c r="D1404" s="7" t="s">
        <v>14</v>
      </c>
      <c r="E1404" s="7" t="s">
        <v>100</v>
      </c>
      <c r="F1404" s="7" t="s">
        <v>25</v>
      </c>
      <c r="G1404" s="7" t="s">
        <v>26</v>
      </c>
      <c r="H1404" s="7">
        <v>4</v>
      </c>
      <c r="I1404" s="2">
        <v>627.4</v>
      </c>
      <c r="J1404" s="2">
        <f>Tabla2[[#This Row],[Quantity]]*I1404</f>
        <v>2509.6</v>
      </c>
      <c r="K1404" s="6">
        <f>MONTH(Tabla2[[#This Row],[OrderDate]])</f>
        <v>2</v>
      </c>
      <c r="L1404" s="6">
        <f>YEAR(Tabla2[[#This Row],[OrderDate]])</f>
        <v>2024</v>
      </c>
      <c r="M1404" s="7" t="s">
        <v>1852</v>
      </c>
      <c r="N1404" s="7" t="s">
        <v>45</v>
      </c>
    </row>
    <row r="1405" spans="1:14" x14ac:dyDescent="0.35">
      <c r="A1405" s="7" t="s">
        <v>2659</v>
      </c>
      <c r="B1405" s="7" t="s">
        <v>1285</v>
      </c>
      <c r="C1405" s="7" t="s">
        <v>1286</v>
      </c>
      <c r="D1405" s="7" t="s">
        <v>23</v>
      </c>
      <c r="E1405" s="7" t="s">
        <v>49</v>
      </c>
      <c r="F1405" s="7" t="s">
        <v>25</v>
      </c>
      <c r="G1405" s="7" t="s">
        <v>139</v>
      </c>
      <c r="H1405" s="7">
        <v>2</v>
      </c>
      <c r="I1405" s="2">
        <v>381.81</v>
      </c>
      <c r="J1405" s="2">
        <f>Tabla2[[#This Row],[Quantity]]*I1405</f>
        <v>763.62</v>
      </c>
      <c r="K1405" s="6">
        <f>MONTH(Tabla2[[#This Row],[OrderDate]])</f>
        <v>12</v>
      </c>
      <c r="L1405" s="6">
        <f>YEAR(Tabla2[[#This Row],[OrderDate]])</f>
        <v>2025</v>
      </c>
      <c r="M1405" s="7" t="s">
        <v>131</v>
      </c>
      <c r="N1405" s="7" t="s">
        <v>19</v>
      </c>
    </row>
    <row r="1406" spans="1:14" x14ac:dyDescent="0.35">
      <c r="A1406" s="7" t="s">
        <v>2660</v>
      </c>
      <c r="B1406" s="7" t="s">
        <v>1167</v>
      </c>
      <c r="C1406" s="7" t="s">
        <v>1168</v>
      </c>
      <c r="D1406" s="7" t="s">
        <v>14</v>
      </c>
      <c r="E1406" s="7" t="s">
        <v>15</v>
      </c>
      <c r="F1406" s="7" t="s">
        <v>25</v>
      </c>
      <c r="G1406" s="7" t="s">
        <v>34</v>
      </c>
      <c r="H1406" s="7">
        <v>2</v>
      </c>
      <c r="I1406" s="2">
        <v>1126.6099999999999</v>
      </c>
      <c r="J1406" s="2">
        <f>Tabla2[[#This Row],[Quantity]]*I1406</f>
        <v>2253.2199999999998</v>
      </c>
      <c r="K1406" s="6">
        <f>MONTH(Tabla2[[#This Row],[OrderDate]])</f>
        <v>3</v>
      </c>
      <c r="L1406" s="6">
        <f>YEAR(Tabla2[[#This Row],[OrderDate]])</f>
        <v>2025</v>
      </c>
      <c r="M1406" s="7" t="s">
        <v>952</v>
      </c>
      <c r="N1406" s="7" t="s">
        <v>28</v>
      </c>
    </row>
    <row r="1407" spans="1:14" x14ac:dyDescent="0.35">
      <c r="A1407" s="7" t="s">
        <v>2661</v>
      </c>
      <c r="B1407" s="7" t="s">
        <v>1828</v>
      </c>
      <c r="C1407" s="7" t="s">
        <v>1829</v>
      </c>
      <c r="D1407" s="7" t="s">
        <v>40</v>
      </c>
      <c r="E1407" s="7" t="s">
        <v>120</v>
      </c>
      <c r="F1407" s="7" t="s">
        <v>16</v>
      </c>
      <c r="G1407" s="7" t="s">
        <v>148</v>
      </c>
      <c r="H1407" s="7">
        <v>3</v>
      </c>
      <c r="I1407" s="2">
        <v>1151.3399999999999</v>
      </c>
      <c r="J1407" s="2">
        <f>Tabla2[[#This Row],[Quantity]]*I1407</f>
        <v>3454.0199999999995</v>
      </c>
      <c r="K1407" s="6">
        <f>MONTH(Tabla2[[#This Row],[OrderDate]])</f>
        <v>10</v>
      </c>
      <c r="L1407" s="6">
        <f>YEAR(Tabla2[[#This Row],[OrderDate]])</f>
        <v>2025</v>
      </c>
      <c r="M1407" s="7" t="s">
        <v>2662</v>
      </c>
      <c r="N1407" s="7" t="s">
        <v>91</v>
      </c>
    </row>
    <row r="1408" spans="1:14" x14ac:dyDescent="0.35">
      <c r="A1408" s="7" t="s">
        <v>2663</v>
      </c>
      <c r="B1408" s="7" t="s">
        <v>299</v>
      </c>
      <c r="C1408" s="7" t="s">
        <v>300</v>
      </c>
      <c r="D1408" s="7" t="s">
        <v>32</v>
      </c>
      <c r="E1408" s="7" t="s">
        <v>61</v>
      </c>
      <c r="F1408" s="7" t="s">
        <v>101</v>
      </c>
      <c r="G1408" s="7" t="s">
        <v>102</v>
      </c>
      <c r="H1408" s="7">
        <v>2</v>
      </c>
      <c r="I1408" s="2">
        <v>1065.43</v>
      </c>
      <c r="J1408" s="2">
        <f>Tabla2[[#This Row],[Quantity]]*I1408</f>
        <v>2130.86</v>
      </c>
      <c r="K1408" s="6">
        <f>MONTH(Tabla2[[#This Row],[OrderDate]])</f>
        <v>11</v>
      </c>
      <c r="L1408" s="6">
        <f>YEAR(Tabla2[[#This Row],[OrderDate]])</f>
        <v>2024</v>
      </c>
      <c r="M1408" s="7" t="s">
        <v>217</v>
      </c>
      <c r="N1408" s="7" t="s">
        <v>36</v>
      </c>
    </row>
    <row r="1409" spans="1:14" x14ac:dyDescent="0.35">
      <c r="A1409" s="7" t="s">
        <v>2664</v>
      </c>
      <c r="B1409" s="7" t="s">
        <v>269</v>
      </c>
      <c r="C1409" s="7" t="s">
        <v>270</v>
      </c>
      <c r="D1409" s="7" t="s">
        <v>23</v>
      </c>
      <c r="E1409" s="7" t="s">
        <v>49</v>
      </c>
      <c r="F1409" s="7" t="s">
        <v>16</v>
      </c>
      <c r="G1409" s="7" t="s">
        <v>182</v>
      </c>
      <c r="H1409" s="7">
        <v>2</v>
      </c>
      <c r="I1409" s="2">
        <v>1480.9</v>
      </c>
      <c r="J1409" s="2">
        <f>Tabla2[[#This Row],[Quantity]]*I1409</f>
        <v>2961.8</v>
      </c>
      <c r="K1409" s="6">
        <f>MONTH(Tabla2[[#This Row],[OrderDate]])</f>
        <v>9</v>
      </c>
      <c r="L1409" s="6">
        <f>YEAR(Tabla2[[#This Row],[OrderDate]])</f>
        <v>2024</v>
      </c>
      <c r="M1409" s="7" t="s">
        <v>289</v>
      </c>
      <c r="N1409" s="7" t="s">
        <v>19</v>
      </c>
    </row>
    <row r="1410" spans="1:14" x14ac:dyDescent="0.35">
      <c r="A1410" s="7" t="s">
        <v>2665</v>
      </c>
      <c r="B1410" s="7" t="s">
        <v>901</v>
      </c>
      <c r="C1410" s="7" t="s">
        <v>902</v>
      </c>
      <c r="D1410" s="7" t="s">
        <v>14</v>
      </c>
      <c r="E1410" s="7" t="s">
        <v>125</v>
      </c>
      <c r="F1410" s="7" t="s">
        <v>25</v>
      </c>
      <c r="G1410" s="7" t="s">
        <v>34</v>
      </c>
      <c r="H1410" s="7">
        <v>5</v>
      </c>
      <c r="I1410" s="2">
        <v>1215.04</v>
      </c>
      <c r="J1410" s="2">
        <f>Tabla2[[#This Row],[Quantity]]*I1410</f>
        <v>6075.2</v>
      </c>
      <c r="K1410" s="6">
        <f>MONTH(Tabla2[[#This Row],[OrderDate]])</f>
        <v>6</v>
      </c>
      <c r="L1410" s="6">
        <f>YEAR(Tabla2[[#This Row],[OrderDate]])</f>
        <v>2024</v>
      </c>
      <c r="M1410" s="7" t="s">
        <v>313</v>
      </c>
      <c r="N1410" s="7" t="s">
        <v>36</v>
      </c>
    </row>
    <row r="1411" spans="1:14" x14ac:dyDescent="0.35">
      <c r="A1411" s="7" t="s">
        <v>2666</v>
      </c>
      <c r="B1411" s="7" t="s">
        <v>376</v>
      </c>
      <c r="C1411" s="7" t="s">
        <v>377</v>
      </c>
      <c r="D1411" s="7" t="s">
        <v>14</v>
      </c>
      <c r="E1411" s="7" t="s">
        <v>100</v>
      </c>
      <c r="F1411" s="7" t="s">
        <v>16</v>
      </c>
      <c r="G1411" s="7" t="s">
        <v>182</v>
      </c>
      <c r="H1411" s="7">
        <v>4</v>
      </c>
      <c r="I1411" s="2">
        <v>49.53</v>
      </c>
      <c r="J1411" s="2">
        <f>Tabla2[[#This Row],[Quantity]]*I1411</f>
        <v>198.12</v>
      </c>
      <c r="K1411" s="6">
        <f>MONTH(Tabla2[[#This Row],[OrderDate]])</f>
        <v>1</v>
      </c>
      <c r="L1411" s="6">
        <f>YEAR(Tabla2[[#This Row],[OrderDate]])</f>
        <v>2025</v>
      </c>
      <c r="M1411" s="7" t="s">
        <v>2667</v>
      </c>
      <c r="N1411" s="7" t="s">
        <v>45</v>
      </c>
    </row>
    <row r="1412" spans="1:14" x14ac:dyDescent="0.35">
      <c r="A1412" s="7" t="s">
        <v>2668</v>
      </c>
      <c r="B1412" s="7" t="s">
        <v>544</v>
      </c>
      <c r="C1412" s="7" t="s">
        <v>545</v>
      </c>
      <c r="D1412" s="7" t="s">
        <v>14</v>
      </c>
      <c r="E1412" s="7" t="s">
        <v>266</v>
      </c>
      <c r="F1412" s="7" t="s">
        <v>16</v>
      </c>
      <c r="G1412" s="7" t="s">
        <v>182</v>
      </c>
      <c r="H1412" s="7">
        <v>3</v>
      </c>
      <c r="I1412" s="2">
        <v>1001.01</v>
      </c>
      <c r="J1412" s="2">
        <f>Tabla2[[#This Row],[Quantity]]*I1412</f>
        <v>3003.0299999999997</v>
      </c>
      <c r="K1412" s="6">
        <f>MONTH(Tabla2[[#This Row],[OrderDate]])</f>
        <v>11</v>
      </c>
      <c r="L1412" s="6">
        <f>YEAR(Tabla2[[#This Row],[OrderDate]])</f>
        <v>2024</v>
      </c>
      <c r="M1412" s="7" t="s">
        <v>2100</v>
      </c>
      <c r="N1412" s="7" t="s">
        <v>19</v>
      </c>
    </row>
    <row r="1413" spans="1:14" x14ac:dyDescent="0.35">
      <c r="A1413" s="7" t="s">
        <v>2669</v>
      </c>
      <c r="B1413" s="7" t="s">
        <v>443</v>
      </c>
      <c r="C1413" s="7" t="s">
        <v>444</v>
      </c>
      <c r="D1413" s="7" t="s">
        <v>40</v>
      </c>
      <c r="E1413" s="7" t="s">
        <v>41</v>
      </c>
      <c r="F1413" s="7" t="s">
        <v>25</v>
      </c>
      <c r="G1413" s="7" t="s">
        <v>62</v>
      </c>
      <c r="H1413" s="7">
        <v>4</v>
      </c>
      <c r="I1413" s="2">
        <v>937.85</v>
      </c>
      <c r="J1413" s="2">
        <f>Tabla2[[#This Row],[Quantity]]*I1413</f>
        <v>3751.4</v>
      </c>
      <c r="K1413" s="6">
        <f>MONTH(Tabla2[[#This Row],[OrderDate]])</f>
        <v>12</v>
      </c>
      <c r="L1413" s="6">
        <f>YEAR(Tabla2[[#This Row],[OrderDate]])</f>
        <v>2024</v>
      </c>
      <c r="M1413" s="7" t="s">
        <v>1090</v>
      </c>
      <c r="N1413" s="7" t="s">
        <v>91</v>
      </c>
    </row>
    <row r="1414" spans="1:14" x14ac:dyDescent="0.35">
      <c r="A1414" s="7" t="s">
        <v>2670</v>
      </c>
      <c r="B1414" s="7" t="s">
        <v>252</v>
      </c>
      <c r="C1414" s="7" t="s">
        <v>253</v>
      </c>
      <c r="D1414" s="7" t="s">
        <v>32</v>
      </c>
      <c r="E1414" s="7" t="s">
        <v>33</v>
      </c>
      <c r="F1414" s="7" t="s">
        <v>42</v>
      </c>
      <c r="G1414" s="7" t="s">
        <v>170</v>
      </c>
      <c r="H1414" s="7">
        <v>5</v>
      </c>
      <c r="I1414" s="2">
        <v>1393.66</v>
      </c>
      <c r="J1414" s="2">
        <f>Tabla2[[#This Row],[Quantity]]*I1414</f>
        <v>6968.3</v>
      </c>
      <c r="K1414" s="6">
        <f>MONTH(Tabla2[[#This Row],[OrderDate]])</f>
        <v>2</v>
      </c>
      <c r="L1414" s="6">
        <f>YEAR(Tabla2[[#This Row],[OrderDate]])</f>
        <v>2025</v>
      </c>
      <c r="M1414" s="7" t="s">
        <v>927</v>
      </c>
      <c r="N1414" s="7" t="s">
        <v>91</v>
      </c>
    </row>
    <row r="1415" spans="1:14" x14ac:dyDescent="0.35">
      <c r="A1415" s="7" t="s">
        <v>2671</v>
      </c>
      <c r="B1415" s="7" t="s">
        <v>163</v>
      </c>
      <c r="C1415" s="7" t="s">
        <v>164</v>
      </c>
      <c r="D1415" s="7" t="s">
        <v>40</v>
      </c>
      <c r="E1415" s="7" t="s">
        <v>120</v>
      </c>
      <c r="F1415" s="7" t="s">
        <v>50</v>
      </c>
      <c r="G1415" s="7" t="s">
        <v>56</v>
      </c>
      <c r="H1415" s="7">
        <v>2</v>
      </c>
      <c r="I1415" s="2">
        <v>554.23</v>
      </c>
      <c r="J1415" s="2">
        <f>Tabla2[[#This Row],[Quantity]]*I1415</f>
        <v>1108.46</v>
      </c>
      <c r="K1415" s="6">
        <f>MONTH(Tabla2[[#This Row],[OrderDate]])</f>
        <v>3</v>
      </c>
      <c r="L1415" s="6">
        <f>YEAR(Tabla2[[#This Row],[OrderDate]])</f>
        <v>2025</v>
      </c>
      <c r="M1415" s="7" t="s">
        <v>761</v>
      </c>
      <c r="N1415" s="7" t="s">
        <v>28</v>
      </c>
    </row>
    <row r="1416" spans="1:14" x14ac:dyDescent="0.35">
      <c r="A1416" s="7" t="s">
        <v>2672</v>
      </c>
      <c r="B1416" s="7" t="s">
        <v>189</v>
      </c>
      <c r="C1416" s="7" t="s">
        <v>190</v>
      </c>
      <c r="D1416" s="7" t="s">
        <v>23</v>
      </c>
      <c r="E1416" s="7" t="s">
        <v>24</v>
      </c>
      <c r="F1416" s="7" t="s">
        <v>25</v>
      </c>
      <c r="G1416" s="7" t="s">
        <v>26</v>
      </c>
      <c r="H1416" s="7">
        <v>3</v>
      </c>
      <c r="I1416" s="2">
        <v>833.06</v>
      </c>
      <c r="J1416" s="2">
        <f>Tabla2[[#This Row],[Quantity]]*I1416</f>
        <v>2499.1799999999998</v>
      </c>
      <c r="K1416" s="6">
        <f>MONTH(Tabla2[[#This Row],[OrderDate]])</f>
        <v>3</v>
      </c>
      <c r="L1416" s="6">
        <f>YEAR(Tabla2[[#This Row],[OrderDate]])</f>
        <v>2026</v>
      </c>
      <c r="M1416" s="7" t="s">
        <v>2673</v>
      </c>
      <c r="N1416" s="7" t="s">
        <v>19</v>
      </c>
    </row>
    <row r="1417" spans="1:14" x14ac:dyDescent="0.35">
      <c r="A1417" s="7" t="s">
        <v>2674</v>
      </c>
      <c r="B1417" s="7" t="s">
        <v>418</v>
      </c>
      <c r="C1417" s="7" t="s">
        <v>419</v>
      </c>
      <c r="D1417" s="7" t="s">
        <v>14</v>
      </c>
      <c r="E1417" s="7" t="s">
        <v>15</v>
      </c>
      <c r="F1417" s="7" t="s">
        <v>16</v>
      </c>
      <c r="G1417" s="7" t="s">
        <v>17</v>
      </c>
      <c r="H1417" s="7">
        <v>5</v>
      </c>
      <c r="I1417" s="2">
        <v>1319.89</v>
      </c>
      <c r="J1417" s="2">
        <f>Tabla2[[#This Row],[Quantity]]*I1417</f>
        <v>6599.4500000000007</v>
      </c>
      <c r="K1417" s="6">
        <f>MONTH(Tabla2[[#This Row],[OrderDate]])</f>
        <v>12</v>
      </c>
      <c r="L1417" s="6">
        <f>YEAR(Tabla2[[#This Row],[OrderDate]])</f>
        <v>2024</v>
      </c>
      <c r="M1417" s="7" t="s">
        <v>1321</v>
      </c>
      <c r="N1417" s="7" t="s">
        <v>91</v>
      </c>
    </row>
    <row r="1418" spans="1:14" x14ac:dyDescent="0.35">
      <c r="A1418" s="7" t="s">
        <v>2675</v>
      </c>
      <c r="B1418" s="7" t="s">
        <v>446</v>
      </c>
      <c r="C1418" s="7" t="s">
        <v>447</v>
      </c>
      <c r="D1418" s="7" t="s">
        <v>14</v>
      </c>
      <c r="E1418" s="7" t="s">
        <v>95</v>
      </c>
      <c r="F1418" s="7" t="s">
        <v>42</v>
      </c>
      <c r="G1418" s="7" t="s">
        <v>43</v>
      </c>
      <c r="H1418" s="7">
        <v>5</v>
      </c>
      <c r="I1418" s="2">
        <v>1162.51</v>
      </c>
      <c r="J1418" s="2">
        <f>Tabla2[[#This Row],[Quantity]]*I1418</f>
        <v>5812.55</v>
      </c>
      <c r="K1418" s="6">
        <f>MONTH(Tabla2[[#This Row],[OrderDate]])</f>
        <v>9</v>
      </c>
      <c r="L1418" s="6">
        <f>YEAR(Tabla2[[#This Row],[OrderDate]])</f>
        <v>2024</v>
      </c>
      <c r="M1418" s="7" t="s">
        <v>70</v>
      </c>
      <c r="N1418" s="7" t="s">
        <v>45</v>
      </c>
    </row>
    <row r="1419" spans="1:14" x14ac:dyDescent="0.35">
      <c r="A1419" s="7" t="s">
        <v>2676</v>
      </c>
      <c r="B1419" s="7" t="s">
        <v>960</v>
      </c>
      <c r="C1419" s="7" t="s">
        <v>961</v>
      </c>
      <c r="D1419" s="7" t="s">
        <v>32</v>
      </c>
      <c r="E1419" s="7" t="s">
        <v>203</v>
      </c>
      <c r="F1419" s="7" t="s">
        <v>16</v>
      </c>
      <c r="G1419" s="7" t="s">
        <v>148</v>
      </c>
      <c r="H1419" s="7">
        <v>5</v>
      </c>
      <c r="I1419" s="2">
        <v>813.28</v>
      </c>
      <c r="J1419" s="2">
        <f>Tabla2[[#This Row],[Quantity]]*I1419</f>
        <v>4066.3999999999996</v>
      </c>
      <c r="K1419" s="6">
        <f>MONTH(Tabla2[[#This Row],[OrderDate]])</f>
        <v>9</v>
      </c>
      <c r="L1419" s="6">
        <f>YEAR(Tabla2[[#This Row],[OrderDate]])</f>
        <v>2024</v>
      </c>
      <c r="M1419" s="7" t="s">
        <v>2503</v>
      </c>
      <c r="N1419" s="7" t="s">
        <v>45</v>
      </c>
    </row>
    <row r="1420" spans="1:14" x14ac:dyDescent="0.35">
      <c r="A1420" s="7" t="s">
        <v>2677</v>
      </c>
      <c r="B1420" s="7" t="s">
        <v>1278</v>
      </c>
      <c r="C1420" s="7" t="s">
        <v>1279</v>
      </c>
      <c r="D1420" s="7" t="s">
        <v>14</v>
      </c>
      <c r="E1420" s="7" t="s">
        <v>95</v>
      </c>
      <c r="F1420" s="7" t="s">
        <v>42</v>
      </c>
      <c r="G1420" s="7" t="s">
        <v>80</v>
      </c>
      <c r="H1420" s="7">
        <v>1</v>
      </c>
      <c r="I1420" s="2">
        <v>552.47</v>
      </c>
      <c r="J1420" s="2">
        <f>Tabla2[[#This Row],[Quantity]]*I1420</f>
        <v>552.47</v>
      </c>
      <c r="K1420" s="6">
        <f>MONTH(Tabla2[[#This Row],[OrderDate]])</f>
        <v>3</v>
      </c>
      <c r="L1420" s="6">
        <f>YEAR(Tabla2[[#This Row],[OrderDate]])</f>
        <v>2024</v>
      </c>
      <c r="M1420" s="7" t="s">
        <v>2532</v>
      </c>
      <c r="N1420" s="7" t="s">
        <v>91</v>
      </c>
    </row>
    <row r="1421" spans="1:14" x14ac:dyDescent="0.35">
      <c r="A1421" s="7" t="s">
        <v>2678</v>
      </c>
      <c r="B1421" s="7" t="s">
        <v>947</v>
      </c>
      <c r="C1421" s="7" t="s">
        <v>948</v>
      </c>
      <c r="D1421" s="7" t="s">
        <v>40</v>
      </c>
      <c r="E1421" s="7" t="s">
        <v>120</v>
      </c>
      <c r="F1421" s="7" t="s">
        <v>25</v>
      </c>
      <c r="G1421" s="7" t="s">
        <v>62</v>
      </c>
      <c r="H1421" s="7">
        <v>5</v>
      </c>
      <c r="I1421" s="2">
        <v>946.35</v>
      </c>
      <c r="J1421" s="2">
        <f>Tabla2[[#This Row],[Quantity]]*I1421</f>
        <v>4731.75</v>
      </c>
      <c r="K1421" s="6">
        <f>MONTH(Tabla2[[#This Row],[OrderDate]])</f>
        <v>5</v>
      </c>
      <c r="L1421" s="6">
        <f>YEAR(Tabla2[[#This Row],[OrderDate]])</f>
        <v>2025</v>
      </c>
      <c r="M1421" s="7" t="s">
        <v>662</v>
      </c>
      <c r="N1421" s="7" t="s">
        <v>36</v>
      </c>
    </row>
    <row r="1422" spans="1:14" x14ac:dyDescent="0.35">
      <c r="A1422" s="7" t="s">
        <v>2679</v>
      </c>
      <c r="B1422" s="7" t="s">
        <v>1176</v>
      </c>
      <c r="C1422" s="7" t="s">
        <v>1177</v>
      </c>
      <c r="D1422" s="7" t="s">
        <v>32</v>
      </c>
      <c r="E1422" s="7" t="s">
        <v>203</v>
      </c>
      <c r="F1422" s="7" t="s">
        <v>101</v>
      </c>
      <c r="G1422" s="7" t="s">
        <v>649</v>
      </c>
      <c r="H1422" s="7">
        <v>4</v>
      </c>
      <c r="I1422" s="2">
        <v>1030.79</v>
      </c>
      <c r="J1422" s="2">
        <f>Tabla2[[#This Row],[Quantity]]*I1422</f>
        <v>4123.16</v>
      </c>
      <c r="K1422" s="6">
        <f>MONTH(Tabla2[[#This Row],[OrderDate]])</f>
        <v>7</v>
      </c>
      <c r="L1422" s="6">
        <f>YEAR(Tabla2[[#This Row],[OrderDate]])</f>
        <v>2025</v>
      </c>
      <c r="M1422" s="7" t="s">
        <v>2680</v>
      </c>
      <c r="N1422" s="7" t="s">
        <v>28</v>
      </c>
    </row>
    <row r="1423" spans="1:14" x14ac:dyDescent="0.35">
      <c r="A1423" s="7" t="s">
        <v>2681</v>
      </c>
      <c r="B1423" s="7" t="s">
        <v>1092</v>
      </c>
      <c r="C1423" s="7" t="s">
        <v>1093</v>
      </c>
      <c r="D1423" s="7" t="s">
        <v>14</v>
      </c>
      <c r="E1423" s="7" t="s">
        <v>100</v>
      </c>
      <c r="F1423" s="7" t="s">
        <v>50</v>
      </c>
      <c r="G1423" s="7" t="s">
        <v>69</v>
      </c>
      <c r="H1423" s="7">
        <v>5</v>
      </c>
      <c r="I1423" s="2">
        <v>1052.79</v>
      </c>
      <c r="J1423" s="2">
        <f>Tabla2[[#This Row],[Quantity]]*I1423</f>
        <v>5263.95</v>
      </c>
      <c r="K1423" s="6">
        <f>MONTH(Tabla2[[#This Row],[OrderDate]])</f>
        <v>3</v>
      </c>
      <c r="L1423" s="6">
        <f>YEAR(Tabla2[[#This Row],[OrderDate]])</f>
        <v>2026</v>
      </c>
      <c r="M1423" s="7" t="s">
        <v>2682</v>
      </c>
      <c r="N1423" s="7" t="s">
        <v>45</v>
      </c>
    </row>
    <row r="1424" spans="1:14" x14ac:dyDescent="0.35">
      <c r="A1424" s="7" t="s">
        <v>2683</v>
      </c>
      <c r="B1424" s="7" t="s">
        <v>791</v>
      </c>
      <c r="C1424" s="7" t="s">
        <v>792</v>
      </c>
      <c r="D1424" s="7" t="s">
        <v>67</v>
      </c>
      <c r="E1424" s="7" t="s">
        <v>115</v>
      </c>
      <c r="F1424" s="7" t="s">
        <v>42</v>
      </c>
      <c r="G1424" s="7" t="s">
        <v>225</v>
      </c>
      <c r="H1424" s="7">
        <v>4</v>
      </c>
      <c r="I1424" s="2">
        <v>1447.86</v>
      </c>
      <c r="J1424" s="2">
        <f>Tabla2[[#This Row],[Quantity]]*I1424</f>
        <v>5791.44</v>
      </c>
      <c r="K1424" s="6">
        <f>MONTH(Tabla2[[#This Row],[OrderDate]])</f>
        <v>4</v>
      </c>
      <c r="L1424" s="6">
        <f>YEAR(Tabla2[[#This Row],[OrderDate]])</f>
        <v>2024</v>
      </c>
      <c r="M1424" s="7" t="s">
        <v>2684</v>
      </c>
      <c r="N1424" s="7" t="s">
        <v>91</v>
      </c>
    </row>
    <row r="1425" spans="1:14" x14ac:dyDescent="0.35">
      <c r="A1425" s="7" t="s">
        <v>2685</v>
      </c>
      <c r="B1425" s="7" t="s">
        <v>38</v>
      </c>
      <c r="C1425" s="7" t="s">
        <v>39</v>
      </c>
      <c r="D1425" s="7" t="s">
        <v>40</v>
      </c>
      <c r="E1425" s="7" t="s">
        <v>41</v>
      </c>
      <c r="F1425" s="7" t="s">
        <v>42</v>
      </c>
      <c r="G1425" s="7" t="s">
        <v>80</v>
      </c>
      <c r="H1425" s="7">
        <v>5</v>
      </c>
      <c r="I1425" s="2">
        <v>563.49</v>
      </c>
      <c r="J1425" s="2">
        <f>Tabla2[[#This Row],[Quantity]]*I1425</f>
        <v>2817.45</v>
      </c>
      <c r="K1425" s="6">
        <f>MONTH(Tabla2[[#This Row],[OrderDate]])</f>
        <v>1</v>
      </c>
      <c r="L1425" s="6">
        <f>YEAR(Tabla2[[#This Row],[OrderDate]])</f>
        <v>2025</v>
      </c>
      <c r="M1425" s="7" t="s">
        <v>815</v>
      </c>
      <c r="N1425" s="7" t="s">
        <v>19</v>
      </c>
    </row>
    <row r="1426" spans="1:14" x14ac:dyDescent="0.35">
      <c r="A1426" s="7" t="s">
        <v>2686</v>
      </c>
      <c r="B1426" s="7" t="s">
        <v>1101</v>
      </c>
      <c r="C1426" s="7" t="s">
        <v>1102</v>
      </c>
      <c r="D1426" s="7" t="s">
        <v>32</v>
      </c>
      <c r="E1426" s="7" t="s">
        <v>203</v>
      </c>
      <c r="F1426" s="7" t="s">
        <v>50</v>
      </c>
      <c r="G1426" s="7" t="s">
        <v>216</v>
      </c>
      <c r="H1426" s="7">
        <v>1</v>
      </c>
      <c r="I1426" s="2">
        <v>1362.64</v>
      </c>
      <c r="J1426" s="2">
        <f>Tabla2[[#This Row],[Quantity]]*I1426</f>
        <v>1362.64</v>
      </c>
      <c r="K1426" s="6">
        <f>MONTH(Tabla2[[#This Row],[OrderDate]])</f>
        <v>1</v>
      </c>
      <c r="L1426" s="6">
        <f>YEAR(Tabla2[[#This Row],[OrderDate]])</f>
        <v>2024</v>
      </c>
      <c r="M1426" s="7" t="s">
        <v>1610</v>
      </c>
      <c r="N1426" s="7" t="s">
        <v>91</v>
      </c>
    </row>
    <row r="1427" spans="1:14" x14ac:dyDescent="0.35">
      <c r="A1427" s="7" t="s">
        <v>2687</v>
      </c>
      <c r="B1427" s="7" t="s">
        <v>228</v>
      </c>
      <c r="C1427" s="7" t="s">
        <v>229</v>
      </c>
      <c r="D1427" s="7" t="s">
        <v>67</v>
      </c>
      <c r="E1427" s="7" t="s">
        <v>130</v>
      </c>
      <c r="F1427" s="7" t="s">
        <v>25</v>
      </c>
      <c r="G1427" s="7" t="s">
        <v>26</v>
      </c>
      <c r="H1427" s="7">
        <v>2</v>
      </c>
      <c r="I1427" s="2">
        <v>805.56</v>
      </c>
      <c r="J1427" s="2">
        <f>Tabla2[[#This Row],[Quantity]]*I1427</f>
        <v>1611.12</v>
      </c>
      <c r="K1427" s="6">
        <f>MONTH(Tabla2[[#This Row],[OrderDate]])</f>
        <v>11</v>
      </c>
      <c r="L1427" s="6">
        <f>YEAR(Tabla2[[#This Row],[OrderDate]])</f>
        <v>2025</v>
      </c>
      <c r="M1427" s="7" t="s">
        <v>908</v>
      </c>
      <c r="N1427" s="7" t="s">
        <v>36</v>
      </c>
    </row>
    <row r="1428" spans="1:14" x14ac:dyDescent="0.35">
      <c r="A1428" s="7" t="s">
        <v>2688</v>
      </c>
      <c r="B1428" s="7" t="s">
        <v>1875</v>
      </c>
      <c r="C1428" s="7" t="s">
        <v>1876</v>
      </c>
      <c r="D1428" s="7" t="s">
        <v>67</v>
      </c>
      <c r="E1428" s="7" t="s">
        <v>115</v>
      </c>
      <c r="F1428" s="7" t="s">
        <v>101</v>
      </c>
      <c r="G1428" s="7" t="s">
        <v>165</v>
      </c>
      <c r="H1428" s="7">
        <v>4</v>
      </c>
      <c r="I1428" s="2">
        <v>1109.6400000000001</v>
      </c>
      <c r="J1428" s="2">
        <f>Tabla2[[#This Row],[Quantity]]*I1428</f>
        <v>4438.5600000000004</v>
      </c>
      <c r="K1428" s="6">
        <f>MONTH(Tabla2[[#This Row],[OrderDate]])</f>
        <v>8</v>
      </c>
      <c r="L1428" s="6">
        <f>YEAR(Tabla2[[#This Row],[OrderDate]])</f>
        <v>2025</v>
      </c>
      <c r="M1428" s="7" t="s">
        <v>331</v>
      </c>
      <c r="N1428" s="7" t="s">
        <v>28</v>
      </c>
    </row>
    <row r="1429" spans="1:14" x14ac:dyDescent="0.35">
      <c r="A1429" s="7" t="s">
        <v>2689</v>
      </c>
      <c r="B1429" s="7" t="s">
        <v>1179</v>
      </c>
      <c r="C1429" s="7" t="s">
        <v>1180</v>
      </c>
      <c r="D1429" s="7" t="s">
        <v>23</v>
      </c>
      <c r="E1429" s="7" t="s">
        <v>338</v>
      </c>
      <c r="F1429" s="7" t="s">
        <v>50</v>
      </c>
      <c r="G1429" s="7" t="s">
        <v>51</v>
      </c>
      <c r="H1429" s="7">
        <v>1</v>
      </c>
      <c r="I1429" s="2">
        <v>1197.6300000000001</v>
      </c>
      <c r="J1429" s="2">
        <f>Tabla2[[#This Row],[Quantity]]*I1429</f>
        <v>1197.6300000000001</v>
      </c>
      <c r="K1429" s="6">
        <f>MONTH(Tabla2[[#This Row],[OrderDate]])</f>
        <v>4</v>
      </c>
      <c r="L1429" s="6">
        <f>YEAR(Tabla2[[#This Row],[OrderDate]])</f>
        <v>2025</v>
      </c>
      <c r="M1429" s="7" t="s">
        <v>1466</v>
      </c>
      <c r="N1429" s="7" t="s">
        <v>19</v>
      </c>
    </row>
    <row r="1430" spans="1:14" x14ac:dyDescent="0.35">
      <c r="A1430" s="7" t="s">
        <v>2690</v>
      </c>
      <c r="B1430" s="7" t="s">
        <v>109</v>
      </c>
      <c r="C1430" s="7" t="s">
        <v>110</v>
      </c>
      <c r="D1430" s="7" t="s">
        <v>67</v>
      </c>
      <c r="E1430" s="7" t="s">
        <v>68</v>
      </c>
      <c r="F1430" s="7" t="s">
        <v>101</v>
      </c>
      <c r="G1430" s="7" t="s">
        <v>373</v>
      </c>
      <c r="H1430" s="7">
        <v>1</v>
      </c>
      <c r="I1430" s="2">
        <v>1494.88</v>
      </c>
      <c r="J1430" s="2">
        <f>Tabla2[[#This Row],[Quantity]]*I1430</f>
        <v>1494.88</v>
      </c>
      <c r="K1430" s="6">
        <f>MONTH(Tabla2[[#This Row],[OrderDate]])</f>
        <v>1</v>
      </c>
      <c r="L1430" s="6">
        <f>YEAR(Tabla2[[#This Row],[OrderDate]])</f>
        <v>2025</v>
      </c>
      <c r="M1430" s="7" t="s">
        <v>1122</v>
      </c>
      <c r="N1430" s="7" t="s">
        <v>19</v>
      </c>
    </row>
    <row r="1431" spans="1:14" x14ac:dyDescent="0.35">
      <c r="A1431" s="7" t="s">
        <v>2691</v>
      </c>
      <c r="B1431" s="7" t="s">
        <v>189</v>
      </c>
      <c r="C1431" s="7" t="s">
        <v>190</v>
      </c>
      <c r="D1431" s="7" t="s">
        <v>23</v>
      </c>
      <c r="E1431" s="7" t="s">
        <v>49</v>
      </c>
      <c r="F1431" s="7" t="s">
        <v>16</v>
      </c>
      <c r="G1431" s="7" t="s">
        <v>182</v>
      </c>
      <c r="H1431" s="7">
        <v>3</v>
      </c>
      <c r="I1431" s="2">
        <v>843.01</v>
      </c>
      <c r="J1431" s="2">
        <f>Tabla2[[#This Row],[Quantity]]*I1431</f>
        <v>2529.0299999999997</v>
      </c>
      <c r="K1431" s="6">
        <f>MONTH(Tabla2[[#This Row],[OrderDate]])</f>
        <v>9</v>
      </c>
      <c r="L1431" s="6">
        <f>YEAR(Tabla2[[#This Row],[OrderDate]])</f>
        <v>2024</v>
      </c>
      <c r="M1431" s="7" t="s">
        <v>583</v>
      </c>
      <c r="N1431" s="7" t="s">
        <v>45</v>
      </c>
    </row>
    <row r="1432" spans="1:14" x14ac:dyDescent="0.35">
      <c r="A1432" s="7" t="s">
        <v>2692</v>
      </c>
      <c r="B1432" s="7" t="s">
        <v>1159</v>
      </c>
      <c r="C1432" s="7" t="s">
        <v>1160</v>
      </c>
      <c r="D1432" s="7" t="s">
        <v>40</v>
      </c>
      <c r="E1432" s="7" t="s">
        <v>41</v>
      </c>
      <c r="F1432" s="7" t="s">
        <v>101</v>
      </c>
      <c r="G1432" s="7" t="s">
        <v>373</v>
      </c>
      <c r="H1432" s="7">
        <v>1</v>
      </c>
      <c r="I1432" s="2">
        <v>1465.7</v>
      </c>
      <c r="J1432" s="2">
        <f>Tabla2[[#This Row],[Quantity]]*I1432</f>
        <v>1465.7</v>
      </c>
      <c r="K1432" s="6">
        <f>MONTH(Tabla2[[#This Row],[OrderDate]])</f>
        <v>6</v>
      </c>
      <c r="L1432" s="6">
        <f>YEAR(Tabla2[[#This Row],[OrderDate]])</f>
        <v>2024</v>
      </c>
      <c r="M1432" s="7" t="s">
        <v>896</v>
      </c>
      <c r="N1432" s="7" t="s">
        <v>36</v>
      </c>
    </row>
    <row r="1433" spans="1:14" x14ac:dyDescent="0.35">
      <c r="A1433" s="7" t="s">
        <v>2693</v>
      </c>
      <c r="B1433" s="7" t="s">
        <v>586</v>
      </c>
      <c r="C1433" s="7" t="s">
        <v>587</v>
      </c>
      <c r="D1433" s="7" t="s">
        <v>67</v>
      </c>
      <c r="E1433" s="7" t="s">
        <v>130</v>
      </c>
      <c r="F1433" s="7" t="s">
        <v>101</v>
      </c>
      <c r="G1433" s="7" t="s">
        <v>237</v>
      </c>
      <c r="H1433" s="7">
        <v>4</v>
      </c>
      <c r="I1433" s="2">
        <v>742.03</v>
      </c>
      <c r="J1433" s="2">
        <f>Tabla2[[#This Row],[Quantity]]*I1433</f>
        <v>2968.12</v>
      </c>
      <c r="K1433" s="6">
        <f>MONTH(Tabla2[[#This Row],[OrderDate]])</f>
        <v>1</v>
      </c>
      <c r="L1433" s="6">
        <f>YEAR(Tabla2[[#This Row],[OrderDate]])</f>
        <v>2026</v>
      </c>
      <c r="M1433" s="7" t="s">
        <v>1583</v>
      </c>
      <c r="N1433" s="7" t="s">
        <v>45</v>
      </c>
    </row>
    <row r="1434" spans="1:14" x14ac:dyDescent="0.35">
      <c r="A1434" s="7" t="s">
        <v>2694</v>
      </c>
      <c r="B1434" s="7" t="s">
        <v>590</v>
      </c>
      <c r="C1434" s="7" t="s">
        <v>591</v>
      </c>
      <c r="D1434" s="7" t="s">
        <v>14</v>
      </c>
      <c r="E1434" s="7" t="s">
        <v>15</v>
      </c>
      <c r="F1434" s="7" t="s">
        <v>16</v>
      </c>
      <c r="G1434" s="7" t="s">
        <v>148</v>
      </c>
      <c r="H1434" s="7">
        <v>4</v>
      </c>
      <c r="I1434" s="2">
        <v>661.17</v>
      </c>
      <c r="J1434" s="2">
        <f>Tabla2[[#This Row],[Quantity]]*I1434</f>
        <v>2644.68</v>
      </c>
      <c r="K1434" s="6">
        <f>MONTH(Tabla2[[#This Row],[OrderDate]])</f>
        <v>12</v>
      </c>
      <c r="L1434" s="6">
        <f>YEAR(Tabla2[[#This Row],[OrderDate]])</f>
        <v>2024</v>
      </c>
      <c r="M1434" s="7" t="s">
        <v>2695</v>
      </c>
      <c r="N1434" s="7" t="s">
        <v>36</v>
      </c>
    </row>
    <row r="1435" spans="1:14" x14ac:dyDescent="0.35">
      <c r="A1435" s="7" t="s">
        <v>2696</v>
      </c>
      <c r="B1435" s="7" t="s">
        <v>1203</v>
      </c>
      <c r="C1435" s="7" t="s">
        <v>1204</v>
      </c>
      <c r="D1435" s="7" t="s">
        <v>32</v>
      </c>
      <c r="E1435" s="7" t="s">
        <v>33</v>
      </c>
      <c r="F1435" s="7" t="s">
        <v>42</v>
      </c>
      <c r="G1435" s="7" t="s">
        <v>170</v>
      </c>
      <c r="H1435" s="7">
        <v>5</v>
      </c>
      <c r="I1435" s="2">
        <v>431.54</v>
      </c>
      <c r="J1435" s="2">
        <f>Tabla2[[#This Row],[Quantity]]*I1435</f>
        <v>2157.7000000000003</v>
      </c>
      <c r="K1435" s="6">
        <f>MONTH(Tabla2[[#This Row],[OrderDate]])</f>
        <v>2</v>
      </c>
      <c r="L1435" s="6">
        <f>YEAR(Tabla2[[#This Row],[OrderDate]])</f>
        <v>2026</v>
      </c>
      <c r="M1435" s="7" t="s">
        <v>1262</v>
      </c>
      <c r="N1435" s="7" t="s">
        <v>91</v>
      </c>
    </row>
    <row r="1436" spans="1:14" x14ac:dyDescent="0.35">
      <c r="A1436" s="7" t="s">
        <v>2697</v>
      </c>
      <c r="B1436" s="7" t="s">
        <v>470</v>
      </c>
      <c r="C1436" s="7" t="s">
        <v>471</v>
      </c>
      <c r="D1436" s="7" t="s">
        <v>40</v>
      </c>
      <c r="E1436" s="7" t="s">
        <v>79</v>
      </c>
      <c r="F1436" s="7" t="s">
        <v>42</v>
      </c>
      <c r="G1436" s="7" t="s">
        <v>89</v>
      </c>
      <c r="H1436" s="7">
        <v>5</v>
      </c>
      <c r="I1436" s="2">
        <v>953.19</v>
      </c>
      <c r="J1436" s="2">
        <f>Tabla2[[#This Row],[Quantity]]*I1436</f>
        <v>4765.9500000000007</v>
      </c>
      <c r="K1436" s="6">
        <f>MONTH(Tabla2[[#This Row],[OrderDate]])</f>
        <v>7</v>
      </c>
      <c r="L1436" s="6">
        <f>YEAR(Tabla2[[#This Row],[OrderDate]])</f>
        <v>2025</v>
      </c>
      <c r="M1436" s="7" t="s">
        <v>486</v>
      </c>
      <c r="N1436" s="7" t="s">
        <v>19</v>
      </c>
    </row>
    <row r="1437" spans="1:14" x14ac:dyDescent="0.35">
      <c r="A1437" s="7" t="s">
        <v>2698</v>
      </c>
      <c r="B1437" s="7" t="s">
        <v>311</v>
      </c>
      <c r="C1437" s="7" t="s">
        <v>312</v>
      </c>
      <c r="D1437" s="7" t="s">
        <v>32</v>
      </c>
      <c r="E1437" s="7" t="s">
        <v>33</v>
      </c>
      <c r="F1437" s="7" t="s">
        <v>25</v>
      </c>
      <c r="G1437" s="7" t="s">
        <v>62</v>
      </c>
      <c r="H1437" s="7">
        <v>3</v>
      </c>
      <c r="I1437" s="2">
        <v>1012.29</v>
      </c>
      <c r="J1437" s="2">
        <f>Tabla2[[#This Row],[Quantity]]*I1437</f>
        <v>3036.87</v>
      </c>
      <c r="K1437" s="6">
        <f>MONTH(Tabla2[[#This Row],[OrderDate]])</f>
        <v>4</v>
      </c>
      <c r="L1437" s="6">
        <f>YEAR(Tabla2[[#This Row],[OrderDate]])</f>
        <v>2024</v>
      </c>
      <c r="M1437" s="7" t="s">
        <v>2108</v>
      </c>
      <c r="N1437" s="7" t="s">
        <v>45</v>
      </c>
    </row>
    <row r="1438" spans="1:14" x14ac:dyDescent="0.35">
      <c r="A1438" s="7" t="s">
        <v>2699</v>
      </c>
      <c r="B1438" s="7" t="s">
        <v>738</v>
      </c>
      <c r="C1438" s="7" t="s">
        <v>739</v>
      </c>
      <c r="D1438" s="7" t="s">
        <v>67</v>
      </c>
      <c r="E1438" s="7" t="s">
        <v>130</v>
      </c>
      <c r="F1438" s="7" t="s">
        <v>42</v>
      </c>
      <c r="G1438" s="7" t="s">
        <v>89</v>
      </c>
      <c r="H1438" s="7">
        <v>3</v>
      </c>
      <c r="I1438" s="2">
        <v>607.48</v>
      </c>
      <c r="J1438" s="2">
        <f>Tabla2[[#This Row],[Quantity]]*I1438</f>
        <v>1822.44</v>
      </c>
      <c r="K1438" s="6">
        <f>MONTH(Tabla2[[#This Row],[OrderDate]])</f>
        <v>7</v>
      </c>
      <c r="L1438" s="6">
        <f>YEAR(Tabla2[[#This Row],[OrderDate]])</f>
        <v>2024</v>
      </c>
      <c r="M1438" s="7" t="s">
        <v>448</v>
      </c>
      <c r="N1438" s="7" t="s">
        <v>91</v>
      </c>
    </row>
    <row r="1439" spans="1:14" x14ac:dyDescent="0.35">
      <c r="A1439" s="7" t="s">
        <v>2700</v>
      </c>
      <c r="B1439" s="7" t="s">
        <v>842</v>
      </c>
      <c r="C1439" s="7" t="s">
        <v>843</v>
      </c>
      <c r="D1439" s="7" t="s">
        <v>67</v>
      </c>
      <c r="E1439" s="7" t="s">
        <v>68</v>
      </c>
      <c r="F1439" s="7" t="s">
        <v>101</v>
      </c>
      <c r="G1439" s="7" t="s">
        <v>373</v>
      </c>
      <c r="H1439" s="7">
        <v>5</v>
      </c>
      <c r="I1439" s="2">
        <v>247.69</v>
      </c>
      <c r="J1439" s="2">
        <f>Tabla2[[#This Row],[Quantity]]*I1439</f>
        <v>1238.45</v>
      </c>
      <c r="K1439" s="6">
        <f>MONTH(Tabla2[[#This Row],[OrderDate]])</f>
        <v>5</v>
      </c>
      <c r="L1439" s="6">
        <f>YEAR(Tabla2[[#This Row],[OrderDate]])</f>
        <v>2025</v>
      </c>
      <c r="M1439" s="7" t="s">
        <v>662</v>
      </c>
      <c r="N1439" s="7" t="s">
        <v>45</v>
      </c>
    </row>
    <row r="1440" spans="1:14" x14ac:dyDescent="0.35">
      <c r="A1440" s="7" t="s">
        <v>2701</v>
      </c>
      <c r="B1440" s="7" t="s">
        <v>1743</v>
      </c>
      <c r="C1440" s="7" t="s">
        <v>1744</v>
      </c>
      <c r="D1440" s="7" t="s">
        <v>32</v>
      </c>
      <c r="E1440" s="7" t="s">
        <v>33</v>
      </c>
      <c r="F1440" s="7" t="s">
        <v>25</v>
      </c>
      <c r="G1440" s="7" t="s">
        <v>26</v>
      </c>
      <c r="H1440" s="7">
        <v>5</v>
      </c>
      <c r="I1440" s="2">
        <v>512.04999999999995</v>
      </c>
      <c r="J1440" s="2">
        <f>Tabla2[[#This Row],[Quantity]]*I1440</f>
        <v>2560.25</v>
      </c>
      <c r="K1440" s="6">
        <f>MONTH(Tabla2[[#This Row],[OrderDate]])</f>
        <v>1</v>
      </c>
      <c r="L1440" s="6">
        <f>YEAR(Tabla2[[#This Row],[OrderDate]])</f>
        <v>2026</v>
      </c>
      <c r="M1440" s="7" t="s">
        <v>912</v>
      </c>
      <c r="N1440" s="7" t="s">
        <v>28</v>
      </c>
    </row>
    <row r="1441" spans="1:14" x14ac:dyDescent="0.35">
      <c r="A1441" s="7" t="s">
        <v>2702</v>
      </c>
      <c r="B1441" s="7" t="s">
        <v>1046</v>
      </c>
      <c r="C1441" s="7" t="s">
        <v>1047</v>
      </c>
      <c r="D1441" s="7" t="s">
        <v>32</v>
      </c>
      <c r="E1441" s="7" t="s">
        <v>33</v>
      </c>
      <c r="F1441" s="7" t="s">
        <v>42</v>
      </c>
      <c r="G1441" s="7" t="s">
        <v>89</v>
      </c>
      <c r="H1441" s="7">
        <v>4</v>
      </c>
      <c r="I1441" s="2">
        <v>1366.07</v>
      </c>
      <c r="J1441" s="2">
        <f>Tabla2[[#This Row],[Quantity]]*I1441</f>
        <v>5464.28</v>
      </c>
      <c r="K1441" s="6">
        <f>MONTH(Tabla2[[#This Row],[OrderDate]])</f>
        <v>11</v>
      </c>
      <c r="L1441" s="6">
        <f>YEAR(Tabla2[[#This Row],[OrderDate]])</f>
        <v>2024</v>
      </c>
      <c r="M1441" s="7" t="s">
        <v>2703</v>
      </c>
      <c r="N1441" s="7" t="s">
        <v>36</v>
      </c>
    </row>
    <row r="1442" spans="1:14" x14ac:dyDescent="0.35">
      <c r="A1442" s="7" t="s">
        <v>2704</v>
      </c>
      <c r="B1442" s="7" t="s">
        <v>1285</v>
      </c>
      <c r="C1442" s="7" t="s">
        <v>1286</v>
      </c>
      <c r="D1442" s="7" t="s">
        <v>23</v>
      </c>
      <c r="E1442" s="7" t="s">
        <v>338</v>
      </c>
      <c r="F1442" s="7" t="s">
        <v>42</v>
      </c>
      <c r="G1442" s="7" t="s">
        <v>170</v>
      </c>
      <c r="H1442" s="7">
        <v>3</v>
      </c>
      <c r="I1442" s="2">
        <v>288.54000000000002</v>
      </c>
      <c r="J1442" s="2">
        <f>Tabla2[[#This Row],[Quantity]]*I1442</f>
        <v>865.62000000000012</v>
      </c>
      <c r="K1442" s="6">
        <f>MONTH(Tabla2[[#This Row],[OrderDate]])</f>
        <v>5</v>
      </c>
      <c r="L1442" s="6">
        <f>YEAR(Tabla2[[#This Row],[OrderDate]])</f>
        <v>2024</v>
      </c>
      <c r="M1442" s="7" t="s">
        <v>2705</v>
      </c>
      <c r="N1442" s="7" t="s">
        <v>36</v>
      </c>
    </row>
    <row r="1443" spans="1:14" x14ac:dyDescent="0.35">
      <c r="A1443" s="7" t="s">
        <v>2706</v>
      </c>
      <c r="B1443" s="7" t="s">
        <v>574</v>
      </c>
      <c r="C1443" s="7" t="s">
        <v>575</v>
      </c>
      <c r="D1443" s="7" t="s">
        <v>40</v>
      </c>
      <c r="E1443" s="7" t="s">
        <v>41</v>
      </c>
      <c r="F1443" s="7" t="s">
        <v>50</v>
      </c>
      <c r="G1443" s="7" t="s">
        <v>56</v>
      </c>
      <c r="H1443" s="7">
        <v>5</v>
      </c>
      <c r="I1443" s="2">
        <v>770.71</v>
      </c>
      <c r="J1443" s="2">
        <f>Tabla2[[#This Row],[Quantity]]*I1443</f>
        <v>3853.55</v>
      </c>
      <c r="K1443" s="6">
        <f>MONTH(Tabla2[[#This Row],[OrderDate]])</f>
        <v>4</v>
      </c>
      <c r="L1443" s="6">
        <f>YEAR(Tabla2[[#This Row],[OrderDate]])</f>
        <v>2024</v>
      </c>
      <c r="M1443" s="7" t="s">
        <v>523</v>
      </c>
      <c r="N1443" s="7" t="s">
        <v>91</v>
      </c>
    </row>
    <row r="1444" spans="1:14" x14ac:dyDescent="0.35">
      <c r="A1444" s="7" t="s">
        <v>2707</v>
      </c>
      <c r="B1444" s="7" t="s">
        <v>412</v>
      </c>
      <c r="C1444" s="7" t="s">
        <v>413</v>
      </c>
      <c r="D1444" s="7" t="s">
        <v>32</v>
      </c>
      <c r="E1444" s="7" t="s">
        <v>61</v>
      </c>
      <c r="F1444" s="7" t="s">
        <v>101</v>
      </c>
      <c r="G1444" s="7" t="s">
        <v>237</v>
      </c>
      <c r="H1444" s="7">
        <v>4</v>
      </c>
      <c r="I1444" s="2">
        <v>681.23</v>
      </c>
      <c r="J1444" s="2">
        <f>Tabla2[[#This Row],[Quantity]]*I1444</f>
        <v>2724.92</v>
      </c>
      <c r="K1444" s="6">
        <f>MONTH(Tabla2[[#This Row],[OrderDate]])</f>
        <v>5</v>
      </c>
      <c r="L1444" s="6">
        <f>YEAR(Tabla2[[#This Row],[OrderDate]])</f>
        <v>2024</v>
      </c>
      <c r="M1444" s="7" t="s">
        <v>96</v>
      </c>
      <c r="N1444" s="7" t="s">
        <v>28</v>
      </c>
    </row>
    <row r="1445" spans="1:14" x14ac:dyDescent="0.35">
      <c r="A1445" s="7" t="s">
        <v>2708</v>
      </c>
      <c r="B1445" s="7" t="s">
        <v>1444</v>
      </c>
      <c r="C1445" s="7" t="s">
        <v>1445</v>
      </c>
      <c r="D1445" s="7" t="s">
        <v>14</v>
      </c>
      <c r="E1445" s="7" t="s">
        <v>266</v>
      </c>
      <c r="F1445" s="7" t="s">
        <v>25</v>
      </c>
      <c r="G1445" s="7" t="s">
        <v>139</v>
      </c>
      <c r="H1445" s="7">
        <v>1</v>
      </c>
      <c r="I1445" s="2">
        <v>929.89</v>
      </c>
      <c r="J1445" s="2">
        <f>Tabla2[[#This Row],[Quantity]]*I1445</f>
        <v>929.89</v>
      </c>
      <c r="K1445" s="6">
        <f>MONTH(Tabla2[[#This Row],[OrderDate]])</f>
        <v>2</v>
      </c>
      <c r="L1445" s="6">
        <f>YEAR(Tabla2[[#This Row],[OrderDate]])</f>
        <v>2026</v>
      </c>
      <c r="M1445" s="7" t="s">
        <v>1629</v>
      </c>
      <c r="N1445" s="7" t="s">
        <v>91</v>
      </c>
    </row>
    <row r="1446" spans="1:14" x14ac:dyDescent="0.35">
      <c r="A1446" s="7" t="s">
        <v>2709</v>
      </c>
      <c r="B1446" s="7" t="s">
        <v>118</v>
      </c>
      <c r="C1446" s="7" t="s">
        <v>119</v>
      </c>
      <c r="D1446" s="7" t="s">
        <v>14</v>
      </c>
      <c r="E1446" s="7" t="s">
        <v>266</v>
      </c>
      <c r="F1446" s="7" t="s">
        <v>16</v>
      </c>
      <c r="G1446" s="7" t="s">
        <v>177</v>
      </c>
      <c r="H1446" s="7">
        <v>3</v>
      </c>
      <c r="I1446" s="2">
        <v>502.4</v>
      </c>
      <c r="J1446" s="2">
        <f>Tabla2[[#This Row],[Quantity]]*I1446</f>
        <v>1507.1999999999998</v>
      </c>
      <c r="K1446" s="6">
        <f>MONTH(Tabla2[[#This Row],[OrderDate]])</f>
        <v>12</v>
      </c>
      <c r="L1446" s="6">
        <f>YEAR(Tabla2[[#This Row],[OrderDate]])</f>
        <v>2024</v>
      </c>
      <c r="M1446" s="7" t="s">
        <v>1321</v>
      </c>
      <c r="N1446" s="7" t="s">
        <v>28</v>
      </c>
    </row>
    <row r="1447" spans="1:14" x14ac:dyDescent="0.35">
      <c r="A1447" s="7" t="s">
        <v>2710</v>
      </c>
      <c r="B1447" s="7" t="s">
        <v>321</v>
      </c>
      <c r="C1447" s="7" t="s">
        <v>322</v>
      </c>
      <c r="D1447" s="7" t="s">
        <v>14</v>
      </c>
      <c r="E1447" s="7" t="s">
        <v>266</v>
      </c>
      <c r="F1447" s="7" t="s">
        <v>25</v>
      </c>
      <c r="G1447" s="7" t="s">
        <v>139</v>
      </c>
      <c r="H1447" s="7">
        <v>3</v>
      </c>
      <c r="I1447" s="2">
        <v>1181.17</v>
      </c>
      <c r="J1447" s="2">
        <f>Tabla2[[#This Row],[Quantity]]*I1447</f>
        <v>3543.51</v>
      </c>
      <c r="K1447" s="6">
        <f>MONTH(Tabla2[[#This Row],[OrderDate]])</f>
        <v>5</v>
      </c>
      <c r="L1447" s="6">
        <f>YEAR(Tabla2[[#This Row],[OrderDate]])</f>
        <v>2025</v>
      </c>
      <c r="M1447" s="7" t="s">
        <v>301</v>
      </c>
      <c r="N1447" s="7" t="s">
        <v>45</v>
      </c>
    </row>
    <row r="1448" spans="1:14" x14ac:dyDescent="0.35">
      <c r="A1448" s="7" t="s">
        <v>2711</v>
      </c>
      <c r="B1448" s="7" t="s">
        <v>2188</v>
      </c>
      <c r="C1448" s="7" t="s">
        <v>2189</v>
      </c>
      <c r="D1448" s="7" t="s">
        <v>14</v>
      </c>
      <c r="E1448" s="7" t="s">
        <v>100</v>
      </c>
      <c r="F1448" s="7" t="s">
        <v>101</v>
      </c>
      <c r="G1448" s="7" t="s">
        <v>102</v>
      </c>
      <c r="H1448" s="7">
        <v>4</v>
      </c>
      <c r="I1448" s="2">
        <v>41.52</v>
      </c>
      <c r="J1448" s="2">
        <f>Tabla2[[#This Row],[Quantity]]*I1448</f>
        <v>166.08</v>
      </c>
      <c r="K1448" s="6">
        <f>MONTH(Tabla2[[#This Row],[OrderDate]])</f>
        <v>5</v>
      </c>
      <c r="L1448" s="6">
        <f>YEAR(Tabla2[[#This Row],[OrderDate]])</f>
        <v>2025</v>
      </c>
      <c r="M1448" s="7" t="s">
        <v>319</v>
      </c>
      <c r="N1448" s="7" t="s">
        <v>19</v>
      </c>
    </row>
    <row r="1449" spans="1:14" x14ac:dyDescent="0.35">
      <c r="A1449" s="7" t="s">
        <v>2712</v>
      </c>
      <c r="B1449" s="7" t="s">
        <v>562</v>
      </c>
      <c r="C1449" s="7" t="s">
        <v>563</v>
      </c>
      <c r="D1449" s="7" t="s">
        <v>67</v>
      </c>
      <c r="E1449" s="7" t="s">
        <v>130</v>
      </c>
      <c r="F1449" s="7" t="s">
        <v>101</v>
      </c>
      <c r="G1449" s="7" t="s">
        <v>165</v>
      </c>
      <c r="H1449" s="7">
        <v>3</v>
      </c>
      <c r="I1449" s="2">
        <v>1093.54</v>
      </c>
      <c r="J1449" s="2">
        <f>Tabla2[[#This Row],[Quantity]]*I1449</f>
        <v>3280.62</v>
      </c>
      <c r="K1449" s="6">
        <f>MONTH(Tabla2[[#This Row],[OrderDate]])</f>
        <v>8</v>
      </c>
      <c r="L1449" s="6">
        <f>YEAR(Tabla2[[#This Row],[OrderDate]])</f>
        <v>2024</v>
      </c>
      <c r="M1449" s="7" t="s">
        <v>1843</v>
      </c>
      <c r="N1449" s="7" t="s">
        <v>28</v>
      </c>
    </row>
    <row r="1450" spans="1:14" x14ac:dyDescent="0.35">
      <c r="A1450" s="7" t="s">
        <v>2713</v>
      </c>
      <c r="B1450" s="7" t="s">
        <v>791</v>
      </c>
      <c r="C1450" s="7" t="s">
        <v>792</v>
      </c>
      <c r="D1450" s="7" t="s">
        <v>23</v>
      </c>
      <c r="E1450" s="7" t="s">
        <v>24</v>
      </c>
      <c r="F1450" s="7" t="s">
        <v>50</v>
      </c>
      <c r="G1450" s="7" t="s">
        <v>170</v>
      </c>
      <c r="H1450" s="7">
        <v>1</v>
      </c>
      <c r="I1450" s="2">
        <v>607.87</v>
      </c>
      <c r="J1450" s="2">
        <f>Tabla2[[#This Row],[Quantity]]*I1450</f>
        <v>607.87</v>
      </c>
      <c r="K1450" s="6">
        <f>MONTH(Tabla2[[#This Row],[OrderDate]])</f>
        <v>11</v>
      </c>
      <c r="L1450" s="6">
        <f>YEAR(Tabla2[[#This Row],[OrderDate]])</f>
        <v>2025</v>
      </c>
      <c r="M1450" s="7" t="s">
        <v>1505</v>
      </c>
      <c r="N1450" s="7" t="s">
        <v>19</v>
      </c>
    </row>
    <row r="1451" spans="1:14" x14ac:dyDescent="0.35">
      <c r="A1451" s="7" t="s">
        <v>2714</v>
      </c>
      <c r="B1451" s="7" t="s">
        <v>1940</v>
      </c>
      <c r="C1451" s="7" t="s">
        <v>1941</v>
      </c>
      <c r="D1451" s="7" t="s">
        <v>32</v>
      </c>
      <c r="E1451" s="7" t="s">
        <v>61</v>
      </c>
      <c r="F1451" s="7" t="s">
        <v>50</v>
      </c>
      <c r="G1451" s="7" t="s">
        <v>56</v>
      </c>
      <c r="H1451" s="7">
        <v>4</v>
      </c>
      <c r="I1451" s="2">
        <v>473.68</v>
      </c>
      <c r="J1451" s="2">
        <f>Tabla2[[#This Row],[Quantity]]*I1451</f>
        <v>1894.72</v>
      </c>
      <c r="K1451" s="6">
        <f>MONTH(Tabla2[[#This Row],[OrderDate]])</f>
        <v>12</v>
      </c>
      <c r="L1451" s="6">
        <f>YEAR(Tabla2[[#This Row],[OrderDate]])</f>
        <v>2025</v>
      </c>
      <c r="M1451" s="7" t="s">
        <v>1763</v>
      </c>
      <c r="N1451" s="7" t="s">
        <v>36</v>
      </c>
    </row>
    <row r="1452" spans="1:14" x14ac:dyDescent="0.35">
      <c r="A1452" s="7" t="s">
        <v>2715</v>
      </c>
      <c r="B1452" s="7" t="s">
        <v>142</v>
      </c>
      <c r="C1452" s="7" t="s">
        <v>143</v>
      </c>
      <c r="D1452" s="7" t="s">
        <v>32</v>
      </c>
      <c r="E1452" s="7" t="s">
        <v>203</v>
      </c>
      <c r="F1452" s="7" t="s">
        <v>16</v>
      </c>
      <c r="G1452" s="7" t="s">
        <v>230</v>
      </c>
      <c r="H1452" s="7">
        <v>3</v>
      </c>
      <c r="I1452" s="2">
        <v>1380.42</v>
      </c>
      <c r="J1452" s="2">
        <f>Tabla2[[#This Row],[Quantity]]*I1452</f>
        <v>4141.26</v>
      </c>
      <c r="K1452" s="6">
        <f>MONTH(Tabla2[[#This Row],[OrderDate]])</f>
        <v>10</v>
      </c>
      <c r="L1452" s="6">
        <f>YEAR(Tabla2[[#This Row],[OrderDate]])</f>
        <v>2024</v>
      </c>
      <c r="M1452" s="7" t="s">
        <v>2207</v>
      </c>
      <c r="N1452" s="7" t="s">
        <v>36</v>
      </c>
    </row>
    <row r="1453" spans="1:14" x14ac:dyDescent="0.35">
      <c r="A1453" s="7" t="s">
        <v>2716</v>
      </c>
      <c r="B1453" s="7" t="s">
        <v>1153</v>
      </c>
      <c r="C1453" s="7" t="s">
        <v>1154</v>
      </c>
      <c r="D1453" s="7" t="s">
        <v>23</v>
      </c>
      <c r="E1453" s="7" t="s">
        <v>338</v>
      </c>
      <c r="F1453" s="7" t="s">
        <v>50</v>
      </c>
      <c r="G1453" s="7" t="s">
        <v>69</v>
      </c>
      <c r="H1453" s="7">
        <v>3</v>
      </c>
      <c r="I1453" s="2">
        <v>1336.39</v>
      </c>
      <c r="J1453" s="2">
        <f>Tabla2[[#This Row],[Quantity]]*I1453</f>
        <v>4009.17</v>
      </c>
      <c r="K1453" s="6">
        <f>MONTH(Tabla2[[#This Row],[OrderDate]])</f>
        <v>2</v>
      </c>
      <c r="L1453" s="6">
        <f>YEAR(Tabla2[[#This Row],[OrderDate]])</f>
        <v>2024</v>
      </c>
      <c r="M1453" s="7" t="s">
        <v>1852</v>
      </c>
      <c r="N1453" s="7" t="s">
        <v>19</v>
      </c>
    </row>
    <row r="1454" spans="1:14" x14ac:dyDescent="0.35">
      <c r="A1454" s="7" t="s">
        <v>2717</v>
      </c>
      <c r="B1454" s="7" t="s">
        <v>1510</v>
      </c>
      <c r="C1454" s="7" t="s">
        <v>1511</v>
      </c>
      <c r="D1454" s="7" t="s">
        <v>32</v>
      </c>
      <c r="E1454" s="7" t="s">
        <v>203</v>
      </c>
      <c r="F1454" s="7" t="s">
        <v>50</v>
      </c>
      <c r="G1454" s="7" t="s">
        <v>216</v>
      </c>
      <c r="H1454" s="7">
        <v>1</v>
      </c>
      <c r="I1454" s="2">
        <v>639.14</v>
      </c>
      <c r="J1454" s="2">
        <f>Tabla2[[#This Row],[Quantity]]*I1454</f>
        <v>639.14</v>
      </c>
      <c r="K1454" s="6">
        <f>MONTH(Tabla2[[#This Row],[OrderDate]])</f>
        <v>5</v>
      </c>
      <c r="L1454" s="6">
        <f>YEAR(Tabla2[[#This Row],[OrderDate]])</f>
        <v>2024</v>
      </c>
      <c r="M1454" s="7" t="s">
        <v>2074</v>
      </c>
      <c r="N1454" s="7" t="s">
        <v>45</v>
      </c>
    </row>
    <row r="1455" spans="1:14" x14ac:dyDescent="0.35">
      <c r="A1455" s="7" t="s">
        <v>2718</v>
      </c>
      <c r="B1455" s="7" t="s">
        <v>2719</v>
      </c>
      <c r="C1455" s="7" t="s">
        <v>2720</v>
      </c>
      <c r="D1455" s="7" t="s">
        <v>40</v>
      </c>
      <c r="E1455" s="7" t="s">
        <v>79</v>
      </c>
      <c r="F1455" s="7" t="s">
        <v>101</v>
      </c>
      <c r="G1455" s="7" t="s">
        <v>165</v>
      </c>
      <c r="H1455" s="7">
        <v>1</v>
      </c>
      <c r="I1455" s="2">
        <v>190.93</v>
      </c>
      <c r="J1455" s="2">
        <f>Tabla2[[#This Row],[Quantity]]*I1455</f>
        <v>190.93</v>
      </c>
      <c r="K1455" s="6">
        <f>MONTH(Tabla2[[#This Row],[OrderDate]])</f>
        <v>5</v>
      </c>
      <c r="L1455" s="6">
        <f>YEAR(Tabla2[[#This Row],[OrderDate]])</f>
        <v>2025</v>
      </c>
      <c r="M1455" s="7" t="s">
        <v>705</v>
      </c>
      <c r="N1455" s="7" t="s">
        <v>91</v>
      </c>
    </row>
    <row r="1456" spans="1:14" x14ac:dyDescent="0.35">
      <c r="A1456" s="7" t="s">
        <v>2721</v>
      </c>
      <c r="B1456" s="7" t="s">
        <v>1260</v>
      </c>
      <c r="C1456" s="7" t="s">
        <v>1261</v>
      </c>
      <c r="D1456" s="7" t="s">
        <v>67</v>
      </c>
      <c r="E1456" s="7" t="s">
        <v>115</v>
      </c>
      <c r="F1456" s="7" t="s">
        <v>101</v>
      </c>
      <c r="G1456" s="7" t="s">
        <v>165</v>
      </c>
      <c r="H1456" s="7">
        <v>5</v>
      </c>
      <c r="I1456" s="2">
        <v>917</v>
      </c>
      <c r="J1456" s="2">
        <f>Tabla2[[#This Row],[Quantity]]*I1456</f>
        <v>4585</v>
      </c>
      <c r="K1456" s="6">
        <f>MONTH(Tabla2[[#This Row],[OrderDate]])</f>
        <v>11</v>
      </c>
      <c r="L1456" s="6">
        <f>YEAR(Tabla2[[#This Row],[OrderDate]])</f>
        <v>2025</v>
      </c>
      <c r="M1456" s="7" t="s">
        <v>789</v>
      </c>
      <c r="N1456" s="7" t="s">
        <v>28</v>
      </c>
    </row>
    <row r="1457" spans="1:14" x14ac:dyDescent="0.35">
      <c r="A1457" s="7" t="s">
        <v>2722</v>
      </c>
      <c r="B1457" s="7" t="s">
        <v>602</v>
      </c>
      <c r="C1457" s="7" t="s">
        <v>603</v>
      </c>
      <c r="D1457" s="7" t="s">
        <v>23</v>
      </c>
      <c r="E1457" s="7" t="s">
        <v>49</v>
      </c>
      <c r="F1457" s="7" t="s">
        <v>50</v>
      </c>
      <c r="G1457" s="7" t="s">
        <v>56</v>
      </c>
      <c r="H1457" s="7">
        <v>5</v>
      </c>
      <c r="I1457" s="2">
        <v>1379.57</v>
      </c>
      <c r="J1457" s="2">
        <f>Tabla2[[#This Row],[Quantity]]*I1457</f>
        <v>6897.8499999999995</v>
      </c>
      <c r="K1457" s="6">
        <f>MONTH(Tabla2[[#This Row],[OrderDate]])</f>
        <v>2</v>
      </c>
      <c r="L1457" s="6">
        <f>YEAR(Tabla2[[#This Row],[OrderDate]])</f>
        <v>2026</v>
      </c>
      <c r="M1457" s="7" t="s">
        <v>1289</v>
      </c>
      <c r="N1457" s="7" t="s">
        <v>36</v>
      </c>
    </row>
    <row r="1458" spans="1:14" x14ac:dyDescent="0.35">
      <c r="A1458" s="7" t="s">
        <v>2723</v>
      </c>
      <c r="B1458" s="7" t="s">
        <v>341</v>
      </c>
      <c r="C1458" s="7" t="s">
        <v>342</v>
      </c>
      <c r="D1458" s="7" t="s">
        <v>67</v>
      </c>
      <c r="E1458" s="7" t="s">
        <v>68</v>
      </c>
      <c r="F1458" s="7" t="s">
        <v>16</v>
      </c>
      <c r="G1458" s="7" t="s">
        <v>230</v>
      </c>
      <c r="H1458" s="7">
        <v>1</v>
      </c>
      <c r="I1458" s="2">
        <v>488.01</v>
      </c>
      <c r="J1458" s="2">
        <f>Tabla2[[#This Row],[Quantity]]*I1458</f>
        <v>488.01</v>
      </c>
      <c r="K1458" s="6">
        <f>MONTH(Tabla2[[#This Row],[OrderDate]])</f>
        <v>12</v>
      </c>
      <c r="L1458" s="6">
        <f>YEAR(Tabla2[[#This Row],[OrderDate]])</f>
        <v>2024</v>
      </c>
      <c r="M1458" s="7" t="s">
        <v>27</v>
      </c>
      <c r="N1458" s="7" t="s">
        <v>91</v>
      </c>
    </row>
    <row r="1459" spans="1:14" x14ac:dyDescent="0.35">
      <c r="A1459" s="7" t="s">
        <v>2724</v>
      </c>
      <c r="B1459" s="7" t="s">
        <v>367</v>
      </c>
      <c r="C1459" s="7" t="s">
        <v>368</v>
      </c>
      <c r="D1459" s="7" t="s">
        <v>23</v>
      </c>
      <c r="E1459" s="7" t="s">
        <v>338</v>
      </c>
      <c r="F1459" s="7" t="s">
        <v>16</v>
      </c>
      <c r="G1459" s="7" t="s">
        <v>17</v>
      </c>
      <c r="H1459" s="7">
        <v>3</v>
      </c>
      <c r="I1459" s="2">
        <v>1212.94</v>
      </c>
      <c r="J1459" s="2">
        <f>Tabla2[[#This Row],[Quantity]]*I1459</f>
        <v>3638.82</v>
      </c>
      <c r="K1459" s="6">
        <f>MONTH(Tabla2[[#This Row],[OrderDate]])</f>
        <v>8</v>
      </c>
      <c r="L1459" s="6">
        <f>YEAR(Tabla2[[#This Row],[OrderDate]])</f>
        <v>2024</v>
      </c>
      <c r="M1459" s="7" t="s">
        <v>466</v>
      </c>
      <c r="N1459" s="7" t="s">
        <v>91</v>
      </c>
    </row>
    <row r="1460" spans="1:14" x14ac:dyDescent="0.35">
      <c r="A1460" s="7" t="s">
        <v>2725</v>
      </c>
      <c r="B1460" s="7" t="s">
        <v>1176</v>
      </c>
      <c r="C1460" s="7" t="s">
        <v>1177</v>
      </c>
      <c r="D1460" s="7" t="s">
        <v>23</v>
      </c>
      <c r="E1460" s="7" t="s">
        <v>338</v>
      </c>
      <c r="F1460" s="7" t="s">
        <v>16</v>
      </c>
      <c r="G1460" s="7" t="s">
        <v>17</v>
      </c>
      <c r="H1460" s="7">
        <v>1</v>
      </c>
      <c r="I1460" s="2">
        <v>1488.74</v>
      </c>
      <c r="J1460" s="2">
        <f>Tabla2[[#This Row],[Quantity]]*I1460</f>
        <v>1488.74</v>
      </c>
      <c r="K1460" s="6">
        <f>MONTH(Tabla2[[#This Row],[OrderDate]])</f>
        <v>4</v>
      </c>
      <c r="L1460" s="6">
        <f>YEAR(Tabla2[[#This Row],[OrderDate]])</f>
        <v>2024</v>
      </c>
      <c r="M1460" s="7" t="s">
        <v>1585</v>
      </c>
      <c r="N1460" s="7" t="s">
        <v>45</v>
      </c>
    </row>
    <row r="1461" spans="1:14" x14ac:dyDescent="0.35">
      <c r="A1461" s="7" t="s">
        <v>2726</v>
      </c>
      <c r="B1461" s="7" t="s">
        <v>827</v>
      </c>
      <c r="C1461" s="7" t="s">
        <v>828</v>
      </c>
      <c r="D1461" s="7" t="s">
        <v>32</v>
      </c>
      <c r="E1461" s="7" t="s">
        <v>61</v>
      </c>
      <c r="F1461" s="7" t="s">
        <v>50</v>
      </c>
      <c r="G1461" s="7" t="s">
        <v>170</v>
      </c>
      <c r="H1461" s="7">
        <v>1</v>
      </c>
      <c r="I1461" s="2">
        <v>757.12</v>
      </c>
      <c r="J1461" s="2">
        <f>Tabla2[[#This Row],[Quantity]]*I1461</f>
        <v>757.12</v>
      </c>
      <c r="K1461" s="6">
        <f>MONTH(Tabla2[[#This Row],[OrderDate]])</f>
        <v>10</v>
      </c>
      <c r="L1461" s="6">
        <f>YEAR(Tabla2[[#This Row],[OrderDate]])</f>
        <v>2024</v>
      </c>
      <c r="M1461" s="7" t="s">
        <v>2276</v>
      </c>
      <c r="N1461" s="7" t="s">
        <v>28</v>
      </c>
    </row>
    <row r="1462" spans="1:14" x14ac:dyDescent="0.35">
      <c r="A1462" s="7" t="s">
        <v>2727</v>
      </c>
      <c r="B1462" s="7" t="s">
        <v>1428</v>
      </c>
      <c r="C1462" s="7" t="s">
        <v>1429</v>
      </c>
      <c r="D1462" s="7" t="s">
        <v>32</v>
      </c>
      <c r="E1462" s="7" t="s">
        <v>203</v>
      </c>
      <c r="F1462" s="7" t="s">
        <v>16</v>
      </c>
      <c r="G1462" s="7" t="s">
        <v>148</v>
      </c>
      <c r="H1462" s="7">
        <v>5</v>
      </c>
      <c r="I1462" s="2">
        <v>265.83999999999997</v>
      </c>
      <c r="J1462" s="2">
        <f>Tabla2[[#This Row],[Quantity]]*I1462</f>
        <v>1329.1999999999998</v>
      </c>
      <c r="K1462" s="6">
        <f>MONTH(Tabla2[[#This Row],[OrderDate]])</f>
        <v>9</v>
      </c>
      <c r="L1462" s="6">
        <f>YEAR(Tabla2[[#This Row],[OrderDate]])</f>
        <v>2025</v>
      </c>
      <c r="M1462" s="7" t="s">
        <v>1032</v>
      </c>
      <c r="N1462" s="7" t="s">
        <v>28</v>
      </c>
    </row>
    <row r="1463" spans="1:14" x14ac:dyDescent="0.35">
      <c r="A1463" s="7" t="s">
        <v>2728</v>
      </c>
      <c r="B1463" s="7" t="s">
        <v>173</v>
      </c>
      <c r="C1463" s="7" t="s">
        <v>174</v>
      </c>
      <c r="D1463" s="7" t="s">
        <v>23</v>
      </c>
      <c r="E1463" s="7" t="s">
        <v>24</v>
      </c>
      <c r="F1463" s="7" t="s">
        <v>25</v>
      </c>
      <c r="G1463" s="7" t="s">
        <v>26</v>
      </c>
      <c r="H1463" s="7">
        <v>1</v>
      </c>
      <c r="I1463" s="2">
        <v>792.18</v>
      </c>
      <c r="J1463" s="2">
        <f>Tabla2[[#This Row],[Quantity]]*I1463</f>
        <v>792.18</v>
      </c>
      <c r="K1463" s="6">
        <f>MONTH(Tabla2[[#This Row],[OrderDate]])</f>
        <v>11</v>
      </c>
      <c r="L1463" s="6">
        <f>YEAR(Tabla2[[#This Row],[OrderDate]])</f>
        <v>2025</v>
      </c>
      <c r="M1463" s="7" t="s">
        <v>2729</v>
      </c>
      <c r="N1463" s="7" t="s">
        <v>36</v>
      </c>
    </row>
    <row r="1464" spans="1:14" x14ac:dyDescent="0.35">
      <c r="A1464" s="7" t="s">
        <v>2730</v>
      </c>
      <c r="B1464" s="7" t="s">
        <v>827</v>
      </c>
      <c r="C1464" s="7" t="s">
        <v>828</v>
      </c>
      <c r="D1464" s="7" t="s">
        <v>40</v>
      </c>
      <c r="E1464" s="7" t="s">
        <v>79</v>
      </c>
      <c r="F1464" s="7" t="s">
        <v>16</v>
      </c>
      <c r="G1464" s="7" t="s">
        <v>230</v>
      </c>
      <c r="H1464" s="7">
        <v>5</v>
      </c>
      <c r="I1464" s="2">
        <v>728.67</v>
      </c>
      <c r="J1464" s="2">
        <f>Tabla2[[#This Row],[Quantity]]*I1464</f>
        <v>3643.35</v>
      </c>
      <c r="K1464" s="6">
        <f>MONTH(Tabla2[[#This Row],[OrderDate]])</f>
        <v>3</v>
      </c>
      <c r="L1464" s="6">
        <f>YEAR(Tabla2[[#This Row],[OrderDate]])</f>
        <v>2024</v>
      </c>
      <c r="M1464" s="7" t="s">
        <v>2136</v>
      </c>
      <c r="N1464" s="7" t="s">
        <v>36</v>
      </c>
    </row>
    <row r="1465" spans="1:14" x14ac:dyDescent="0.35">
      <c r="A1465" s="7" t="s">
        <v>2731</v>
      </c>
      <c r="B1465" s="7" t="s">
        <v>699</v>
      </c>
      <c r="C1465" s="7" t="s">
        <v>700</v>
      </c>
      <c r="D1465" s="7" t="s">
        <v>40</v>
      </c>
      <c r="E1465" s="7" t="s">
        <v>120</v>
      </c>
      <c r="F1465" s="7" t="s">
        <v>50</v>
      </c>
      <c r="G1465" s="7" t="s">
        <v>51</v>
      </c>
      <c r="H1465" s="7">
        <v>4</v>
      </c>
      <c r="I1465" s="2">
        <v>580.47</v>
      </c>
      <c r="J1465" s="2">
        <f>Tabla2[[#This Row],[Quantity]]*I1465</f>
        <v>2321.88</v>
      </c>
      <c r="K1465" s="6">
        <f>MONTH(Tabla2[[#This Row],[OrderDate]])</f>
        <v>5</v>
      </c>
      <c r="L1465" s="6">
        <f>YEAR(Tabla2[[#This Row],[OrderDate]])</f>
        <v>2025</v>
      </c>
      <c r="M1465" s="7" t="s">
        <v>662</v>
      </c>
      <c r="N1465" s="7" t="s">
        <v>36</v>
      </c>
    </row>
    <row r="1466" spans="1:14" x14ac:dyDescent="0.35">
      <c r="A1466" s="7" t="s">
        <v>2732</v>
      </c>
      <c r="B1466" s="7" t="s">
        <v>260</v>
      </c>
      <c r="C1466" s="7" t="s">
        <v>261</v>
      </c>
      <c r="D1466" s="7" t="s">
        <v>14</v>
      </c>
      <c r="E1466" s="7" t="s">
        <v>100</v>
      </c>
      <c r="F1466" s="7" t="s">
        <v>101</v>
      </c>
      <c r="G1466" s="7" t="s">
        <v>237</v>
      </c>
      <c r="H1466" s="7">
        <v>3</v>
      </c>
      <c r="I1466" s="2">
        <v>1006.28</v>
      </c>
      <c r="J1466" s="2">
        <f>Tabla2[[#This Row],[Quantity]]*I1466</f>
        <v>3018.84</v>
      </c>
      <c r="K1466" s="6">
        <f>MONTH(Tabla2[[#This Row],[OrderDate]])</f>
        <v>3</v>
      </c>
      <c r="L1466" s="6">
        <f>YEAR(Tabla2[[#This Row],[OrderDate]])</f>
        <v>2024</v>
      </c>
      <c r="M1466" s="7" t="s">
        <v>2052</v>
      </c>
      <c r="N1466" s="7" t="s">
        <v>45</v>
      </c>
    </row>
    <row r="1467" spans="1:14" x14ac:dyDescent="0.35">
      <c r="A1467" s="7" t="s">
        <v>2733</v>
      </c>
      <c r="B1467" s="7" t="s">
        <v>918</v>
      </c>
      <c r="C1467" s="7" t="s">
        <v>919</v>
      </c>
      <c r="D1467" s="7" t="s">
        <v>23</v>
      </c>
      <c r="E1467" s="7" t="s">
        <v>338</v>
      </c>
      <c r="F1467" s="7" t="s">
        <v>101</v>
      </c>
      <c r="G1467" s="7" t="s">
        <v>237</v>
      </c>
      <c r="H1467" s="7">
        <v>1</v>
      </c>
      <c r="I1467" s="2">
        <v>951.09</v>
      </c>
      <c r="J1467" s="2">
        <f>Tabla2[[#This Row],[Quantity]]*I1467</f>
        <v>951.09</v>
      </c>
      <c r="K1467" s="6">
        <f>MONTH(Tabla2[[#This Row],[OrderDate]])</f>
        <v>5</v>
      </c>
      <c r="L1467" s="6">
        <f>YEAR(Tabla2[[#This Row],[OrderDate]])</f>
        <v>2025</v>
      </c>
      <c r="M1467" s="7" t="s">
        <v>662</v>
      </c>
      <c r="N1467" s="7" t="s">
        <v>91</v>
      </c>
    </row>
    <row r="1468" spans="1:14" x14ac:dyDescent="0.35">
      <c r="A1468" s="7" t="s">
        <v>2734</v>
      </c>
      <c r="B1468" s="7" t="s">
        <v>1066</v>
      </c>
      <c r="C1468" s="7" t="s">
        <v>1067</v>
      </c>
      <c r="D1468" s="7" t="s">
        <v>32</v>
      </c>
      <c r="E1468" s="7" t="s">
        <v>33</v>
      </c>
      <c r="F1468" s="7" t="s">
        <v>16</v>
      </c>
      <c r="G1468" s="7" t="s">
        <v>177</v>
      </c>
      <c r="H1468" s="7">
        <v>4</v>
      </c>
      <c r="I1468" s="2">
        <v>769.62</v>
      </c>
      <c r="J1468" s="2">
        <f>Tabla2[[#This Row],[Quantity]]*I1468</f>
        <v>3078.48</v>
      </c>
      <c r="K1468" s="6">
        <f>MONTH(Tabla2[[#This Row],[OrderDate]])</f>
        <v>1</v>
      </c>
      <c r="L1468" s="6">
        <f>YEAR(Tabla2[[#This Row],[OrderDate]])</f>
        <v>2025</v>
      </c>
      <c r="M1468" s="7" t="s">
        <v>2151</v>
      </c>
      <c r="N1468" s="7" t="s">
        <v>19</v>
      </c>
    </row>
    <row r="1469" spans="1:14" x14ac:dyDescent="0.35">
      <c r="A1469" s="7" t="s">
        <v>2735</v>
      </c>
      <c r="B1469" s="7" t="s">
        <v>426</v>
      </c>
      <c r="C1469" s="7" t="s">
        <v>427</v>
      </c>
      <c r="D1469" s="7" t="s">
        <v>14</v>
      </c>
      <c r="E1469" s="7" t="s">
        <v>95</v>
      </c>
      <c r="F1469" s="7" t="s">
        <v>42</v>
      </c>
      <c r="G1469" s="7" t="s">
        <v>43</v>
      </c>
      <c r="H1469" s="7">
        <v>4</v>
      </c>
      <c r="I1469" s="2">
        <v>609.78</v>
      </c>
      <c r="J1469" s="2">
        <f>Tabla2[[#This Row],[Quantity]]*I1469</f>
        <v>2439.12</v>
      </c>
      <c r="K1469" s="6">
        <f>MONTH(Tabla2[[#This Row],[OrderDate]])</f>
        <v>8</v>
      </c>
      <c r="L1469" s="6">
        <f>YEAR(Tabla2[[#This Row],[OrderDate]])</f>
        <v>2024</v>
      </c>
      <c r="M1469" s="7" t="s">
        <v>1549</v>
      </c>
      <c r="N1469" s="7" t="s">
        <v>19</v>
      </c>
    </row>
    <row r="1470" spans="1:14" x14ac:dyDescent="0.35">
      <c r="A1470" s="7" t="s">
        <v>2736</v>
      </c>
      <c r="B1470" s="7" t="s">
        <v>142</v>
      </c>
      <c r="C1470" s="7" t="s">
        <v>143</v>
      </c>
      <c r="D1470" s="7" t="s">
        <v>32</v>
      </c>
      <c r="E1470" s="7" t="s">
        <v>203</v>
      </c>
      <c r="F1470" s="7" t="s">
        <v>50</v>
      </c>
      <c r="G1470" s="7" t="s">
        <v>216</v>
      </c>
      <c r="H1470" s="7">
        <v>1</v>
      </c>
      <c r="I1470" s="2">
        <v>552.34</v>
      </c>
      <c r="J1470" s="2">
        <f>Tabla2[[#This Row],[Quantity]]*I1470</f>
        <v>552.34</v>
      </c>
      <c r="K1470" s="6">
        <f>MONTH(Tabla2[[#This Row],[OrderDate]])</f>
        <v>12</v>
      </c>
      <c r="L1470" s="6">
        <f>YEAR(Tabla2[[#This Row],[OrderDate]])</f>
        <v>2025</v>
      </c>
      <c r="M1470" s="7" t="s">
        <v>1194</v>
      </c>
      <c r="N1470" s="7" t="s">
        <v>45</v>
      </c>
    </row>
    <row r="1471" spans="1:14" x14ac:dyDescent="0.35">
      <c r="A1471" s="7" t="s">
        <v>2737</v>
      </c>
      <c r="B1471" s="7" t="s">
        <v>146</v>
      </c>
      <c r="C1471" s="7" t="s">
        <v>147</v>
      </c>
      <c r="D1471" s="7" t="s">
        <v>23</v>
      </c>
      <c r="E1471" s="7" t="s">
        <v>49</v>
      </c>
      <c r="F1471" s="7" t="s">
        <v>42</v>
      </c>
      <c r="G1471" s="7" t="s">
        <v>89</v>
      </c>
      <c r="H1471" s="7">
        <v>3</v>
      </c>
      <c r="I1471" s="2">
        <v>617.29999999999995</v>
      </c>
      <c r="J1471" s="2">
        <f>Tabla2[[#This Row],[Quantity]]*I1471</f>
        <v>1851.8999999999999</v>
      </c>
      <c r="K1471" s="6">
        <f>MONTH(Tabla2[[#This Row],[OrderDate]])</f>
        <v>7</v>
      </c>
      <c r="L1471" s="6">
        <f>YEAR(Tabla2[[#This Row],[OrderDate]])</f>
        <v>2025</v>
      </c>
      <c r="M1471" s="7" t="s">
        <v>183</v>
      </c>
      <c r="N1471" s="7" t="s">
        <v>28</v>
      </c>
    </row>
    <row r="1472" spans="1:14" x14ac:dyDescent="0.35">
      <c r="A1472" s="7" t="s">
        <v>2738</v>
      </c>
      <c r="B1472" s="7" t="s">
        <v>30</v>
      </c>
      <c r="C1472" s="7" t="s">
        <v>31</v>
      </c>
      <c r="D1472" s="7" t="s">
        <v>14</v>
      </c>
      <c r="E1472" s="7" t="s">
        <v>125</v>
      </c>
      <c r="F1472" s="7" t="s">
        <v>50</v>
      </c>
      <c r="G1472" s="7" t="s">
        <v>216</v>
      </c>
      <c r="H1472" s="7">
        <v>1</v>
      </c>
      <c r="I1472" s="2">
        <v>1326.4</v>
      </c>
      <c r="J1472" s="2">
        <f>Tabla2[[#This Row],[Quantity]]*I1472</f>
        <v>1326.4</v>
      </c>
      <c r="K1472" s="6">
        <f>MONTH(Tabla2[[#This Row],[OrderDate]])</f>
        <v>4</v>
      </c>
      <c r="L1472" s="6">
        <f>YEAR(Tabla2[[#This Row],[OrderDate]])</f>
        <v>2024</v>
      </c>
      <c r="M1472" s="7" t="s">
        <v>730</v>
      </c>
      <c r="N1472" s="7" t="s">
        <v>91</v>
      </c>
    </row>
    <row r="1473" spans="1:14" x14ac:dyDescent="0.35">
      <c r="A1473" s="7" t="s">
        <v>2739</v>
      </c>
      <c r="B1473" s="7" t="s">
        <v>1346</v>
      </c>
      <c r="C1473" s="7" t="s">
        <v>1347</v>
      </c>
      <c r="D1473" s="7" t="s">
        <v>40</v>
      </c>
      <c r="E1473" s="7" t="s">
        <v>79</v>
      </c>
      <c r="F1473" s="7" t="s">
        <v>50</v>
      </c>
      <c r="G1473" s="7" t="s">
        <v>216</v>
      </c>
      <c r="H1473" s="7">
        <v>2</v>
      </c>
      <c r="I1473" s="2">
        <v>776.56</v>
      </c>
      <c r="J1473" s="2">
        <f>Tabla2[[#This Row],[Quantity]]*I1473</f>
        <v>1553.12</v>
      </c>
      <c r="K1473" s="6">
        <f>MONTH(Tabla2[[#This Row],[OrderDate]])</f>
        <v>2</v>
      </c>
      <c r="L1473" s="6">
        <f>YEAR(Tabla2[[#This Row],[OrderDate]])</f>
        <v>2025</v>
      </c>
      <c r="M1473" s="7" t="s">
        <v>777</v>
      </c>
      <c r="N1473" s="7" t="s">
        <v>36</v>
      </c>
    </row>
    <row r="1474" spans="1:14" x14ac:dyDescent="0.35">
      <c r="A1474" s="7" t="s">
        <v>2740</v>
      </c>
      <c r="B1474" s="7" t="s">
        <v>197</v>
      </c>
      <c r="C1474" s="7" t="s">
        <v>198</v>
      </c>
      <c r="D1474" s="7" t="s">
        <v>23</v>
      </c>
      <c r="E1474" s="7" t="s">
        <v>49</v>
      </c>
      <c r="F1474" s="7" t="s">
        <v>101</v>
      </c>
      <c r="G1474" s="7" t="s">
        <v>165</v>
      </c>
      <c r="H1474" s="7">
        <v>1</v>
      </c>
      <c r="I1474" s="2">
        <v>1471.14</v>
      </c>
      <c r="J1474" s="2">
        <f>Tabla2[[#This Row],[Quantity]]*I1474</f>
        <v>1471.14</v>
      </c>
      <c r="K1474" s="6">
        <f>MONTH(Tabla2[[#This Row],[OrderDate]])</f>
        <v>3</v>
      </c>
      <c r="L1474" s="6">
        <f>YEAR(Tabla2[[#This Row],[OrderDate]])</f>
        <v>2024</v>
      </c>
      <c r="M1474" s="7" t="s">
        <v>1108</v>
      </c>
      <c r="N1474" s="7" t="s">
        <v>19</v>
      </c>
    </row>
    <row r="1475" spans="1:14" x14ac:dyDescent="0.35">
      <c r="A1475" s="7" t="s">
        <v>2741</v>
      </c>
      <c r="B1475" s="7" t="s">
        <v>65</v>
      </c>
      <c r="C1475" s="7" t="s">
        <v>66</v>
      </c>
      <c r="D1475" s="7" t="s">
        <v>40</v>
      </c>
      <c r="E1475" s="7" t="s">
        <v>120</v>
      </c>
      <c r="F1475" s="7" t="s">
        <v>42</v>
      </c>
      <c r="G1475" s="7" t="s">
        <v>89</v>
      </c>
      <c r="H1475" s="7">
        <v>1</v>
      </c>
      <c r="I1475" s="2">
        <v>271.67</v>
      </c>
      <c r="J1475" s="2">
        <f>Tabla2[[#This Row],[Quantity]]*I1475</f>
        <v>271.67</v>
      </c>
      <c r="K1475" s="6">
        <f>MONTH(Tabla2[[#This Row],[OrderDate]])</f>
        <v>8</v>
      </c>
      <c r="L1475" s="6">
        <f>YEAR(Tabla2[[#This Row],[OrderDate]])</f>
        <v>2024</v>
      </c>
      <c r="M1475" s="7" t="s">
        <v>866</v>
      </c>
      <c r="N1475" s="7" t="s">
        <v>91</v>
      </c>
    </row>
    <row r="1476" spans="1:14" x14ac:dyDescent="0.35">
      <c r="A1476" s="7" t="s">
        <v>2742</v>
      </c>
      <c r="B1476" s="7" t="s">
        <v>755</v>
      </c>
      <c r="C1476" s="7" t="s">
        <v>756</v>
      </c>
      <c r="D1476" s="7" t="s">
        <v>67</v>
      </c>
      <c r="E1476" s="7" t="s">
        <v>130</v>
      </c>
      <c r="F1476" s="7" t="s">
        <v>101</v>
      </c>
      <c r="G1476" s="7" t="s">
        <v>237</v>
      </c>
      <c r="H1476" s="7">
        <v>3</v>
      </c>
      <c r="I1476" s="2">
        <v>828.67</v>
      </c>
      <c r="J1476" s="2">
        <f>Tabla2[[#This Row],[Quantity]]*I1476</f>
        <v>2486.0099999999998</v>
      </c>
      <c r="K1476" s="6">
        <f>MONTH(Tabla2[[#This Row],[OrderDate]])</f>
        <v>1</v>
      </c>
      <c r="L1476" s="6">
        <f>YEAR(Tabla2[[#This Row],[OrderDate]])</f>
        <v>2026</v>
      </c>
      <c r="M1476" s="7" t="s">
        <v>433</v>
      </c>
      <c r="N1476" s="7" t="s">
        <v>36</v>
      </c>
    </row>
    <row r="1477" spans="1:14" x14ac:dyDescent="0.35">
      <c r="A1477" s="7" t="s">
        <v>2743</v>
      </c>
      <c r="B1477" s="7" t="s">
        <v>1042</v>
      </c>
      <c r="C1477" s="7" t="s">
        <v>1043</v>
      </c>
      <c r="D1477" s="7" t="s">
        <v>67</v>
      </c>
      <c r="E1477" s="7" t="s">
        <v>68</v>
      </c>
      <c r="F1477" s="7" t="s">
        <v>25</v>
      </c>
      <c r="G1477" s="7" t="s">
        <v>139</v>
      </c>
      <c r="H1477" s="7">
        <v>1</v>
      </c>
      <c r="I1477" s="2">
        <v>359.66</v>
      </c>
      <c r="J1477" s="2">
        <f>Tabla2[[#This Row],[Quantity]]*I1477</f>
        <v>359.66</v>
      </c>
      <c r="K1477" s="6">
        <f>MONTH(Tabla2[[#This Row],[OrderDate]])</f>
        <v>2</v>
      </c>
      <c r="L1477" s="6">
        <f>YEAR(Tabla2[[#This Row],[OrderDate]])</f>
        <v>2024</v>
      </c>
      <c r="M1477" s="7" t="s">
        <v>1332</v>
      </c>
      <c r="N1477" s="7" t="s">
        <v>91</v>
      </c>
    </row>
    <row r="1478" spans="1:14" x14ac:dyDescent="0.35">
      <c r="A1478" s="7" t="s">
        <v>2744</v>
      </c>
      <c r="B1478" s="7" t="s">
        <v>1066</v>
      </c>
      <c r="C1478" s="7" t="s">
        <v>1067</v>
      </c>
      <c r="D1478" s="7" t="s">
        <v>67</v>
      </c>
      <c r="E1478" s="7" t="s">
        <v>68</v>
      </c>
      <c r="F1478" s="7" t="s">
        <v>101</v>
      </c>
      <c r="G1478" s="7" t="s">
        <v>649</v>
      </c>
      <c r="H1478" s="7">
        <v>2</v>
      </c>
      <c r="I1478" s="2">
        <v>1363.4</v>
      </c>
      <c r="J1478" s="2">
        <f>Tabla2[[#This Row],[Quantity]]*I1478</f>
        <v>2726.8</v>
      </c>
      <c r="K1478" s="6">
        <f>MONTH(Tabla2[[#This Row],[OrderDate]])</f>
        <v>1</v>
      </c>
      <c r="L1478" s="6">
        <f>YEAR(Tabla2[[#This Row],[OrderDate]])</f>
        <v>2024</v>
      </c>
      <c r="M1478" s="7" t="s">
        <v>998</v>
      </c>
      <c r="N1478" s="7" t="s">
        <v>45</v>
      </c>
    </row>
    <row r="1479" spans="1:14" x14ac:dyDescent="0.35">
      <c r="A1479" s="7" t="s">
        <v>2745</v>
      </c>
      <c r="B1479" s="7" t="s">
        <v>65</v>
      </c>
      <c r="C1479" s="7" t="s">
        <v>66</v>
      </c>
      <c r="D1479" s="7" t="s">
        <v>40</v>
      </c>
      <c r="E1479" s="7" t="s">
        <v>41</v>
      </c>
      <c r="F1479" s="7" t="s">
        <v>50</v>
      </c>
      <c r="G1479" s="7" t="s">
        <v>69</v>
      </c>
      <c r="H1479" s="7">
        <v>1</v>
      </c>
      <c r="I1479" s="2">
        <v>1008.62</v>
      </c>
      <c r="J1479" s="2">
        <f>Tabla2[[#This Row],[Quantity]]*I1479</f>
        <v>1008.62</v>
      </c>
      <c r="K1479" s="6">
        <f>MONTH(Tabla2[[#This Row],[OrderDate]])</f>
        <v>7</v>
      </c>
      <c r="L1479" s="6">
        <f>YEAR(Tabla2[[#This Row],[OrderDate]])</f>
        <v>2024</v>
      </c>
      <c r="M1479" s="7" t="s">
        <v>297</v>
      </c>
      <c r="N1479" s="7" t="s">
        <v>19</v>
      </c>
    </row>
    <row r="1480" spans="1:14" x14ac:dyDescent="0.35">
      <c r="A1480" s="7" t="s">
        <v>2746</v>
      </c>
      <c r="B1480" s="7" t="s">
        <v>1170</v>
      </c>
      <c r="C1480" s="7" t="s">
        <v>1171</v>
      </c>
      <c r="D1480" s="7" t="s">
        <v>40</v>
      </c>
      <c r="E1480" s="7" t="s">
        <v>120</v>
      </c>
      <c r="F1480" s="7" t="s">
        <v>42</v>
      </c>
      <c r="G1480" s="7" t="s">
        <v>89</v>
      </c>
      <c r="H1480" s="7">
        <v>3</v>
      </c>
      <c r="I1480" s="2">
        <v>1244.9100000000001</v>
      </c>
      <c r="J1480" s="2">
        <f>Tabla2[[#This Row],[Quantity]]*I1480</f>
        <v>3734.7300000000005</v>
      </c>
      <c r="K1480" s="6">
        <f>MONTH(Tabla2[[#This Row],[OrderDate]])</f>
        <v>10</v>
      </c>
      <c r="L1480" s="6">
        <f>YEAR(Tabla2[[#This Row],[OrderDate]])</f>
        <v>2025</v>
      </c>
      <c r="M1480" s="7" t="s">
        <v>2662</v>
      </c>
      <c r="N1480" s="7" t="s">
        <v>91</v>
      </c>
    </row>
    <row r="1481" spans="1:14" x14ac:dyDescent="0.35">
      <c r="A1481" s="7" t="s">
        <v>2747</v>
      </c>
      <c r="B1481" s="7" t="s">
        <v>568</v>
      </c>
      <c r="C1481" s="7" t="s">
        <v>569</v>
      </c>
      <c r="D1481" s="7" t="s">
        <v>67</v>
      </c>
      <c r="E1481" s="7" t="s">
        <v>68</v>
      </c>
      <c r="F1481" s="7" t="s">
        <v>101</v>
      </c>
      <c r="G1481" s="7" t="s">
        <v>649</v>
      </c>
      <c r="H1481" s="7">
        <v>1</v>
      </c>
      <c r="I1481" s="2">
        <v>1489.38</v>
      </c>
      <c r="J1481" s="2">
        <f>Tabla2[[#This Row],[Quantity]]*I1481</f>
        <v>1489.38</v>
      </c>
      <c r="K1481" s="6">
        <f>MONTH(Tabla2[[#This Row],[OrderDate]])</f>
        <v>10</v>
      </c>
      <c r="L1481" s="6">
        <f>YEAR(Tabla2[[#This Row],[OrderDate]])</f>
        <v>2025</v>
      </c>
      <c r="M1481" s="7" t="s">
        <v>1540</v>
      </c>
      <c r="N1481" s="7" t="s">
        <v>28</v>
      </c>
    </row>
    <row r="1482" spans="1:14" x14ac:dyDescent="0.35">
      <c r="A1482" s="7" t="s">
        <v>2748</v>
      </c>
      <c r="B1482" s="7" t="s">
        <v>532</v>
      </c>
      <c r="C1482" s="7" t="s">
        <v>533</v>
      </c>
      <c r="D1482" s="7" t="s">
        <v>67</v>
      </c>
      <c r="E1482" s="7" t="s">
        <v>68</v>
      </c>
      <c r="F1482" s="7" t="s">
        <v>101</v>
      </c>
      <c r="G1482" s="7" t="s">
        <v>165</v>
      </c>
      <c r="H1482" s="7">
        <v>3</v>
      </c>
      <c r="I1482" s="2">
        <v>1235.73</v>
      </c>
      <c r="J1482" s="2">
        <f>Tabla2[[#This Row],[Quantity]]*I1482</f>
        <v>3707.19</v>
      </c>
      <c r="K1482" s="6">
        <f>MONTH(Tabla2[[#This Row],[OrderDate]])</f>
        <v>11</v>
      </c>
      <c r="L1482" s="6">
        <f>YEAR(Tabla2[[#This Row],[OrderDate]])</f>
        <v>2025</v>
      </c>
      <c r="M1482" s="7" t="s">
        <v>1505</v>
      </c>
      <c r="N1482" s="7" t="s">
        <v>28</v>
      </c>
    </row>
    <row r="1483" spans="1:14" x14ac:dyDescent="0.35">
      <c r="A1483" s="7" t="s">
        <v>2749</v>
      </c>
      <c r="B1483" s="7" t="s">
        <v>1018</v>
      </c>
      <c r="C1483" s="7" t="s">
        <v>1019</v>
      </c>
      <c r="D1483" s="7" t="s">
        <v>67</v>
      </c>
      <c r="E1483" s="7" t="s">
        <v>115</v>
      </c>
      <c r="F1483" s="7" t="s">
        <v>25</v>
      </c>
      <c r="G1483" s="7" t="s">
        <v>74</v>
      </c>
      <c r="H1483" s="7">
        <v>2</v>
      </c>
      <c r="I1483" s="2">
        <v>1489.23</v>
      </c>
      <c r="J1483" s="2">
        <f>Tabla2[[#This Row],[Quantity]]*I1483</f>
        <v>2978.46</v>
      </c>
      <c r="K1483" s="6">
        <f>MONTH(Tabla2[[#This Row],[OrderDate]])</f>
        <v>6</v>
      </c>
      <c r="L1483" s="6">
        <f>YEAR(Tabla2[[#This Row],[OrderDate]])</f>
        <v>2024</v>
      </c>
      <c r="M1483" s="7" t="s">
        <v>437</v>
      </c>
      <c r="N1483" s="7" t="s">
        <v>36</v>
      </c>
    </row>
    <row r="1484" spans="1:14" x14ac:dyDescent="0.35">
      <c r="A1484" s="7" t="s">
        <v>2750</v>
      </c>
      <c r="B1484" s="7" t="s">
        <v>1307</v>
      </c>
      <c r="C1484" s="7" t="s">
        <v>1308</v>
      </c>
      <c r="D1484" s="7" t="s">
        <v>67</v>
      </c>
      <c r="E1484" s="7" t="s">
        <v>115</v>
      </c>
      <c r="F1484" s="7" t="s">
        <v>42</v>
      </c>
      <c r="G1484" s="7" t="s">
        <v>225</v>
      </c>
      <c r="H1484" s="7">
        <v>1</v>
      </c>
      <c r="I1484" s="2">
        <v>99.38</v>
      </c>
      <c r="J1484" s="2">
        <f>Tabla2[[#This Row],[Quantity]]*I1484</f>
        <v>99.38</v>
      </c>
      <c r="K1484" s="6">
        <f>MONTH(Tabla2[[#This Row],[OrderDate]])</f>
        <v>1</v>
      </c>
      <c r="L1484" s="6">
        <f>YEAR(Tabla2[[#This Row],[OrderDate]])</f>
        <v>2024</v>
      </c>
      <c r="M1484" s="7" t="s">
        <v>410</v>
      </c>
      <c r="N1484" s="7" t="s">
        <v>91</v>
      </c>
    </row>
    <row r="1485" spans="1:14" x14ac:dyDescent="0.35">
      <c r="A1485" s="7" t="s">
        <v>2751</v>
      </c>
      <c r="B1485" s="7" t="s">
        <v>240</v>
      </c>
      <c r="C1485" s="7" t="s">
        <v>241</v>
      </c>
      <c r="D1485" s="7" t="s">
        <v>14</v>
      </c>
      <c r="E1485" s="7" t="s">
        <v>125</v>
      </c>
      <c r="F1485" s="7" t="s">
        <v>25</v>
      </c>
      <c r="G1485" s="7" t="s">
        <v>26</v>
      </c>
      <c r="H1485" s="7">
        <v>5</v>
      </c>
      <c r="I1485" s="2">
        <v>831.96</v>
      </c>
      <c r="J1485" s="2">
        <f>Tabla2[[#This Row],[Quantity]]*I1485</f>
        <v>4159.8</v>
      </c>
      <c r="K1485" s="6">
        <f>MONTH(Tabla2[[#This Row],[OrderDate]])</f>
        <v>7</v>
      </c>
      <c r="L1485" s="6">
        <f>YEAR(Tabla2[[#This Row],[OrderDate]])</f>
        <v>2025</v>
      </c>
      <c r="M1485" s="7" t="s">
        <v>1501</v>
      </c>
      <c r="N1485" s="7" t="s">
        <v>36</v>
      </c>
    </row>
    <row r="1486" spans="1:14" x14ac:dyDescent="0.35">
      <c r="A1486" s="7" t="s">
        <v>2752</v>
      </c>
      <c r="B1486" s="7" t="s">
        <v>47</v>
      </c>
      <c r="C1486" s="7" t="s">
        <v>48</v>
      </c>
      <c r="D1486" s="7" t="s">
        <v>40</v>
      </c>
      <c r="E1486" s="7" t="s">
        <v>120</v>
      </c>
      <c r="F1486" s="7" t="s">
        <v>16</v>
      </c>
      <c r="G1486" s="7" t="s">
        <v>182</v>
      </c>
      <c r="H1486" s="7">
        <v>4</v>
      </c>
      <c r="I1486" s="2">
        <v>945.75</v>
      </c>
      <c r="J1486" s="2">
        <f>Tabla2[[#This Row],[Quantity]]*I1486</f>
        <v>3783</v>
      </c>
      <c r="K1486" s="6">
        <f>MONTH(Tabla2[[#This Row],[OrderDate]])</f>
        <v>8</v>
      </c>
      <c r="L1486" s="6">
        <f>YEAR(Tabla2[[#This Row],[OrderDate]])</f>
        <v>2024</v>
      </c>
      <c r="M1486" s="7" t="s">
        <v>822</v>
      </c>
      <c r="N1486" s="7" t="s">
        <v>36</v>
      </c>
    </row>
    <row r="1487" spans="1:14" x14ac:dyDescent="0.35">
      <c r="A1487" s="7" t="s">
        <v>2753</v>
      </c>
      <c r="B1487" s="7" t="s">
        <v>295</v>
      </c>
      <c r="C1487" s="7" t="s">
        <v>296</v>
      </c>
      <c r="D1487" s="7" t="s">
        <v>40</v>
      </c>
      <c r="E1487" s="7" t="s">
        <v>41</v>
      </c>
      <c r="F1487" s="7" t="s">
        <v>101</v>
      </c>
      <c r="G1487" s="7" t="s">
        <v>102</v>
      </c>
      <c r="H1487" s="7">
        <v>5</v>
      </c>
      <c r="I1487" s="2">
        <v>497.78</v>
      </c>
      <c r="J1487" s="2">
        <f>Tabla2[[#This Row],[Quantity]]*I1487</f>
        <v>2488.8999999999996</v>
      </c>
      <c r="K1487" s="6">
        <f>MONTH(Tabla2[[#This Row],[OrderDate]])</f>
        <v>1</v>
      </c>
      <c r="L1487" s="6">
        <f>YEAR(Tabla2[[#This Row],[OrderDate]])</f>
        <v>2024</v>
      </c>
      <c r="M1487" s="7" t="s">
        <v>1126</v>
      </c>
      <c r="N1487" s="7" t="s">
        <v>36</v>
      </c>
    </row>
    <row r="1488" spans="1:14" x14ac:dyDescent="0.35">
      <c r="A1488" s="7" t="s">
        <v>2754</v>
      </c>
      <c r="B1488" s="7" t="s">
        <v>299</v>
      </c>
      <c r="C1488" s="7" t="s">
        <v>300</v>
      </c>
      <c r="D1488" s="7" t="s">
        <v>23</v>
      </c>
      <c r="E1488" s="7" t="s">
        <v>338</v>
      </c>
      <c r="F1488" s="7" t="s">
        <v>25</v>
      </c>
      <c r="G1488" s="7" t="s">
        <v>34</v>
      </c>
      <c r="H1488" s="7">
        <v>5</v>
      </c>
      <c r="I1488" s="2">
        <v>889.78</v>
      </c>
      <c r="J1488" s="2">
        <f>Tabla2[[#This Row],[Quantity]]*I1488</f>
        <v>4448.8999999999996</v>
      </c>
      <c r="K1488" s="6">
        <f>MONTH(Tabla2[[#This Row],[OrderDate]])</f>
        <v>9</v>
      </c>
      <c r="L1488" s="6">
        <f>YEAR(Tabla2[[#This Row],[OrderDate]])</f>
        <v>2024</v>
      </c>
      <c r="M1488" s="7" t="s">
        <v>2755</v>
      </c>
      <c r="N1488" s="7" t="s">
        <v>28</v>
      </c>
    </row>
    <row r="1489" spans="1:14" x14ac:dyDescent="0.35">
      <c r="A1489" s="7" t="s">
        <v>2756</v>
      </c>
      <c r="B1489" s="7" t="s">
        <v>947</v>
      </c>
      <c r="C1489" s="7" t="s">
        <v>948</v>
      </c>
      <c r="D1489" s="7" t="s">
        <v>23</v>
      </c>
      <c r="E1489" s="7" t="s">
        <v>24</v>
      </c>
      <c r="F1489" s="7" t="s">
        <v>101</v>
      </c>
      <c r="G1489" s="7" t="s">
        <v>373</v>
      </c>
      <c r="H1489" s="7">
        <v>5</v>
      </c>
      <c r="I1489" s="2">
        <v>372.19</v>
      </c>
      <c r="J1489" s="2">
        <f>Tabla2[[#This Row],[Quantity]]*I1489</f>
        <v>1860.95</v>
      </c>
      <c r="K1489" s="6">
        <f>MONTH(Tabla2[[#This Row],[OrderDate]])</f>
        <v>6</v>
      </c>
      <c r="L1489" s="6">
        <f>YEAR(Tabla2[[#This Row],[OrderDate]])</f>
        <v>2024</v>
      </c>
      <c r="M1489" s="7" t="s">
        <v>1348</v>
      </c>
      <c r="N1489" s="7" t="s">
        <v>91</v>
      </c>
    </row>
    <row r="1490" spans="1:14" x14ac:dyDescent="0.35">
      <c r="A1490" s="7" t="s">
        <v>2757</v>
      </c>
      <c r="B1490" s="7" t="s">
        <v>629</v>
      </c>
      <c r="C1490" s="7" t="s">
        <v>630</v>
      </c>
      <c r="D1490" s="7" t="s">
        <v>14</v>
      </c>
      <c r="E1490" s="7" t="s">
        <v>100</v>
      </c>
      <c r="F1490" s="7" t="s">
        <v>50</v>
      </c>
      <c r="G1490" s="7" t="s">
        <v>51</v>
      </c>
      <c r="H1490" s="7">
        <v>1</v>
      </c>
      <c r="I1490" s="2">
        <v>1457.31</v>
      </c>
      <c r="J1490" s="2">
        <f>Tabla2[[#This Row],[Quantity]]*I1490</f>
        <v>1457.31</v>
      </c>
      <c r="K1490" s="6">
        <f>MONTH(Tabla2[[#This Row],[OrderDate]])</f>
        <v>5</v>
      </c>
      <c r="L1490" s="6">
        <f>YEAR(Tabla2[[#This Row],[OrderDate]])</f>
        <v>2025</v>
      </c>
      <c r="M1490" s="7" t="s">
        <v>662</v>
      </c>
      <c r="N1490" s="7" t="s">
        <v>19</v>
      </c>
    </row>
    <row r="1491" spans="1:14" x14ac:dyDescent="0.35">
      <c r="A1491" s="7" t="s">
        <v>2758</v>
      </c>
      <c r="B1491" s="7" t="s">
        <v>168</v>
      </c>
      <c r="C1491" s="7" t="s">
        <v>169</v>
      </c>
      <c r="D1491" s="7" t="s">
        <v>32</v>
      </c>
      <c r="E1491" s="7" t="s">
        <v>203</v>
      </c>
      <c r="F1491" s="7" t="s">
        <v>16</v>
      </c>
      <c r="G1491" s="7" t="s">
        <v>177</v>
      </c>
      <c r="H1491" s="7">
        <v>4</v>
      </c>
      <c r="I1491" s="2">
        <v>489.82</v>
      </c>
      <c r="J1491" s="2">
        <f>Tabla2[[#This Row],[Quantity]]*I1491</f>
        <v>1959.28</v>
      </c>
      <c r="K1491" s="6">
        <f>MONTH(Tabla2[[#This Row],[OrderDate]])</f>
        <v>12</v>
      </c>
      <c r="L1491" s="6">
        <f>YEAR(Tabla2[[#This Row],[OrderDate]])</f>
        <v>2024</v>
      </c>
      <c r="M1491" s="7" t="s">
        <v>472</v>
      </c>
      <c r="N1491" s="7" t="s">
        <v>91</v>
      </c>
    </row>
    <row r="1492" spans="1:14" x14ac:dyDescent="0.35">
      <c r="A1492" s="7" t="s">
        <v>2759</v>
      </c>
      <c r="B1492" s="7" t="s">
        <v>392</v>
      </c>
      <c r="C1492" s="7" t="s">
        <v>393</v>
      </c>
      <c r="D1492" s="7" t="s">
        <v>40</v>
      </c>
      <c r="E1492" s="7" t="s">
        <v>120</v>
      </c>
      <c r="F1492" s="7" t="s">
        <v>16</v>
      </c>
      <c r="G1492" s="7" t="s">
        <v>182</v>
      </c>
      <c r="H1492" s="7">
        <v>1</v>
      </c>
      <c r="I1492" s="2">
        <v>758.39</v>
      </c>
      <c r="J1492" s="2">
        <f>Tabla2[[#This Row],[Quantity]]*I1492</f>
        <v>758.39</v>
      </c>
      <c r="K1492" s="6">
        <f>MONTH(Tabla2[[#This Row],[OrderDate]])</f>
        <v>3</v>
      </c>
      <c r="L1492" s="6">
        <f>YEAR(Tabla2[[#This Row],[OrderDate]])</f>
        <v>2025</v>
      </c>
      <c r="M1492" s="7" t="s">
        <v>761</v>
      </c>
      <c r="N1492" s="7" t="s">
        <v>91</v>
      </c>
    </row>
    <row r="1493" spans="1:14" x14ac:dyDescent="0.35">
      <c r="A1493" s="7" t="s">
        <v>2760</v>
      </c>
      <c r="B1493" s="7" t="s">
        <v>189</v>
      </c>
      <c r="C1493" s="7" t="s">
        <v>190</v>
      </c>
      <c r="D1493" s="7" t="s">
        <v>14</v>
      </c>
      <c r="E1493" s="7" t="s">
        <v>100</v>
      </c>
      <c r="F1493" s="7" t="s">
        <v>42</v>
      </c>
      <c r="G1493" s="7" t="s">
        <v>170</v>
      </c>
      <c r="H1493" s="7">
        <v>1</v>
      </c>
      <c r="I1493" s="2">
        <v>1490.87</v>
      </c>
      <c r="J1493" s="2">
        <f>Tabla2[[#This Row],[Quantity]]*I1493</f>
        <v>1490.87</v>
      </c>
      <c r="K1493" s="6">
        <f>MONTH(Tabla2[[#This Row],[OrderDate]])</f>
        <v>4</v>
      </c>
      <c r="L1493" s="6">
        <f>YEAR(Tabla2[[#This Row],[OrderDate]])</f>
        <v>2024</v>
      </c>
      <c r="M1493" s="7" t="s">
        <v>1219</v>
      </c>
      <c r="N1493" s="7" t="s">
        <v>45</v>
      </c>
    </row>
    <row r="1494" spans="1:14" x14ac:dyDescent="0.35">
      <c r="A1494" s="7" t="s">
        <v>2761</v>
      </c>
      <c r="B1494" s="7" t="s">
        <v>801</v>
      </c>
      <c r="C1494" s="7" t="s">
        <v>802</v>
      </c>
      <c r="D1494" s="7" t="s">
        <v>23</v>
      </c>
      <c r="E1494" s="7" t="s">
        <v>338</v>
      </c>
      <c r="F1494" s="7" t="s">
        <v>42</v>
      </c>
      <c r="G1494" s="7" t="s">
        <v>170</v>
      </c>
      <c r="H1494" s="7">
        <v>2</v>
      </c>
      <c r="I1494" s="2">
        <v>155.62</v>
      </c>
      <c r="J1494" s="2">
        <f>Tabla2[[#This Row],[Quantity]]*I1494</f>
        <v>311.24</v>
      </c>
      <c r="K1494" s="6">
        <f>MONTH(Tabla2[[#This Row],[OrderDate]])</f>
        <v>4</v>
      </c>
      <c r="L1494" s="6">
        <f>YEAR(Tabla2[[#This Row],[OrderDate]])</f>
        <v>2024</v>
      </c>
      <c r="M1494" s="7" t="s">
        <v>1056</v>
      </c>
      <c r="N1494" s="7" t="s">
        <v>91</v>
      </c>
    </row>
    <row r="1495" spans="1:14" x14ac:dyDescent="0.35">
      <c r="A1495" s="7" t="s">
        <v>2762</v>
      </c>
      <c r="B1495" s="7" t="s">
        <v>1212</v>
      </c>
      <c r="C1495" s="7" t="s">
        <v>1213</v>
      </c>
      <c r="D1495" s="7" t="s">
        <v>14</v>
      </c>
      <c r="E1495" s="7" t="s">
        <v>95</v>
      </c>
      <c r="F1495" s="7" t="s">
        <v>25</v>
      </c>
      <c r="G1495" s="7" t="s">
        <v>26</v>
      </c>
      <c r="H1495" s="7">
        <v>2</v>
      </c>
      <c r="I1495" s="2">
        <v>235.3</v>
      </c>
      <c r="J1495" s="2">
        <f>Tabla2[[#This Row],[Quantity]]*I1495</f>
        <v>470.6</v>
      </c>
      <c r="K1495" s="6">
        <f>MONTH(Tabla2[[#This Row],[OrderDate]])</f>
        <v>6</v>
      </c>
      <c r="L1495" s="6">
        <f>YEAR(Tabla2[[#This Row],[OrderDate]])</f>
        <v>2025</v>
      </c>
      <c r="M1495" s="7" t="s">
        <v>422</v>
      </c>
      <c r="N1495" s="7" t="s">
        <v>28</v>
      </c>
    </row>
    <row r="1496" spans="1:14" x14ac:dyDescent="0.35">
      <c r="A1496" s="7" t="s">
        <v>2763</v>
      </c>
      <c r="B1496" s="7" t="s">
        <v>618</v>
      </c>
      <c r="C1496" s="7" t="s">
        <v>619</v>
      </c>
      <c r="D1496" s="7" t="s">
        <v>23</v>
      </c>
      <c r="E1496" s="7" t="s">
        <v>338</v>
      </c>
      <c r="F1496" s="7" t="s">
        <v>101</v>
      </c>
      <c r="G1496" s="7" t="s">
        <v>165</v>
      </c>
      <c r="H1496" s="7">
        <v>3</v>
      </c>
      <c r="I1496" s="2">
        <v>1275.4000000000001</v>
      </c>
      <c r="J1496" s="2">
        <f>Tabla2[[#This Row],[Quantity]]*I1496</f>
        <v>3826.2000000000003</v>
      </c>
      <c r="K1496" s="6">
        <f>MONTH(Tabla2[[#This Row],[OrderDate]])</f>
        <v>6</v>
      </c>
      <c r="L1496" s="6">
        <f>YEAR(Tabla2[[#This Row],[OrderDate]])</f>
        <v>2024</v>
      </c>
      <c r="M1496" s="7" t="s">
        <v>1976</v>
      </c>
      <c r="N1496" s="7" t="s">
        <v>45</v>
      </c>
    </row>
    <row r="1497" spans="1:14" x14ac:dyDescent="0.35">
      <c r="A1497" s="7" t="s">
        <v>2764</v>
      </c>
      <c r="B1497" s="7" t="s">
        <v>936</v>
      </c>
      <c r="C1497" s="7" t="s">
        <v>937</v>
      </c>
      <c r="D1497" s="7" t="s">
        <v>23</v>
      </c>
      <c r="E1497" s="7" t="s">
        <v>49</v>
      </c>
      <c r="F1497" s="7" t="s">
        <v>42</v>
      </c>
      <c r="G1497" s="7" t="s">
        <v>89</v>
      </c>
      <c r="H1497" s="7">
        <v>5</v>
      </c>
      <c r="I1497" s="2">
        <v>665.68</v>
      </c>
      <c r="J1497" s="2">
        <f>Tabla2[[#This Row],[Quantity]]*I1497</f>
        <v>3328.3999999999996</v>
      </c>
      <c r="K1497" s="6">
        <f>MONTH(Tabla2[[#This Row],[OrderDate]])</f>
        <v>1</v>
      </c>
      <c r="L1497" s="6">
        <f>YEAR(Tabla2[[#This Row],[OrderDate]])</f>
        <v>2024</v>
      </c>
      <c r="M1497" s="7" t="s">
        <v>1841</v>
      </c>
      <c r="N1497" s="7" t="s">
        <v>28</v>
      </c>
    </row>
    <row r="1498" spans="1:14" x14ac:dyDescent="0.35">
      <c r="A1498" s="7" t="s">
        <v>2765</v>
      </c>
      <c r="B1498" s="7" t="s">
        <v>1510</v>
      </c>
      <c r="C1498" s="7" t="s">
        <v>1511</v>
      </c>
      <c r="D1498" s="7" t="s">
        <v>32</v>
      </c>
      <c r="E1498" s="7" t="s">
        <v>61</v>
      </c>
      <c r="F1498" s="7" t="s">
        <v>101</v>
      </c>
      <c r="G1498" s="7" t="s">
        <v>373</v>
      </c>
      <c r="H1498" s="7">
        <v>2</v>
      </c>
      <c r="I1498" s="2">
        <v>1330.22</v>
      </c>
      <c r="J1498" s="2">
        <f>Tabla2[[#This Row],[Quantity]]*I1498</f>
        <v>2660.44</v>
      </c>
      <c r="K1498" s="6">
        <f>MONTH(Tabla2[[#This Row],[OrderDate]])</f>
        <v>4</v>
      </c>
      <c r="L1498" s="6">
        <f>YEAR(Tabla2[[#This Row],[OrderDate]])</f>
        <v>2024</v>
      </c>
      <c r="M1498" s="7" t="s">
        <v>2766</v>
      </c>
      <c r="N1498" s="7" t="s">
        <v>45</v>
      </c>
    </row>
    <row r="1499" spans="1:14" x14ac:dyDescent="0.35">
      <c r="A1499" s="7" t="s">
        <v>2767</v>
      </c>
      <c r="B1499" s="7" t="s">
        <v>548</v>
      </c>
      <c r="C1499" s="7" t="s">
        <v>549</v>
      </c>
      <c r="D1499" s="7" t="s">
        <v>14</v>
      </c>
      <c r="E1499" s="7" t="s">
        <v>15</v>
      </c>
      <c r="F1499" s="7" t="s">
        <v>42</v>
      </c>
      <c r="G1499" s="7" t="s">
        <v>225</v>
      </c>
      <c r="H1499" s="7">
        <v>3</v>
      </c>
      <c r="I1499" s="2">
        <v>881.92</v>
      </c>
      <c r="J1499" s="2">
        <f>Tabla2[[#This Row],[Quantity]]*I1499</f>
        <v>2645.7599999999998</v>
      </c>
      <c r="K1499" s="6">
        <f>MONTH(Tabla2[[#This Row],[OrderDate]])</f>
        <v>2</v>
      </c>
      <c r="L1499" s="6">
        <f>YEAR(Tabla2[[#This Row],[OrderDate]])</f>
        <v>2026</v>
      </c>
      <c r="M1499" s="7" t="s">
        <v>2446</v>
      </c>
      <c r="N1499" s="7" t="s">
        <v>19</v>
      </c>
    </row>
    <row r="1500" spans="1:14" x14ac:dyDescent="0.35">
      <c r="A1500" s="7" t="s">
        <v>2768</v>
      </c>
      <c r="B1500" s="7" t="s">
        <v>1749</v>
      </c>
      <c r="C1500" s="7" t="s">
        <v>1750</v>
      </c>
      <c r="D1500" s="7" t="s">
        <v>32</v>
      </c>
      <c r="E1500" s="7" t="s">
        <v>33</v>
      </c>
      <c r="F1500" s="7" t="s">
        <v>25</v>
      </c>
      <c r="G1500" s="7" t="s">
        <v>139</v>
      </c>
      <c r="H1500" s="7">
        <v>2</v>
      </c>
      <c r="I1500" s="2">
        <v>355.7</v>
      </c>
      <c r="J1500" s="2">
        <f>Tabla2[[#This Row],[Quantity]]*I1500</f>
        <v>711.4</v>
      </c>
      <c r="K1500" s="6">
        <f>MONTH(Tabla2[[#This Row],[OrderDate]])</f>
        <v>7</v>
      </c>
      <c r="L1500" s="6">
        <f>YEAR(Tabla2[[#This Row],[OrderDate]])</f>
        <v>2025</v>
      </c>
      <c r="M1500" s="7" t="s">
        <v>2311</v>
      </c>
      <c r="N1500" s="7" t="s">
        <v>45</v>
      </c>
    </row>
    <row r="1501" spans="1:14" x14ac:dyDescent="0.35">
      <c r="A1501" s="7" t="s">
        <v>2769</v>
      </c>
      <c r="B1501" s="7" t="s">
        <v>723</v>
      </c>
      <c r="C1501" s="7" t="s">
        <v>724</v>
      </c>
      <c r="D1501" s="7" t="s">
        <v>32</v>
      </c>
      <c r="E1501" s="7" t="s">
        <v>33</v>
      </c>
      <c r="F1501" s="7" t="s">
        <v>50</v>
      </c>
      <c r="G1501" s="7" t="s">
        <v>69</v>
      </c>
      <c r="H1501" s="7">
        <v>5</v>
      </c>
      <c r="I1501" s="2">
        <v>16.670000000000002</v>
      </c>
      <c r="J1501" s="2">
        <f>Tabla2[[#This Row],[Quantity]]*I1501</f>
        <v>83.350000000000009</v>
      </c>
      <c r="K1501" s="6">
        <f>MONTH(Tabla2[[#This Row],[OrderDate]])</f>
        <v>11</v>
      </c>
      <c r="L1501" s="6">
        <f>YEAR(Tabla2[[#This Row],[OrderDate]])</f>
        <v>2025</v>
      </c>
      <c r="M1501" s="7" t="s">
        <v>63</v>
      </c>
      <c r="N1501" s="7" t="s">
        <v>19</v>
      </c>
    </row>
    <row r="1502" spans="1:14" x14ac:dyDescent="0.35">
      <c r="A1502" s="7" t="s">
        <v>2770</v>
      </c>
      <c r="B1502" s="7" t="s">
        <v>367</v>
      </c>
      <c r="C1502" s="7" t="s">
        <v>368</v>
      </c>
      <c r="D1502" s="7" t="s">
        <v>23</v>
      </c>
      <c r="E1502" s="7" t="s">
        <v>49</v>
      </c>
      <c r="F1502" s="7" t="s">
        <v>101</v>
      </c>
      <c r="G1502" s="7" t="s">
        <v>102</v>
      </c>
      <c r="H1502" s="7">
        <v>3</v>
      </c>
      <c r="I1502" s="2">
        <v>1318.71</v>
      </c>
      <c r="J1502" s="2">
        <f>Tabla2[[#This Row],[Quantity]]*I1502</f>
        <v>3956.13</v>
      </c>
      <c r="K1502" s="6">
        <f>MONTH(Tabla2[[#This Row],[OrderDate]])</f>
        <v>11</v>
      </c>
      <c r="L1502" s="6">
        <f>YEAR(Tabla2[[#This Row],[OrderDate]])</f>
        <v>2025</v>
      </c>
      <c r="M1502" s="7" t="s">
        <v>1214</v>
      </c>
      <c r="N1502" s="7" t="s">
        <v>45</v>
      </c>
    </row>
    <row r="1503" spans="1:14" x14ac:dyDescent="0.35">
      <c r="A1503" s="7" t="s">
        <v>2771</v>
      </c>
      <c r="B1503" s="7" t="s">
        <v>59</v>
      </c>
      <c r="C1503" s="7" t="s">
        <v>60</v>
      </c>
      <c r="D1503" s="7" t="s">
        <v>32</v>
      </c>
      <c r="E1503" s="7" t="s">
        <v>61</v>
      </c>
      <c r="F1503" s="7" t="s">
        <v>101</v>
      </c>
      <c r="G1503" s="7" t="s">
        <v>237</v>
      </c>
      <c r="H1503" s="7">
        <v>3</v>
      </c>
      <c r="I1503" s="2">
        <v>79.86</v>
      </c>
      <c r="J1503" s="2">
        <f>Tabla2[[#This Row],[Quantity]]*I1503</f>
        <v>239.57999999999998</v>
      </c>
      <c r="K1503" s="6">
        <f>MONTH(Tabla2[[#This Row],[OrderDate]])</f>
        <v>9</v>
      </c>
      <c r="L1503" s="6">
        <f>YEAR(Tabla2[[#This Row],[OrderDate]])</f>
        <v>2025</v>
      </c>
      <c r="M1503" s="7" t="s">
        <v>2772</v>
      </c>
      <c r="N1503" s="7" t="s">
        <v>19</v>
      </c>
    </row>
    <row r="1504" spans="1:14" x14ac:dyDescent="0.35">
      <c r="A1504" s="7" t="s">
        <v>2773</v>
      </c>
      <c r="B1504" s="7" t="s">
        <v>2002</v>
      </c>
      <c r="C1504" s="7" t="s">
        <v>2003</v>
      </c>
      <c r="D1504" s="7" t="s">
        <v>67</v>
      </c>
      <c r="E1504" s="7" t="s">
        <v>115</v>
      </c>
      <c r="F1504" s="7" t="s">
        <v>42</v>
      </c>
      <c r="G1504" s="7" t="s">
        <v>225</v>
      </c>
      <c r="H1504" s="7">
        <v>5</v>
      </c>
      <c r="I1504" s="2">
        <v>901.33</v>
      </c>
      <c r="J1504" s="2">
        <f>Tabla2[[#This Row],[Quantity]]*I1504</f>
        <v>4506.6500000000005</v>
      </c>
      <c r="K1504" s="6">
        <f>MONTH(Tabla2[[#This Row],[OrderDate]])</f>
        <v>8</v>
      </c>
      <c r="L1504" s="6">
        <f>YEAR(Tabla2[[#This Row],[OrderDate]])</f>
        <v>2024</v>
      </c>
      <c r="M1504" s="7" t="s">
        <v>1931</v>
      </c>
      <c r="N1504" s="7" t="s">
        <v>36</v>
      </c>
    </row>
    <row r="1505" spans="1:14" x14ac:dyDescent="0.35">
      <c r="A1505" s="7" t="s">
        <v>2774</v>
      </c>
      <c r="B1505" s="7" t="s">
        <v>59</v>
      </c>
      <c r="C1505" s="7" t="s">
        <v>60</v>
      </c>
      <c r="D1505" s="7" t="s">
        <v>32</v>
      </c>
      <c r="E1505" s="7" t="s">
        <v>33</v>
      </c>
      <c r="F1505" s="7" t="s">
        <v>25</v>
      </c>
      <c r="G1505" s="7" t="s">
        <v>62</v>
      </c>
      <c r="H1505" s="7">
        <v>5</v>
      </c>
      <c r="I1505" s="2">
        <v>1336.83</v>
      </c>
      <c r="J1505" s="2">
        <f>Tabla2[[#This Row],[Quantity]]*I1505</f>
        <v>6684.15</v>
      </c>
      <c r="K1505" s="6">
        <f>MONTH(Tabla2[[#This Row],[OrderDate]])</f>
        <v>9</v>
      </c>
      <c r="L1505" s="6">
        <f>YEAR(Tabla2[[#This Row],[OrderDate]])</f>
        <v>2025</v>
      </c>
      <c r="M1505" s="7" t="s">
        <v>665</v>
      </c>
      <c r="N1505" s="7" t="s">
        <v>91</v>
      </c>
    </row>
    <row r="1506" spans="1:14" x14ac:dyDescent="0.35">
      <c r="A1506" s="7" t="s">
        <v>2775</v>
      </c>
      <c r="B1506" s="7" t="s">
        <v>598</v>
      </c>
      <c r="C1506" s="7" t="s">
        <v>599</v>
      </c>
      <c r="D1506" s="7" t="s">
        <v>40</v>
      </c>
      <c r="E1506" s="7" t="s">
        <v>120</v>
      </c>
      <c r="F1506" s="7" t="s">
        <v>16</v>
      </c>
      <c r="G1506" s="7" t="s">
        <v>148</v>
      </c>
      <c r="H1506" s="7">
        <v>1</v>
      </c>
      <c r="I1506" s="2">
        <v>453.34</v>
      </c>
      <c r="J1506" s="2">
        <f>Tabla2[[#This Row],[Quantity]]*I1506</f>
        <v>453.34</v>
      </c>
      <c r="K1506" s="6">
        <f>MONTH(Tabla2[[#This Row],[OrderDate]])</f>
        <v>4</v>
      </c>
      <c r="L1506" s="6">
        <f>YEAR(Tabla2[[#This Row],[OrderDate]])</f>
        <v>2024</v>
      </c>
      <c r="M1506" s="7" t="s">
        <v>2684</v>
      </c>
      <c r="N1506" s="7" t="s">
        <v>28</v>
      </c>
    </row>
    <row r="1507" spans="1:14" x14ac:dyDescent="0.35">
      <c r="A1507" s="7" t="s">
        <v>2776</v>
      </c>
      <c r="B1507" s="7" t="s">
        <v>133</v>
      </c>
      <c r="C1507" s="7" t="s">
        <v>134</v>
      </c>
      <c r="D1507" s="7" t="s">
        <v>32</v>
      </c>
      <c r="E1507" s="7" t="s">
        <v>33</v>
      </c>
      <c r="F1507" s="7" t="s">
        <v>50</v>
      </c>
      <c r="G1507" s="7" t="s">
        <v>69</v>
      </c>
      <c r="H1507" s="7">
        <v>1</v>
      </c>
      <c r="I1507" s="2">
        <v>1384.46</v>
      </c>
      <c r="J1507" s="2">
        <f>Tabla2[[#This Row],[Quantity]]*I1507</f>
        <v>1384.46</v>
      </c>
      <c r="K1507" s="6">
        <f>MONTH(Tabla2[[#This Row],[OrderDate]])</f>
        <v>1</v>
      </c>
      <c r="L1507" s="6">
        <f>YEAR(Tabla2[[#This Row],[OrderDate]])</f>
        <v>2026</v>
      </c>
      <c r="M1507" s="7" t="s">
        <v>2086</v>
      </c>
      <c r="N1507" s="7" t="s">
        <v>36</v>
      </c>
    </row>
    <row r="1508" spans="1:14" x14ac:dyDescent="0.35">
      <c r="A1508" s="7" t="s">
        <v>2777</v>
      </c>
      <c r="B1508" s="7" t="s">
        <v>914</v>
      </c>
      <c r="C1508" s="7" t="s">
        <v>915</v>
      </c>
      <c r="D1508" s="7" t="s">
        <v>32</v>
      </c>
      <c r="E1508" s="7" t="s">
        <v>33</v>
      </c>
      <c r="F1508" s="7" t="s">
        <v>42</v>
      </c>
      <c r="G1508" s="7" t="s">
        <v>43</v>
      </c>
      <c r="H1508" s="7">
        <v>5</v>
      </c>
      <c r="I1508" s="2">
        <v>193.52</v>
      </c>
      <c r="J1508" s="2">
        <f>Tabla2[[#This Row],[Quantity]]*I1508</f>
        <v>967.6</v>
      </c>
      <c r="K1508" s="6">
        <f>MONTH(Tabla2[[#This Row],[OrderDate]])</f>
        <v>6</v>
      </c>
      <c r="L1508" s="6">
        <f>YEAR(Tabla2[[#This Row],[OrderDate]])</f>
        <v>2025</v>
      </c>
      <c r="M1508" s="7" t="s">
        <v>2054</v>
      </c>
      <c r="N1508" s="7" t="s">
        <v>36</v>
      </c>
    </row>
    <row r="1509" spans="1:14" x14ac:dyDescent="0.35">
      <c r="A1509" s="7" t="s">
        <v>2778</v>
      </c>
      <c r="B1509" s="7" t="s">
        <v>30</v>
      </c>
      <c r="C1509" s="7" t="s">
        <v>31</v>
      </c>
      <c r="D1509" s="7" t="s">
        <v>23</v>
      </c>
      <c r="E1509" s="7" t="s">
        <v>49</v>
      </c>
      <c r="F1509" s="7" t="s">
        <v>42</v>
      </c>
      <c r="G1509" s="7" t="s">
        <v>80</v>
      </c>
      <c r="H1509" s="7">
        <v>5</v>
      </c>
      <c r="I1509" s="2">
        <v>386.63</v>
      </c>
      <c r="J1509" s="2">
        <f>Tabla2[[#This Row],[Quantity]]*I1509</f>
        <v>1933.15</v>
      </c>
      <c r="K1509" s="6">
        <f>MONTH(Tabla2[[#This Row],[OrderDate]])</f>
        <v>2</v>
      </c>
      <c r="L1509" s="6">
        <f>YEAR(Tabla2[[#This Row],[OrderDate]])</f>
        <v>2024</v>
      </c>
      <c r="M1509" s="7" t="s">
        <v>2023</v>
      </c>
      <c r="N1509" s="7" t="s">
        <v>91</v>
      </c>
    </row>
    <row r="1510" spans="1:14" x14ac:dyDescent="0.35">
      <c r="A1510" s="7" t="s">
        <v>2779</v>
      </c>
      <c r="B1510" s="7" t="s">
        <v>727</v>
      </c>
      <c r="C1510" s="7" t="s">
        <v>728</v>
      </c>
      <c r="D1510" s="7" t="s">
        <v>14</v>
      </c>
      <c r="E1510" s="7" t="s">
        <v>266</v>
      </c>
      <c r="F1510" s="7" t="s">
        <v>25</v>
      </c>
      <c r="G1510" s="7" t="s">
        <v>139</v>
      </c>
      <c r="H1510" s="7">
        <v>5</v>
      </c>
      <c r="I1510" s="2">
        <v>681.7</v>
      </c>
      <c r="J1510" s="2">
        <f>Tabla2[[#This Row],[Quantity]]*I1510</f>
        <v>3408.5</v>
      </c>
      <c r="K1510" s="6">
        <f>MONTH(Tabla2[[#This Row],[OrderDate]])</f>
        <v>10</v>
      </c>
      <c r="L1510" s="6">
        <f>YEAR(Tabla2[[#This Row],[OrderDate]])</f>
        <v>2024</v>
      </c>
      <c r="M1510" s="7" t="s">
        <v>85</v>
      </c>
      <c r="N1510" s="7" t="s">
        <v>45</v>
      </c>
    </row>
    <row r="1511" spans="1:14" x14ac:dyDescent="0.35">
      <c r="A1511" s="7" t="s">
        <v>2780</v>
      </c>
      <c r="B1511" s="7" t="s">
        <v>1312</v>
      </c>
      <c r="C1511" s="7" t="s">
        <v>1313</v>
      </c>
      <c r="D1511" s="7" t="s">
        <v>32</v>
      </c>
      <c r="E1511" s="7" t="s">
        <v>33</v>
      </c>
      <c r="F1511" s="7" t="s">
        <v>16</v>
      </c>
      <c r="G1511" s="7" t="s">
        <v>177</v>
      </c>
      <c r="H1511" s="7">
        <v>2</v>
      </c>
      <c r="I1511" s="2">
        <v>892.09</v>
      </c>
      <c r="J1511" s="2">
        <f>Tabla2[[#This Row],[Quantity]]*I1511</f>
        <v>1784.18</v>
      </c>
      <c r="K1511" s="6">
        <f>MONTH(Tabla2[[#This Row],[OrderDate]])</f>
        <v>8</v>
      </c>
      <c r="L1511" s="6">
        <f>YEAR(Tabla2[[#This Row],[OrderDate]])</f>
        <v>2025</v>
      </c>
      <c r="M1511" s="7" t="s">
        <v>258</v>
      </c>
      <c r="N1511" s="7" t="s">
        <v>91</v>
      </c>
    </row>
    <row r="1512" spans="1:14" x14ac:dyDescent="0.35">
      <c r="A1512" s="7" t="s">
        <v>2781</v>
      </c>
      <c r="B1512" s="7" t="s">
        <v>1058</v>
      </c>
      <c r="C1512" s="7" t="s">
        <v>1059</v>
      </c>
      <c r="D1512" s="7" t="s">
        <v>32</v>
      </c>
      <c r="E1512" s="7" t="s">
        <v>61</v>
      </c>
      <c r="F1512" s="7" t="s">
        <v>101</v>
      </c>
      <c r="G1512" s="7" t="s">
        <v>373</v>
      </c>
      <c r="H1512" s="7">
        <v>1</v>
      </c>
      <c r="I1512" s="2">
        <v>1056.57</v>
      </c>
      <c r="J1512" s="2">
        <f>Tabla2[[#This Row],[Quantity]]*I1512</f>
        <v>1056.57</v>
      </c>
      <c r="K1512" s="6">
        <f>MONTH(Tabla2[[#This Row],[OrderDate]])</f>
        <v>2</v>
      </c>
      <c r="L1512" s="6">
        <f>YEAR(Tabla2[[#This Row],[OrderDate]])</f>
        <v>2025</v>
      </c>
      <c r="M1512" s="7" t="s">
        <v>504</v>
      </c>
      <c r="N1512" s="7" t="s">
        <v>19</v>
      </c>
    </row>
    <row r="1513" spans="1:14" x14ac:dyDescent="0.35">
      <c r="A1513" s="7" t="s">
        <v>2782</v>
      </c>
      <c r="B1513" s="7" t="s">
        <v>1191</v>
      </c>
      <c r="C1513" s="7" t="s">
        <v>1192</v>
      </c>
      <c r="D1513" s="7" t="s">
        <v>32</v>
      </c>
      <c r="E1513" s="7" t="s">
        <v>61</v>
      </c>
      <c r="F1513" s="7" t="s">
        <v>16</v>
      </c>
      <c r="G1513" s="7" t="s">
        <v>177</v>
      </c>
      <c r="H1513" s="7">
        <v>2</v>
      </c>
      <c r="I1513" s="2">
        <v>24.22</v>
      </c>
      <c r="J1513" s="2">
        <f>Tabla2[[#This Row],[Quantity]]*I1513</f>
        <v>48.44</v>
      </c>
      <c r="K1513" s="6">
        <f>MONTH(Tabla2[[#This Row],[OrderDate]])</f>
        <v>4</v>
      </c>
      <c r="L1513" s="6">
        <f>YEAR(Tabla2[[#This Row],[OrderDate]])</f>
        <v>2025</v>
      </c>
      <c r="M1513" s="7" t="s">
        <v>765</v>
      </c>
      <c r="N1513" s="7" t="s">
        <v>45</v>
      </c>
    </row>
    <row r="1514" spans="1:14" x14ac:dyDescent="0.35">
      <c r="A1514" s="7" t="s">
        <v>2783</v>
      </c>
      <c r="B1514" s="7" t="s">
        <v>418</v>
      </c>
      <c r="C1514" s="7" t="s">
        <v>419</v>
      </c>
      <c r="D1514" s="7" t="s">
        <v>23</v>
      </c>
      <c r="E1514" s="7" t="s">
        <v>338</v>
      </c>
      <c r="F1514" s="7" t="s">
        <v>16</v>
      </c>
      <c r="G1514" s="7" t="s">
        <v>182</v>
      </c>
      <c r="H1514" s="7">
        <v>5</v>
      </c>
      <c r="I1514" s="2">
        <v>960.99</v>
      </c>
      <c r="J1514" s="2">
        <f>Tabla2[[#This Row],[Quantity]]*I1514</f>
        <v>4804.95</v>
      </c>
      <c r="K1514" s="6">
        <f>MONTH(Tabla2[[#This Row],[OrderDate]])</f>
        <v>1</v>
      </c>
      <c r="L1514" s="6">
        <f>YEAR(Tabla2[[#This Row],[OrderDate]])</f>
        <v>2025</v>
      </c>
      <c r="M1514" s="7" t="s">
        <v>654</v>
      </c>
      <c r="N1514" s="7" t="s">
        <v>91</v>
      </c>
    </row>
    <row r="1515" spans="1:14" x14ac:dyDescent="0.35">
      <c r="A1515" s="7" t="s">
        <v>2784</v>
      </c>
      <c r="B1515" s="7" t="s">
        <v>699</v>
      </c>
      <c r="C1515" s="7" t="s">
        <v>700</v>
      </c>
      <c r="D1515" s="7" t="s">
        <v>14</v>
      </c>
      <c r="E1515" s="7" t="s">
        <v>15</v>
      </c>
      <c r="F1515" s="7" t="s">
        <v>101</v>
      </c>
      <c r="G1515" s="7" t="s">
        <v>165</v>
      </c>
      <c r="H1515" s="7">
        <v>1</v>
      </c>
      <c r="I1515" s="2">
        <v>435.5</v>
      </c>
      <c r="J1515" s="2">
        <f>Tabla2[[#This Row],[Quantity]]*I1515</f>
        <v>435.5</v>
      </c>
      <c r="K1515" s="6">
        <f>MONTH(Tabla2[[#This Row],[OrderDate]])</f>
        <v>2</v>
      </c>
      <c r="L1515" s="6">
        <f>YEAR(Tabla2[[#This Row],[OrderDate]])</f>
        <v>2025</v>
      </c>
      <c r="M1515" s="7" t="s">
        <v>1199</v>
      </c>
      <c r="N1515" s="7" t="s">
        <v>28</v>
      </c>
    </row>
    <row r="1516" spans="1:14" x14ac:dyDescent="0.35">
      <c r="A1516" s="7" t="s">
        <v>2785</v>
      </c>
      <c r="B1516" s="7" t="s">
        <v>481</v>
      </c>
      <c r="C1516" s="7" t="s">
        <v>482</v>
      </c>
      <c r="D1516" s="7" t="s">
        <v>23</v>
      </c>
      <c r="E1516" s="7" t="s">
        <v>49</v>
      </c>
      <c r="F1516" s="7" t="s">
        <v>25</v>
      </c>
      <c r="G1516" s="7" t="s">
        <v>34</v>
      </c>
      <c r="H1516" s="7">
        <v>1</v>
      </c>
      <c r="I1516" s="2">
        <v>1385.03</v>
      </c>
      <c r="J1516" s="2">
        <f>Tabla2[[#This Row],[Quantity]]*I1516</f>
        <v>1385.03</v>
      </c>
      <c r="K1516" s="6">
        <f>MONTH(Tabla2[[#This Row],[OrderDate]])</f>
        <v>9</v>
      </c>
      <c r="L1516" s="6">
        <f>YEAR(Tabla2[[#This Row],[OrderDate]])</f>
        <v>2025</v>
      </c>
      <c r="M1516" s="7" t="s">
        <v>1032</v>
      </c>
      <c r="N1516" s="7" t="s">
        <v>36</v>
      </c>
    </row>
    <row r="1517" spans="1:14" x14ac:dyDescent="0.35">
      <c r="A1517" s="7" t="s">
        <v>2786</v>
      </c>
      <c r="B1517" s="7" t="s">
        <v>2157</v>
      </c>
      <c r="C1517" s="7" t="s">
        <v>2158</v>
      </c>
      <c r="D1517" s="7" t="s">
        <v>32</v>
      </c>
      <c r="E1517" s="7" t="s">
        <v>61</v>
      </c>
      <c r="F1517" s="7" t="s">
        <v>25</v>
      </c>
      <c r="G1517" s="7" t="s">
        <v>62</v>
      </c>
      <c r="H1517" s="7">
        <v>1</v>
      </c>
      <c r="I1517" s="2">
        <v>814.62</v>
      </c>
      <c r="J1517" s="2">
        <f>Tabla2[[#This Row],[Quantity]]*I1517</f>
        <v>814.62</v>
      </c>
      <c r="K1517" s="6">
        <f>MONTH(Tabla2[[#This Row],[OrderDate]])</f>
        <v>6</v>
      </c>
      <c r="L1517" s="6">
        <f>YEAR(Tabla2[[#This Row],[OrderDate]])</f>
        <v>2024</v>
      </c>
      <c r="M1517" s="7" t="s">
        <v>1481</v>
      </c>
      <c r="N1517" s="7" t="s">
        <v>45</v>
      </c>
    </row>
    <row r="1518" spans="1:14" x14ac:dyDescent="0.35">
      <c r="A1518" s="7" t="s">
        <v>2787</v>
      </c>
      <c r="B1518" s="7" t="s">
        <v>832</v>
      </c>
      <c r="C1518" s="7" t="s">
        <v>833</v>
      </c>
      <c r="D1518" s="7" t="s">
        <v>23</v>
      </c>
      <c r="E1518" s="7" t="s">
        <v>338</v>
      </c>
      <c r="F1518" s="7" t="s">
        <v>25</v>
      </c>
      <c r="G1518" s="7" t="s">
        <v>74</v>
      </c>
      <c r="H1518" s="7">
        <v>1</v>
      </c>
      <c r="I1518" s="2">
        <v>258.73</v>
      </c>
      <c r="J1518" s="2">
        <f>Tabla2[[#This Row],[Quantity]]*I1518</f>
        <v>258.73</v>
      </c>
      <c r="K1518" s="6">
        <f>MONTH(Tabla2[[#This Row],[OrderDate]])</f>
        <v>1</v>
      </c>
      <c r="L1518" s="6">
        <f>YEAR(Tabla2[[#This Row],[OrderDate]])</f>
        <v>2025</v>
      </c>
      <c r="M1518" s="7" t="s">
        <v>2667</v>
      </c>
      <c r="N1518" s="7" t="s">
        <v>45</v>
      </c>
    </row>
    <row r="1519" spans="1:14" x14ac:dyDescent="0.35">
      <c r="A1519" s="7" t="s">
        <v>2788</v>
      </c>
      <c r="B1519" s="7" t="s">
        <v>1510</v>
      </c>
      <c r="C1519" s="7" t="s">
        <v>1511</v>
      </c>
      <c r="D1519" s="7" t="s">
        <v>14</v>
      </c>
      <c r="E1519" s="7" t="s">
        <v>266</v>
      </c>
      <c r="F1519" s="7" t="s">
        <v>16</v>
      </c>
      <c r="G1519" s="7" t="s">
        <v>182</v>
      </c>
      <c r="H1519" s="7">
        <v>5</v>
      </c>
      <c r="I1519" s="2">
        <v>841.22</v>
      </c>
      <c r="J1519" s="2">
        <f>Tabla2[[#This Row],[Quantity]]*I1519</f>
        <v>4206.1000000000004</v>
      </c>
      <c r="K1519" s="6">
        <f>MONTH(Tabla2[[#This Row],[OrderDate]])</f>
        <v>9</v>
      </c>
      <c r="L1519" s="6">
        <f>YEAR(Tabla2[[#This Row],[OrderDate]])</f>
        <v>2025</v>
      </c>
      <c r="M1519" s="7" t="s">
        <v>2588</v>
      </c>
      <c r="N1519" s="7" t="s">
        <v>45</v>
      </c>
    </row>
    <row r="1520" spans="1:14" x14ac:dyDescent="0.35">
      <c r="A1520" s="7" t="s">
        <v>2789</v>
      </c>
      <c r="B1520" s="7" t="s">
        <v>315</v>
      </c>
      <c r="C1520" s="7" t="s">
        <v>316</v>
      </c>
      <c r="D1520" s="7" t="s">
        <v>14</v>
      </c>
      <c r="E1520" s="7" t="s">
        <v>125</v>
      </c>
      <c r="F1520" s="7" t="s">
        <v>16</v>
      </c>
      <c r="G1520" s="7" t="s">
        <v>17</v>
      </c>
      <c r="H1520" s="7">
        <v>3</v>
      </c>
      <c r="I1520" s="2">
        <v>713.8</v>
      </c>
      <c r="J1520" s="2">
        <f>Tabla2[[#This Row],[Quantity]]*I1520</f>
        <v>2141.3999999999996</v>
      </c>
      <c r="K1520" s="6">
        <f>MONTH(Tabla2[[#This Row],[OrderDate]])</f>
        <v>5</v>
      </c>
      <c r="L1520" s="6">
        <f>YEAR(Tabla2[[#This Row],[OrderDate]])</f>
        <v>2024</v>
      </c>
      <c r="M1520" s="7" t="s">
        <v>212</v>
      </c>
      <c r="N1520" s="7" t="s">
        <v>28</v>
      </c>
    </row>
    <row r="1521" spans="1:14" x14ac:dyDescent="0.35">
      <c r="A1521" s="7" t="s">
        <v>2790</v>
      </c>
      <c r="B1521" s="7" t="s">
        <v>639</v>
      </c>
      <c r="C1521" s="7" t="s">
        <v>640</v>
      </c>
      <c r="D1521" s="7" t="s">
        <v>67</v>
      </c>
      <c r="E1521" s="7" t="s">
        <v>115</v>
      </c>
      <c r="F1521" s="7" t="s">
        <v>101</v>
      </c>
      <c r="G1521" s="7" t="s">
        <v>165</v>
      </c>
      <c r="H1521" s="7">
        <v>3</v>
      </c>
      <c r="I1521" s="2">
        <v>421.34</v>
      </c>
      <c r="J1521" s="2">
        <f>Tabla2[[#This Row],[Quantity]]*I1521</f>
        <v>1264.02</v>
      </c>
      <c r="K1521" s="6">
        <f>MONTH(Tabla2[[#This Row],[OrderDate]])</f>
        <v>6</v>
      </c>
      <c r="L1521" s="6">
        <f>YEAR(Tabla2[[#This Row],[OrderDate]])</f>
        <v>2024</v>
      </c>
      <c r="M1521" s="7" t="s">
        <v>896</v>
      </c>
      <c r="N1521" s="7" t="s">
        <v>91</v>
      </c>
    </row>
    <row r="1522" spans="1:14" x14ac:dyDescent="0.35">
      <c r="A1522" s="7" t="s">
        <v>2791</v>
      </c>
      <c r="B1522" s="7" t="s">
        <v>439</v>
      </c>
      <c r="C1522" s="7" t="s">
        <v>440</v>
      </c>
      <c r="D1522" s="7" t="s">
        <v>40</v>
      </c>
      <c r="E1522" s="7" t="s">
        <v>120</v>
      </c>
      <c r="F1522" s="7" t="s">
        <v>42</v>
      </c>
      <c r="G1522" s="7" t="s">
        <v>43</v>
      </c>
      <c r="H1522" s="7">
        <v>4</v>
      </c>
      <c r="I1522" s="2">
        <v>1235.8800000000001</v>
      </c>
      <c r="J1522" s="2">
        <f>Tabla2[[#This Row],[Quantity]]*I1522</f>
        <v>4943.5200000000004</v>
      </c>
      <c r="K1522" s="6">
        <f>MONTH(Tabla2[[#This Row],[OrderDate]])</f>
        <v>6</v>
      </c>
      <c r="L1522" s="6">
        <f>YEAR(Tabla2[[#This Row],[OrderDate]])</f>
        <v>2024</v>
      </c>
      <c r="M1522" s="7" t="s">
        <v>1481</v>
      </c>
      <c r="N1522" s="7" t="s">
        <v>36</v>
      </c>
    </row>
    <row r="1523" spans="1:14" x14ac:dyDescent="0.35">
      <c r="A1523" s="7" t="s">
        <v>2792</v>
      </c>
      <c r="B1523" s="7" t="s">
        <v>500</v>
      </c>
      <c r="C1523" s="7" t="s">
        <v>501</v>
      </c>
      <c r="D1523" s="7" t="s">
        <v>23</v>
      </c>
      <c r="E1523" s="7" t="s">
        <v>49</v>
      </c>
      <c r="F1523" s="7" t="s">
        <v>101</v>
      </c>
      <c r="G1523" s="7" t="s">
        <v>373</v>
      </c>
      <c r="H1523" s="7">
        <v>2</v>
      </c>
      <c r="I1523" s="2">
        <v>1088.95</v>
      </c>
      <c r="J1523" s="2">
        <f>Tabla2[[#This Row],[Quantity]]*I1523</f>
        <v>2177.9</v>
      </c>
      <c r="K1523" s="6">
        <f>MONTH(Tabla2[[#This Row],[OrderDate]])</f>
        <v>7</v>
      </c>
      <c r="L1523" s="6">
        <f>YEAR(Tabla2[[#This Row],[OrderDate]])</f>
        <v>2025</v>
      </c>
      <c r="M1523" s="7" t="s">
        <v>2223</v>
      </c>
      <c r="N1523" s="7" t="s">
        <v>19</v>
      </c>
    </row>
    <row r="1524" spans="1:14" x14ac:dyDescent="0.35">
      <c r="A1524" s="7" t="s">
        <v>2793</v>
      </c>
      <c r="B1524" s="7" t="s">
        <v>586</v>
      </c>
      <c r="C1524" s="7" t="s">
        <v>587</v>
      </c>
      <c r="D1524" s="7" t="s">
        <v>14</v>
      </c>
      <c r="E1524" s="7" t="s">
        <v>266</v>
      </c>
      <c r="F1524" s="7" t="s">
        <v>50</v>
      </c>
      <c r="G1524" s="7" t="s">
        <v>51</v>
      </c>
      <c r="H1524" s="7">
        <v>3</v>
      </c>
      <c r="I1524" s="2">
        <v>1020.22</v>
      </c>
      <c r="J1524" s="2">
        <f>Tabla2[[#This Row],[Quantity]]*I1524</f>
        <v>3060.66</v>
      </c>
      <c r="K1524" s="6">
        <f>MONTH(Tabla2[[#This Row],[OrderDate]])</f>
        <v>7</v>
      </c>
      <c r="L1524" s="6">
        <f>YEAR(Tabla2[[#This Row],[OrderDate]])</f>
        <v>2024</v>
      </c>
      <c r="M1524" s="7" t="s">
        <v>2354</v>
      </c>
      <c r="N1524" s="7" t="s">
        <v>36</v>
      </c>
    </row>
    <row r="1525" spans="1:14" x14ac:dyDescent="0.35">
      <c r="A1525" s="7" t="s">
        <v>2794</v>
      </c>
      <c r="B1525" s="7" t="s">
        <v>380</v>
      </c>
      <c r="C1525" s="7" t="s">
        <v>381</v>
      </c>
      <c r="D1525" s="7" t="s">
        <v>23</v>
      </c>
      <c r="E1525" s="7" t="s">
        <v>49</v>
      </c>
      <c r="F1525" s="7" t="s">
        <v>50</v>
      </c>
      <c r="G1525" s="7" t="s">
        <v>51</v>
      </c>
      <c r="H1525" s="7">
        <v>3</v>
      </c>
      <c r="I1525" s="2">
        <v>440.77</v>
      </c>
      <c r="J1525" s="2">
        <f>Tabla2[[#This Row],[Quantity]]*I1525</f>
        <v>1322.31</v>
      </c>
      <c r="K1525" s="6">
        <f>MONTH(Tabla2[[#This Row],[OrderDate]])</f>
        <v>2</v>
      </c>
      <c r="L1525" s="6">
        <f>YEAR(Tabla2[[#This Row],[OrderDate]])</f>
        <v>2024</v>
      </c>
      <c r="M1525" s="7" t="s">
        <v>894</v>
      </c>
      <c r="N1525" s="7" t="s">
        <v>91</v>
      </c>
    </row>
    <row r="1526" spans="1:14" x14ac:dyDescent="0.35">
      <c r="A1526" s="7" t="s">
        <v>2795</v>
      </c>
      <c r="B1526" s="7" t="s">
        <v>315</v>
      </c>
      <c r="C1526" s="7" t="s">
        <v>316</v>
      </c>
      <c r="D1526" s="7" t="s">
        <v>14</v>
      </c>
      <c r="E1526" s="7" t="s">
        <v>100</v>
      </c>
      <c r="F1526" s="7" t="s">
        <v>16</v>
      </c>
      <c r="G1526" s="7" t="s">
        <v>182</v>
      </c>
      <c r="H1526" s="7">
        <v>1</v>
      </c>
      <c r="I1526" s="2">
        <v>755.15</v>
      </c>
      <c r="J1526" s="2">
        <f>Tabla2[[#This Row],[Quantity]]*I1526</f>
        <v>755.15</v>
      </c>
      <c r="K1526" s="6">
        <f>MONTH(Tabla2[[#This Row],[OrderDate]])</f>
        <v>9</v>
      </c>
      <c r="L1526" s="6">
        <f>YEAR(Tabla2[[#This Row],[OrderDate]])</f>
        <v>2024</v>
      </c>
      <c r="M1526" s="7" t="s">
        <v>1754</v>
      </c>
      <c r="N1526" s="7" t="s">
        <v>19</v>
      </c>
    </row>
    <row r="1527" spans="1:14" x14ac:dyDescent="0.35">
      <c r="A1527" s="7" t="s">
        <v>2796</v>
      </c>
      <c r="B1527" s="7" t="s">
        <v>820</v>
      </c>
      <c r="C1527" s="7" t="s">
        <v>821</v>
      </c>
      <c r="D1527" s="7" t="s">
        <v>14</v>
      </c>
      <c r="E1527" s="7" t="s">
        <v>100</v>
      </c>
      <c r="F1527" s="7" t="s">
        <v>101</v>
      </c>
      <c r="G1527" s="7" t="s">
        <v>165</v>
      </c>
      <c r="H1527" s="7">
        <v>5</v>
      </c>
      <c r="I1527" s="2">
        <v>1014.95</v>
      </c>
      <c r="J1527" s="2">
        <f>Tabla2[[#This Row],[Quantity]]*I1527</f>
        <v>5074.75</v>
      </c>
      <c r="K1527" s="6">
        <f>MONTH(Tabla2[[#This Row],[OrderDate]])</f>
        <v>12</v>
      </c>
      <c r="L1527" s="6">
        <f>YEAR(Tabla2[[#This Row],[OrderDate]])</f>
        <v>2024</v>
      </c>
      <c r="M1527" s="7" t="s">
        <v>1889</v>
      </c>
      <c r="N1527" s="7" t="s">
        <v>36</v>
      </c>
    </row>
    <row r="1528" spans="1:14" x14ac:dyDescent="0.35">
      <c r="A1528" s="7" t="s">
        <v>2797</v>
      </c>
      <c r="B1528" s="7" t="s">
        <v>918</v>
      </c>
      <c r="C1528" s="7" t="s">
        <v>919</v>
      </c>
      <c r="D1528" s="7" t="s">
        <v>23</v>
      </c>
      <c r="E1528" s="7" t="s">
        <v>338</v>
      </c>
      <c r="F1528" s="7" t="s">
        <v>16</v>
      </c>
      <c r="G1528" s="7" t="s">
        <v>230</v>
      </c>
      <c r="H1528" s="7">
        <v>4</v>
      </c>
      <c r="I1528" s="2">
        <v>62.72</v>
      </c>
      <c r="J1528" s="2">
        <f>Tabla2[[#This Row],[Quantity]]*I1528</f>
        <v>250.88</v>
      </c>
      <c r="K1528" s="6">
        <f>MONTH(Tabla2[[#This Row],[OrderDate]])</f>
        <v>1</v>
      </c>
      <c r="L1528" s="6">
        <f>YEAR(Tabla2[[#This Row],[OrderDate]])</f>
        <v>2026</v>
      </c>
      <c r="M1528" s="7" t="s">
        <v>2278</v>
      </c>
      <c r="N1528" s="7" t="s">
        <v>45</v>
      </c>
    </row>
    <row r="1529" spans="1:14" x14ac:dyDescent="0.35">
      <c r="A1529" s="7" t="s">
        <v>2798</v>
      </c>
      <c r="B1529" s="7" t="s">
        <v>990</v>
      </c>
      <c r="C1529" s="7" t="s">
        <v>991</v>
      </c>
      <c r="D1529" s="7" t="s">
        <v>23</v>
      </c>
      <c r="E1529" s="7" t="s">
        <v>24</v>
      </c>
      <c r="F1529" s="7" t="s">
        <v>101</v>
      </c>
      <c r="G1529" s="7" t="s">
        <v>237</v>
      </c>
      <c r="H1529" s="7">
        <v>1</v>
      </c>
      <c r="I1529" s="2">
        <v>1331.38</v>
      </c>
      <c r="J1529" s="2">
        <f>Tabla2[[#This Row],[Quantity]]*I1529</f>
        <v>1331.38</v>
      </c>
      <c r="K1529" s="6">
        <f>MONTH(Tabla2[[#This Row],[OrderDate]])</f>
        <v>6</v>
      </c>
      <c r="L1529" s="6">
        <f>YEAR(Tabla2[[#This Row],[OrderDate]])</f>
        <v>2025</v>
      </c>
      <c r="M1529" s="7" t="s">
        <v>1929</v>
      </c>
      <c r="N1529" s="7" t="s">
        <v>28</v>
      </c>
    </row>
    <row r="1530" spans="1:14" x14ac:dyDescent="0.35">
      <c r="A1530" s="7" t="s">
        <v>2799</v>
      </c>
      <c r="B1530" s="7" t="s">
        <v>639</v>
      </c>
      <c r="C1530" s="7" t="s">
        <v>640</v>
      </c>
      <c r="D1530" s="7" t="s">
        <v>32</v>
      </c>
      <c r="E1530" s="7" t="s">
        <v>203</v>
      </c>
      <c r="F1530" s="7" t="s">
        <v>25</v>
      </c>
      <c r="G1530" s="7" t="s">
        <v>62</v>
      </c>
      <c r="H1530" s="7">
        <v>3</v>
      </c>
      <c r="I1530" s="2">
        <v>777.13</v>
      </c>
      <c r="J1530" s="2">
        <f>Tabla2[[#This Row],[Quantity]]*I1530</f>
        <v>2331.39</v>
      </c>
      <c r="K1530" s="6">
        <f>MONTH(Tabla2[[#This Row],[OrderDate]])</f>
        <v>2</v>
      </c>
      <c r="L1530" s="6">
        <f>YEAR(Tabla2[[#This Row],[OrderDate]])</f>
        <v>2024</v>
      </c>
      <c r="M1530" s="7" t="s">
        <v>2800</v>
      </c>
      <c r="N1530" s="7" t="s">
        <v>91</v>
      </c>
    </row>
    <row r="1531" spans="1:14" x14ac:dyDescent="0.35">
      <c r="A1531" s="7" t="s">
        <v>2801</v>
      </c>
      <c r="B1531" s="7" t="s">
        <v>38</v>
      </c>
      <c r="C1531" s="7" t="s">
        <v>39</v>
      </c>
      <c r="D1531" s="7" t="s">
        <v>14</v>
      </c>
      <c r="E1531" s="7" t="s">
        <v>266</v>
      </c>
      <c r="F1531" s="7" t="s">
        <v>101</v>
      </c>
      <c r="G1531" s="7" t="s">
        <v>373</v>
      </c>
      <c r="H1531" s="7">
        <v>2</v>
      </c>
      <c r="I1531" s="2">
        <v>1363.98</v>
      </c>
      <c r="J1531" s="2">
        <f>Tabla2[[#This Row],[Quantity]]*I1531</f>
        <v>2727.96</v>
      </c>
      <c r="K1531" s="6">
        <f>MONTH(Tabla2[[#This Row],[OrderDate]])</f>
        <v>7</v>
      </c>
      <c r="L1531" s="6">
        <f>YEAR(Tabla2[[#This Row],[OrderDate]])</f>
        <v>2025</v>
      </c>
      <c r="M1531" s="7" t="s">
        <v>486</v>
      </c>
      <c r="N1531" s="7" t="s">
        <v>28</v>
      </c>
    </row>
    <row r="1532" spans="1:14" x14ac:dyDescent="0.35">
      <c r="A1532" s="7" t="s">
        <v>2802</v>
      </c>
      <c r="B1532" s="7" t="s">
        <v>228</v>
      </c>
      <c r="C1532" s="7" t="s">
        <v>229</v>
      </c>
      <c r="D1532" s="7" t="s">
        <v>14</v>
      </c>
      <c r="E1532" s="7" t="s">
        <v>100</v>
      </c>
      <c r="F1532" s="7" t="s">
        <v>16</v>
      </c>
      <c r="G1532" s="7" t="s">
        <v>177</v>
      </c>
      <c r="H1532" s="7">
        <v>2</v>
      </c>
      <c r="I1532" s="2">
        <v>62.59</v>
      </c>
      <c r="J1532" s="2">
        <f>Tabla2[[#This Row],[Quantity]]*I1532</f>
        <v>125.18</v>
      </c>
      <c r="K1532" s="6">
        <f>MONTH(Tabla2[[#This Row],[OrderDate]])</f>
        <v>3</v>
      </c>
      <c r="L1532" s="6">
        <f>YEAR(Tabla2[[#This Row],[OrderDate]])</f>
        <v>2025</v>
      </c>
      <c r="M1532" s="7" t="s">
        <v>1338</v>
      </c>
      <c r="N1532" s="7" t="s">
        <v>36</v>
      </c>
    </row>
    <row r="1533" spans="1:14" x14ac:dyDescent="0.35">
      <c r="A1533" s="7" t="s">
        <v>2803</v>
      </c>
      <c r="B1533" s="7" t="s">
        <v>723</v>
      </c>
      <c r="C1533" s="7" t="s">
        <v>724</v>
      </c>
      <c r="D1533" s="7" t="s">
        <v>14</v>
      </c>
      <c r="E1533" s="7" t="s">
        <v>266</v>
      </c>
      <c r="F1533" s="7" t="s">
        <v>16</v>
      </c>
      <c r="G1533" s="7" t="s">
        <v>17</v>
      </c>
      <c r="H1533" s="7">
        <v>4</v>
      </c>
      <c r="I1533" s="2">
        <v>1319.81</v>
      </c>
      <c r="J1533" s="2">
        <f>Tabla2[[#This Row],[Quantity]]*I1533</f>
        <v>5279.24</v>
      </c>
      <c r="K1533" s="6">
        <f>MONTH(Tabla2[[#This Row],[OrderDate]])</f>
        <v>6</v>
      </c>
      <c r="L1533" s="6">
        <f>YEAR(Tabla2[[#This Row],[OrderDate]])</f>
        <v>2024</v>
      </c>
      <c r="M1533" s="7" t="s">
        <v>339</v>
      </c>
      <c r="N1533" s="7" t="s">
        <v>36</v>
      </c>
    </row>
    <row r="1534" spans="1:14" x14ac:dyDescent="0.35">
      <c r="A1534" s="7" t="s">
        <v>2804</v>
      </c>
      <c r="B1534" s="7" t="s">
        <v>1001</v>
      </c>
      <c r="C1534" s="7" t="s">
        <v>1002</v>
      </c>
      <c r="D1534" s="7" t="s">
        <v>40</v>
      </c>
      <c r="E1534" s="7" t="s">
        <v>120</v>
      </c>
      <c r="F1534" s="7" t="s">
        <v>16</v>
      </c>
      <c r="G1534" s="7" t="s">
        <v>148</v>
      </c>
      <c r="H1534" s="7">
        <v>5</v>
      </c>
      <c r="I1534" s="2">
        <v>868.63</v>
      </c>
      <c r="J1534" s="2">
        <f>Tabla2[[#This Row],[Quantity]]*I1534</f>
        <v>4343.1499999999996</v>
      </c>
      <c r="K1534" s="6">
        <f>MONTH(Tabla2[[#This Row],[OrderDate]])</f>
        <v>9</v>
      </c>
      <c r="L1534" s="6">
        <f>YEAR(Tabla2[[#This Row],[OrderDate]])</f>
        <v>2025</v>
      </c>
      <c r="M1534" s="7" t="s">
        <v>2772</v>
      </c>
      <c r="N1534" s="7" t="s">
        <v>45</v>
      </c>
    </row>
    <row r="1535" spans="1:14" x14ac:dyDescent="0.35">
      <c r="A1535" s="7" t="s">
        <v>2805</v>
      </c>
      <c r="B1535" s="7" t="s">
        <v>1677</v>
      </c>
      <c r="C1535" s="7" t="s">
        <v>1678</v>
      </c>
      <c r="D1535" s="7" t="s">
        <v>23</v>
      </c>
      <c r="E1535" s="7" t="s">
        <v>49</v>
      </c>
      <c r="F1535" s="7" t="s">
        <v>25</v>
      </c>
      <c r="G1535" s="7" t="s">
        <v>74</v>
      </c>
      <c r="H1535" s="7">
        <v>3</v>
      </c>
      <c r="I1535" s="2">
        <v>1165.24</v>
      </c>
      <c r="J1535" s="2">
        <f>Tabla2[[#This Row],[Quantity]]*I1535</f>
        <v>3495.7200000000003</v>
      </c>
      <c r="K1535" s="6">
        <f>MONTH(Tabla2[[#This Row],[OrderDate]])</f>
        <v>12</v>
      </c>
      <c r="L1535" s="6">
        <f>YEAR(Tabla2[[#This Row],[OrderDate]])</f>
        <v>2025</v>
      </c>
      <c r="M1535" s="7" t="s">
        <v>1460</v>
      </c>
      <c r="N1535" s="7" t="s">
        <v>91</v>
      </c>
    </row>
    <row r="1536" spans="1:14" x14ac:dyDescent="0.35">
      <c r="A1536" s="7" t="s">
        <v>2806</v>
      </c>
      <c r="B1536" s="7" t="s">
        <v>658</v>
      </c>
      <c r="C1536" s="7" t="s">
        <v>659</v>
      </c>
      <c r="D1536" s="7" t="s">
        <v>23</v>
      </c>
      <c r="E1536" s="7" t="s">
        <v>338</v>
      </c>
      <c r="F1536" s="7" t="s">
        <v>42</v>
      </c>
      <c r="G1536" s="7" t="s">
        <v>43</v>
      </c>
      <c r="H1536" s="7">
        <v>3</v>
      </c>
      <c r="I1536" s="2">
        <v>650.88</v>
      </c>
      <c r="J1536" s="2">
        <f>Tabla2[[#This Row],[Quantity]]*I1536</f>
        <v>1952.6399999999999</v>
      </c>
      <c r="K1536" s="6">
        <f>MONTH(Tabla2[[#This Row],[OrderDate]])</f>
        <v>12</v>
      </c>
      <c r="L1536" s="6">
        <f>YEAR(Tabla2[[#This Row],[OrderDate]])</f>
        <v>2025</v>
      </c>
      <c r="M1536" s="7" t="s">
        <v>2334</v>
      </c>
      <c r="N1536" s="7" t="s">
        <v>36</v>
      </c>
    </row>
    <row r="1537" spans="1:14" x14ac:dyDescent="0.35">
      <c r="A1537" s="7" t="s">
        <v>2807</v>
      </c>
      <c r="B1537" s="7" t="s">
        <v>639</v>
      </c>
      <c r="C1537" s="7" t="s">
        <v>640</v>
      </c>
      <c r="D1537" s="7" t="s">
        <v>23</v>
      </c>
      <c r="E1537" s="7" t="s">
        <v>49</v>
      </c>
      <c r="F1537" s="7" t="s">
        <v>16</v>
      </c>
      <c r="G1537" s="7" t="s">
        <v>230</v>
      </c>
      <c r="H1537" s="7">
        <v>2</v>
      </c>
      <c r="I1537" s="2">
        <v>367.54</v>
      </c>
      <c r="J1537" s="2">
        <f>Tabla2[[#This Row],[Quantity]]*I1537</f>
        <v>735.08</v>
      </c>
      <c r="K1537" s="6">
        <f>MONTH(Tabla2[[#This Row],[OrderDate]])</f>
        <v>3</v>
      </c>
      <c r="L1537" s="6">
        <f>YEAR(Tabla2[[#This Row],[OrderDate]])</f>
        <v>2026</v>
      </c>
      <c r="M1537" s="7" t="s">
        <v>2808</v>
      </c>
      <c r="N1537" s="7" t="s">
        <v>19</v>
      </c>
    </row>
    <row r="1538" spans="1:14" x14ac:dyDescent="0.35">
      <c r="A1538" s="7" t="s">
        <v>2809</v>
      </c>
      <c r="B1538" s="7" t="s">
        <v>426</v>
      </c>
      <c r="C1538" s="7" t="s">
        <v>427</v>
      </c>
      <c r="D1538" s="7" t="s">
        <v>32</v>
      </c>
      <c r="E1538" s="7" t="s">
        <v>33</v>
      </c>
      <c r="F1538" s="7" t="s">
        <v>16</v>
      </c>
      <c r="G1538" s="7" t="s">
        <v>182</v>
      </c>
      <c r="H1538" s="7">
        <v>2</v>
      </c>
      <c r="I1538" s="2">
        <v>1077.42</v>
      </c>
      <c r="J1538" s="2">
        <f>Tabla2[[#This Row],[Quantity]]*I1538</f>
        <v>2154.84</v>
      </c>
      <c r="K1538" s="6">
        <f>MONTH(Tabla2[[#This Row],[OrderDate]])</f>
        <v>9</v>
      </c>
      <c r="L1538" s="6">
        <f>YEAR(Tabla2[[#This Row],[OrderDate]])</f>
        <v>2025</v>
      </c>
      <c r="M1538" s="7" t="s">
        <v>2081</v>
      </c>
      <c r="N1538" s="7" t="s">
        <v>36</v>
      </c>
    </row>
    <row r="1539" spans="1:14" x14ac:dyDescent="0.35">
      <c r="A1539" s="7" t="s">
        <v>2810</v>
      </c>
      <c r="B1539" s="7" t="s">
        <v>1510</v>
      </c>
      <c r="C1539" s="7" t="s">
        <v>1511</v>
      </c>
      <c r="D1539" s="7" t="s">
        <v>67</v>
      </c>
      <c r="E1539" s="7" t="s">
        <v>68</v>
      </c>
      <c r="F1539" s="7" t="s">
        <v>25</v>
      </c>
      <c r="G1539" s="7" t="s">
        <v>26</v>
      </c>
      <c r="H1539" s="7">
        <v>3</v>
      </c>
      <c r="I1539" s="2">
        <v>278.47000000000003</v>
      </c>
      <c r="J1539" s="2">
        <f>Tabla2[[#This Row],[Quantity]]*I1539</f>
        <v>835.41000000000008</v>
      </c>
      <c r="K1539" s="6">
        <f>MONTH(Tabla2[[#This Row],[OrderDate]])</f>
        <v>7</v>
      </c>
      <c r="L1539" s="6">
        <f>YEAR(Tabla2[[#This Row],[OrderDate]])</f>
        <v>2025</v>
      </c>
      <c r="M1539" s="7" t="s">
        <v>2412</v>
      </c>
      <c r="N1539" s="7" t="s">
        <v>19</v>
      </c>
    </row>
    <row r="1540" spans="1:14" x14ac:dyDescent="0.35">
      <c r="A1540" s="7" t="s">
        <v>2811</v>
      </c>
      <c r="B1540" s="7" t="s">
        <v>180</v>
      </c>
      <c r="C1540" s="7" t="s">
        <v>181</v>
      </c>
      <c r="D1540" s="7" t="s">
        <v>40</v>
      </c>
      <c r="E1540" s="7" t="s">
        <v>41</v>
      </c>
      <c r="F1540" s="7" t="s">
        <v>50</v>
      </c>
      <c r="G1540" s="7" t="s">
        <v>69</v>
      </c>
      <c r="H1540" s="7">
        <v>2</v>
      </c>
      <c r="I1540" s="2">
        <v>882.93</v>
      </c>
      <c r="J1540" s="2">
        <f>Tabla2[[#This Row],[Quantity]]*I1540</f>
        <v>1765.86</v>
      </c>
      <c r="K1540" s="6">
        <f>MONTH(Tabla2[[#This Row],[OrderDate]])</f>
        <v>10</v>
      </c>
      <c r="L1540" s="6">
        <f>YEAR(Tabla2[[#This Row],[OrderDate]])</f>
        <v>2025</v>
      </c>
      <c r="M1540" s="7" t="s">
        <v>2270</v>
      </c>
      <c r="N1540" s="7" t="s">
        <v>28</v>
      </c>
    </row>
    <row r="1541" spans="1:14" x14ac:dyDescent="0.35">
      <c r="A1541" s="7" t="s">
        <v>2812</v>
      </c>
      <c r="B1541" s="7" t="s">
        <v>260</v>
      </c>
      <c r="C1541" s="7" t="s">
        <v>261</v>
      </c>
      <c r="D1541" s="7" t="s">
        <v>40</v>
      </c>
      <c r="E1541" s="7" t="s">
        <v>41</v>
      </c>
      <c r="F1541" s="7" t="s">
        <v>16</v>
      </c>
      <c r="G1541" s="7" t="s">
        <v>17</v>
      </c>
      <c r="H1541" s="7">
        <v>5</v>
      </c>
      <c r="I1541" s="2">
        <v>1367.14</v>
      </c>
      <c r="J1541" s="2">
        <f>Tabla2[[#This Row],[Quantity]]*I1541</f>
        <v>6835.7000000000007</v>
      </c>
      <c r="K1541" s="6">
        <f>MONTH(Tabla2[[#This Row],[OrderDate]])</f>
        <v>4</v>
      </c>
      <c r="L1541" s="6">
        <f>YEAR(Tabla2[[#This Row],[OrderDate]])</f>
        <v>2025</v>
      </c>
      <c r="M1541" s="7" t="s">
        <v>1034</v>
      </c>
      <c r="N1541" s="7" t="s">
        <v>19</v>
      </c>
    </row>
    <row r="1542" spans="1:14" x14ac:dyDescent="0.35">
      <c r="A1542" s="7" t="s">
        <v>2813</v>
      </c>
      <c r="B1542" s="7" t="s">
        <v>450</v>
      </c>
      <c r="C1542" s="7" t="s">
        <v>451</v>
      </c>
      <c r="D1542" s="7" t="s">
        <v>14</v>
      </c>
      <c r="E1542" s="7" t="s">
        <v>100</v>
      </c>
      <c r="F1542" s="7" t="s">
        <v>50</v>
      </c>
      <c r="G1542" s="7" t="s">
        <v>51</v>
      </c>
      <c r="H1542" s="7">
        <v>5</v>
      </c>
      <c r="I1542" s="2">
        <v>7.74</v>
      </c>
      <c r="J1542" s="2">
        <f>Tabla2[[#This Row],[Quantity]]*I1542</f>
        <v>38.700000000000003</v>
      </c>
      <c r="K1542" s="6">
        <f>MONTH(Tabla2[[#This Row],[OrderDate]])</f>
        <v>12</v>
      </c>
      <c r="L1542" s="6">
        <f>YEAR(Tabla2[[#This Row],[OrderDate]])</f>
        <v>2024</v>
      </c>
      <c r="M1542" s="7" t="s">
        <v>1448</v>
      </c>
      <c r="N1542" s="7" t="s">
        <v>45</v>
      </c>
    </row>
    <row r="1543" spans="1:14" x14ac:dyDescent="0.35">
      <c r="A1543" s="7" t="s">
        <v>2814</v>
      </c>
      <c r="B1543" s="7" t="s">
        <v>240</v>
      </c>
      <c r="C1543" s="7" t="s">
        <v>241</v>
      </c>
      <c r="D1543" s="7" t="s">
        <v>14</v>
      </c>
      <c r="E1543" s="7" t="s">
        <v>15</v>
      </c>
      <c r="F1543" s="7" t="s">
        <v>25</v>
      </c>
      <c r="G1543" s="7" t="s">
        <v>139</v>
      </c>
      <c r="H1543" s="7">
        <v>3</v>
      </c>
      <c r="I1543" s="2">
        <v>481.72</v>
      </c>
      <c r="J1543" s="2">
        <f>Tabla2[[#This Row],[Quantity]]*I1543</f>
        <v>1445.16</v>
      </c>
      <c r="K1543" s="6">
        <f>MONTH(Tabla2[[#This Row],[OrderDate]])</f>
        <v>8</v>
      </c>
      <c r="L1543" s="6">
        <f>YEAR(Tabla2[[#This Row],[OrderDate]])</f>
        <v>2025</v>
      </c>
      <c r="M1543" s="7" t="s">
        <v>2116</v>
      </c>
      <c r="N1543" s="7" t="s">
        <v>91</v>
      </c>
    </row>
    <row r="1544" spans="1:14" x14ac:dyDescent="0.35">
      <c r="A1544" s="7" t="s">
        <v>2815</v>
      </c>
      <c r="B1544" s="7" t="s">
        <v>474</v>
      </c>
      <c r="C1544" s="7" t="s">
        <v>475</v>
      </c>
      <c r="D1544" s="7" t="s">
        <v>32</v>
      </c>
      <c r="E1544" s="7" t="s">
        <v>33</v>
      </c>
      <c r="F1544" s="7" t="s">
        <v>42</v>
      </c>
      <c r="G1544" s="7" t="s">
        <v>170</v>
      </c>
      <c r="H1544" s="7">
        <v>4</v>
      </c>
      <c r="I1544" s="2">
        <v>436.76</v>
      </c>
      <c r="J1544" s="2">
        <f>Tabla2[[#This Row],[Quantity]]*I1544</f>
        <v>1747.04</v>
      </c>
      <c r="K1544" s="6">
        <f>MONTH(Tabla2[[#This Row],[OrderDate]])</f>
        <v>3</v>
      </c>
      <c r="L1544" s="6">
        <f>YEAR(Tabla2[[#This Row],[OrderDate]])</f>
        <v>2025</v>
      </c>
      <c r="M1544" s="7" t="s">
        <v>1338</v>
      </c>
      <c r="N1544" s="7" t="s">
        <v>19</v>
      </c>
    </row>
    <row r="1545" spans="1:14" x14ac:dyDescent="0.35">
      <c r="A1545" s="7" t="s">
        <v>2816</v>
      </c>
      <c r="B1545" s="7" t="s">
        <v>384</v>
      </c>
      <c r="C1545" s="7" t="s">
        <v>385</v>
      </c>
      <c r="D1545" s="7" t="s">
        <v>23</v>
      </c>
      <c r="E1545" s="7" t="s">
        <v>24</v>
      </c>
      <c r="F1545" s="7" t="s">
        <v>42</v>
      </c>
      <c r="G1545" s="7" t="s">
        <v>225</v>
      </c>
      <c r="H1545" s="7">
        <v>3</v>
      </c>
      <c r="I1545" s="2">
        <v>1264.92</v>
      </c>
      <c r="J1545" s="2">
        <f>Tabla2[[#This Row],[Quantity]]*I1545</f>
        <v>3794.76</v>
      </c>
      <c r="K1545" s="6">
        <f>MONTH(Tabla2[[#This Row],[OrderDate]])</f>
        <v>12</v>
      </c>
      <c r="L1545" s="6">
        <f>YEAR(Tabla2[[#This Row],[OrderDate]])</f>
        <v>2025</v>
      </c>
      <c r="M1545" s="7" t="s">
        <v>709</v>
      </c>
      <c r="N1545" s="7" t="s">
        <v>28</v>
      </c>
    </row>
    <row r="1546" spans="1:14" x14ac:dyDescent="0.35">
      <c r="A1546" s="7" t="s">
        <v>2817</v>
      </c>
      <c r="B1546" s="7" t="s">
        <v>1179</v>
      </c>
      <c r="C1546" s="7" t="s">
        <v>1180</v>
      </c>
      <c r="D1546" s="7" t="s">
        <v>14</v>
      </c>
      <c r="E1546" s="7" t="s">
        <v>95</v>
      </c>
      <c r="F1546" s="7" t="s">
        <v>101</v>
      </c>
      <c r="G1546" s="7" t="s">
        <v>373</v>
      </c>
      <c r="H1546" s="7">
        <v>5</v>
      </c>
      <c r="I1546" s="2">
        <v>696.14</v>
      </c>
      <c r="J1546" s="2">
        <f>Tabla2[[#This Row],[Quantity]]*I1546</f>
        <v>3480.7</v>
      </c>
      <c r="K1546" s="6">
        <f>MONTH(Tabla2[[#This Row],[OrderDate]])</f>
        <v>9</v>
      </c>
      <c r="L1546" s="6">
        <f>YEAR(Tabla2[[#This Row],[OrderDate]])</f>
        <v>2025</v>
      </c>
      <c r="M1546" s="7" t="s">
        <v>2225</v>
      </c>
      <c r="N1546" s="7" t="s">
        <v>28</v>
      </c>
    </row>
    <row r="1547" spans="1:14" x14ac:dyDescent="0.35">
      <c r="A1547" s="7" t="s">
        <v>2818</v>
      </c>
      <c r="B1547" s="7" t="s">
        <v>336</v>
      </c>
      <c r="C1547" s="7" t="s">
        <v>337</v>
      </c>
      <c r="D1547" s="7" t="s">
        <v>14</v>
      </c>
      <c r="E1547" s="7" t="s">
        <v>125</v>
      </c>
      <c r="F1547" s="7" t="s">
        <v>101</v>
      </c>
      <c r="G1547" s="7" t="s">
        <v>237</v>
      </c>
      <c r="H1547" s="7">
        <v>4</v>
      </c>
      <c r="I1547" s="2">
        <v>1139.8900000000001</v>
      </c>
      <c r="J1547" s="2">
        <f>Tabla2[[#This Row],[Quantity]]*I1547</f>
        <v>4559.5600000000004</v>
      </c>
      <c r="K1547" s="6">
        <f>MONTH(Tabla2[[#This Row],[OrderDate]])</f>
        <v>1</v>
      </c>
      <c r="L1547" s="6">
        <f>YEAR(Tabla2[[#This Row],[OrderDate]])</f>
        <v>2026</v>
      </c>
      <c r="M1547" s="7" t="s">
        <v>1048</v>
      </c>
      <c r="N1547" s="7" t="s">
        <v>45</v>
      </c>
    </row>
    <row r="1548" spans="1:14" x14ac:dyDescent="0.35">
      <c r="A1548" s="7" t="s">
        <v>2819</v>
      </c>
      <c r="B1548" s="7" t="s">
        <v>228</v>
      </c>
      <c r="C1548" s="7" t="s">
        <v>229</v>
      </c>
      <c r="D1548" s="7" t="s">
        <v>14</v>
      </c>
      <c r="E1548" s="7" t="s">
        <v>100</v>
      </c>
      <c r="F1548" s="7" t="s">
        <v>16</v>
      </c>
      <c r="G1548" s="7" t="s">
        <v>148</v>
      </c>
      <c r="H1548" s="7">
        <v>2</v>
      </c>
      <c r="I1548" s="2">
        <v>1369.57</v>
      </c>
      <c r="J1548" s="2">
        <f>Tabla2[[#This Row],[Quantity]]*I1548</f>
        <v>2739.14</v>
      </c>
      <c r="K1548" s="6">
        <f>MONTH(Tabla2[[#This Row],[OrderDate]])</f>
        <v>4</v>
      </c>
      <c r="L1548" s="6">
        <f>YEAR(Tabla2[[#This Row],[OrderDate]])</f>
        <v>2024</v>
      </c>
      <c r="M1548" s="7" t="s">
        <v>365</v>
      </c>
      <c r="N1548" s="7" t="s">
        <v>45</v>
      </c>
    </row>
    <row r="1549" spans="1:14" x14ac:dyDescent="0.35">
      <c r="A1549" s="7" t="s">
        <v>2820</v>
      </c>
      <c r="B1549" s="7" t="s">
        <v>699</v>
      </c>
      <c r="C1549" s="7" t="s">
        <v>700</v>
      </c>
      <c r="D1549" s="7" t="s">
        <v>23</v>
      </c>
      <c r="E1549" s="7" t="s">
        <v>49</v>
      </c>
      <c r="F1549" s="7" t="s">
        <v>50</v>
      </c>
      <c r="G1549" s="7" t="s">
        <v>216</v>
      </c>
      <c r="H1549" s="7">
        <v>2</v>
      </c>
      <c r="I1549" s="2">
        <v>528.03</v>
      </c>
      <c r="J1549" s="2">
        <f>Tabla2[[#This Row],[Quantity]]*I1549</f>
        <v>1056.06</v>
      </c>
      <c r="K1549" s="6">
        <f>MONTH(Tabla2[[#This Row],[OrderDate]])</f>
        <v>4</v>
      </c>
      <c r="L1549" s="6">
        <f>YEAR(Tabla2[[#This Row],[OrderDate]])</f>
        <v>2025</v>
      </c>
      <c r="M1549" s="7" t="s">
        <v>1879</v>
      </c>
      <c r="N1549" s="7" t="s">
        <v>91</v>
      </c>
    </row>
    <row r="1550" spans="1:14" x14ac:dyDescent="0.35">
      <c r="A1550" s="7" t="s">
        <v>2821</v>
      </c>
      <c r="B1550" s="7" t="s">
        <v>244</v>
      </c>
      <c r="C1550" s="7" t="s">
        <v>245</v>
      </c>
      <c r="D1550" s="7" t="s">
        <v>67</v>
      </c>
      <c r="E1550" s="7" t="s">
        <v>68</v>
      </c>
      <c r="F1550" s="7" t="s">
        <v>25</v>
      </c>
      <c r="G1550" s="7" t="s">
        <v>34</v>
      </c>
      <c r="H1550" s="7">
        <v>2</v>
      </c>
      <c r="I1550" s="2">
        <v>984.54</v>
      </c>
      <c r="J1550" s="2">
        <f>Tabla2[[#This Row],[Quantity]]*I1550</f>
        <v>1969.08</v>
      </c>
      <c r="K1550" s="6">
        <f>MONTH(Tabla2[[#This Row],[OrderDate]])</f>
        <v>4</v>
      </c>
      <c r="L1550" s="6">
        <f>YEAR(Tabla2[[#This Row],[OrderDate]])</f>
        <v>2026</v>
      </c>
      <c r="M1550" s="7" t="s">
        <v>1779</v>
      </c>
      <c r="N1550" s="7" t="s">
        <v>19</v>
      </c>
    </row>
    <row r="1551" spans="1:14" x14ac:dyDescent="0.35">
      <c r="A1551" s="7" t="s">
        <v>2822</v>
      </c>
      <c r="B1551" s="7" t="s">
        <v>287</v>
      </c>
      <c r="C1551" s="7" t="s">
        <v>288</v>
      </c>
      <c r="D1551" s="7" t="s">
        <v>67</v>
      </c>
      <c r="E1551" s="7" t="s">
        <v>68</v>
      </c>
      <c r="F1551" s="7" t="s">
        <v>101</v>
      </c>
      <c r="G1551" s="7" t="s">
        <v>165</v>
      </c>
      <c r="H1551" s="7">
        <v>2</v>
      </c>
      <c r="I1551" s="2">
        <v>1299.31</v>
      </c>
      <c r="J1551" s="2">
        <f>Tabla2[[#This Row],[Quantity]]*I1551</f>
        <v>2598.62</v>
      </c>
      <c r="K1551" s="6">
        <f>MONTH(Tabla2[[#This Row],[OrderDate]])</f>
        <v>6</v>
      </c>
      <c r="L1551" s="6">
        <f>YEAR(Tabla2[[#This Row],[OrderDate]])</f>
        <v>2025</v>
      </c>
      <c r="M1551" s="7" t="s">
        <v>199</v>
      </c>
      <c r="N1551" s="7" t="s">
        <v>28</v>
      </c>
    </row>
    <row r="1552" spans="1:14" x14ac:dyDescent="0.35">
      <c r="A1552" s="7" t="s">
        <v>2823</v>
      </c>
      <c r="B1552" s="7" t="s">
        <v>446</v>
      </c>
      <c r="C1552" s="7" t="s">
        <v>447</v>
      </c>
      <c r="D1552" s="7" t="s">
        <v>67</v>
      </c>
      <c r="E1552" s="7" t="s">
        <v>68</v>
      </c>
      <c r="F1552" s="7" t="s">
        <v>25</v>
      </c>
      <c r="G1552" s="7" t="s">
        <v>139</v>
      </c>
      <c r="H1552" s="7">
        <v>5</v>
      </c>
      <c r="I1552" s="2">
        <v>1349.95</v>
      </c>
      <c r="J1552" s="2">
        <f>Tabla2[[#This Row],[Quantity]]*I1552</f>
        <v>6749.75</v>
      </c>
      <c r="K1552" s="6">
        <f>MONTH(Tabla2[[#This Row],[OrderDate]])</f>
        <v>4</v>
      </c>
      <c r="L1552" s="6">
        <f>YEAR(Tabla2[[#This Row],[OrderDate]])</f>
        <v>2025</v>
      </c>
      <c r="M1552" s="7" t="s">
        <v>765</v>
      </c>
      <c r="N1552" s="7" t="s">
        <v>91</v>
      </c>
    </row>
    <row r="1553" spans="1:14" x14ac:dyDescent="0.35">
      <c r="A1553" s="7" t="s">
        <v>2824</v>
      </c>
      <c r="B1553" s="7" t="s">
        <v>686</v>
      </c>
      <c r="C1553" s="7" t="s">
        <v>687</v>
      </c>
      <c r="D1553" s="7" t="s">
        <v>32</v>
      </c>
      <c r="E1553" s="7" t="s">
        <v>203</v>
      </c>
      <c r="F1553" s="7" t="s">
        <v>16</v>
      </c>
      <c r="G1553" s="7" t="s">
        <v>17</v>
      </c>
      <c r="H1553" s="7">
        <v>2</v>
      </c>
      <c r="I1553" s="2">
        <v>1299.79</v>
      </c>
      <c r="J1553" s="2">
        <f>Tabla2[[#This Row],[Quantity]]*I1553</f>
        <v>2599.58</v>
      </c>
      <c r="K1553" s="6">
        <f>MONTH(Tabla2[[#This Row],[OrderDate]])</f>
        <v>6</v>
      </c>
      <c r="L1553" s="6">
        <f>YEAR(Tabla2[[#This Row],[OrderDate]])</f>
        <v>2025</v>
      </c>
      <c r="M1553" s="7" t="s">
        <v>305</v>
      </c>
      <c r="N1553" s="7" t="s">
        <v>36</v>
      </c>
    </row>
    <row r="1554" spans="1:14" x14ac:dyDescent="0.35">
      <c r="A1554" s="7" t="s">
        <v>2825</v>
      </c>
      <c r="B1554" s="7" t="s">
        <v>299</v>
      </c>
      <c r="C1554" s="7" t="s">
        <v>300</v>
      </c>
      <c r="D1554" s="7" t="s">
        <v>67</v>
      </c>
      <c r="E1554" s="7" t="s">
        <v>130</v>
      </c>
      <c r="F1554" s="7" t="s">
        <v>25</v>
      </c>
      <c r="G1554" s="7" t="s">
        <v>62</v>
      </c>
      <c r="H1554" s="7">
        <v>4</v>
      </c>
      <c r="I1554" s="2">
        <v>165.95</v>
      </c>
      <c r="J1554" s="2">
        <f>Tabla2[[#This Row],[Quantity]]*I1554</f>
        <v>663.8</v>
      </c>
      <c r="K1554" s="6">
        <f>MONTH(Tabla2[[#This Row],[OrderDate]])</f>
        <v>12</v>
      </c>
      <c r="L1554" s="6">
        <f>YEAR(Tabla2[[#This Row],[OrderDate]])</f>
        <v>2025</v>
      </c>
      <c r="M1554" s="7" t="s">
        <v>1425</v>
      </c>
      <c r="N1554" s="7" t="s">
        <v>19</v>
      </c>
    </row>
    <row r="1555" spans="1:14" x14ac:dyDescent="0.35">
      <c r="A1555" s="7" t="s">
        <v>2826</v>
      </c>
      <c r="B1555" s="7" t="s">
        <v>598</v>
      </c>
      <c r="C1555" s="7" t="s">
        <v>599</v>
      </c>
      <c r="D1555" s="7" t="s">
        <v>67</v>
      </c>
      <c r="E1555" s="7" t="s">
        <v>130</v>
      </c>
      <c r="F1555" s="7" t="s">
        <v>50</v>
      </c>
      <c r="G1555" s="7" t="s">
        <v>170</v>
      </c>
      <c r="H1555" s="7">
        <v>3</v>
      </c>
      <c r="I1555" s="2">
        <v>184.32</v>
      </c>
      <c r="J1555" s="2">
        <f>Tabla2[[#This Row],[Quantity]]*I1555</f>
        <v>552.96</v>
      </c>
      <c r="K1555" s="6">
        <f>MONTH(Tabla2[[#This Row],[OrderDate]])</f>
        <v>3</v>
      </c>
      <c r="L1555" s="6">
        <f>YEAR(Tabla2[[#This Row],[OrderDate]])</f>
        <v>2025</v>
      </c>
      <c r="M1555" s="7" t="s">
        <v>761</v>
      </c>
      <c r="N1555" s="7" t="s">
        <v>19</v>
      </c>
    </row>
    <row r="1556" spans="1:14" x14ac:dyDescent="0.35">
      <c r="A1556" s="7" t="s">
        <v>2827</v>
      </c>
      <c r="B1556" s="7" t="s">
        <v>1073</v>
      </c>
      <c r="C1556" s="7" t="s">
        <v>1074</v>
      </c>
      <c r="D1556" s="7" t="s">
        <v>32</v>
      </c>
      <c r="E1556" s="7" t="s">
        <v>203</v>
      </c>
      <c r="F1556" s="7" t="s">
        <v>50</v>
      </c>
      <c r="G1556" s="7" t="s">
        <v>56</v>
      </c>
      <c r="H1556" s="7">
        <v>2</v>
      </c>
      <c r="I1556" s="2">
        <v>856.11</v>
      </c>
      <c r="J1556" s="2">
        <f>Tabla2[[#This Row],[Quantity]]*I1556</f>
        <v>1712.22</v>
      </c>
      <c r="K1556" s="6">
        <f>MONTH(Tabla2[[#This Row],[OrderDate]])</f>
        <v>7</v>
      </c>
      <c r="L1556" s="6">
        <f>YEAR(Tabla2[[#This Row],[OrderDate]])</f>
        <v>2025</v>
      </c>
      <c r="M1556" s="7" t="s">
        <v>44</v>
      </c>
      <c r="N1556" s="7" t="s">
        <v>28</v>
      </c>
    </row>
    <row r="1557" spans="1:14" x14ac:dyDescent="0.35">
      <c r="A1557" s="7" t="s">
        <v>2828</v>
      </c>
      <c r="B1557" s="7" t="s">
        <v>718</v>
      </c>
      <c r="C1557" s="7" t="s">
        <v>719</v>
      </c>
      <c r="D1557" s="7" t="s">
        <v>40</v>
      </c>
      <c r="E1557" s="7" t="s">
        <v>120</v>
      </c>
      <c r="F1557" s="7" t="s">
        <v>25</v>
      </c>
      <c r="G1557" s="7" t="s">
        <v>34</v>
      </c>
      <c r="H1557" s="7">
        <v>3</v>
      </c>
      <c r="I1557" s="2">
        <v>782.28</v>
      </c>
      <c r="J1557" s="2">
        <f>Tabla2[[#This Row],[Quantity]]*I1557</f>
        <v>2346.84</v>
      </c>
      <c r="K1557" s="6">
        <f>MONTH(Tabla2[[#This Row],[OrderDate]])</f>
        <v>1</v>
      </c>
      <c r="L1557" s="6">
        <f>YEAR(Tabla2[[#This Row],[OrderDate]])</f>
        <v>2026</v>
      </c>
      <c r="M1557" s="7" t="s">
        <v>1406</v>
      </c>
      <c r="N1557" s="7" t="s">
        <v>19</v>
      </c>
    </row>
    <row r="1558" spans="1:14" x14ac:dyDescent="0.35">
      <c r="A1558" s="7" t="s">
        <v>2829</v>
      </c>
      <c r="B1558" s="7" t="s">
        <v>12</v>
      </c>
      <c r="C1558" s="7" t="s">
        <v>13</v>
      </c>
      <c r="D1558" s="7" t="s">
        <v>23</v>
      </c>
      <c r="E1558" s="7" t="s">
        <v>338</v>
      </c>
      <c r="F1558" s="7" t="s">
        <v>42</v>
      </c>
      <c r="G1558" s="7" t="s">
        <v>89</v>
      </c>
      <c r="H1558" s="7">
        <v>3</v>
      </c>
      <c r="I1558" s="2">
        <v>668.91</v>
      </c>
      <c r="J1558" s="2">
        <f>Tabla2[[#This Row],[Quantity]]*I1558</f>
        <v>2006.73</v>
      </c>
      <c r="K1558" s="6">
        <f>MONTH(Tabla2[[#This Row],[OrderDate]])</f>
        <v>5</v>
      </c>
      <c r="L1558" s="6">
        <f>YEAR(Tabla2[[#This Row],[OrderDate]])</f>
        <v>2025</v>
      </c>
      <c r="M1558" s="7" t="s">
        <v>2027</v>
      </c>
      <c r="N1558" s="7" t="s">
        <v>45</v>
      </c>
    </row>
    <row r="1559" spans="1:14" x14ac:dyDescent="0.35">
      <c r="A1559" s="7" t="s">
        <v>2830</v>
      </c>
      <c r="B1559" s="7" t="s">
        <v>173</v>
      </c>
      <c r="C1559" s="7" t="s">
        <v>174</v>
      </c>
      <c r="D1559" s="7" t="s">
        <v>32</v>
      </c>
      <c r="E1559" s="7" t="s">
        <v>203</v>
      </c>
      <c r="F1559" s="7" t="s">
        <v>42</v>
      </c>
      <c r="G1559" s="7" t="s">
        <v>43</v>
      </c>
      <c r="H1559" s="7">
        <v>3</v>
      </c>
      <c r="I1559" s="2">
        <v>125.88</v>
      </c>
      <c r="J1559" s="2">
        <f>Tabla2[[#This Row],[Quantity]]*I1559</f>
        <v>377.64</v>
      </c>
      <c r="K1559" s="6">
        <f>MONTH(Tabla2[[#This Row],[OrderDate]])</f>
        <v>2</v>
      </c>
      <c r="L1559" s="6">
        <f>YEAR(Tabla2[[#This Row],[OrderDate]])</f>
        <v>2025</v>
      </c>
      <c r="M1559" s="7" t="s">
        <v>2831</v>
      </c>
      <c r="N1559" s="7" t="s">
        <v>91</v>
      </c>
    </row>
    <row r="1560" spans="1:14" x14ac:dyDescent="0.35">
      <c r="A1560" s="7" t="s">
        <v>2832</v>
      </c>
      <c r="B1560" s="7" t="s">
        <v>355</v>
      </c>
      <c r="C1560" s="7" t="s">
        <v>356</v>
      </c>
      <c r="D1560" s="7" t="s">
        <v>14</v>
      </c>
      <c r="E1560" s="7" t="s">
        <v>266</v>
      </c>
      <c r="F1560" s="7" t="s">
        <v>25</v>
      </c>
      <c r="G1560" s="7" t="s">
        <v>139</v>
      </c>
      <c r="H1560" s="7">
        <v>2</v>
      </c>
      <c r="I1560" s="2">
        <v>104.75</v>
      </c>
      <c r="J1560" s="2">
        <f>Tabla2[[#This Row],[Quantity]]*I1560</f>
        <v>209.5</v>
      </c>
      <c r="K1560" s="6">
        <f>MONTH(Tabla2[[#This Row],[OrderDate]])</f>
        <v>1</v>
      </c>
      <c r="L1560" s="6">
        <f>YEAR(Tabla2[[#This Row],[OrderDate]])</f>
        <v>2026</v>
      </c>
      <c r="M1560" s="7" t="s">
        <v>1826</v>
      </c>
      <c r="N1560" s="7" t="s">
        <v>19</v>
      </c>
    </row>
    <row r="1561" spans="1:14" x14ac:dyDescent="0.35">
      <c r="A1561" s="7" t="s">
        <v>2833</v>
      </c>
      <c r="B1561" s="7" t="s">
        <v>1743</v>
      </c>
      <c r="C1561" s="7" t="s">
        <v>1744</v>
      </c>
      <c r="D1561" s="7" t="s">
        <v>67</v>
      </c>
      <c r="E1561" s="7" t="s">
        <v>130</v>
      </c>
      <c r="F1561" s="7" t="s">
        <v>50</v>
      </c>
      <c r="G1561" s="7" t="s">
        <v>56</v>
      </c>
      <c r="H1561" s="7">
        <v>4</v>
      </c>
      <c r="I1561" s="2">
        <v>957.33</v>
      </c>
      <c r="J1561" s="2">
        <f>Tabla2[[#This Row],[Quantity]]*I1561</f>
        <v>3829.32</v>
      </c>
      <c r="K1561" s="6">
        <f>MONTH(Tabla2[[#This Row],[OrderDate]])</f>
        <v>10</v>
      </c>
      <c r="L1561" s="6">
        <f>YEAR(Tabla2[[#This Row],[OrderDate]])</f>
        <v>2024</v>
      </c>
      <c r="M1561" s="7" t="s">
        <v>400</v>
      </c>
      <c r="N1561" s="7" t="s">
        <v>36</v>
      </c>
    </row>
    <row r="1562" spans="1:14" x14ac:dyDescent="0.35">
      <c r="A1562" s="7" t="s">
        <v>2834</v>
      </c>
      <c r="B1562" s="7" t="s">
        <v>142</v>
      </c>
      <c r="C1562" s="7" t="s">
        <v>143</v>
      </c>
      <c r="D1562" s="7" t="s">
        <v>40</v>
      </c>
      <c r="E1562" s="7" t="s">
        <v>41</v>
      </c>
      <c r="F1562" s="7" t="s">
        <v>16</v>
      </c>
      <c r="G1562" s="7" t="s">
        <v>17</v>
      </c>
      <c r="H1562" s="7">
        <v>4</v>
      </c>
      <c r="I1562" s="2">
        <v>758.78</v>
      </c>
      <c r="J1562" s="2">
        <f>Tabla2[[#This Row],[Quantity]]*I1562</f>
        <v>3035.12</v>
      </c>
      <c r="K1562" s="6">
        <f>MONTH(Tabla2[[#This Row],[OrderDate]])</f>
        <v>9</v>
      </c>
      <c r="L1562" s="6">
        <f>YEAR(Tabla2[[#This Row],[OrderDate]])</f>
        <v>2025</v>
      </c>
      <c r="M1562" s="7" t="s">
        <v>1942</v>
      </c>
      <c r="N1562" s="7" t="s">
        <v>19</v>
      </c>
    </row>
    <row r="1563" spans="1:14" x14ac:dyDescent="0.35">
      <c r="A1563" s="7" t="s">
        <v>2835</v>
      </c>
      <c r="B1563" s="7" t="s">
        <v>931</v>
      </c>
      <c r="C1563" s="7" t="s">
        <v>932</v>
      </c>
      <c r="D1563" s="7" t="s">
        <v>32</v>
      </c>
      <c r="E1563" s="7" t="s">
        <v>203</v>
      </c>
      <c r="F1563" s="7" t="s">
        <v>101</v>
      </c>
      <c r="G1563" s="7" t="s">
        <v>373</v>
      </c>
      <c r="H1563" s="7">
        <v>4</v>
      </c>
      <c r="I1563" s="2">
        <v>277.07</v>
      </c>
      <c r="J1563" s="2">
        <f>Tabla2[[#This Row],[Quantity]]*I1563</f>
        <v>1108.28</v>
      </c>
      <c r="K1563" s="6">
        <f>MONTH(Tabla2[[#This Row],[OrderDate]])</f>
        <v>5</v>
      </c>
      <c r="L1563" s="6">
        <f>YEAR(Tabla2[[#This Row],[OrderDate]])</f>
        <v>2025</v>
      </c>
      <c r="M1563" s="7" t="s">
        <v>2415</v>
      </c>
      <c r="N1563" s="7" t="s">
        <v>91</v>
      </c>
    </row>
    <row r="1564" spans="1:14" x14ac:dyDescent="0.35">
      <c r="A1564" s="7" t="s">
        <v>2836</v>
      </c>
      <c r="B1564" s="7" t="s">
        <v>1940</v>
      </c>
      <c r="C1564" s="7" t="s">
        <v>1941</v>
      </c>
      <c r="D1564" s="7" t="s">
        <v>14</v>
      </c>
      <c r="E1564" s="7" t="s">
        <v>125</v>
      </c>
      <c r="F1564" s="7" t="s">
        <v>42</v>
      </c>
      <c r="G1564" s="7" t="s">
        <v>225</v>
      </c>
      <c r="H1564" s="7">
        <v>2</v>
      </c>
      <c r="I1564" s="2">
        <v>1323.92</v>
      </c>
      <c r="J1564" s="2">
        <f>Tabla2[[#This Row],[Quantity]]*I1564</f>
        <v>2647.84</v>
      </c>
      <c r="K1564" s="6">
        <f>MONTH(Tabla2[[#This Row],[OrderDate]])</f>
        <v>10</v>
      </c>
      <c r="L1564" s="6">
        <f>YEAR(Tabla2[[#This Row],[OrderDate]])</f>
        <v>2025</v>
      </c>
      <c r="M1564" s="7" t="s">
        <v>488</v>
      </c>
      <c r="N1564" s="7" t="s">
        <v>45</v>
      </c>
    </row>
    <row r="1565" spans="1:14" x14ac:dyDescent="0.35">
      <c r="A1565" s="7" t="s">
        <v>2837</v>
      </c>
      <c r="B1565" s="7" t="s">
        <v>1170</v>
      </c>
      <c r="C1565" s="7" t="s">
        <v>1171</v>
      </c>
      <c r="D1565" s="7" t="s">
        <v>14</v>
      </c>
      <c r="E1565" s="7" t="s">
        <v>95</v>
      </c>
      <c r="F1565" s="7" t="s">
        <v>16</v>
      </c>
      <c r="G1565" s="7" t="s">
        <v>230</v>
      </c>
      <c r="H1565" s="7">
        <v>3</v>
      </c>
      <c r="I1565" s="2">
        <v>214.55</v>
      </c>
      <c r="J1565" s="2">
        <f>Tabla2[[#This Row],[Quantity]]*I1565</f>
        <v>643.65000000000009</v>
      </c>
      <c r="K1565" s="6">
        <f>MONTH(Tabla2[[#This Row],[OrderDate]])</f>
        <v>10</v>
      </c>
      <c r="L1565" s="6">
        <f>YEAR(Tabla2[[#This Row],[OrderDate]])</f>
        <v>2025</v>
      </c>
      <c r="M1565" s="7" t="s">
        <v>1854</v>
      </c>
      <c r="N1565" s="7" t="s">
        <v>28</v>
      </c>
    </row>
    <row r="1566" spans="1:14" x14ac:dyDescent="0.35">
      <c r="A1566" s="7" t="s">
        <v>2838</v>
      </c>
      <c r="B1566" s="7" t="s">
        <v>256</v>
      </c>
      <c r="C1566" s="7" t="s">
        <v>257</v>
      </c>
      <c r="D1566" s="7" t="s">
        <v>23</v>
      </c>
      <c r="E1566" s="7" t="s">
        <v>49</v>
      </c>
      <c r="F1566" s="7" t="s">
        <v>50</v>
      </c>
      <c r="G1566" s="7" t="s">
        <v>51</v>
      </c>
      <c r="H1566" s="7">
        <v>3</v>
      </c>
      <c r="I1566" s="2">
        <v>16.170000000000002</v>
      </c>
      <c r="J1566" s="2">
        <f>Tabla2[[#This Row],[Quantity]]*I1566</f>
        <v>48.510000000000005</v>
      </c>
      <c r="K1566" s="6">
        <f>MONTH(Tabla2[[#This Row],[OrderDate]])</f>
        <v>5</v>
      </c>
      <c r="L1566" s="6">
        <f>YEAR(Tabla2[[#This Row],[OrderDate]])</f>
        <v>2024</v>
      </c>
      <c r="M1566" s="7" t="s">
        <v>1758</v>
      </c>
      <c r="N1566" s="7" t="s">
        <v>19</v>
      </c>
    </row>
    <row r="1567" spans="1:14" x14ac:dyDescent="0.35">
      <c r="A1567" s="7" t="s">
        <v>2839</v>
      </c>
      <c r="B1567" s="7" t="s">
        <v>1875</v>
      </c>
      <c r="C1567" s="7" t="s">
        <v>1876</v>
      </c>
      <c r="D1567" s="7" t="s">
        <v>32</v>
      </c>
      <c r="E1567" s="7" t="s">
        <v>203</v>
      </c>
      <c r="F1567" s="7" t="s">
        <v>25</v>
      </c>
      <c r="G1567" s="7" t="s">
        <v>34</v>
      </c>
      <c r="H1567" s="7">
        <v>3</v>
      </c>
      <c r="I1567" s="2">
        <v>1016.47</v>
      </c>
      <c r="J1567" s="2">
        <f>Tabla2[[#This Row],[Quantity]]*I1567</f>
        <v>3049.41</v>
      </c>
      <c r="K1567" s="6">
        <f>MONTH(Tabla2[[#This Row],[OrderDate]])</f>
        <v>7</v>
      </c>
      <c r="L1567" s="6">
        <f>YEAR(Tabla2[[#This Row],[OrderDate]])</f>
        <v>2024</v>
      </c>
      <c r="M1567" s="7" t="s">
        <v>1077</v>
      </c>
      <c r="N1567" s="7" t="s">
        <v>91</v>
      </c>
    </row>
    <row r="1568" spans="1:14" x14ac:dyDescent="0.35">
      <c r="A1568" s="7" t="s">
        <v>2840</v>
      </c>
      <c r="B1568" s="7" t="s">
        <v>470</v>
      </c>
      <c r="C1568" s="7" t="s">
        <v>471</v>
      </c>
      <c r="D1568" s="7" t="s">
        <v>23</v>
      </c>
      <c r="E1568" s="7" t="s">
        <v>24</v>
      </c>
      <c r="F1568" s="7" t="s">
        <v>25</v>
      </c>
      <c r="G1568" s="7" t="s">
        <v>62</v>
      </c>
      <c r="H1568" s="7">
        <v>4</v>
      </c>
      <c r="I1568" s="2">
        <v>1137.45</v>
      </c>
      <c r="J1568" s="2">
        <f>Tabla2[[#This Row],[Quantity]]*I1568</f>
        <v>4549.8</v>
      </c>
      <c r="K1568" s="6">
        <f>MONTH(Tabla2[[#This Row],[OrderDate]])</f>
        <v>12</v>
      </c>
      <c r="L1568" s="6">
        <f>YEAR(Tabla2[[#This Row],[OrderDate]])</f>
        <v>2025</v>
      </c>
      <c r="M1568" s="7" t="s">
        <v>2841</v>
      </c>
      <c r="N1568" s="7" t="s">
        <v>19</v>
      </c>
    </row>
    <row r="1569" spans="1:14" x14ac:dyDescent="0.35">
      <c r="A1569" s="7" t="s">
        <v>2842</v>
      </c>
      <c r="B1569" s="7" t="s">
        <v>1677</v>
      </c>
      <c r="C1569" s="7" t="s">
        <v>1678</v>
      </c>
      <c r="D1569" s="7" t="s">
        <v>32</v>
      </c>
      <c r="E1569" s="7" t="s">
        <v>61</v>
      </c>
      <c r="F1569" s="7" t="s">
        <v>16</v>
      </c>
      <c r="G1569" s="7" t="s">
        <v>230</v>
      </c>
      <c r="H1569" s="7">
        <v>1</v>
      </c>
      <c r="I1569" s="2">
        <v>913.68</v>
      </c>
      <c r="J1569" s="2">
        <f>Tabla2[[#This Row],[Quantity]]*I1569</f>
        <v>913.68</v>
      </c>
      <c r="K1569" s="6">
        <f>MONTH(Tabla2[[#This Row],[OrderDate]])</f>
        <v>1</v>
      </c>
      <c r="L1569" s="6">
        <f>YEAR(Tabla2[[#This Row],[OrderDate]])</f>
        <v>2025</v>
      </c>
      <c r="M1569" s="7" t="s">
        <v>1060</v>
      </c>
      <c r="N1569" s="7" t="s">
        <v>19</v>
      </c>
    </row>
    <row r="1570" spans="1:14" x14ac:dyDescent="0.35">
      <c r="A1570" s="7" t="s">
        <v>2843</v>
      </c>
      <c r="B1570" s="7" t="s">
        <v>1496</v>
      </c>
      <c r="C1570" s="7" t="s">
        <v>1497</v>
      </c>
      <c r="D1570" s="7" t="s">
        <v>14</v>
      </c>
      <c r="E1570" s="7" t="s">
        <v>266</v>
      </c>
      <c r="F1570" s="7" t="s">
        <v>50</v>
      </c>
      <c r="G1570" s="7" t="s">
        <v>216</v>
      </c>
      <c r="H1570" s="7">
        <v>3</v>
      </c>
      <c r="I1570" s="2">
        <v>93.44</v>
      </c>
      <c r="J1570" s="2">
        <f>Tabla2[[#This Row],[Quantity]]*I1570</f>
        <v>280.32</v>
      </c>
      <c r="K1570" s="6">
        <f>MONTH(Tabla2[[#This Row],[OrderDate]])</f>
        <v>8</v>
      </c>
      <c r="L1570" s="6">
        <f>YEAR(Tabla2[[#This Row],[OrderDate]])</f>
        <v>2025</v>
      </c>
      <c r="M1570" s="7" t="s">
        <v>1862</v>
      </c>
      <c r="N1570" s="7" t="s">
        <v>28</v>
      </c>
    </row>
    <row r="1571" spans="1:14" x14ac:dyDescent="0.35">
      <c r="A1571" s="7" t="s">
        <v>2844</v>
      </c>
      <c r="B1571" s="7" t="s">
        <v>856</v>
      </c>
      <c r="C1571" s="7" t="s">
        <v>857</v>
      </c>
      <c r="D1571" s="7" t="s">
        <v>32</v>
      </c>
      <c r="E1571" s="7" t="s">
        <v>33</v>
      </c>
      <c r="F1571" s="7" t="s">
        <v>25</v>
      </c>
      <c r="G1571" s="7" t="s">
        <v>139</v>
      </c>
      <c r="H1571" s="7">
        <v>4</v>
      </c>
      <c r="I1571" s="2">
        <v>1171.22</v>
      </c>
      <c r="J1571" s="2">
        <f>Tabla2[[#This Row],[Quantity]]*I1571</f>
        <v>4684.88</v>
      </c>
      <c r="K1571" s="6">
        <f>MONTH(Tabla2[[#This Row],[OrderDate]])</f>
        <v>1</v>
      </c>
      <c r="L1571" s="6">
        <f>YEAR(Tabla2[[#This Row],[OrderDate]])</f>
        <v>2024</v>
      </c>
      <c r="M1571" s="7" t="s">
        <v>1577</v>
      </c>
      <c r="N1571" s="7" t="s">
        <v>19</v>
      </c>
    </row>
    <row r="1572" spans="1:14" x14ac:dyDescent="0.35">
      <c r="A1572" s="7" t="s">
        <v>2845</v>
      </c>
      <c r="B1572" s="7" t="s">
        <v>1246</v>
      </c>
      <c r="C1572" s="7" t="s">
        <v>1247</v>
      </c>
      <c r="D1572" s="7" t="s">
        <v>14</v>
      </c>
      <c r="E1572" s="7" t="s">
        <v>100</v>
      </c>
      <c r="F1572" s="7" t="s">
        <v>50</v>
      </c>
      <c r="G1572" s="7" t="s">
        <v>51</v>
      </c>
      <c r="H1572" s="7">
        <v>2</v>
      </c>
      <c r="I1572" s="2">
        <v>1262.74</v>
      </c>
      <c r="J1572" s="2">
        <f>Tabla2[[#This Row],[Quantity]]*I1572</f>
        <v>2525.48</v>
      </c>
      <c r="K1572" s="6">
        <f>MONTH(Tabla2[[#This Row],[OrderDate]])</f>
        <v>1</v>
      </c>
      <c r="L1572" s="6">
        <f>YEAR(Tabla2[[#This Row],[OrderDate]])</f>
        <v>2024</v>
      </c>
      <c r="M1572" s="7" t="s">
        <v>1791</v>
      </c>
      <c r="N1572" s="7" t="s">
        <v>91</v>
      </c>
    </row>
    <row r="1573" spans="1:14" x14ac:dyDescent="0.35">
      <c r="A1573" s="7" t="s">
        <v>2846</v>
      </c>
      <c r="B1573" s="7" t="s">
        <v>711</v>
      </c>
      <c r="C1573" s="7" t="s">
        <v>712</v>
      </c>
      <c r="D1573" s="7" t="s">
        <v>67</v>
      </c>
      <c r="E1573" s="7" t="s">
        <v>115</v>
      </c>
      <c r="F1573" s="7" t="s">
        <v>101</v>
      </c>
      <c r="G1573" s="7" t="s">
        <v>373</v>
      </c>
      <c r="H1573" s="7">
        <v>2</v>
      </c>
      <c r="I1573" s="2">
        <v>765.86</v>
      </c>
      <c r="J1573" s="2">
        <f>Tabla2[[#This Row],[Quantity]]*I1573</f>
        <v>1531.72</v>
      </c>
      <c r="K1573" s="6">
        <f>MONTH(Tabla2[[#This Row],[OrderDate]])</f>
        <v>10</v>
      </c>
      <c r="L1573" s="6">
        <f>YEAR(Tabla2[[#This Row],[OrderDate]])</f>
        <v>2025</v>
      </c>
      <c r="M1573" s="7" t="s">
        <v>2270</v>
      </c>
      <c r="N1573" s="7" t="s">
        <v>19</v>
      </c>
    </row>
    <row r="1574" spans="1:14" x14ac:dyDescent="0.35">
      <c r="A1574" s="7" t="s">
        <v>2847</v>
      </c>
      <c r="B1574" s="7" t="s">
        <v>1312</v>
      </c>
      <c r="C1574" s="7" t="s">
        <v>1313</v>
      </c>
      <c r="D1574" s="7" t="s">
        <v>40</v>
      </c>
      <c r="E1574" s="7" t="s">
        <v>41</v>
      </c>
      <c r="F1574" s="7" t="s">
        <v>42</v>
      </c>
      <c r="G1574" s="7" t="s">
        <v>80</v>
      </c>
      <c r="H1574" s="7">
        <v>4</v>
      </c>
      <c r="I1574" s="2">
        <v>1487.91</v>
      </c>
      <c r="J1574" s="2">
        <f>Tabla2[[#This Row],[Quantity]]*I1574</f>
        <v>5951.64</v>
      </c>
      <c r="K1574" s="6">
        <f>MONTH(Tabla2[[#This Row],[OrderDate]])</f>
        <v>1</v>
      </c>
      <c r="L1574" s="6">
        <f>YEAR(Tabla2[[#This Row],[OrderDate]])</f>
        <v>2024</v>
      </c>
      <c r="M1574" s="7" t="s">
        <v>2146</v>
      </c>
      <c r="N1574" s="7" t="s">
        <v>19</v>
      </c>
    </row>
    <row r="1575" spans="1:14" x14ac:dyDescent="0.35">
      <c r="A1575" s="7" t="s">
        <v>2848</v>
      </c>
      <c r="B1575" s="7" t="s">
        <v>1340</v>
      </c>
      <c r="C1575" s="7" t="s">
        <v>1341</v>
      </c>
      <c r="D1575" s="7" t="s">
        <v>67</v>
      </c>
      <c r="E1575" s="7" t="s">
        <v>130</v>
      </c>
      <c r="F1575" s="7" t="s">
        <v>50</v>
      </c>
      <c r="G1575" s="7" t="s">
        <v>51</v>
      </c>
      <c r="H1575" s="7">
        <v>1</v>
      </c>
      <c r="I1575" s="2">
        <v>502.72</v>
      </c>
      <c r="J1575" s="2">
        <f>Tabla2[[#This Row],[Quantity]]*I1575</f>
        <v>502.72</v>
      </c>
      <c r="K1575" s="6">
        <f>MONTH(Tabla2[[#This Row],[OrderDate]])</f>
        <v>9</v>
      </c>
      <c r="L1575" s="6">
        <f>YEAR(Tabla2[[#This Row],[OrderDate]])</f>
        <v>2025</v>
      </c>
      <c r="M1575" s="7" t="s">
        <v>2285</v>
      </c>
      <c r="N1575" s="7" t="s">
        <v>19</v>
      </c>
    </row>
    <row r="1576" spans="1:14" x14ac:dyDescent="0.35">
      <c r="A1576" s="7" t="s">
        <v>2849</v>
      </c>
      <c r="B1576" s="7" t="s">
        <v>785</v>
      </c>
      <c r="C1576" s="7" t="s">
        <v>786</v>
      </c>
      <c r="D1576" s="7" t="s">
        <v>14</v>
      </c>
      <c r="E1576" s="7" t="s">
        <v>266</v>
      </c>
      <c r="F1576" s="7" t="s">
        <v>50</v>
      </c>
      <c r="G1576" s="7" t="s">
        <v>69</v>
      </c>
      <c r="H1576" s="7">
        <v>3</v>
      </c>
      <c r="I1576" s="2">
        <v>797.7</v>
      </c>
      <c r="J1576" s="2">
        <f>Tabla2[[#This Row],[Quantity]]*I1576</f>
        <v>2393.1000000000004</v>
      </c>
      <c r="K1576" s="6">
        <f>MONTH(Tabla2[[#This Row],[OrderDate]])</f>
        <v>4</v>
      </c>
      <c r="L1576" s="6">
        <f>YEAR(Tabla2[[#This Row],[OrderDate]])</f>
        <v>2024</v>
      </c>
      <c r="M1576" s="7" t="s">
        <v>2850</v>
      </c>
      <c r="N1576" s="7" t="s">
        <v>91</v>
      </c>
    </row>
    <row r="1577" spans="1:14" x14ac:dyDescent="0.35">
      <c r="A1577" s="7" t="s">
        <v>2851</v>
      </c>
      <c r="B1577" s="7" t="s">
        <v>602</v>
      </c>
      <c r="C1577" s="7" t="s">
        <v>603</v>
      </c>
      <c r="D1577" s="7" t="s">
        <v>40</v>
      </c>
      <c r="E1577" s="7" t="s">
        <v>120</v>
      </c>
      <c r="F1577" s="7" t="s">
        <v>42</v>
      </c>
      <c r="G1577" s="7" t="s">
        <v>170</v>
      </c>
      <c r="H1577" s="7">
        <v>5</v>
      </c>
      <c r="I1577" s="2">
        <v>543.25</v>
      </c>
      <c r="J1577" s="2">
        <f>Tabla2[[#This Row],[Quantity]]*I1577</f>
        <v>2716.25</v>
      </c>
      <c r="K1577" s="6">
        <f>MONTH(Tabla2[[#This Row],[OrderDate]])</f>
        <v>2</v>
      </c>
      <c r="L1577" s="6">
        <f>YEAR(Tabla2[[#This Row],[OrderDate]])</f>
        <v>2025</v>
      </c>
      <c r="M1577" s="7" t="s">
        <v>1714</v>
      </c>
      <c r="N1577" s="7" t="s">
        <v>45</v>
      </c>
    </row>
    <row r="1578" spans="1:14" x14ac:dyDescent="0.35">
      <c r="A1578" s="7" t="s">
        <v>2852</v>
      </c>
      <c r="B1578" s="7" t="s">
        <v>555</v>
      </c>
      <c r="C1578" s="7" t="s">
        <v>556</v>
      </c>
      <c r="D1578" s="7" t="s">
        <v>40</v>
      </c>
      <c r="E1578" s="7" t="s">
        <v>79</v>
      </c>
      <c r="F1578" s="7" t="s">
        <v>16</v>
      </c>
      <c r="G1578" s="7" t="s">
        <v>182</v>
      </c>
      <c r="H1578" s="7">
        <v>5</v>
      </c>
      <c r="I1578" s="2">
        <v>138.13</v>
      </c>
      <c r="J1578" s="2">
        <f>Tabla2[[#This Row],[Quantity]]*I1578</f>
        <v>690.65</v>
      </c>
      <c r="K1578" s="6">
        <f>MONTH(Tabla2[[#This Row],[OrderDate]])</f>
        <v>8</v>
      </c>
      <c r="L1578" s="6">
        <f>YEAR(Tabla2[[#This Row],[OrderDate]])</f>
        <v>2024</v>
      </c>
      <c r="M1578" s="7" t="s">
        <v>1683</v>
      </c>
      <c r="N1578" s="7" t="s">
        <v>36</v>
      </c>
    </row>
    <row r="1579" spans="1:14" x14ac:dyDescent="0.35">
      <c r="A1579" s="7" t="s">
        <v>2853</v>
      </c>
      <c r="B1579" s="7" t="s">
        <v>155</v>
      </c>
      <c r="C1579" s="7" t="s">
        <v>156</v>
      </c>
      <c r="D1579" s="7" t="s">
        <v>67</v>
      </c>
      <c r="E1579" s="7" t="s">
        <v>68</v>
      </c>
      <c r="F1579" s="7" t="s">
        <v>25</v>
      </c>
      <c r="G1579" s="7" t="s">
        <v>74</v>
      </c>
      <c r="H1579" s="7">
        <v>1</v>
      </c>
      <c r="I1579" s="2">
        <v>887.53</v>
      </c>
      <c r="J1579" s="2">
        <f>Tabla2[[#This Row],[Quantity]]*I1579</f>
        <v>887.53</v>
      </c>
      <c r="K1579" s="6">
        <f>MONTH(Tabla2[[#This Row],[OrderDate]])</f>
        <v>9</v>
      </c>
      <c r="L1579" s="6">
        <f>YEAR(Tabla2[[#This Row],[OrderDate]])</f>
        <v>2025</v>
      </c>
      <c r="M1579" s="7" t="s">
        <v>1112</v>
      </c>
      <c r="N1579" s="7" t="s">
        <v>45</v>
      </c>
    </row>
    <row r="1580" spans="1:14" x14ac:dyDescent="0.35">
      <c r="A1580" s="7" t="s">
        <v>2854</v>
      </c>
      <c r="B1580" s="7" t="s">
        <v>771</v>
      </c>
      <c r="C1580" s="7" t="s">
        <v>772</v>
      </c>
      <c r="D1580" s="7" t="s">
        <v>67</v>
      </c>
      <c r="E1580" s="7" t="s">
        <v>115</v>
      </c>
      <c r="F1580" s="7" t="s">
        <v>50</v>
      </c>
      <c r="G1580" s="7" t="s">
        <v>170</v>
      </c>
      <c r="H1580" s="7">
        <v>3</v>
      </c>
      <c r="I1580" s="2">
        <v>143.81</v>
      </c>
      <c r="J1580" s="2">
        <f>Tabla2[[#This Row],[Quantity]]*I1580</f>
        <v>431.43</v>
      </c>
      <c r="K1580" s="6">
        <f>MONTH(Tabla2[[#This Row],[OrderDate]])</f>
        <v>10</v>
      </c>
      <c r="L1580" s="6">
        <f>YEAR(Tabla2[[#This Row],[OrderDate]])</f>
        <v>2025</v>
      </c>
      <c r="M1580" s="7" t="s">
        <v>2000</v>
      </c>
      <c r="N1580" s="7" t="s">
        <v>19</v>
      </c>
    </row>
    <row r="1581" spans="1:14" x14ac:dyDescent="0.35">
      <c r="A1581" s="7" t="s">
        <v>2855</v>
      </c>
      <c r="B1581" s="7" t="s">
        <v>256</v>
      </c>
      <c r="C1581" s="7" t="s">
        <v>257</v>
      </c>
      <c r="D1581" s="7" t="s">
        <v>67</v>
      </c>
      <c r="E1581" s="7" t="s">
        <v>130</v>
      </c>
      <c r="F1581" s="7" t="s">
        <v>42</v>
      </c>
      <c r="G1581" s="7" t="s">
        <v>43</v>
      </c>
      <c r="H1581" s="7">
        <v>3</v>
      </c>
      <c r="I1581" s="2">
        <v>1089.82</v>
      </c>
      <c r="J1581" s="2">
        <f>Tabla2[[#This Row],[Quantity]]*I1581</f>
        <v>3269.46</v>
      </c>
      <c r="K1581" s="6">
        <f>MONTH(Tabla2[[#This Row],[OrderDate]])</f>
        <v>8</v>
      </c>
      <c r="L1581" s="6">
        <f>YEAR(Tabla2[[#This Row],[OrderDate]])</f>
        <v>2025</v>
      </c>
      <c r="M1581" s="7" t="s">
        <v>238</v>
      </c>
      <c r="N1581" s="7" t="s">
        <v>45</v>
      </c>
    </row>
    <row r="1582" spans="1:14" x14ac:dyDescent="0.35">
      <c r="A1582" s="7" t="s">
        <v>2856</v>
      </c>
      <c r="B1582" s="7" t="s">
        <v>210</v>
      </c>
      <c r="C1582" s="7" t="s">
        <v>211</v>
      </c>
      <c r="D1582" s="7" t="s">
        <v>23</v>
      </c>
      <c r="E1582" s="7" t="s">
        <v>24</v>
      </c>
      <c r="F1582" s="7" t="s">
        <v>42</v>
      </c>
      <c r="G1582" s="7" t="s">
        <v>170</v>
      </c>
      <c r="H1582" s="7">
        <v>3</v>
      </c>
      <c r="I1582" s="2">
        <v>392.01</v>
      </c>
      <c r="J1582" s="2">
        <f>Tabla2[[#This Row],[Quantity]]*I1582</f>
        <v>1176.03</v>
      </c>
      <c r="K1582" s="6">
        <f>MONTH(Tabla2[[#This Row],[OrderDate]])</f>
        <v>1</v>
      </c>
      <c r="L1582" s="6">
        <f>YEAR(Tabla2[[#This Row],[OrderDate]])</f>
        <v>2024</v>
      </c>
      <c r="M1582" s="7" t="s">
        <v>1184</v>
      </c>
      <c r="N1582" s="7" t="s">
        <v>36</v>
      </c>
    </row>
    <row r="1583" spans="1:14" x14ac:dyDescent="0.35">
      <c r="A1583" s="7" t="s">
        <v>2857</v>
      </c>
      <c r="B1583" s="7" t="s">
        <v>426</v>
      </c>
      <c r="C1583" s="7" t="s">
        <v>427</v>
      </c>
      <c r="D1583" s="7" t="s">
        <v>14</v>
      </c>
      <c r="E1583" s="7" t="s">
        <v>266</v>
      </c>
      <c r="F1583" s="7" t="s">
        <v>42</v>
      </c>
      <c r="G1583" s="7" t="s">
        <v>225</v>
      </c>
      <c r="H1583" s="7">
        <v>3</v>
      </c>
      <c r="I1583" s="2">
        <v>191.88</v>
      </c>
      <c r="J1583" s="2">
        <f>Tabla2[[#This Row],[Quantity]]*I1583</f>
        <v>575.64</v>
      </c>
      <c r="K1583" s="6">
        <f>MONTH(Tabla2[[#This Row],[OrderDate]])</f>
        <v>7</v>
      </c>
      <c r="L1583" s="6">
        <f>YEAR(Tabla2[[#This Row],[OrderDate]])</f>
        <v>2024</v>
      </c>
      <c r="M1583" s="7" t="s">
        <v>735</v>
      </c>
      <c r="N1583" s="7" t="s">
        <v>91</v>
      </c>
    </row>
    <row r="1584" spans="1:14" x14ac:dyDescent="0.35">
      <c r="A1584" s="7" t="s">
        <v>2858</v>
      </c>
      <c r="B1584" s="7" t="s">
        <v>1856</v>
      </c>
      <c r="C1584" s="7" t="s">
        <v>1857</v>
      </c>
      <c r="D1584" s="7" t="s">
        <v>32</v>
      </c>
      <c r="E1584" s="7" t="s">
        <v>33</v>
      </c>
      <c r="F1584" s="7" t="s">
        <v>101</v>
      </c>
      <c r="G1584" s="7" t="s">
        <v>165</v>
      </c>
      <c r="H1584" s="7">
        <v>5</v>
      </c>
      <c r="I1584" s="2">
        <v>1269.99</v>
      </c>
      <c r="J1584" s="2">
        <f>Tabla2[[#This Row],[Quantity]]*I1584</f>
        <v>6349.95</v>
      </c>
      <c r="K1584" s="6">
        <f>MONTH(Tabla2[[#This Row],[OrderDate]])</f>
        <v>4</v>
      </c>
      <c r="L1584" s="6">
        <f>YEAR(Tabla2[[#This Row],[OrderDate]])</f>
        <v>2025</v>
      </c>
      <c r="M1584" s="7" t="s">
        <v>424</v>
      </c>
      <c r="N1584" s="7" t="s">
        <v>19</v>
      </c>
    </row>
    <row r="1585" spans="1:14" x14ac:dyDescent="0.35">
      <c r="A1585" s="7" t="s">
        <v>2859</v>
      </c>
      <c r="B1585" s="7" t="s">
        <v>113</v>
      </c>
      <c r="C1585" s="7" t="s">
        <v>114</v>
      </c>
      <c r="D1585" s="7" t="s">
        <v>23</v>
      </c>
      <c r="E1585" s="7" t="s">
        <v>24</v>
      </c>
      <c r="F1585" s="7" t="s">
        <v>16</v>
      </c>
      <c r="G1585" s="7" t="s">
        <v>230</v>
      </c>
      <c r="H1585" s="7">
        <v>3</v>
      </c>
      <c r="I1585" s="2">
        <v>1469.03</v>
      </c>
      <c r="J1585" s="2">
        <f>Tabla2[[#This Row],[Quantity]]*I1585</f>
        <v>4407.09</v>
      </c>
      <c r="K1585" s="6">
        <f>MONTH(Tabla2[[#This Row],[OrderDate]])</f>
        <v>5</v>
      </c>
      <c r="L1585" s="6">
        <f>YEAR(Tabla2[[#This Row],[OrderDate]])</f>
        <v>2025</v>
      </c>
      <c r="M1585" s="7" t="s">
        <v>2415</v>
      </c>
      <c r="N1585" s="7" t="s">
        <v>28</v>
      </c>
    </row>
    <row r="1586" spans="1:14" x14ac:dyDescent="0.35">
      <c r="A1586" s="7" t="s">
        <v>2860</v>
      </c>
      <c r="B1586" s="7" t="s">
        <v>707</v>
      </c>
      <c r="C1586" s="7" t="s">
        <v>708</v>
      </c>
      <c r="D1586" s="7" t="s">
        <v>14</v>
      </c>
      <c r="E1586" s="7" t="s">
        <v>266</v>
      </c>
      <c r="F1586" s="7" t="s">
        <v>50</v>
      </c>
      <c r="G1586" s="7" t="s">
        <v>69</v>
      </c>
      <c r="H1586" s="7">
        <v>5</v>
      </c>
      <c r="I1586" s="2">
        <v>870.95</v>
      </c>
      <c r="J1586" s="2">
        <f>Tabla2[[#This Row],[Quantity]]*I1586</f>
        <v>4354.75</v>
      </c>
      <c r="K1586" s="6">
        <f>MONTH(Tabla2[[#This Row],[OrderDate]])</f>
        <v>6</v>
      </c>
      <c r="L1586" s="6">
        <f>YEAR(Tabla2[[#This Row],[OrderDate]])</f>
        <v>2025</v>
      </c>
      <c r="M1586" s="7" t="s">
        <v>510</v>
      </c>
      <c r="N1586" s="7" t="s">
        <v>36</v>
      </c>
    </row>
    <row r="1587" spans="1:14" x14ac:dyDescent="0.35">
      <c r="A1587" s="7" t="s">
        <v>2861</v>
      </c>
      <c r="B1587" s="7" t="s">
        <v>1875</v>
      </c>
      <c r="C1587" s="7" t="s">
        <v>1876</v>
      </c>
      <c r="D1587" s="7" t="s">
        <v>14</v>
      </c>
      <c r="E1587" s="7" t="s">
        <v>15</v>
      </c>
      <c r="F1587" s="7" t="s">
        <v>50</v>
      </c>
      <c r="G1587" s="7" t="s">
        <v>56</v>
      </c>
      <c r="H1587" s="7">
        <v>2</v>
      </c>
      <c r="I1587" s="2">
        <v>1168.83</v>
      </c>
      <c r="J1587" s="2">
        <f>Tabla2[[#This Row],[Quantity]]*I1587</f>
        <v>2337.66</v>
      </c>
      <c r="K1587" s="6">
        <f>MONTH(Tabla2[[#This Row],[OrderDate]])</f>
        <v>9</v>
      </c>
      <c r="L1587" s="6">
        <f>YEAR(Tabla2[[#This Row],[OrderDate]])</f>
        <v>2024</v>
      </c>
      <c r="M1587" s="7" t="s">
        <v>1363</v>
      </c>
      <c r="N1587" s="7" t="s">
        <v>28</v>
      </c>
    </row>
    <row r="1588" spans="1:14" x14ac:dyDescent="0.35">
      <c r="A1588" s="7" t="s">
        <v>2862</v>
      </c>
      <c r="B1588" s="7" t="s">
        <v>1260</v>
      </c>
      <c r="C1588" s="7" t="s">
        <v>1261</v>
      </c>
      <c r="D1588" s="7" t="s">
        <v>14</v>
      </c>
      <c r="E1588" s="7" t="s">
        <v>125</v>
      </c>
      <c r="F1588" s="7" t="s">
        <v>50</v>
      </c>
      <c r="G1588" s="7" t="s">
        <v>170</v>
      </c>
      <c r="H1588" s="7">
        <v>3</v>
      </c>
      <c r="I1588" s="2">
        <v>305.38</v>
      </c>
      <c r="J1588" s="2">
        <f>Tabla2[[#This Row],[Quantity]]*I1588</f>
        <v>916.14</v>
      </c>
      <c r="K1588" s="6">
        <f>MONTH(Tabla2[[#This Row],[OrderDate]])</f>
        <v>8</v>
      </c>
      <c r="L1588" s="6">
        <f>YEAR(Tabla2[[#This Row],[OrderDate]])</f>
        <v>2024</v>
      </c>
      <c r="M1588" s="7" t="s">
        <v>1069</v>
      </c>
      <c r="N1588" s="7" t="s">
        <v>91</v>
      </c>
    </row>
    <row r="1589" spans="1:14" x14ac:dyDescent="0.35">
      <c r="A1589" s="7" t="s">
        <v>2863</v>
      </c>
      <c r="B1589" s="7" t="s">
        <v>189</v>
      </c>
      <c r="C1589" s="7" t="s">
        <v>190</v>
      </c>
      <c r="D1589" s="7" t="s">
        <v>14</v>
      </c>
      <c r="E1589" s="7" t="s">
        <v>100</v>
      </c>
      <c r="F1589" s="7" t="s">
        <v>25</v>
      </c>
      <c r="G1589" s="7" t="s">
        <v>62</v>
      </c>
      <c r="H1589" s="7">
        <v>5</v>
      </c>
      <c r="I1589" s="2">
        <v>508.23</v>
      </c>
      <c r="J1589" s="2">
        <f>Tabla2[[#This Row],[Quantity]]*I1589</f>
        <v>2541.15</v>
      </c>
      <c r="K1589" s="6">
        <f>MONTH(Tabla2[[#This Row],[OrderDate]])</f>
        <v>3</v>
      </c>
      <c r="L1589" s="6">
        <f>YEAR(Tabla2[[#This Row],[OrderDate]])</f>
        <v>2025</v>
      </c>
      <c r="M1589" s="7" t="s">
        <v>2864</v>
      </c>
      <c r="N1589" s="7" t="s">
        <v>91</v>
      </c>
    </row>
    <row r="1590" spans="1:14" x14ac:dyDescent="0.35">
      <c r="A1590" s="7" t="s">
        <v>2865</v>
      </c>
      <c r="B1590" s="7" t="s">
        <v>629</v>
      </c>
      <c r="C1590" s="7" t="s">
        <v>630</v>
      </c>
      <c r="D1590" s="7" t="s">
        <v>23</v>
      </c>
      <c r="E1590" s="7" t="s">
        <v>49</v>
      </c>
      <c r="F1590" s="7" t="s">
        <v>50</v>
      </c>
      <c r="G1590" s="7" t="s">
        <v>51</v>
      </c>
      <c r="H1590" s="7">
        <v>4</v>
      </c>
      <c r="I1590" s="2">
        <v>1278.82</v>
      </c>
      <c r="J1590" s="2">
        <f>Tabla2[[#This Row],[Quantity]]*I1590</f>
        <v>5115.28</v>
      </c>
      <c r="K1590" s="6">
        <f>MONTH(Tabla2[[#This Row],[OrderDate]])</f>
        <v>7</v>
      </c>
      <c r="L1590" s="6">
        <f>YEAR(Tabla2[[#This Row],[OrderDate]])</f>
        <v>2024</v>
      </c>
      <c r="M1590" s="7" t="s">
        <v>1452</v>
      </c>
      <c r="N1590" s="7" t="s">
        <v>36</v>
      </c>
    </row>
    <row r="1591" spans="1:14" x14ac:dyDescent="0.35">
      <c r="A1591" s="7" t="s">
        <v>2866</v>
      </c>
      <c r="B1591" s="7" t="s">
        <v>1101</v>
      </c>
      <c r="C1591" s="7" t="s">
        <v>1102</v>
      </c>
      <c r="D1591" s="7" t="s">
        <v>14</v>
      </c>
      <c r="E1591" s="7" t="s">
        <v>266</v>
      </c>
      <c r="F1591" s="7" t="s">
        <v>42</v>
      </c>
      <c r="G1591" s="7" t="s">
        <v>89</v>
      </c>
      <c r="H1591" s="7">
        <v>4</v>
      </c>
      <c r="I1591" s="2">
        <v>314.86</v>
      </c>
      <c r="J1591" s="2">
        <f>Tabla2[[#This Row],[Quantity]]*I1591</f>
        <v>1259.44</v>
      </c>
      <c r="K1591" s="6">
        <f>MONTH(Tabla2[[#This Row],[OrderDate]])</f>
        <v>1</v>
      </c>
      <c r="L1591" s="6">
        <f>YEAR(Tabla2[[#This Row],[OrderDate]])</f>
        <v>2025</v>
      </c>
      <c r="M1591" s="7" t="s">
        <v>1982</v>
      </c>
      <c r="N1591" s="7" t="s">
        <v>28</v>
      </c>
    </row>
    <row r="1592" spans="1:14" x14ac:dyDescent="0.35">
      <c r="A1592" s="7" t="s">
        <v>2867</v>
      </c>
      <c r="B1592" s="7" t="s">
        <v>820</v>
      </c>
      <c r="C1592" s="7" t="s">
        <v>821</v>
      </c>
      <c r="D1592" s="7" t="s">
        <v>40</v>
      </c>
      <c r="E1592" s="7" t="s">
        <v>79</v>
      </c>
      <c r="F1592" s="7" t="s">
        <v>16</v>
      </c>
      <c r="G1592" s="7" t="s">
        <v>177</v>
      </c>
      <c r="H1592" s="7">
        <v>4</v>
      </c>
      <c r="I1592" s="2">
        <v>399.21</v>
      </c>
      <c r="J1592" s="2">
        <f>Tabla2[[#This Row],[Quantity]]*I1592</f>
        <v>1596.84</v>
      </c>
      <c r="K1592" s="6">
        <f>MONTH(Tabla2[[#This Row],[OrderDate]])</f>
        <v>2</v>
      </c>
      <c r="L1592" s="6">
        <f>YEAR(Tabla2[[#This Row],[OrderDate]])</f>
        <v>2024</v>
      </c>
      <c r="M1592" s="7" t="s">
        <v>2868</v>
      </c>
      <c r="N1592" s="7" t="s">
        <v>45</v>
      </c>
    </row>
    <row r="1593" spans="1:14" x14ac:dyDescent="0.35">
      <c r="A1593" s="7" t="s">
        <v>2869</v>
      </c>
      <c r="B1593" s="7" t="s">
        <v>1066</v>
      </c>
      <c r="C1593" s="7" t="s">
        <v>1067</v>
      </c>
      <c r="D1593" s="7" t="s">
        <v>14</v>
      </c>
      <c r="E1593" s="7" t="s">
        <v>125</v>
      </c>
      <c r="F1593" s="7" t="s">
        <v>25</v>
      </c>
      <c r="G1593" s="7" t="s">
        <v>26</v>
      </c>
      <c r="H1593" s="7">
        <v>4</v>
      </c>
      <c r="I1593" s="2">
        <v>891.64</v>
      </c>
      <c r="J1593" s="2">
        <f>Tabla2[[#This Row],[Quantity]]*I1593</f>
        <v>3566.56</v>
      </c>
      <c r="K1593" s="6">
        <f>MONTH(Tabla2[[#This Row],[OrderDate]])</f>
        <v>6</v>
      </c>
      <c r="L1593" s="6">
        <f>YEAR(Tabla2[[#This Row],[OrderDate]])</f>
        <v>2025</v>
      </c>
      <c r="M1593" s="7" t="s">
        <v>1987</v>
      </c>
      <c r="N1593" s="7" t="s">
        <v>36</v>
      </c>
    </row>
    <row r="1594" spans="1:14" x14ac:dyDescent="0.35">
      <c r="A1594" s="7" t="s">
        <v>2870</v>
      </c>
      <c r="B1594" s="7" t="s">
        <v>1523</v>
      </c>
      <c r="C1594" s="7" t="s">
        <v>1524</v>
      </c>
      <c r="D1594" s="7" t="s">
        <v>14</v>
      </c>
      <c r="E1594" s="7" t="s">
        <v>125</v>
      </c>
      <c r="F1594" s="7" t="s">
        <v>25</v>
      </c>
      <c r="G1594" s="7" t="s">
        <v>62</v>
      </c>
      <c r="H1594" s="7">
        <v>3</v>
      </c>
      <c r="I1594" s="2">
        <v>978.42</v>
      </c>
      <c r="J1594" s="2">
        <f>Tabla2[[#This Row],[Quantity]]*I1594</f>
        <v>2935.2599999999998</v>
      </c>
      <c r="K1594" s="6">
        <f>MONTH(Tabla2[[#This Row],[OrderDate]])</f>
        <v>6</v>
      </c>
      <c r="L1594" s="6">
        <f>YEAR(Tabla2[[#This Row],[OrderDate]])</f>
        <v>2025</v>
      </c>
      <c r="M1594" s="7" t="s">
        <v>1334</v>
      </c>
      <c r="N1594" s="7" t="s">
        <v>28</v>
      </c>
    </row>
    <row r="1595" spans="1:14" x14ac:dyDescent="0.35">
      <c r="A1595" s="7" t="s">
        <v>2871</v>
      </c>
      <c r="B1595" s="7" t="s">
        <v>759</v>
      </c>
      <c r="C1595" s="7" t="s">
        <v>760</v>
      </c>
      <c r="D1595" s="7" t="s">
        <v>14</v>
      </c>
      <c r="E1595" s="7" t="s">
        <v>15</v>
      </c>
      <c r="F1595" s="7" t="s">
        <v>16</v>
      </c>
      <c r="G1595" s="7" t="s">
        <v>148</v>
      </c>
      <c r="H1595" s="7">
        <v>1</v>
      </c>
      <c r="I1595" s="2">
        <v>1134.8499999999999</v>
      </c>
      <c r="J1595" s="2">
        <f>Tabla2[[#This Row],[Quantity]]*I1595</f>
        <v>1134.8499999999999</v>
      </c>
      <c r="K1595" s="6">
        <f>MONTH(Tabla2[[#This Row],[OrderDate]])</f>
        <v>4</v>
      </c>
      <c r="L1595" s="6">
        <f>YEAR(Tabla2[[#This Row],[OrderDate]])</f>
        <v>2025</v>
      </c>
      <c r="M1595" s="7" t="s">
        <v>2872</v>
      </c>
      <c r="N1595" s="7" t="s">
        <v>36</v>
      </c>
    </row>
    <row r="1596" spans="1:14" x14ac:dyDescent="0.35">
      <c r="A1596" s="7" t="s">
        <v>2873</v>
      </c>
      <c r="B1596" s="7" t="s">
        <v>2245</v>
      </c>
      <c r="C1596" s="7" t="s">
        <v>2246</v>
      </c>
      <c r="D1596" s="7" t="s">
        <v>40</v>
      </c>
      <c r="E1596" s="7" t="s">
        <v>41</v>
      </c>
      <c r="F1596" s="7" t="s">
        <v>101</v>
      </c>
      <c r="G1596" s="7" t="s">
        <v>649</v>
      </c>
      <c r="H1596" s="7">
        <v>4</v>
      </c>
      <c r="I1596" s="2">
        <v>942.36</v>
      </c>
      <c r="J1596" s="2">
        <f>Tabla2[[#This Row],[Quantity]]*I1596</f>
        <v>3769.44</v>
      </c>
      <c r="K1596" s="6">
        <f>MONTH(Tabla2[[#This Row],[OrderDate]])</f>
        <v>11</v>
      </c>
      <c r="L1596" s="6">
        <f>YEAR(Tabla2[[#This Row],[OrderDate]])</f>
        <v>2025</v>
      </c>
      <c r="M1596" s="7" t="s">
        <v>378</v>
      </c>
      <c r="N1596" s="7" t="s">
        <v>28</v>
      </c>
    </row>
    <row r="1597" spans="1:14" x14ac:dyDescent="0.35">
      <c r="A1597" s="7" t="s">
        <v>2874</v>
      </c>
      <c r="B1597" s="7" t="s">
        <v>864</v>
      </c>
      <c r="C1597" s="7" t="s">
        <v>865</v>
      </c>
      <c r="D1597" s="7" t="s">
        <v>32</v>
      </c>
      <c r="E1597" s="7" t="s">
        <v>61</v>
      </c>
      <c r="F1597" s="7" t="s">
        <v>101</v>
      </c>
      <c r="G1597" s="7" t="s">
        <v>649</v>
      </c>
      <c r="H1597" s="7">
        <v>5</v>
      </c>
      <c r="I1597" s="2">
        <v>551.52</v>
      </c>
      <c r="J1597" s="2">
        <f>Tabla2[[#This Row],[Quantity]]*I1597</f>
        <v>2757.6</v>
      </c>
      <c r="K1597" s="6">
        <f>MONTH(Tabla2[[#This Row],[OrderDate]])</f>
        <v>3</v>
      </c>
      <c r="L1597" s="6">
        <f>YEAR(Tabla2[[#This Row],[OrderDate]])</f>
        <v>2026</v>
      </c>
      <c r="M1597" s="7" t="s">
        <v>1319</v>
      </c>
      <c r="N1597" s="7" t="s">
        <v>91</v>
      </c>
    </row>
    <row r="1598" spans="1:14" x14ac:dyDescent="0.35">
      <c r="A1598" s="7" t="s">
        <v>2875</v>
      </c>
      <c r="B1598" s="7" t="s">
        <v>742</v>
      </c>
      <c r="C1598" s="7" t="s">
        <v>743</v>
      </c>
      <c r="D1598" s="7" t="s">
        <v>67</v>
      </c>
      <c r="E1598" s="7" t="s">
        <v>130</v>
      </c>
      <c r="F1598" s="7" t="s">
        <v>50</v>
      </c>
      <c r="G1598" s="7" t="s">
        <v>69</v>
      </c>
      <c r="H1598" s="7">
        <v>5</v>
      </c>
      <c r="I1598" s="2">
        <v>664</v>
      </c>
      <c r="J1598" s="2">
        <f>Tabla2[[#This Row],[Quantity]]*I1598</f>
        <v>3320</v>
      </c>
      <c r="K1598" s="6">
        <f>MONTH(Tabla2[[#This Row],[OrderDate]])</f>
        <v>5</v>
      </c>
      <c r="L1598" s="6">
        <f>YEAR(Tabla2[[#This Row],[OrderDate]])</f>
        <v>2024</v>
      </c>
      <c r="M1598" s="7" t="s">
        <v>2705</v>
      </c>
      <c r="N1598" s="7" t="s">
        <v>91</v>
      </c>
    </row>
    <row r="1599" spans="1:14" x14ac:dyDescent="0.35">
      <c r="A1599" s="7" t="s">
        <v>2876</v>
      </c>
      <c r="B1599" s="7" t="s">
        <v>435</v>
      </c>
      <c r="C1599" s="7" t="s">
        <v>436</v>
      </c>
      <c r="D1599" s="7" t="s">
        <v>32</v>
      </c>
      <c r="E1599" s="7" t="s">
        <v>61</v>
      </c>
      <c r="F1599" s="7" t="s">
        <v>101</v>
      </c>
      <c r="G1599" s="7" t="s">
        <v>649</v>
      </c>
      <c r="H1599" s="7">
        <v>2</v>
      </c>
      <c r="I1599" s="2">
        <v>1395.04</v>
      </c>
      <c r="J1599" s="2">
        <f>Tabla2[[#This Row],[Quantity]]*I1599</f>
        <v>2790.08</v>
      </c>
      <c r="K1599" s="6">
        <f>MONTH(Tabla2[[#This Row],[OrderDate]])</f>
        <v>1</v>
      </c>
      <c r="L1599" s="6">
        <f>YEAR(Tabla2[[#This Row],[OrderDate]])</f>
        <v>2026</v>
      </c>
      <c r="M1599" s="7" t="s">
        <v>2877</v>
      </c>
      <c r="N1599" s="7" t="s">
        <v>36</v>
      </c>
    </row>
    <row r="1600" spans="1:14" x14ac:dyDescent="0.35">
      <c r="A1600" s="7" t="s">
        <v>2878</v>
      </c>
      <c r="B1600" s="7" t="s">
        <v>1163</v>
      </c>
      <c r="C1600" s="7" t="s">
        <v>1164</v>
      </c>
      <c r="D1600" s="7" t="s">
        <v>23</v>
      </c>
      <c r="E1600" s="7" t="s">
        <v>24</v>
      </c>
      <c r="F1600" s="7" t="s">
        <v>50</v>
      </c>
      <c r="G1600" s="7" t="s">
        <v>170</v>
      </c>
      <c r="H1600" s="7">
        <v>1</v>
      </c>
      <c r="I1600" s="2">
        <v>1477.21</v>
      </c>
      <c r="J1600" s="2">
        <f>Tabla2[[#This Row],[Quantity]]*I1600</f>
        <v>1477.21</v>
      </c>
      <c r="K1600" s="6">
        <f>MONTH(Tabla2[[#This Row],[OrderDate]])</f>
        <v>11</v>
      </c>
      <c r="L1600" s="6">
        <f>YEAR(Tabla2[[#This Row],[OrderDate]])</f>
        <v>2025</v>
      </c>
      <c r="M1600" s="7" t="s">
        <v>1835</v>
      </c>
      <c r="N1600" s="7" t="s">
        <v>28</v>
      </c>
    </row>
    <row r="1601" spans="1:14" x14ac:dyDescent="0.35">
      <c r="A1601" s="7" t="s">
        <v>2879</v>
      </c>
      <c r="B1601" s="7" t="s">
        <v>454</v>
      </c>
      <c r="C1601" s="7" t="s">
        <v>455</v>
      </c>
      <c r="D1601" s="7" t="s">
        <v>40</v>
      </c>
      <c r="E1601" s="7" t="s">
        <v>120</v>
      </c>
      <c r="F1601" s="7" t="s">
        <v>25</v>
      </c>
      <c r="G1601" s="7" t="s">
        <v>74</v>
      </c>
      <c r="H1601" s="7">
        <v>3</v>
      </c>
      <c r="I1601" s="2">
        <v>632.26</v>
      </c>
      <c r="J1601" s="2">
        <f>Tabla2[[#This Row],[Quantity]]*I1601</f>
        <v>1896.78</v>
      </c>
      <c r="K1601" s="6">
        <f>MONTH(Tabla2[[#This Row],[OrderDate]])</f>
        <v>10</v>
      </c>
      <c r="L1601" s="6">
        <f>YEAR(Tabla2[[#This Row],[OrderDate]])</f>
        <v>2025</v>
      </c>
      <c r="M1601" s="7" t="s">
        <v>2581</v>
      </c>
      <c r="N1601" s="7" t="s">
        <v>19</v>
      </c>
    </row>
    <row r="1602" spans="1:14" x14ac:dyDescent="0.35">
      <c r="A1602" s="7" t="s">
        <v>2880</v>
      </c>
      <c r="B1602" s="7" t="s">
        <v>273</v>
      </c>
      <c r="C1602" s="7" t="s">
        <v>274</v>
      </c>
      <c r="D1602" s="7" t="s">
        <v>32</v>
      </c>
      <c r="E1602" s="7" t="s">
        <v>33</v>
      </c>
      <c r="F1602" s="7" t="s">
        <v>42</v>
      </c>
      <c r="G1602" s="7" t="s">
        <v>80</v>
      </c>
      <c r="H1602" s="7">
        <v>4</v>
      </c>
      <c r="I1602" s="2">
        <v>1299.96</v>
      </c>
      <c r="J1602" s="2">
        <f>Tabla2[[#This Row],[Quantity]]*I1602</f>
        <v>5199.84</v>
      </c>
      <c r="K1602" s="6">
        <f>MONTH(Tabla2[[#This Row],[OrderDate]])</f>
        <v>10</v>
      </c>
      <c r="L1602" s="6">
        <f>YEAR(Tabla2[[#This Row],[OrderDate]])</f>
        <v>2024</v>
      </c>
      <c r="M1602" s="7" t="s">
        <v>2104</v>
      </c>
      <c r="N1602" s="7" t="s">
        <v>91</v>
      </c>
    </row>
    <row r="1603" spans="1:14" x14ac:dyDescent="0.35">
      <c r="A1603" s="7" t="s">
        <v>2881</v>
      </c>
      <c r="B1603" s="7" t="s">
        <v>185</v>
      </c>
      <c r="C1603" s="7" t="s">
        <v>186</v>
      </c>
      <c r="D1603" s="7" t="s">
        <v>32</v>
      </c>
      <c r="E1603" s="7" t="s">
        <v>203</v>
      </c>
      <c r="F1603" s="7" t="s">
        <v>50</v>
      </c>
      <c r="G1603" s="7" t="s">
        <v>216</v>
      </c>
      <c r="H1603" s="7">
        <v>1</v>
      </c>
      <c r="I1603" s="2">
        <v>1121.77</v>
      </c>
      <c r="J1603" s="2">
        <f>Tabla2[[#This Row],[Quantity]]*I1603</f>
        <v>1121.77</v>
      </c>
      <c r="K1603" s="6">
        <f>MONTH(Tabla2[[#This Row],[OrderDate]])</f>
        <v>6</v>
      </c>
      <c r="L1603" s="6">
        <f>YEAR(Tabla2[[#This Row],[OrderDate]])</f>
        <v>2025</v>
      </c>
      <c r="M1603" s="7" t="s">
        <v>2495</v>
      </c>
      <c r="N1603" s="7" t="s">
        <v>28</v>
      </c>
    </row>
    <row r="1604" spans="1:14" x14ac:dyDescent="0.35">
      <c r="A1604" s="7" t="s">
        <v>2882</v>
      </c>
      <c r="B1604" s="7" t="s">
        <v>755</v>
      </c>
      <c r="C1604" s="7" t="s">
        <v>756</v>
      </c>
      <c r="D1604" s="7" t="s">
        <v>14</v>
      </c>
      <c r="E1604" s="7" t="s">
        <v>100</v>
      </c>
      <c r="F1604" s="7" t="s">
        <v>42</v>
      </c>
      <c r="G1604" s="7" t="s">
        <v>89</v>
      </c>
      <c r="H1604" s="7">
        <v>3</v>
      </c>
      <c r="I1604" s="2">
        <v>797.81</v>
      </c>
      <c r="J1604" s="2">
        <f>Tabla2[[#This Row],[Quantity]]*I1604</f>
        <v>2393.4299999999998</v>
      </c>
      <c r="K1604" s="6">
        <f>MONTH(Tabla2[[#This Row],[OrderDate]])</f>
        <v>2</v>
      </c>
      <c r="L1604" s="6">
        <f>YEAR(Tabla2[[#This Row],[OrderDate]])</f>
        <v>2026</v>
      </c>
      <c r="M1604" s="7" t="s">
        <v>2446</v>
      </c>
      <c r="N1604" s="7" t="s">
        <v>19</v>
      </c>
    </row>
    <row r="1605" spans="1:14" x14ac:dyDescent="0.35">
      <c r="A1605" s="7" t="s">
        <v>2883</v>
      </c>
      <c r="B1605" s="7" t="s">
        <v>87</v>
      </c>
      <c r="C1605" s="7" t="s">
        <v>88</v>
      </c>
      <c r="D1605" s="7" t="s">
        <v>32</v>
      </c>
      <c r="E1605" s="7" t="s">
        <v>203</v>
      </c>
      <c r="F1605" s="7" t="s">
        <v>16</v>
      </c>
      <c r="G1605" s="7" t="s">
        <v>182</v>
      </c>
      <c r="H1605" s="7">
        <v>4</v>
      </c>
      <c r="I1605" s="2">
        <v>1048.42</v>
      </c>
      <c r="J1605" s="2">
        <f>Tabla2[[#This Row],[Quantity]]*I1605</f>
        <v>4193.68</v>
      </c>
      <c r="K1605" s="6">
        <f>MONTH(Tabla2[[#This Row],[OrderDate]])</f>
        <v>8</v>
      </c>
      <c r="L1605" s="6">
        <f>YEAR(Tabla2[[#This Row],[OrderDate]])</f>
        <v>2024</v>
      </c>
      <c r="M1605" s="7" t="s">
        <v>2884</v>
      </c>
      <c r="N1605" s="7" t="s">
        <v>36</v>
      </c>
    </row>
    <row r="1606" spans="1:14" x14ac:dyDescent="0.35">
      <c r="A1606" s="7" t="s">
        <v>2885</v>
      </c>
      <c r="B1606" s="7" t="s">
        <v>1018</v>
      </c>
      <c r="C1606" s="7" t="s">
        <v>1019</v>
      </c>
      <c r="D1606" s="7" t="s">
        <v>23</v>
      </c>
      <c r="E1606" s="7" t="s">
        <v>338</v>
      </c>
      <c r="F1606" s="7" t="s">
        <v>101</v>
      </c>
      <c r="G1606" s="7" t="s">
        <v>165</v>
      </c>
      <c r="H1606" s="7">
        <v>5</v>
      </c>
      <c r="I1606" s="2">
        <v>1067.47</v>
      </c>
      <c r="J1606" s="2">
        <f>Tabla2[[#This Row],[Quantity]]*I1606</f>
        <v>5337.35</v>
      </c>
      <c r="K1606" s="6">
        <f>MONTH(Tabla2[[#This Row],[OrderDate]])</f>
        <v>4</v>
      </c>
      <c r="L1606" s="6">
        <f>YEAR(Tabla2[[#This Row],[OrderDate]])</f>
        <v>2025</v>
      </c>
      <c r="M1606" s="7" t="s">
        <v>1796</v>
      </c>
      <c r="N1606" s="7" t="s">
        <v>19</v>
      </c>
    </row>
    <row r="1607" spans="1:14" x14ac:dyDescent="0.35">
      <c r="A1607" s="7" t="s">
        <v>2886</v>
      </c>
      <c r="B1607" s="7" t="s">
        <v>1532</v>
      </c>
      <c r="C1607" s="7" t="s">
        <v>1533</v>
      </c>
      <c r="D1607" s="7" t="s">
        <v>32</v>
      </c>
      <c r="E1607" s="7" t="s">
        <v>33</v>
      </c>
      <c r="F1607" s="7" t="s">
        <v>42</v>
      </c>
      <c r="G1607" s="7" t="s">
        <v>225</v>
      </c>
      <c r="H1607" s="7">
        <v>1</v>
      </c>
      <c r="I1607" s="2">
        <v>162.29</v>
      </c>
      <c r="J1607" s="2">
        <f>Tabla2[[#This Row],[Quantity]]*I1607</f>
        <v>162.29</v>
      </c>
      <c r="K1607" s="6">
        <f>MONTH(Tabla2[[#This Row],[OrderDate]])</f>
        <v>8</v>
      </c>
      <c r="L1607" s="6">
        <f>YEAR(Tabla2[[#This Row],[OrderDate]])</f>
        <v>2024</v>
      </c>
      <c r="M1607" s="7" t="s">
        <v>2887</v>
      </c>
      <c r="N1607" s="7" t="s">
        <v>45</v>
      </c>
    </row>
    <row r="1608" spans="1:14" x14ac:dyDescent="0.35">
      <c r="A1608" s="7" t="s">
        <v>2888</v>
      </c>
      <c r="B1608" s="7" t="s">
        <v>832</v>
      </c>
      <c r="C1608" s="7" t="s">
        <v>833</v>
      </c>
      <c r="D1608" s="7" t="s">
        <v>14</v>
      </c>
      <c r="E1608" s="7" t="s">
        <v>95</v>
      </c>
      <c r="F1608" s="7" t="s">
        <v>101</v>
      </c>
      <c r="G1608" s="7" t="s">
        <v>649</v>
      </c>
      <c r="H1608" s="7">
        <v>5</v>
      </c>
      <c r="I1608" s="2">
        <v>799.32</v>
      </c>
      <c r="J1608" s="2">
        <f>Tabla2[[#This Row],[Quantity]]*I1608</f>
        <v>3996.6000000000004</v>
      </c>
      <c r="K1608" s="6">
        <f>MONTH(Tabla2[[#This Row],[OrderDate]])</f>
        <v>7</v>
      </c>
      <c r="L1608" s="6">
        <f>YEAR(Tabla2[[#This Row],[OrderDate]])</f>
        <v>2024</v>
      </c>
      <c r="M1608" s="7" t="s">
        <v>204</v>
      </c>
      <c r="N1608" s="7" t="s">
        <v>28</v>
      </c>
    </row>
    <row r="1609" spans="1:14" x14ac:dyDescent="0.35">
      <c r="A1609" s="7" t="s">
        <v>2889</v>
      </c>
      <c r="B1609" s="7" t="s">
        <v>751</v>
      </c>
      <c r="C1609" s="7" t="s">
        <v>752</v>
      </c>
      <c r="D1609" s="7" t="s">
        <v>32</v>
      </c>
      <c r="E1609" s="7" t="s">
        <v>61</v>
      </c>
      <c r="F1609" s="7" t="s">
        <v>101</v>
      </c>
      <c r="G1609" s="7" t="s">
        <v>237</v>
      </c>
      <c r="H1609" s="7">
        <v>4</v>
      </c>
      <c r="I1609" s="2">
        <v>748.41</v>
      </c>
      <c r="J1609" s="2">
        <f>Tabla2[[#This Row],[Quantity]]*I1609</f>
        <v>2993.64</v>
      </c>
      <c r="K1609" s="6">
        <f>MONTH(Tabla2[[#This Row],[OrderDate]])</f>
        <v>3</v>
      </c>
      <c r="L1609" s="6">
        <f>YEAR(Tabla2[[#This Row],[OrderDate]])</f>
        <v>2026</v>
      </c>
      <c r="M1609" s="7" t="s">
        <v>1411</v>
      </c>
      <c r="N1609" s="7" t="s">
        <v>36</v>
      </c>
    </row>
    <row r="1610" spans="1:14" x14ac:dyDescent="0.35">
      <c r="A1610" s="7" t="s">
        <v>2890</v>
      </c>
      <c r="B1610" s="7" t="s">
        <v>707</v>
      </c>
      <c r="C1610" s="7" t="s">
        <v>708</v>
      </c>
      <c r="D1610" s="7" t="s">
        <v>32</v>
      </c>
      <c r="E1610" s="7" t="s">
        <v>61</v>
      </c>
      <c r="F1610" s="7" t="s">
        <v>101</v>
      </c>
      <c r="G1610" s="7" t="s">
        <v>237</v>
      </c>
      <c r="H1610" s="7">
        <v>5</v>
      </c>
      <c r="I1610" s="2">
        <v>107.01</v>
      </c>
      <c r="J1610" s="2">
        <f>Tabla2[[#This Row],[Quantity]]*I1610</f>
        <v>535.05000000000007</v>
      </c>
      <c r="K1610" s="6">
        <f>MONTH(Tabla2[[#This Row],[OrderDate]])</f>
        <v>12</v>
      </c>
      <c r="L1610" s="6">
        <f>YEAR(Tabla2[[#This Row],[OrderDate]])</f>
        <v>2025</v>
      </c>
      <c r="M1610" s="7" t="s">
        <v>709</v>
      </c>
      <c r="N1610" s="7" t="s">
        <v>36</v>
      </c>
    </row>
    <row r="1611" spans="1:14" x14ac:dyDescent="0.35">
      <c r="A1611" s="7" t="s">
        <v>2891</v>
      </c>
      <c r="B1611" s="7" t="s">
        <v>38</v>
      </c>
      <c r="C1611" s="7" t="s">
        <v>39</v>
      </c>
      <c r="D1611" s="7" t="s">
        <v>32</v>
      </c>
      <c r="E1611" s="7" t="s">
        <v>33</v>
      </c>
      <c r="F1611" s="7" t="s">
        <v>42</v>
      </c>
      <c r="G1611" s="7" t="s">
        <v>225</v>
      </c>
      <c r="H1611" s="7">
        <v>5</v>
      </c>
      <c r="I1611" s="2">
        <v>524.27</v>
      </c>
      <c r="J1611" s="2">
        <f>Tabla2[[#This Row],[Quantity]]*I1611</f>
        <v>2621.35</v>
      </c>
      <c r="K1611" s="6">
        <f>MONTH(Tabla2[[#This Row],[OrderDate]])</f>
        <v>8</v>
      </c>
      <c r="L1611" s="6">
        <f>YEAR(Tabla2[[#This Row],[OrderDate]])</f>
        <v>2025</v>
      </c>
      <c r="M1611" s="7" t="s">
        <v>331</v>
      </c>
      <c r="N1611" s="7" t="s">
        <v>28</v>
      </c>
    </row>
    <row r="1612" spans="1:14" x14ac:dyDescent="0.35">
      <c r="A1612" s="7" t="s">
        <v>2892</v>
      </c>
      <c r="B1612" s="7" t="s">
        <v>856</v>
      </c>
      <c r="C1612" s="7" t="s">
        <v>857</v>
      </c>
      <c r="D1612" s="7" t="s">
        <v>67</v>
      </c>
      <c r="E1612" s="7" t="s">
        <v>130</v>
      </c>
      <c r="F1612" s="7" t="s">
        <v>25</v>
      </c>
      <c r="G1612" s="7" t="s">
        <v>26</v>
      </c>
      <c r="H1612" s="7">
        <v>4</v>
      </c>
      <c r="I1612" s="2">
        <v>114.36</v>
      </c>
      <c r="J1612" s="2">
        <f>Tabla2[[#This Row],[Quantity]]*I1612</f>
        <v>457.44</v>
      </c>
      <c r="K1612" s="6">
        <f>MONTH(Tabla2[[#This Row],[OrderDate]])</f>
        <v>1</v>
      </c>
      <c r="L1612" s="6">
        <f>YEAR(Tabla2[[#This Row],[OrderDate]])</f>
        <v>2025</v>
      </c>
      <c r="M1612" s="7" t="s">
        <v>2164</v>
      </c>
      <c r="N1612" s="7" t="s">
        <v>36</v>
      </c>
    </row>
    <row r="1613" spans="1:14" x14ac:dyDescent="0.35">
      <c r="A1613" s="7" t="s">
        <v>2893</v>
      </c>
      <c r="B1613" s="7" t="s">
        <v>315</v>
      </c>
      <c r="C1613" s="7" t="s">
        <v>316</v>
      </c>
      <c r="D1613" s="7" t="s">
        <v>67</v>
      </c>
      <c r="E1613" s="7" t="s">
        <v>130</v>
      </c>
      <c r="F1613" s="7" t="s">
        <v>50</v>
      </c>
      <c r="G1613" s="7" t="s">
        <v>56</v>
      </c>
      <c r="H1613" s="7">
        <v>1</v>
      </c>
      <c r="I1613" s="2">
        <v>236.39</v>
      </c>
      <c r="J1613" s="2">
        <f>Tabla2[[#This Row],[Quantity]]*I1613</f>
        <v>236.39</v>
      </c>
      <c r="K1613" s="6">
        <f>MONTH(Tabla2[[#This Row],[OrderDate]])</f>
        <v>3</v>
      </c>
      <c r="L1613" s="6">
        <f>YEAR(Tabla2[[#This Row],[OrderDate]])</f>
        <v>2024</v>
      </c>
      <c r="M1613" s="7" t="s">
        <v>2894</v>
      </c>
      <c r="N1613" s="7" t="s">
        <v>19</v>
      </c>
    </row>
    <row r="1614" spans="1:14" x14ac:dyDescent="0.35">
      <c r="A1614" s="7" t="s">
        <v>2895</v>
      </c>
      <c r="B1614" s="7" t="s">
        <v>579</v>
      </c>
      <c r="C1614" s="7" t="s">
        <v>580</v>
      </c>
      <c r="D1614" s="7" t="s">
        <v>67</v>
      </c>
      <c r="E1614" s="7" t="s">
        <v>130</v>
      </c>
      <c r="F1614" s="7" t="s">
        <v>16</v>
      </c>
      <c r="G1614" s="7" t="s">
        <v>182</v>
      </c>
      <c r="H1614" s="7">
        <v>5</v>
      </c>
      <c r="I1614" s="2">
        <v>31.69</v>
      </c>
      <c r="J1614" s="2">
        <f>Tabla2[[#This Row],[Quantity]]*I1614</f>
        <v>158.45000000000002</v>
      </c>
      <c r="K1614" s="6">
        <f>MONTH(Tabla2[[#This Row],[OrderDate]])</f>
        <v>7</v>
      </c>
      <c r="L1614" s="6">
        <f>YEAR(Tabla2[[#This Row],[OrderDate]])</f>
        <v>2024</v>
      </c>
      <c r="M1614" s="7" t="s">
        <v>2896</v>
      </c>
      <c r="N1614" s="7" t="s">
        <v>19</v>
      </c>
    </row>
    <row r="1615" spans="1:14" x14ac:dyDescent="0.35">
      <c r="A1615" s="7" t="s">
        <v>2897</v>
      </c>
      <c r="B1615" s="7" t="s">
        <v>1179</v>
      </c>
      <c r="C1615" s="7" t="s">
        <v>1180</v>
      </c>
      <c r="D1615" s="7" t="s">
        <v>40</v>
      </c>
      <c r="E1615" s="7" t="s">
        <v>79</v>
      </c>
      <c r="F1615" s="7" t="s">
        <v>50</v>
      </c>
      <c r="G1615" s="7" t="s">
        <v>51</v>
      </c>
      <c r="H1615" s="7">
        <v>2</v>
      </c>
      <c r="I1615" s="2">
        <v>221.96</v>
      </c>
      <c r="J1615" s="2">
        <f>Tabla2[[#This Row],[Quantity]]*I1615</f>
        <v>443.92</v>
      </c>
      <c r="K1615" s="6">
        <f>MONTH(Tabla2[[#This Row],[OrderDate]])</f>
        <v>8</v>
      </c>
      <c r="L1615" s="6">
        <f>YEAR(Tabla2[[#This Row],[OrderDate]])</f>
        <v>2024</v>
      </c>
      <c r="M1615" s="7" t="s">
        <v>2898</v>
      </c>
      <c r="N1615" s="7" t="s">
        <v>28</v>
      </c>
    </row>
    <row r="1616" spans="1:14" x14ac:dyDescent="0.35">
      <c r="A1616" s="7" t="s">
        <v>2899</v>
      </c>
      <c r="B1616" s="7" t="s">
        <v>435</v>
      </c>
      <c r="C1616" s="7" t="s">
        <v>436</v>
      </c>
      <c r="D1616" s="7" t="s">
        <v>32</v>
      </c>
      <c r="E1616" s="7" t="s">
        <v>203</v>
      </c>
      <c r="F1616" s="7" t="s">
        <v>101</v>
      </c>
      <c r="G1616" s="7" t="s">
        <v>102</v>
      </c>
      <c r="H1616" s="7">
        <v>3</v>
      </c>
      <c r="I1616" s="2">
        <v>1362.42</v>
      </c>
      <c r="J1616" s="2">
        <f>Tabla2[[#This Row],[Quantity]]*I1616</f>
        <v>4087.26</v>
      </c>
      <c r="K1616" s="6">
        <f>MONTH(Tabla2[[#This Row],[OrderDate]])</f>
        <v>9</v>
      </c>
      <c r="L1616" s="6">
        <f>YEAR(Tabla2[[#This Row],[OrderDate]])</f>
        <v>2025</v>
      </c>
      <c r="M1616" s="7" t="s">
        <v>2225</v>
      </c>
      <c r="N1616" s="7" t="s">
        <v>91</v>
      </c>
    </row>
    <row r="1617" spans="1:14" x14ac:dyDescent="0.35">
      <c r="A1617" s="7" t="s">
        <v>2900</v>
      </c>
      <c r="B1617" s="7" t="s">
        <v>652</v>
      </c>
      <c r="C1617" s="7" t="s">
        <v>653</v>
      </c>
      <c r="D1617" s="7" t="s">
        <v>40</v>
      </c>
      <c r="E1617" s="7" t="s">
        <v>79</v>
      </c>
      <c r="F1617" s="7" t="s">
        <v>25</v>
      </c>
      <c r="G1617" s="7" t="s">
        <v>62</v>
      </c>
      <c r="H1617" s="7">
        <v>5</v>
      </c>
      <c r="I1617" s="2">
        <v>907.61</v>
      </c>
      <c r="J1617" s="2">
        <f>Tabla2[[#This Row],[Quantity]]*I1617</f>
        <v>4538.05</v>
      </c>
      <c r="K1617" s="6">
        <f>MONTH(Tabla2[[#This Row],[OrderDate]])</f>
        <v>1</v>
      </c>
      <c r="L1617" s="6">
        <f>YEAR(Tabla2[[#This Row],[OrderDate]])</f>
        <v>2025</v>
      </c>
      <c r="M1617" s="7" t="s">
        <v>1122</v>
      </c>
      <c r="N1617" s="7" t="s">
        <v>45</v>
      </c>
    </row>
    <row r="1618" spans="1:14" x14ac:dyDescent="0.35">
      <c r="A1618" s="7" t="s">
        <v>2901</v>
      </c>
      <c r="B1618" s="7" t="s">
        <v>868</v>
      </c>
      <c r="C1618" s="7" t="s">
        <v>869</v>
      </c>
      <c r="D1618" s="7" t="s">
        <v>23</v>
      </c>
      <c r="E1618" s="7" t="s">
        <v>338</v>
      </c>
      <c r="F1618" s="7" t="s">
        <v>101</v>
      </c>
      <c r="G1618" s="7" t="s">
        <v>649</v>
      </c>
      <c r="H1618" s="7">
        <v>1</v>
      </c>
      <c r="I1618" s="2">
        <v>1405.67</v>
      </c>
      <c r="J1618" s="2">
        <f>Tabla2[[#This Row],[Quantity]]*I1618</f>
        <v>1405.67</v>
      </c>
      <c r="K1618" s="6">
        <f>MONTH(Tabla2[[#This Row],[OrderDate]])</f>
        <v>8</v>
      </c>
      <c r="L1618" s="6">
        <f>YEAR(Tabla2[[#This Row],[OrderDate]])</f>
        <v>2024</v>
      </c>
      <c r="M1618" s="7" t="s">
        <v>1761</v>
      </c>
      <c r="N1618" s="7" t="s">
        <v>36</v>
      </c>
    </row>
    <row r="1619" spans="1:14" x14ac:dyDescent="0.35">
      <c r="A1619" s="7" t="s">
        <v>2902</v>
      </c>
      <c r="B1619" s="7" t="s">
        <v>1464</v>
      </c>
      <c r="C1619" s="7" t="s">
        <v>1465</v>
      </c>
      <c r="D1619" s="7" t="s">
        <v>23</v>
      </c>
      <c r="E1619" s="7" t="s">
        <v>338</v>
      </c>
      <c r="F1619" s="7" t="s">
        <v>16</v>
      </c>
      <c r="G1619" s="7" t="s">
        <v>177</v>
      </c>
      <c r="H1619" s="7">
        <v>2</v>
      </c>
      <c r="I1619" s="2">
        <v>243.09</v>
      </c>
      <c r="J1619" s="2">
        <f>Tabla2[[#This Row],[Quantity]]*I1619</f>
        <v>486.18</v>
      </c>
      <c r="K1619" s="6">
        <f>MONTH(Tabla2[[#This Row],[OrderDate]])</f>
        <v>8</v>
      </c>
      <c r="L1619" s="6">
        <f>YEAR(Tabla2[[#This Row],[OrderDate]])</f>
        <v>2025</v>
      </c>
      <c r="M1619" s="7" t="s">
        <v>2116</v>
      </c>
      <c r="N1619" s="7" t="s">
        <v>91</v>
      </c>
    </row>
    <row r="1620" spans="1:14" x14ac:dyDescent="0.35">
      <c r="A1620" s="7" t="s">
        <v>2903</v>
      </c>
      <c r="B1620" s="7" t="s">
        <v>960</v>
      </c>
      <c r="C1620" s="7" t="s">
        <v>961</v>
      </c>
      <c r="D1620" s="7" t="s">
        <v>40</v>
      </c>
      <c r="E1620" s="7" t="s">
        <v>79</v>
      </c>
      <c r="F1620" s="7" t="s">
        <v>50</v>
      </c>
      <c r="G1620" s="7" t="s">
        <v>56</v>
      </c>
      <c r="H1620" s="7">
        <v>1</v>
      </c>
      <c r="I1620" s="2">
        <v>287.45</v>
      </c>
      <c r="J1620" s="2">
        <f>Tabla2[[#This Row],[Quantity]]*I1620</f>
        <v>287.45</v>
      </c>
      <c r="K1620" s="6">
        <f>MONTH(Tabla2[[#This Row],[OrderDate]])</f>
        <v>10</v>
      </c>
      <c r="L1620" s="6">
        <f>YEAR(Tabla2[[#This Row],[OrderDate]])</f>
        <v>2024</v>
      </c>
      <c r="M1620" s="7" t="s">
        <v>2104</v>
      </c>
      <c r="N1620" s="7" t="s">
        <v>91</v>
      </c>
    </row>
    <row r="1621" spans="1:14" x14ac:dyDescent="0.35">
      <c r="A1621" s="7" t="s">
        <v>2904</v>
      </c>
      <c r="B1621" s="7" t="s">
        <v>629</v>
      </c>
      <c r="C1621" s="7" t="s">
        <v>630</v>
      </c>
      <c r="D1621" s="7" t="s">
        <v>23</v>
      </c>
      <c r="E1621" s="7" t="s">
        <v>338</v>
      </c>
      <c r="F1621" s="7" t="s">
        <v>16</v>
      </c>
      <c r="G1621" s="7" t="s">
        <v>182</v>
      </c>
      <c r="H1621" s="7">
        <v>4</v>
      </c>
      <c r="I1621" s="2">
        <v>222.62</v>
      </c>
      <c r="J1621" s="2">
        <f>Tabla2[[#This Row],[Quantity]]*I1621</f>
        <v>890.48</v>
      </c>
      <c r="K1621" s="6">
        <f>MONTH(Tabla2[[#This Row],[OrderDate]])</f>
        <v>6</v>
      </c>
      <c r="L1621" s="6">
        <f>YEAR(Tabla2[[#This Row],[OrderDate]])</f>
        <v>2024</v>
      </c>
      <c r="M1621" s="7" t="s">
        <v>339</v>
      </c>
      <c r="N1621" s="7" t="s">
        <v>19</v>
      </c>
    </row>
    <row r="1622" spans="1:14" x14ac:dyDescent="0.35">
      <c r="A1622" s="7" t="s">
        <v>2905</v>
      </c>
      <c r="B1622" s="7" t="s">
        <v>426</v>
      </c>
      <c r="C1622" s="7" t="s">
        <v>427</v>
      </c>
      <c r="D1622" s="7" t="s">
        <v>32</v>
      </c>
      <c r="E1622" s="7" t="s">
        <v>61</v>
      </c>
      <c r="F1622" s="7" t="s">
        <v>42</v>
      </c>
      <c r="G1622" s="7" t="s">
        <v>170</v>
      </c>
      <c r="H1622" s="7">
        <v>3</v>
      </c>
      <c r="I1622" s="2">
        <v>1143.56</v>
      </c>
      <c r="J1622" s="2">
        <f>Tabla2[[#This Row],[Quantity]]*I1622</f>
        <v>3430.68</v>
      </c>
      <c r="K1622" s="6">
        <f>MONTH(Tabla2[[#This Row],[OrderDate]])</f>
        <v>1</v>
      </c>
      <c r="L1622" s="6">
        <f>YEAR(Tabla2[[#This Row],[OrderDate]])</f>
        <v>2025</v>
      </c>
      <c r="M1622" s="7" t="s">
        <v>815</v>
      </c>
      <c r="N1622" s="7" t="s">
        <v>45</v>
      </c>
    </row>
    <row r="1623" spans="1:14" x14ac:dyDescent="0.35">
      <c r="A1623" s="7" t="s">
        <v>2906</v>
      </c>
      <c r="B1623" s="7" t="s">
        <v>355</v>
      </c>
      <c r="C1623" s="7" t="s">
        <v>356</v>
      </c>
      <c r="D1623" s="7" t="s">
        <v>32</v>
      </c>
      <c r="E1623" s="7" t="s">
        <v>33</v>
      </c>
      <c r="F1623" s="7" t="s">
        <v>50</v>
      </c>
      <c r="G1623" s="7" t="s">
        <v>216</v>
      </c>
      <c r="H1623" s="7">
        <v>5</v>
      </c>
      <c r="I1623" s="2">
        <v>846.61</v>
      </c>
      <c r="J1623" s="2">
        <f>Tabla2[[#This Row],[Quantity]]*I1623</f>
        <v>4233.05</v>
      </c>
      <c r="K1623" s="6">
        <f>MONTH(Tabla2[[#This Row],[OrderDate]])</f>
        <v>3</v>
      </c>
      <c r="L1623" s="6">
        <f>YEAR(Tabla2[[#This Row],[OrderDate]])</f>
        <v>2025</v>
      </c>
      <c r="M1623" s="7" t="s">
        <v>542</v>
      </c>
      <c r="N1623" s="7" t="s">
        <v>45</v>
      </c>
    </row>
    <row r="1624" spans="1:14" x14ac:dyDescent="0.35">
      <c r="A1624" s="7" t="s">
        <v>2907</v>
      </c>
      <c r="B1624" s="7" t="s">
        <v>521</v>
      </c>
      <c r="C1624" s="7" t="s">
        <v>522</v>
      </c>
      <c r="D1624" s="7" t="s">
        <v>14</v>
      </c>
      <c r="E1624" s="7" t="s">
        <v>95</v>
      </c>
      <c r="F1624" s="7" t="s">
        <v>101</v>
      </c>
      <c r="G1624" s="7" t="s">
        <v>237</v>
      </c>
      <c r="H1624" s="7">
        <v>3</v>
      </c>
      <c r="I1624" s="2">
        <v>106.79</v>
      </c>
      <c r="J1624" s="2">
        <f>Tabla2[[#This Row],[Quantity]]*I1624</f>
        <v>320.37</v>
      </c>
      <c r="K1624" s="6">
        <f>MONTH(Tabla2[[#This Row],[OrderDate]])</f>
        <v>2</v>
      </c>
      <c r="L1624" s="6">
        <f>YEAR(Tabla2[[#This Row],[OrderDate]])</f>
        <v>2025</v>
      </c>
      <c r="M1624" s="7" t="s">
        <v>695</v>
      </c>
      <c r="N1624" s="7" t="s">
        <v>36</v>
      </c>
    </row>
    <row r="1625" spans="1:14" x14ac:dyDescent="0.35">
      <c r="A1625" s="7" t="s">
        <v>2908</v>
      </c>
      <c r="B1625" s="7" t="s">
        <v>960</v>
      </c>
      <c r="C1625" s="7" t="s">
        <v>961</v>
      </c>
      <c r="D1625" s="7" t="s">
        <v>14</v>
      </c>
      <c r="E1625" s="7" t="s">
        <v>266</v>
      </c>
      <c r="F1625" s="7" t="s">
        <v>42</v>
      </c>
      <c r="G1625" s="7" t="s">
        <v>89</v>
      </c>
      <c r="H1625" s="7">
        <v>3</v>
      </c>
      <c r="I1625" s="2">
        <v>228.77</v>
      </c>
      <c r="J1625" s="2">
        <f>Tabla2[[#This Row],[Quantity]]*I1625</f>
        <v>686.31000000000006</v>
      </c>
      <c r="K1625" s="6">
        <f>MONTH(Tabla2[[#This Row],[OrderDate]])</f>
        <v>2</v>
      </c>
      <c r="L1625" s="6">
        <f>YEAR(Tabla2[[#This Row],[OrderDate]])</f>
        <v>2024</v>
      </c>
      <c r="M1625" s="7" t="s">
        <v>107</v>
      </c>
      <c r="N1625" s="7" t="s">
        <v>91</v>
      </c>
    </row>
    <row r="1626" spans="1:14" x14ac:dyDescent="0.35">
      <c r="A1626" s="7" t="s">
        <v>2909</v>
      </c>
      <c r="B1626" s="7" t="s">
        <v>38</v>
      </c>
      <c r="C1626" s="7" t="s">
        <v>39</v>
      </c>
      <c r="D1626" s="7" t="s">
        <v>40</v>
      </c>
      <c r="E1626" s="7" t="s">
        <v>120</v>
      </c>
      <c r="F1626" s="7" t="s">
        <v>42</v>
      </c>
      <c r="G1626" s="7" t="s">
        <v>43</v>
      </c>
      <c r="H1626" s="7">
        <v>1</v>
      </c>
      <c r="I1626" s="2">
        <v>1277.9000000000001</v>
      </c>
      <c r="J1626" s="2">
        <f>Tabla2[[#This Row],[Quantity]]*I1626</f>
        <v>1277.9000000000001</v>
      </c>
      <c r="K1626" s="6">
        <f>MONTH(Tabla2[[#This Row],[OrderDate]])</f>
        <v>4</v>
      </c>
      <c r="L1626" s="6">
        <f>YEAR(Tabla2[[#This Row],[OrderDate]])</f>
        <v>2025</v>
      </c>
      <c r="M1626" s="7" t="s">
        <v>1796</v>
      </c>
      <c r="N1626" s="7" t="s">
        <v>28</v>
      </c>
    </row>
    <row r="1627" spans="1:14" x14ac:dyDescent="0.35">
      <c r="A1627" s="7" t="s">
        <v>2910</v>
      </c>
      <c r="B1627" s="7" t="s">
        <v>133</v>
      </c>
      <c r="C1627" s="7" t="s">
        <v>134</v>
      </c>
      <c r="D1627" s="7" t="s">
        <v>32</v>
      </c>
      <c r="E1627" s="7" t="s">
        <v>203</v>
      </c>
      <c r="F1627" s="7" t="s">
        <v>16</v>
      </c>
      <c r="G1627" s="7" t="s">
        <v>182</v>
      </c>
      <c r="H1627" s="7">
        <v>4</v>
      </c>
      <c r="I1627" s="2">
        <v>657.36</v>
      </c>
      <c r="J1627" s="2">
        <f>Tabla2[[#This Row],[Quantity]]*I1627</f>
        <v>2629.44</v>
      </c>
      <c r="K1627" s="6">
        <f>MONTH(Tabla2[[#This Row],[OrderDate]])</f>
        <v>1</v>
      </c>
      <c r="L1627" s="6">
        <f>YEAR(Tabla2[[#This Row],[OrderDate]])</f>
        <v>2024</v>
      </c>
      <c r="M1627" s="7" t="s">
        <v>2911</v>
      </c>
      <c r="N1627" s="7" t="s">
        <v>91</v>
      </c>
    </row>
    <row r="1628" spans="1:14" x14ac:dyDescent="0.35">
      <c r="A1628" s="7" t="s">
        <v>2912</v>
      </c>
      <c r="B1628" s="7" t="s">
        <v>718</v>
      </c>
      <c r="C1628" s="7" t="s">
        <v>719</v>
      </c>
      <c r="D1628" s="7" t="s">
        <v>23</v>
      </c>
      <c r="E1628" s="7" t="s">
        <v>49</v>
      </c>
      <c r="F1628" s="7" t="s">
        <v>50</v>
      </c>
      <c r="G1628" s="7" t="s">
        <v>216</v>
      </c>
      <c r="H1628" s="7">
        <v>2</v>
      </c>
      <c r="I1628" s="2">
        <v>127.89</v>
      </c>
      <c r="J1628" s="2">
        <f>Tabla2[[#This Row],[Quantity]]*I1628</f>
        <v>255.78</v>
      </c>
      <c r="K1628" s="6">
        <f>MONTH(Tabla2[[#This Row],[OrderDate]])</f>
        <v>7</v>
      </c>
      <c r="L1628" s="6">
        <f>YEAR(Tabla2[[#This Row],[OrderDate]])</f>
        <v>2024</v>
      </c>
      <c r="M1628" s="7" t="s">
        <v>1775</v>
      </c>
      <c r="N1628" s="7" t="s">
        <v>91</v>
      </c>
    </row>
    <row r="1629" spans="1:14" x14ac:dyDescent="0.35">
      <c r="A1629" s="7" t="s">
        <v>2913</v>
      </c>
      <c r="B1629" s="7" t="s">
        <v>443</v>
      </c>
      <c r="C1629" s="7" t="s">
        <v>444</v>
      </c>
      <c r="D1629" s="7" t="s">
        <v>40</v>
      </c>
      <c r="E1629" s="7" t="s">
        <v>79</v>
      </c>
      <c r="F1629" s="7" t="s">
        <v>50</v>
      </c>
      <c r="G1629" s="7" t="s">
        <v>56</v>
      </c>
      <c r="H1629" s="7">
        <v>4</v>
      </c>
      <c r="I1629" s="2">
        <v>858.94</v>
      </c>
      <c r="J1629" s="2">
        <f>Tabla2[[#This Row],[Quantity]]*I1629</f>
        <v>3435.76</v>
      </c>
      <c r="K1629" s="6">
        <f>MONTH(Tabla2[[#This Row],[OrderDate]])</f>
        <v>6</v>
      </c>
      <c r="L1629" s="6">
        <f>YEAR(Tabla2[[#This Row],[OrderDate]])</f>
        <v>2025</v>
      </c>
      <c r="M1629" s="7" t="s">
        <v>2129</v>
      </c>
      <c r="N1629" s="7" t="s">
        <v>28</v>
      </c>
    </row>
    <row r="1630" spans="1:14" x14ac:dyDescent="0.35">
      <c r="A1630" s="7" t="s">
        <v>2914</v>
      </c>
      <c r="B1630" s="7" t="s">
        <v>506</v>
      </c>
      <c r="C1630" s="7" t="s">
        <v>507</v>
      </c>
      <c r="D1630" s="7" t="s">
        <v>14</v>
      </c>
      <c r="E1630" s="7" t="s">
        <v>266</v>
      </c>
      <c r="F1630" s="7" t="s">
        <v>50</v>
      </c>
      <c r="G1630" s="7" t="s">
        <v>216</v>
      </c>
      <c r="H1630" s="7">
        <v>2</v>
      </c>
      <c r="I1630" s="2">
        <v>1333.99</v>
      </c>
      <c r="J1630" s="2">
        <f>Tabla2[[#This Row],[Quantity]]*I1630</f>
        <v>2667.98</v>
      </c>
      <c r="K1630" s="6">
        <f>MONTH(Tabla2[[#This Row],[OrderDate]])</f>
        <v>2</v>
      </c>
      <c r="L1630" s="6">
        <f>YEAR(Tabla2[[#This Row],[OrderDate]])</f>
        <v>2024</v>
      </c>
      <c r="M1630" s="7" t="s">
        <v>121</v>
      </c>
      <c r="N1630" s="7" t="s">
        <v>36</v>
      </c>
    </row>
    <row r="1631" spans="1:14" x14ac:dyDescent="0.35">
      <c r="A1631" s="7" t="s">
        <v>2915</v>
      </c>
      <c r="B1631" s="7" t="s">
        <v>544</v>
      </c>
      <c r="C1631" s="7" t="s">
        <v>545</v>
      </c>
      <c r="D1631" s="7" t="s">
        <v>32</v>
      </c>
      <c r="E1631" s="7" t="s">
        <v>33</v>
      </c>
      <c r="F1631" s="7" t="s">
        <v>25</v>
      </c>
      <c r="G1631" s="7" t="s">
        <v>26</v>
      </c>
      <c r="H1631" s="7">
        <v>4</v>
      </c>
      <c r="I1631" s="2">
        <v>278.67</v>
      </c>
      <c r="J1631" s="2">
        <f>Tabla2[[#This Row],[Quantity]]*I1631</f>
        <v>1114.68</v>
      </c>
      <c r="K1631" s="6">
        <f>MONTH(Tabla2[[#This Row],[OrderDate]])</f>
        <v>2</v>
      </c>
      <c r="L1631" s="6">
        <f>YEAR(Tabla2[[#This Row],[OrderDate]])</f>
        <v>2026</v>
      </c>
      <c r="M1631" s="7" t="s">
        <v>647</v>
      </c>
      <c r="N1631" s="7" t="s">
        <v>19</v>
      </c>
    </row>
    <row r="1632" spans="1:14" x14ac:dyDescent="0.35">
      <c r="A1632" s="7" t="s">
        <v>2916</v>
      </c>
      <c r="B1632" s="7" t="s">
        <v>738</v>
      </c>
      <c r="C1632" s="7" t="s">
        <v>739</v>
      </c>
      <c r="D1632" s="7" t="s">
        <v>32</v>
      </c>
      <c r="E1632" s="7" t="s">
        <v>61</v>
      </c>
      <c r="F1632" s="7" t="s">
        <v>101</v>
      </c>
      <c r="G1632" s="7" t="s">
        <v>237</v>
      </c>
      <c r="H1632" s="7">
        <v>1</v>
      </c>
      <c r="I1632" s="2">
        <v>1045.4000000000001</v>
      </c>
      <c r="J1632" s="2">
        <f>Tabla2[[#This Row],[Quantity]]*I1632</f>
        <v>1045.4000000000001</v>
      </c>
      <c r="K1632" s="6">
        <f>MONTH(Tabla2[[#This Row],[OrderDate]])</f>
        <v>2</v>
      </c>
      <c r="L1632" s="6">
        <f>YEAR(Tabla2[[#This Row],[OrderDate]])</f>
        <v>2024</v>
      </c>
      <c r="M1632" s="7" t="s">
        <v>850</v>
      </c>
      <c r="N1632" s="7" t="s">
        <v>45</v>
      </c>
    </row>
    <row r="1633" spans="1:14" x14ac:dyDescent="0.35">
      <c r="A1633" s="7" t="s">
        <v>2917</v>
      </c>
      <c r="B1633" s="7" t="s">
        <v>492</v>
      </c>
      <c r="C1633" s="7" t="s">
        <v>493</v>
      </c>
      <c r="D1633" s="7" t="s">
        <v>32</v>
      </c>
      <c r="E1633" s="7" t="s">
        <v>61</v>
      </c>
      <c r="F1633" s="7" t="s">
        <v>42</v>
      </c>
      <c r="G1633" s="7" t="s">
        <v>225</v>
      </c>
      <c r="H1633" s="7">
        <v>2</v>
      </c>
      <c r="I1633" s="2">
        <v>1332.36</v>
      </c>
      <c r="J1633" s="2">
        <f>Tabla2[[#This Row],[Quantity]]*I1633</f>
        <v>2664.72</v>
      </c>
      <c r="K1633" s="6">
        <f>MONTH(Tabla2[[#This Row],[OrderDate]])</f>
        <v>4</v>
      </c>
      <c r="L1633" s="6">
        <f>YEAR(Tabla2[[#This Row],[OrderDate]])</f>
        <v>2024</v>
      </c>
      <c r="M1633" s="7" t="s">
        <v>2108</v>
      </c>
      <c r="N1633" s="7" t="s">
        <v>45</v>
      </c>
    </row>
    <row r="1634" spans="1:14" x14ac:dyDescent="0.35">
      <c r="A1634" s="7" t="s">
        <v>2918</v>
      </c>
      <c r="B1634" s="7" t="s">
        <v>1131</v>
      </c>
      <c r="C1634" s="7" t="s">
        <v>1132</v>
      </c>
      <c r="D1634" s="7" t="s">
        <v>14</v>
      </c>
      <c r="E1634" s="7" t="s">
        <v>266</v>
      </c>
      <c r="F1634" s="7" t="s">
        <v>101</v>
      </c>
      <c r="G1634" s="7" t="s">
        <v>373</v>
      </c>
      <c r="H1634" s="7">
        <v>2</v>
      </c>
      <c r="I1634" s="2">
        <v>287.08</v>
      </c>
      <c r="J1634" s="2">
        <f>Tabla2[[#This Row],[Quantity]]*I1634</f>
        <v>574.16</v>
      </c>
      <c r="K1634" s="6">
        <f>MONTH(Tabla2[[#This Row],[OrderDate]])</f>
        <v>2</v>
      </c>
      <c r="L1634" s="6">
        <f>YEAR(Tabla2[[#This Row],[OrderDate]])</f>
        <v>2026</v>
      </c>
      <c r="M1634" s="7" t="s">
        <v>35</v>
      </c>
      <c r="N1634" s="7" t="s">
        <v>45</v>
      </c>
    </row>
    <row r="1635" spans="1:14" x14ac:dyDescent="0.35">
      <c r="A1635" s="7" t="s">
        <v>2919</v>
      </c>
      <c r="B1635" s="7" t="s">
        <v>133</v>
      </c>
      <c r="C1635" s="7" t="s">
        <v>134</v>
      </c>
      <c r="D1635" s="7" t="s">
        <v>32</v>
      </c>
      <c r="E1635" s="7" t="s">
        <v>61</v>
      </c>
      <c r="F1635" s="7" t="s">
        <v>42</v>
      </c>
      <c r="G1635" s="7" t="s">
        <v>170</v>
      </c>
      <c r="H1635" s="7">
        <v>4</v>
      </c>
      <c r="I1635" s="2">
        <v>450.14</v>
      </c>
      <c r="J1635" s="2">
        <f>Tabla2[[#This Row],[Quantity]]*I1635</f>
        <v>1800.56</v>
      </c>
      <c r="K1635" s="6">
        <f>MONTH(Tabla2[[#This Row],[OrderDate]])</f>
        <v>11</v>
      </c>
      <c r="L1635" s="6">
        <f>YEAR(Tabla2[[#This Row],[OrderDate]])</f>
        <v>2024</v>
      </c>
      <c r="M1635" s="7" t="s">
        <v>1934</v>
      </c>
      <c r="N1635" s="7" t="s">
        <v>19</v>
      </c>
    </row>
    <row r="1636" spans="1:14" x14ac:dyDescent="0.35">
      <c r="A1636" s="7" t="s">
        <v>2920</v>
      </c>
      <c r="B1636" s="7" t="s">
        <v>574</v>
      </c>
      <c r="C1636" s="7" t="s">
        <v>575</v>
      </c>
      <c r="D1636" s="7" t="s">
        <v>32</v>
      </c>
      <c r="E1636" s="7" t="s">
        <v>61</v>
      </c>
      <c r="F1636" s="7" t="s">
        <v>25</v>
      </c>
      <c r="G1636" s="7" t="s">
        <v>26</v>
      </c>
      <c r="H1636" s="7">
        <v>4</v>
      </c>
      <c r="I1636" s="2">
        <v>688.46</v>
      </c>
      <c r="J1636" s="2">
        <f>Tabla2[[#This Row],[Quantity]]*I1636</f>
        <v>2753.84</v>
      </c>
      <c r="K1636" s="6">
        <f>MONTH(Tabla2[[#This Row],[OrderDate]])</f>
        <v>1</v>
      </c>
      <c r="L1636" s="6">
        <f>YEAR(Tabla2[[#This Row],[OrderDate]])</f>
        <v>2024</v>
      </c>
      <c r="M1636" s="7" t="s">
        <v>410</v>
      </c>
      <c r="N1636" s="7" t="s">
        <v>19</v>
      </c>
    </row>
    <row r="1637" spans="1:14" x14ac:dyDescent="0.35">
      <c r="A1637" s="7" t="s">
        <v>2921</v>
      </c>
      <c r="B1637" s="7" t="s">
        <v>464</v>
      </c>
      <c r="C1637" s="7" t="s">
        <v>465</v>
      </c>
      <c r="D1637" s="7" t="s">
        <v>67</v>
      </c>
      <c r="E1637" s="7" t="s">
        <v>130</v>
      </c>
      <c r="F1637" s="7" t="s">
        <v>42</v>
      </c>
      <c r="G1637" s="7" t="s">
        <v>89</v>
      </c>
      <c r="H1637" s="7">
        <v>5</v>
      </c>
      <c r="I1637" s="2">
        <v>244.35</v>
      </c>
      <c r="J1637" s="2">
        <f>Tabla2[[#This Row],[Quantity]]*I1637</f>
        <v>1221.75</v>
      </c>
      <c r="K1637" s="6">
        <f>MONTH(Tabla2[[#This Row],[OrderDate]])</f>
        <v>7</v>
      </c>
      <c r="L1637" s="6">
        <f>YEAR(Tabla2[[#This Row],[OrderDate]])</f>
        <v>2025</v>
      </c>
      <c r="M1637" s="7" t="s">
        <v>486</v>
      </c>
      <c r="N1637" s="7" t="s">
        <v>28</v>
      </c>
    </row>
    <row r="1638" spans="1:14" x14ac:dyDescent="0.35">
      <c r="A1638" s="7" t="s">
        <v>2922</v>
      </c>
      <c r="B1638" s="7" t="s">
        <v>1532</v>
      </c>
      <c r="C1638" s="7" t="s">
        <v>1533</v>
      </c>
      <c r="D1638" s="7" t="s">
        <v>23</v>
      </c>
      <c r="E1638" s="7" t="s">
        <v>338</v>
      </c>
      <c r="F1638" s="7" t="s">
        <v>25</v>
      </c>
      <c r="G1638" s="7" t="s">
        <v>74</v>
      </c>
      <c r="H1638" s="7">
        <v>5</v>
      </c>
      <c r="I1638" s="2">
        <v>420.86</v>
      </c>
      <c r="J1638" s="2">
        <f>Tabla2[[#This Row],[Quantity]]*I1638</f>
        <v>2104.3000000000002</v>
      </c>
      <c r="K1638" s="6">
        <f>MONTH(Tabla2[[#This Row],[OrderDate]])</f>
        <v>2</v>
      </c>
      <c r="L1638" s="6">
        <f>YEAR(Tabla2[[#This Row],[OrderDate]])</f>
        <v>2024</v>
      </c>
      <c r="M1638" s="7" t="s">
        <v>1852</v>
      </c>
      <c r="N1638" s="7" t="s">
        <v>36</v>
      </c>
    </row>
    <row r="1639" spans="1:14" x14ac:dyDescent="0.35">
      <c r="A1639" s="7" t="s">
        <v>2923</v>
      </c>
      <c r="B1639" s="7" t="s">
        <v>281</v>
      </c>
      <c r="C1639" s="7" t="s">
        <v>282</v>
      </c>
      <c r="D1639" s="7" t="s">
        <v>32</v>
      </c>
      <c r="E1639" s="7" t="s">
        <v>203</v>
      </c>
      <c r="F1639" s="7" t="s">
        <v>16</v>
      </c>
      <c r="G1639" s="7" t="s">
        <v>17</v>
      </c>
      <c r="H1639" s="7">
        <v>5</v>
      </c>
      <c r="I1639" s="2">
        <v>159.15</v>
      </c>
      <c r="J1639" s="2">
        <f>Tabla2[[#This Row],[Quantity]]*I1639</f>
        <v>795.75</v>
      </c>
      <c r="K1639" s="6">
        <f>MONTH(Tabla2[[#This Row],[OrderDate]])</f>
        <v>3</v>
      </c>
      <c r="L1639" s="6">
        <f>YEAR(Tabla2[[#This Row],[OrderDate]])</f>
        <v>2025</v>
      </c>
      <c r="M1639" s="7" t="s">
        <v>560</v>
      </c>
      <c r="N1639" s="7" t="s">
        <v>28</v>
      </c>
    </row>
    <row r="1640" spans="1:14" x14ac:dyDescent="0.35">
      <c r="A1640" s="7" t="s">
        <v>2924</v>
      </c>
      <c r="B1640" s="7" t="s">
        <v>521</v>
      </c>
      <c r="C1640" s="7" t="s">
        <v>522</v>
      </c>
      <c r="D1640" s="7" t="s">
        <v>40</v>
      </c>
      <c r="E1640" s="7" t="s">
        <v>79</v>
      </c>
      <c r="F1640" s="7" t="s">
        <v>16</v>
      </c>
      <c r="G1640" s="7" t="s">
        <v>230</v>
      </c>
      <c r="H1640" s="7">
        <v>3</v>
      </c>
      <c r="I1640" s="2">
        <v>1050.18</v>
      </c>
      <c r="J1640" s="2">
        <f>Tabla2[[#This Row],[Quantity]]*I1640</f>
        <v>3150.54</v>
      </c>
      <c r="K1640" s="6">
        <f>MONTH(Tabla2[[#This Row],[OrderDate]])</f>
        <v>9</v>
      </c>
      <c r="L1640" s="6">
        <f>YEAR(Tabla2[[#This Row],[OrderDate]])</f>
        <v>2024</v>
      </c>
      <c r="M1640" s="7" t="s">
        <v>983</v>
      </c>
      <c r="N1640" s="7" t="s">
        <v>45</v>
      </c>
    </row>
    <row r="1641" spans="1:14" x14ac:dyDescent="0.35">
      <c r="A1641" s="7" t="s">
        <v>2925</v>
      </c>
      <c r="B1641" s="7" t="s">
        <v>87</v>
      </c>
      <c r="C1641" s="7" t="s">
        <v>88</v>
      </c>
      <c r="D1641" s="7" t="s">
        <v>40</v>
      </c>
      <c r="E1641" s="7" t="s">
        <v>120</v>
      </c>
      <c r="F1641" s="7" t="s">
        <v>16</v>
      </c>
      <c r="G1641" s="7" t="s">
        <v>177</v>
      </c>
      <c r="H1641" s="7">
        <v>3</v>
      </c>
      <c r="I1641" s="2">
        <v>930.16</v>
      </c>
      <c r="J1641" s="2">
        <f>Tabla2[[#This Row],[Quantity]]*I1641</f>
        <v>2790.48</v>
      </c>
      <c r="K1641" s="6">
        <f>MONTH(Tabla2[[#This Row],[OrderDate]])</f>
        <v>3</v>
      </c>
      <c r="L1641" s="6">
        <f>YEAR(Tabla2[[#This Row],[OrderDate]])</f>
        <v>2024</v>
      </c>
      <c r="M1641" s="7" t="s">
        <v>2926</v>
      </c>
      <c r="N1641" s="7" t="s">
        <v>28</v>
      </c>
    </row>
    <row r="1642" spans="1:14" x14ac:dyDescent="0.35">
      <c r="A1642" s="7" t="s">
        <v>2927</v>
      </c>
      <c r="B1642" s="7" t="s">
        <v>860</v>
      </c>
      <c r="C1642" s="7" t="s">
        <v>861</v>
      </c>
      <c r="D1642" s="7" t="s">
        <v>23</v>
      </c>
      <c r="E1642" s="7" t="s">
        <v>338</v>
      </c>
      <c r="F1642" s="7" t="s">
        <v>101</v>
      </c>
      <c r="G1642" s="7" t="s">
        <v>165</v>
      </c>
      <c r="H1642" s="7">
        <v>1</v>
      </c>
      <c r="I1642" s="2">
        <v>1261.48</v>
      </c>
      <c r="J1642" s="2">
        <f>Tabla2[[#This Row],[Quantity]]*I1642</f>
        <v>1261.48</v>
      </c>
      <c r="K1642" s="6">
        <f>MONTH(Tabla2[[#This Row],[OrderDate]])</f>
        <v>1</v>
      </c>
      <c r="L1642" s="6">
        <f>YEAR(Tabla2[[#This Row],[OrderDate]])</f>
        <v>2025</v>
      </c>
      <c r="M1642" s="7" t="s">
        <v>1603</v>
      </c>
      <c r="N1642" s="7" t="s">
        <v>36</v>
      </c>
    </row>
    <row r="1643" spans="1:14" x14ac:dyDescent="0.35">
      <c r="A1643" s="7" t="s">
        <v>2928</v>
      </c>
      <c r="B1643" s="7" t="s">
        <v>1496</v>
      </c>
      <c r="C1643" s="7" t="s">
        <v>1497</v>
      </c>
      <c r="D1643" s="7" t="s">
        <v>14</v>
      </c>
      <c r="E1643" s="7" t="s">
        <v>266</v>
      </c>
      <c r="F1643" s="7" t="s">
        <v>42</v>
      </c>
      <c r="G1643" s="7" t="s">
        <v>43</v>
      </c>
      <c r="H1643" s="7">
        <v>4</v>
      </c>
      <c r="I1643" s="2">
        <v>624.88</v>
      </c>
      <c r="J1643" s="2">
        <f>Tabla2[[#This Row],[Quantity]]*I1643</f>
        <v>2499.52</v>
      </c>
      <c r="K1643" s="6">
        <f>MONTH(Tabla2[[#This Row],[OrderDate]])</f>
        <v>10</v>
      </c>
      <c r="L1643" s="6">
        <f>YEAR(Tabla2[[#This Row],[OrderDate]])</f>
        <v>2024</v>
      </c>
      <c r="M1643" s="7" t="s">
        <v>684</v>
      </c>
      <c r="N1643" s="7" t="s">
        <v>91</v>
      </c>
    </row>
    <row r="1644" spans="1:14" x14ac:dyDescent="0.35">
      <c r="A1644" s="7" t="s">
        <v>2929</v>
      </c>
      <c r="B1644" s="7" t="s">
        <v>544</v>
      </c>
      <c r="C1644" s="7" t="s">
        <v>545</v>
      </c>
      <c r="D1644" s="7" t="s">
        <v>40</v>
      </c>
      <c r="E1644" s="7" t="s">
        <v>120</v>
      </c>
      <c r="F1644" s="7" t="s">
        <v>16</v>
      </c>
      <c r="G1644" s="7" t="s">
        <v>230</v>
      </c>
      <c r="H1644" s="7">
        <v>4</v>
      </c>
      <c r="I1644" s="2">
        <v>748.47</v>
      </c>
      <c r="J1644" s="2">
        <f>Tabla2[[#This Row],[Quantity]]*I1644</f>
        <v>2993.88</v>
      </c>
      <c r="K1644" s="6">
        <f>MONTH(Tabla2[[#This Row],[OrderDate]])</f>
        <v>11</v>
      </c>
      <c r="L1644" s="6">
        <f>YEAR(Tabla2[[#This Row],[OrderDate]])</f>
        <v>2024</v>
      </c>
      <c r="M1644" s="7" t="s">
        <v>2930</v>
      </c>
      <c r="N1644" s="7" t="s">
        <v>36</v>
      </c>
    </row>
    <row r="1645" spans="1:14" x14ac:dyDescent="0.35">
      <c r="A1645" s="7" t="s">
        <v>2931</v>
      </c>
      <c r="B1645" s="7" t="s">
        <v>1018</v>
      </c>
      <c r="C1645" s="7" t="s">
        <v>1019</v>
      </c>
      <c r="D1645" s="7" t="s">
        <v>32</v>
      </c>
      <c r="E1645" s="7" t="s">
        <v>203</v>
      </c>
      <c r="F1645" s="7" t="s">
        <v>50</v>
      </c>
      <c r="G1645" s="7" t="s">
        <v>51</v>
      </c>
      <c r="H1645" s="7">
        <v>1</v>
      </c>
      <c r="I1645" s="2">
        <v>65.94</v>
      </c>
      <c r="J1645" s="2">
        <f>Tabla2[[#This Row],[Quantity]]*I1645</f>
        <v>65.94</v>
      </c>
      <c r="K1645" s="6">
        <f>MONTH(Tabla2[[#This Row],[OrderDate]])</f>
        <v>4</v>
      </c>
      <c r="L1645" s="6">
        <f>YEAR(Tabla2[[#This Row],[OrderDate]])</f>
        <v>2025</v>
      </c>
      <c r="M1645" s="7" t="s">
        <v>1614</v>
      </c>
      <c r="N1645" s="7" t="s">
        <v>36</v>
      </c>
    </row>
    <row r="1646" spans="1:14" x14ac:dyDescent="0.35">
      <c r="A1646" s="7" t="s">
        <v>2932</v>
      </c>
      <c r="B1646" s="7" t="s">
        <v>536</v>
      </c>
      <c r="C1646" s="7" t="s">
        <v>537</v>
      </c>
      <c r="D1646" s="7" t="s">
        <v>40</v>
      </c>
      <c r="E1646" s="7" t="s">
        <v>120</v>
      </c>
      <c r="F1646" s="7" t="s">
        <v>101</v>
      </c>
      <c r="G1646" s="7" t="s">
        <v>649</v>
      </c>
      <c r="H1646" s="7">
        <v>2</v>
      </c>
      <c r="I1646" s="2">
        <v>341.9</v>
      </c>
      <c r="J1646" s="2">
        <f>Tabla2[[#This Row],[Quantity]]*I1646</f>
        <v>683.8</v>
      </c>
      <c r="K1646" s="6">
        <f>MONTH(Tabla2[[#This Row],[OrderDate]])</f>
        <v>8</v>
      </c>
      <c r="L1646" s="6">
        <f>YEAR(Tabla2[[#This Row],[OrderDate]])</f>
        <v>2024</v>
      </c>
      <c r="M1646" s="7" t="s">
        <v>2898</v>
      </c>
      <c r="N1646" s="7" t="s">
        <v>45</v>
      </c>
    </row>
    <row r="1647" spans="1:14" x14ac:dyDescent="0.35">
      <c r="A1647" s="7" t="s">
        <v>2933</v>
      </c>
      <c r="B1647" s="7" t="s">
        <v>936</v>
      </c>
      <c r="C1647" s="7" t="s">
        <v>937</v>
      </c>
      <c r="D1647" s="7" t="s">
        <v>32</v>
      </c>
      <c r="E1647" s="7" t="s">
        <v>33</v>
      </c>
      <c r="F1647" s="7" t="s">
        <v>50</v>
      </c>
      <c r="G1647" s="7" t="s">
        <v>216</v>
      </c>
      <c r="H1647" s="7">
        <v>1</v>
      </c>
      <c r="I1647" s="2">
        <v>84.95</v>
      </c>
      <c r="J1647" s="2">
        <f>Tabla2[[#This Row],[Quantity]]*I1647</f>
        <v>84.95</v>
      </c>
      <c r="K1647" s="6">
        <f>MONTH(Tabla2[[#This Row],[OrderDate]])</f>
        <v>7</v>
      </c>
      <c r="L1647" s="6">
        <f>YEAR(Tabla2[[#This Row],[OrderDate]])</f>
        <v>2025</v>
      </c>
      <c r="M1647" s="7" t="s">
        <v>1970</v>
      </c>
      <c r="N1647" s="7" t="s">
        <v>28</v>
      </c>
    </row>
    <row r="1648" spans="1:14" x14ac:dyDescent="0.35">
      <c r="A1648" s="7" t="s">
        <v>2934</v>
      </c>
      <c r="B1648" s="7" t="s">
        <v>151</v>
      </c>
      <c r="C1648" s="7" t="s">
        <v>152</v>
      </c>
      <c r="D1648" s="7" t="s">
        <v>67</v>
      </c>
      <c r="E1648" s="7" t="s">
        <v>115</v>
      </c>
      <c r="F1648" s="7" t="s">
        <v>16</v>
      </c>
      <c r="G1648" s="7" t="s">
        <v>148</v>
      </c>
      <c r="H1648" s="7">
        <v>1</v>
      </c>
      <c r="I1648" s="2">
        <v>860.22</v>
      </c>
      <c r="J1648" s="2">
        <f>Tabla2[[#This Row],[Quantity]]*I1648</f>
        <v>860.22</v>
      </c>
      <c r="K1648" s="6">
        <f>MONTH(Tabla2[[#This Row],[OrderDate]])</f>
        <v>2</v>
      </c>
      <c r="L1648" s="6">
        <f>YEAR(Tabla2[[#This Row],[OrderDate]])</f>
        <v>2025</v>
      </c>
      <c r="M1648" s="7" t="s">
        <v>2935</v>
      </c>
      <c r="N1648" s="7" t="s">
        <v>19</v>
      </c>
    </row>
    <row r="1649" spans="1:14" x14ac:dyDescent="0.35">
      <c r="A1649" s="7" t="s">
        <v>2936</v>
      </c>
      <c r="B1649" s="7" t="s">
        <v>1024</v>
      </c>
      <c r="C1649" s="7" t="s">
        <v>1025</v>
      </c>
      <c r="D1649" s="7" t="s">
        <v>67</v>
      </c>
      <c r="E1649" s="7" t="s">
        <v>130</v>
      </c>
      <c r="F1649" s="7" t="s">
        <v>16</v>
      </c>
      <c r="G1649" s="7" t="s">
        <v>177</v>
      </c>
      <c r="H1649" s="7">
        <v>2</v>
      </c>
      <c r="I1649" s="2">
        <v>917.88</v>
      </c>
      <c r="J1649" s="2">
        <f>Tabla2[[#This Row],[Quantity]]*I1649</f>
        <v>1835.76</v>
      </c>
      <c r="K1649" s="6">
        <f>MONTH(Tabla2[[#This Row],[OrderDate]])</f>
        <v>2</v>
      </c>
      <c r="L1649" s="6">
        <f>YEAR(Tabla2[[#This Row],[OrderDate]])</f>
        <v>2025</v>
      </c>
      <c r="M1649" s="7" t="s">
        <v>1199</v>
      </c>
      <c r="N1649" s="7" t="s">
        <v>36</v>
      </c>
    </row>
    <row r="1650" spans="1:14" x14ac:dyDescent="0.35">
      <c r="A1650" s="7" t="s">
        <v>2937</v>
      </c>
      <c r="B1650" s="7" t="s">
        <v>260</v>
      </c>
      <c r="C1650" s="7" t="s">
        <v>261</v>
      </c>
      <c r="D1650" s="7" t="s">
        <v>14</v>
      </c>
      <c r="E1650" s="7" t="s">
        <v>266</v>
      </c>
      <c r="F1650" s="7" t="s">
        <v>42</v>
      </c>
      <c r="G1650" s="7" t="s">
        <v>170</v>
      </c>
      <c r="H1650" s="7">
        <v>1</v>
      </c>
      <c r="I1650" s="2">
        <v>684.13</v>
      </c>
      <c r="J1650" s="2">
        <f>Tabla2[[#This Row],[Quantity]]*I1650</f>
        <v>684.13</v>
      </c>
      <c r="K1650" s="6">
        <f>MONTH(Tabla2[[#This Row],[OrderDate]])</f>
        <v>2</v>
      </c>
      <c r="L1650" s="6">
        <f>YEAR(Tabla2[[#This Row],[OrderDate]])</f>
        <v>2026</v>
      </c>
      <c r="M1650" s="7" t="s">
        <v>1600</v>
      </c>
      <c r="N1650" s="7" t="s">
        <v>45</v>
      </c>
    </row>
    <row r="1651" spans="1:14" x14ac:dyDescent="0.35">
      <c r="A1651" s="7" t="s">
        <v>2938</v>
      </c>
      <c r="B1651" s="7" t="s">
        <v>969</v>
      </c>
      <c r="C1651" s="7" t="s">
        <v>970</v>
      </c>
      <c r="D1651" s="7" t="s">
        <v>32</v>
      </c>
      <c r="E1651" s="7" t="s">
        <v>61</v>
      </c>
      <c r="F1651" s="7" t="s">
        <v>50</v>
      </c>
      <c r="G1651" s="7" t="s">
        <v>69</v>
      </c>
      <c r="H1651" s="7">
        <v>3</v>
      </c>
      <c r="I1651" s="2">
        <v>34.32</v>
      </c>
      <c r="J1651" s="2">
        <f>Tabla2[[#This Row],[Quantity]]*I1651</f>
        <v>102.96000000000001</v>
      </c>
      <c r="K1651" s="6">
        <f>MONTH(Tabla2[[#This Row],[OrderDate]])</f>
        <v>7</v>
      </c>
      <c r="L1651" s="6">
        <f>YEAR(Tabla2[[#This Row],[OrderDate]])</f>
        <v>2024</v>
      </c>
      <c r="M1651" s="7" t="s">
        <v>221</v>
      </c>
      <c r="N1651" s="7" t="s">
        <v>19</v>
      </c>
    </row>
    <row r="1652" spans="1:14" x14ac:dyDescent="0.35">
      <c r="A1652" s="7" t="s">
        <v>2939</v>
      </c>
      <c r="B1652" s="7" t="s">
        <v>568</v>
      </c>
      <c r="C1652" s="7" t="s">
        <v>569</v>
      </c>
      <c r="D1652" s="7" t="s">
        <v>23</v>
      </c>
      <c r="E1652" s="7" t="s">
        <v>338</v>
      </c>
      <c r="F1652" s="7" t="s">
        <v>16</v>
      </c>
      <c r="G1652" s="7" t="s">
        <v>230</v>
      </c>
      <c r="H1652" s="7">
        <v>3</v>
      </c>
      <c r="I1652" s="2">
        <v>1225.82</v>
      </c>
      <c r="J1652" s="2">
        <f>Tabla2[[#This Row],[Quantity]]*I1652</f>
        <v>3677.46</v>
      </c>
      <c r="K1652" s="6">
        <f>MONTH(Tabla2[[#This Row],[OrderDate]])</f>
        <v>8</v>
      </c>
      <c r="L1652" s="6">
        <f>YEAR(Tabla2[[#This Row],[OrderDate]])</f>
        <v>2024</v>
      </c>
      <c r="M1652" s="7" t="s">
        <v>1927</v>
      </c>
      <c r="N1652" s="7" t="s">
        <v>45</v>
      </c>
    </row>
    <row r="1653" spans="1:14" x14ac:dyDescent="0.35">
      <c r="A1653" s="7" t="s">
        <v>2940</v>
      </c>
      <c r="B1653" s="7" t="s">
        <v>703</v>
      </c>
      <c r="C1653" s="7" t="s">
        <v>704</v>
      </c>
      <c r="D1653" s="7" t="s">
        <v>23</v>
      </c>
      <c r="E1653" s="7" t="s">
        <v>24</v>
      </c>
      <c r="F1653" s="7" t="s">
        <v>25</v>
      </c>
      <c r="G1653" s="7" t="s">
        <v>62</v>
      </c>
      <c r="H1653" s="7">
        <v>5</v>
      </c>
      <c r="I1653" s="2">
        <v>606.63</v>
      </c>
      <c r="J1653" s="2">
        <f>Tabla2[[#This Row],[Quantity]]*I1653</f>
        <v>3033.15</v>
      </c>
      <c r="K1653" s="6">
        <f>MONTH(Tabla2[[#This Row],[OrderDate]])</f>
        <v>9</v>
      </c>
      <c r="L1653" s="6">
        <f>YEAR(Tabla2[[#This Row],[OrderDate]])</f>
        <v>2025</v>
      </c>
      <c r="M1653" s="7" t="s">
        <v>2588</v>
      </c>
      <c r="N1653" s="7" t="s">
        <v>28</v>
      </c>
    </row>
    <row r="1654" spans="1:14" x14ac:dyDescent="0.35">
      <c r="A1654" s="7" t="s">
        <v>2941</v>
      </c>
      <c r="B1654" s="7" t="s">
        <v>93</v>
      </c>
      <c r="C1654" s="7" t="s">
        <v>94</v>
      </c>
      <c r="D1654" s="7" t="s">
        <v>23</v>
      </c>
      <c r="E1654" s="7" t="s">
        <v>24</v>
      </c>
      <c r="F1654" s="7" t="s">
        <v>16</v>
      </c>
      <c r="G1654" s="7" t="s">
        <v>230</v>
      </c>
      <c r="H1654" s="7">
        <v>3</v>
      </c>
      <c r="I1654" s="2">
        <v>1148.47</v>
      </c>
      <c r="J1654" s="2">
        <f>Tabla2[[#This Row],[Quantity]]*I1654</f>
        <v>3445.41</v>
      </c>
      <c r="K1654" s="6">
        <f>MONTH(Tabla2[[#This Row],[OrderDate]])</f>
        <v>1</v>
      </c>
      <c r="L1654" s="6">
        <f>YEAR(Tabla2[[#This Row],[OrderDate]])</f>
        <v>2025</v>
      </c>
      <c r="M1654" s="7" t="s">
        <v>431</v>
      </c>
      <c r="N1654" s="7" t="s">
        <v>91</v>
      </c>
    </row>
    <row r="1655" spans="1:14" x14ac:dyDescent="0.35">
      <c r="A1655" s="7" t="s">
        <v>2942</v>
      </c>
      <c r="B1655" s="7" t="s">
        <v>842</v>
      </c>
      <c r="C1655" s="7" t="s">
        <v>843</v>
      </c>
      <c r="D1655" s="7" t="s">
        <v>14</v>
      </c>
      <c r="E1655" s="7" t="s">
        <v>15</v>
      </c>
      <c r="F1655" s="7" t="s">
        <v>16</v>
      </c>
      <c r="G1655" s="7" t="s">
        <v>148</v>
      </c>
      <c r="H1655" s="7">
        <v>3</v>
      </c>
      <c r="I1655" s="2">
        <v>1417.58</v>
      </c>
      <c r="J1655" s="2">
        <f>Tabla2[[#This Row],[Quantity]]*I1655</f>
        <v>4252.74</v>
      </c>
      <c r="K1655" s="6">
        <f>MONTH(Tabla2[[#This Row],[OrderDate]])</f>
        <v>12</v>
      </c>
      <c r="L1655" s="6">
        <f>YEAR(Tabla2[[#This Row],[OrderDate]])</f>
        <v>2024</v>
      </c>
      <c r="M1655" s="7" t="s">
        <v>938</v>
      </c>
      <c r="N1655" s="7" t="s">
        <v>36</v>
      </c>
    </row>
    <row r="1656" spans="1:14" x14ac:dyDescent="0.35">
      <c r="A1656" s="7" t="s">
        <v>2943</v>
      </c>
      <c r="B1656" s="7" t="s">
        <v>496</v>
      </c>
      <c r="C1656" s="7" t="s">
        <v>497</v>
      </c>
      <c r="D1656" s="7" t="s">
        <v>14</v>
      </c>
      <c r="E1656" s="7" t="s">
        <v>15</v>
      </c>
      <c r="F1656" s="7" t="s">
        <v>42</v>
      </c>
      <c r="G1656" s="7" t="s">
        <v>225</v>
      </c>
      <c r="H1656" s="7">
        <v>1</v>
      </c>
      <c r="I1656" s="2">
        <v>520.1</v>
      </c>
      <c r="J1656" s="2">
        <f>Tabla2[[#This Row],[Quantity]]*I1656</f>
        <v>520.1</v>
      </c>
      <c r="K1656" s="6">
        <f>MONTH(Tabla2[[#This Row],[OrderDate]])</f>
        <v>8</v>
      </c>
      <c r="L1656" s="6">
        <f>YEAR(Tabla2[[#This Row],[OrderDate]])</f>
        <v>2025</v>
      </c>
      <c r="M1656" s="7" t="s">
        <v>238</v>
      </c>
      <c r="N1656" s="7" t="s">
        <v>91</v>
      </c>
    </row>
    <row r="1657" spans="1:14" x14ac:dyDescent="0.35">
      <c r="A1657" s="7" t="s">
        <v>2944</v>
      </c>
      <c r="B1657" s="7" t="s">
        <v>586</v>
      </c>
      <c r="C1657" s="7" t="s">
        <v>587</v>
      </c>
      <c r="D1657" s="7" t="s">
        <v>14</v>
      </c>
      <c r="E1657" s="7" t="s">
        <v>100</v>
      </c>
      <c r="F1657" s="7" t="s">
        <v>101</v>
      </c>
      <c r="G1657" s="7" t="s">
        <v>165</v>
      </c>
      <c r="H1657" s="7">
        <v>2</v>
      </c>
      <c r="I1657" s="2">
        <v>597.21</v>
      </c>
      <c r="J1657" s="2">
        <f>Tabla2[[#This Row],[Quantity]]*I1657</f>
        <v>1194.42</v>
      </c>
      <c r="K1657" s="6">
        <f>MONTH(Tabla2[[#This Row],[OrderDate]])</f>
        <v>12</v>
      </c>
      <c r="L1657" s="6">
        <f>YEAR(Tabla2[[#This Row],[OrderDate]])</f>
        <v>2024</v>
      </c>
      <c r="M1657" s="7" t="s">
        <v>2695</v>
      </c>
      <c r="N1657" s="7" t="s">
        <v>91</v>
      </c>
    </row>
    <row r="1658" spans="1:14" x14ac:dyDescent="0.35">
      <c r="A1658" s="7" t="s">
        <v>2945</v>
      </c>
      <c r="B1658" s="7" t="s">
        <v>552</v>
      </c>
      <c r="C1658" s="7" t="s">
        <v>553</v>
      </c>
      <c r="D1658" s="7" t="s">
        <v>23</v>
      </c>
      <c r="E1658" s="7" t="s">
        <v>338</v>
      </c>
      <c r="F1658" s="7" t="s">
        <v>25</v>
      </c>
      <c r="G1658" s="7" t="s">
        <v>74</v>
      </c>
      <c r="H1658" s="7">
        <v>5</v>
      </c>
      <c r="I1658" s="2">
        <v>1419.12</v>
      </c>
      <c r="J1658" s="2">
        <f>Tabla2[[#This Row],[Quantity]]*I1658</f>
        <v>7095.5999999999995</v>
      </c>
      <c r="K1658" s="6">
        <f>MONTH(Tabla2[[#This Row],[OrderDate]])</f>
        <v>3</v>
      </c>
      <c r="L1658" s="6">
        <f>YEAR(Tabla2[[#This Row],[OrderDate]])</f>
        <v>2026</v>
      </c>
      <c r="M1658" s="7" t="s">
        <v>441</v>
      </c>
      <c r="N1658" s="7" t="s">
        <v>91</v>
      </c>
    </row>
    <row r="1659" spans="1:14" x14ac:dyDescent="0.35">
      <c r="A1659" s="7" t="s">
        <v>2946</v>
      </c>
      <c r="B1659" s="7" t="s">
        <v>969</v>
      </c>
      <c r="C1659" s="7" t="s">
        <v>970</v>
      </c>
      <c r="D1659" s="7" t="s">
        <v>67</v>
      </c>
      <c r="E1659" s="7" t="s">
        <v>130</v>
      </c>
      <c r="F1659" s="7" t="s">
        <v>101</v>
      </c>
      <c r="G1659" s="7" t="s">
        <v>165</v>
      </c>
      <c r="H1659" s="7">
        <v>2</v>
      </c>
      <c r="I1659" s="2">
        <v>1166.6600000000001</v>
      </c>
      <c r="J1659" s="2">
        <f>Tabla2[[#This Row],[Quantity]]*I1659</f>
        <v>2333.3200000000002</v>
      </c>
      <c r="K1659" s="6">
        <f>MONTH(Tabla2[[#This Row],[OrderDate]])</f>
        <v>6</v>
      </c>
      <c r="L1659" s="6">
        <f>YEAR(Tabla2[[#This Row],[OrderDate]])</f>
        <v>2025</v>
      </c>
      <c r="M1659" s="7" t="s">
        <v>1157</v>
      </c>
      <c r="N1659" s="7" t="s">
        <v>36</v>
      </c>
    </row>
    <row r="1660" spans="1:14" x14ac:dyDescent="0.35">
      <c r="A1660" s="7" t="s">
        <v>2947</v>
      </c>
      <c r="B1660" s="7" t="s">
        <v>376</v>
      </c>
      <c r="C1660" s="7" t="s">
        <v>377</v>
      </c>
      <c r="D1660" s="7" t="s">
        <v>67</v>
      </c>
      <c r="E1660" s="7" t="s">
        <v>115</v>
      </c>
      <c r="F1660" s="7" t="s">
        <v>16</v>
      </c>
      <c r="G1660" s="7" t="s">
        <v>177</v>
      </c>
      <c r="H1660" s="7">
        <v>2</v>
      </c>
      <c r="I1660" s="2">
        <v>493.96</v>
      </c>
      <c r="J1660" s="2">
        <f>Tabla2[[#This Row],[Quantity]]*I1660</f>
        <v>987.92</v>
      </c>
      <c r="K1660" s="6">
        <f>MONTH(Tabla2[[#This Row],[OrderDate]])</f>
        <v>6</v>
      </c>
      <c r="L1660" s="6">
        <f>YEAR(Tabla2[[#This Row],[OrderDate]])</f>
        <v>2025</v>
      </c>
      <c r="M1660" s="7" t="s">
        <v>1747</v>
      </c>
      <c r="N1660" s="7" t="s">
        <v>36</v>
      </c>
    </row>
    <row r="1661" spans="1:14" x14ac:dyDescent="0.35">
      <c r="A1661" s="7" t="s">
        <v>2948</v>
      </c>
      <c r="B1661" s="7" t="s">
        <v>936</v>
      </c>
      <c r="C1661" s="7" t="s">
        <v>937</v>
      </c>
      <c r="D1661" s="7" t="s">
        <v>14</v>
      </c>
      <c r="E1661" s="7" t="s">
        <v>15</v>
      </c>
      <c r="F1661" s="7" t="s">
        <v>16</v>
      </c>
      <c r="G1661" s="7" t="s">
        <v>177</v>
      </c>
      <c r="H1661" s="7">
        <v>1</v>
      </c>
      <c r="I1661" s="2">
        <v>578.34</v>
      </c>
      <c r="J1661" s="2">
        <f>Tabla2[[#This Row],[Quantity]]*I1661</f>
        <v>578.34</v>
      </c>
      <c r="K1661" s="6">
        <f>MONTH(Tabla2[[#This Row],[OrderDate]])</f>
        <v>6</v>
      </c>
      <c r="L1661" s="6">
        <f>YEAR(Tabla2[[#This Row],[OrderDate]])</f>
        <v>2025</v>
      </c>
      <c r="M1661" s="7" t="s">
        <v>1747</v>
      </c>
      <c r="N1661" s="7" t="s">
        <v>91</v>
      </c>
    </row>
    <row r="1662" spans="1:14" x14ac:dyDescent="0.35">
      <c r="A1662" s="7" t="s">
        <v>2949</v>
      </c>
      <c r="B1662" s="7" t="s">
        <v>355</v>
      </c>
      <c r="C1662" s="7" t="s">
        <v>356</v>
      </c>
      <c r="D1662" s="7" t="s">
        <v>14</v>
      </c>
      <c r="E1662" s="7" t="s">
        <v>95</v>
      </c>
      <c r="F1662" s="7" t="s">
        <v>101</v>
      </c>
      <c r="G1662" s="7" t="s">
        <v>373</v>
      </c>
      <c r="H1662" s="7">
        <v>1</v>
      </c>
      <c r="I1662" s="2">
        <v>777.43</v>
      </c>
      <c r="J1662" s="2">
        <f>Tabla2[[#This Row],[Quantity]]*I1662</f>
        <v>777.43</v>
      </c>
      <c r="K1662" s="6">
        <f>MONTH(Tabla2[[#This Row],[OrderDate]])</f>
        <v>2</v>
      </c>
      <c r="L1662" s="6">
        <f>YEAR(Tabla2[[#This Row],[OrderDate]])</f>
        <v>2026</v>
      </c>
      <c r="M1662" s="7" t="s">
        <v>671</v>
      </c>
      <c r="N1662" s="7" t="s">
        <v>36</v>
      </c>
    </row>
    <row r="1663" spans="1:14" x14ac:dyDescent="0.35">
      <c r="A1663" s="7" t="s">
        <v>2950</v>
      </c>
      <c r="B1663" s="7" t="s">
        <v>380</v>
      </c>
      <c r="C1663" s="7" t="s">
        <v>381</v>
      </c>
      <c r="D1663" s="7" t="s">
        <v>67</v>
      </c>
      <c r="E1663" s="7" t="s">
        <v>130</v>
      </c>
      <c r="F1663" s="7" t="s">
        <v>42</v>
      </c>
      <c r="G1663" s="7" t="s">
        <v>170</v>
      </c>
      <c r="H1663" s="7">
        <v>1</v>
      </c>
      <c r="I1663" s="2">
        <v>1280.7</v>
      </c>
      <c r="J1663" s="2">
        <f>Tabla2[[#This Row],[Quantity]]*I1663</f>
        <v>1280.7</v>
      </c>
      <c r="K1663" s="6">
        <f>MONTH(Tabla2[[#This Row],[OrderDate]])</f>
        <v>9</v>
      </c>
      <c r="L1663" s="6">
        <f>YEAR(Tabla2[[#This Row],[OrderDate]])</f>
        <v>2025</v>
      </c>
      <c r="M1663" s="7" t="s">
        <v>1112</v>
      </c>
      <c r="N1663" s="7" t="s">
        <v>19</v>
      </c>
    </row>
    <row r="1664" spans="1:14" x14ac:dyDescent="0.35">
      <c r="A1664" s="7" t="s">
        <v>2951</v>
      </c>
      <c r="B1664" s="7" t="s">
        <v>755</v>
      </c>
      <c r="C1664" s="7" t="s">
        <v>756</v>
      </c>
      <c r="D1664" s="7" t="s">
        <v>23</v>
      </c>
      <c r="E1664" s="7" t="s">
        <v>49</v>
      </c>
      <c r="F1664" s="7" t="s">
        <v>16</v>
      </c>
      <c r="G1664" s="7" t="s">
        <v>230</v>
      </c>
      <c r="H1664" s="7">
        <v>2</v>
      </c>
      <c r="I1664" s="2">
        <v>548.91999999999996</v>
      </c>
      <c r="J1664" s="2">
        <f>Tabla2[[#This Row],[Quantity]]*I1664</f>
        <v>1097.8399999999999</v>
      </c>
      <c r="K1664" s="6">
        <f>MONTH(Tabla2[[#This Row],[OrderDate]])</f>
        <v>2</v>
      </c>
      <c r="L1664" s="6">
        <f>YEAR(Tabla2[[#This Row],[OrderDate]])</f>
        <v>2025</v>
      </c>
      <c r="M1664" s="7" t="s">
        <v>309</v>
      </c>
      <c r="N1664" s="7" t="s">
        <v>19</v>
      </c>
    </row>
    <row r="1665" spans="1:14" x14ac:dyDescent="0.35">
      <c r="A1665" s="7" t="s">
        <v>2952</v>
      </c>
      <c r="B1665" s="7" t="s">
        <v>723</v>
      </c>
      <c r="C1665" s="7" t="s">
        <v>724</v>
      </c>
      <c r="D1665" s="7" t="s">
        <v>23</v>
      </c>
      <c r="E1665" s="7" t="s">
        <v>24</v>
      </c>
      <c r="F1665" s="7" t="s">
        <v>25</v>
      </c>
      <c r="G1665" s="7" t="s">
        <v>62</v>
      </c>
      <c r="H1665" s="7">
        <v>2</v>
      </c>
      <c r="I1665" s="2">
        <v>1160.23</v>
      </c>
      <c r="J1665" s="2">
        <f>Tabla2[[#This Row],[Quantity]]*I1665</f>
        <v>2320.46</v>
      </c>
      <c r="K1665" s="6">
        <f>MONTH(Tabla2[[#This Row],[OrderDate]])</f>
        <v>4</v>
      </c>
      <c r="L1665" s="6">
        <f>YEAR(Tabla2[[#This Row],[OrderDate]])</f>
        <v>2024</v>
      </c>
      <c r="M1665" s="7" t="s">
        <v>2172</v>
      </c>
      <c r="N1665" s="7" t="s">
        <v>45</v>
      </c>
    </row>
    <row r="1666" spans="1:14" x14ac:dyDescent="0.35">
      <c r="A1666" s="7" t="s">
        <v>2953</v>
      </c>
      <c r="B1666" s="7" t="s">
        <v>412</v>
      </c>
      <c r="C1666" s="7" t="s">
        <v>413</v>
      </c>
      <c r="D1666" s="7" t="s">
        <v>67</v>
      </c>
      <c r="E1666" s="7" t="s">
        <v>68</v>
      </c>
      <c r="F1666" s="7" t="s">
        <v>101</v>
      </c>
      <c r="G1666" s="7" t="s">
        <v>373</v>
      </c>
      <c r="H1666" s="7">
        <v>5</v>
      </c>
      <c r="I1666" s="2">
        <v>126.3</v>
      </c>
      <c r="J1666" s="2">
        <f>Tabla2[[#This Row],[Quantity]]*I1666</f>
        <v>631.5</v>
      </c>
      <c r="K1666" s="6">
        <f>MONTH(Tabla2[[#This Row],[OrderDate]])</f>
        <v>10</v>
      </c>
      <c r="L1666" s="6">
        <f>YEAR(Tabla2[[#This Row],[OrderDate]])</f>
        <v>2025</v>
      </c>
      <c r="M1666" s="7" t="s">
        <v>233</v>
      </c>
      <c r="N1666" s="7" t="s">
        <v>36</v>
      </c>
    </row>
    <row r="1667" spans="1:14" x14ac:dyDescent="0.35">
      <c r="A1667" s="7" t="s">
        <v>2954</v>
      </c>
      <c r="B1667" s="7" t="s">
        <v>936</v>
      </c>
      <c r="C1667" s="7" t="s">
        <v>937</v>
      </c>
      <c r="D1667" s="7" t="s">
        <v>67</v>
      </c>
      <c r="E1667" s="7" t="s">
        <v>115</v>
      </c>
      <c r="F1667" s="7" t="s">
        <v>25</v>
      </c>
      <c r="G1667" s="7" t="s">
        <v>26</v>
      </c>
      <c r="H1667" s="7">
        <v>2</v>
      </c>
      <c r="I1667" s="2">
        <v>1135.6199999999999</v>
      </c>
      <c r="J1667" s="2">
        <f>Tabla2[[#This Row],[Quantity]]*I1667</f>
        <v>2271.2399999999998</v>
      </c>
      <c r="K1667" s="6">
        <f>MONTH(Tabla2[[#This Row],[OrderDate]])</f>
        <v>8</v>
      </c>
      <c r="L1667" s="6">
        <f>YEAR(Tabla2[[#This Row],[OrderDate]])</f>
        <v>2025</v>
      </c>
      <c r="M1667" s="7" t="s">
        <v>2196</v>
      </c>
      <c r="N1667" s="7" t="s">
        <v>28</v>
      </c>
    </row>
    <row r="1668" spans="1:14" x14ac:dyDescent="0.35">
      <c r="A1668" s="7" t="s">
        <v>2955</v>
      </c>
      <c r="B1668" s="7" t="s">
        <v>838</v>
      </c>
      <c r="C1668" s="7" t="s">
        <v>839</v>
      </c>
      <c r="D1668" s="7" t="s">
        <v>40</v>
      </c>
      <c r="E1668" s="7" t="s">
        <v>120</v>
      </c>
      <c r="F1668" s="7" t="s">
        <v>101</v>
      </c>
      <c r="G1668" s="7" t="s">
        <v>165</v>
      </c>
      <c r="H1668" s="7">
        <v>5</v>
      </c>
      <c r="I1668" s="2">
        <v>520.66</v>
      </c>
      <c r="J1668" s="2">
        <f>Tabla2[[#This Row],[Quantity]]*I1668</f>
        <v>2603.2999999999997</v>
      </c>
      <c r="K1668" s="6">
        <f>MONTH(Tabla2[[#This Row],[OrderDate]])</f>
        <v>8</v>
      </c>
      <c r="L1668" s="6">
        <f>YEAR(Tabla2[[#This Row],[OrderDate]])</f>
        <v>2025</v>
      </c>
      <c r="M1668" s="7" t="s">
        <v>2116</v>
      </c>
      <c r="N1668" s="7" t="s">
        <v>28</v>
      </c>
    </row>
    <row r="1669" spans="1:14" x14ac:dyDescent="0.35">
      <c r="A1669" s="7" t="s">
        <v>2956</v>
      </c>
      <c r="B1669" s="7" t="s">
        <v>412</v>
      </c>
      <c r="C1669" s="7" t="s">
        <v>413</v>
      </c>
      <c r="D1669" s="7" t="s">
        <v>23</v>
      </c>
      <c r="E1669" s="7" t="s">
        <v>338</v>
      </c>
      <c r="F1669" s="7" t="s">
        <v>50</v>
      </c>
      <c r="G1669" s="7" t="s">
        <v>51</v>
      </c>
      <c r="H1669" s="7">
        <v>3</v>
      </c>
      <c r="I1669" s="2">
        <v>902.55</v>
      </c>
      <c r="J1669" s="2">
        <f>Tabla2[[#This Row],[Quantity]]*I1669</f>
        <v>2707.6499999999996</v>
      </c>
      <c r="K1669" s="6">
        <f>MONTH(Tabla2[[#This Row],[OrderDate]])</f>
        <v>7</v>
      </c>
      <c r="L1669" s="6">
        <f>YEAR(Tabla2[[#This Row],[OrderDate]])</f>
        <v>2025</v>
      </c>
      <c r="M1669" s="7" t="s">
        <v>2252</v>
      </c>
      <c r="N1669" s="7" t="s">
        <v>36</v>
      </c>
    </row>
    <row r="1670" spans="1:14" x14ac:dyDescent="0.35">
      <c r="A1670" s="7" t="s">
        <v>2957</v>
      </c>
      <c r="B1670" s="7" t="s">
        <v>1163</v>
      </c>
      <c r="C1670" s="7" t="s">
        <v>1164</v>
      </c>
      <c r="D1670" s="7" t="s">
        <v>40</v>
      </c>
      <c r="E1670" s="7" t="s">
        <v>41</v>
      </c>
      <c r="F1670" s="7" t="s">
        <v>42</v>
      </c>
      <c r="G1670" s="7" t="s">
        <v>43</v>
      </c>
      <c r="H1670" s="7">
        <v>3</v>
      </c>
      <c r="I1670" s="2">
        <v>1110.99</v>
      </c>
      <c r="J1670" s="2">
        <f>Tabla2[[#This Row],[Quantity]]*I1670</f>
        <v>3332.9700000000003</v>
      </c>
      <c r="K1670" s="6">
        <f>MONTH(Tabla2[[#This Row],[OrderDate]])</f>
        <v>3</v>
      </c>
      <c r="L1670" s="6">
        <f>YEAR(Tabla2[[#This Row],[OrderDate]])</f>
        <v>2026</v>
      </c>
      <c r="M1670" s="7" t="s">
        <v>2673</v>
      </c>
      <c r="N1670" s="7" t="s">
        <v>19</v>
      </c>
    </row>
    <row r="1671" spans="1:14" x14ac:dyDescent="0.35">
      <c r="A1671" s="7" t="s">
        <v>2958</v>
      </c>
      <c r="B1671" s="7" t="s">
        <v>1001</v>
      </c>
      <c r="C1671" s="7" t="s">
        <v>1002</v>
      </c>
      <c r="D1671" s="7" t="s">
        <v>23</v>
      </c>
      <c r="E1671" s="7" t="s">
        <v>338</v>
      </c>
      <c r="F1671" s="7" t="s">
        <v>101</v>
      </c>
      <c r="G1671" s="7" t="s">
        <v>649</v>
      </c>
      <c r="H1671" s="7">
        <v>1</v>
      </c>
      <c r="I1671" s="2">
        <v>797.77</v>
      </c>
      <c r="J1671" s="2">
        <f>Tabla2[[#This Row],[Quantity]]*I1671</f>
        <v>797.77</v>
      </c>
      <c r="K1671" s="6">
        <f>MONTH(Tabla2[[#This Row],[OrderDate]])</f>
        <v>5</v>
      </c>
      <c r="L1671" s="6">
        <f>YEAR(Tabla2[[#This Row],[OrderDate]])</f>
        <v>2024</v>
      </c>
      <c r="M1671" s="7" t="s">
        <v>2153</v>
      </c>
      <c r="N1671" s="7" t="s">
        <v>91</v>
      </c>
    </row>
    <row r="1672" spans="1:14" x14ac:dyDescent="0.35">
      <c r="A1672" s="7" t="s">
        <v>2959</v>
      </c>
      <c r="B1672" s="7" t="s">
        <v>244</v>
      </c>
      <c r="C1672" s="7" t="s">
        <v>245</v>
      </c>
      <c r="D1672" s="7" t="s">
        <v>23</v>
      </c>
      <c r="E1672" s="7" t="s">
        <v>49</v>
      </c>
      <c r="F1672" s="7" t="s">
        <v>16</v>
      </c>
      <c r="G1672" s="7" t="s">
        <v>182</v>
      </c>
      <c r="H1672" s="7">
        <v>5</v>
      </c>
      <c r="I1672" s="2">
        <v>302.55</v>
      </c>
      <c r="J1672" s="2">
        <f>Tabla2[[#This Row],[Quantity]]*I1672</f>
        <v>1512.75</v>
      </c>
      <c r="K1672" s="6">
        <f>MONTH(Tabla2[[#This Row],[OrderDate]])</f>
        <v>6</v>
      </c>
      <c r="L1672" s="6">
        <f>YEAR(Tabla2[[#This Row],[OrderDate]])</f>
        <v>2025</v>
      </c>
      <c r="M1672" s="7" t="s">
        <v>1929</v>
      </c>
      <c r="N1672" s="7" t="s">
        <v>91</v>
      </c>
    </row>
    <row r="1673" spans="1:14" x14ac:dyDescent="0.35">
      <c r="A1673" s="7" t="s">
        <v>2960</v>
      </c>
      <c r="B1673" s="7" t="s">
        <v>355</v>
      </c>
      <c r="C1673" s="7" t="s">
        <v>356</v>
      </c>
      <c r="D1673" s="7" t="s">
        <v>67</v>
      </c>
      <c r="E1673" s="7" t="s">
        <v>68</v>
      </c>
      <c r="F1673" s="7" t="s">
        <v>25</v>
      </c>
      <c r="G1673" s="7" t="s">
        <v>62</v>
      </c>
      <c r="H1673" s="7">
        <v>1</v>
      </c>
      <c r="I1673" s="2">
        <v>490.22</v>
      </c>
      <c r="J1673" s="2">
        <f>Tabla2[[#This Row],[Quantity]]*I1673</f>
        <v>490.22</v>
      </c>
      <c r="K1673" s="6">
        <f>MONTH(Tabla2[[#This Row],[OrderDate]])</f>
        <v>5</v>
      </c>
      <c r="L1673" s="6">
        <f>YEAR(Tabla2[[#This Row],[OrderDate]])</f>
        <v>2025</v>
      </c>
      <c r="M1673" s="7" t="s">
        <v>2961</v>
      </c>
      <c r="N1673" s="7" t="s">
        <v>28</v>
      </c>
    </row>
    <row r="1674" spans="1:14" x14ac:dyDescent="0.35">
      <c r="A1674" s="7" t="s">
        <v>2962</v>
      </c>
      <c r="B1674" s="7" t="s">
        <v>500</v>
      </c>
      <c r="C1674" s="7" t="s">
        <v>501</v>
      </c>
      <c r="D1674" s="7" t="s">
        <v>23</v>
      </c>
      <c r="E1674" s="7" t="s">
        <v>338</v>
      </c>
      <c r="F1674" s="7" t="s">
        <v>25</v>
      </c>
      <c r="G1674" s="7" t="s">
        <v>74</v>
      </c>
      <c r="H1674" s="7">
        <v>1</v>
      </c>
      <c r="I1674" s="2">
        <v>450.38</v>
      </c>
      <c r="J1674" s="2">
        <f>Tabla2[[#This Row],[Quantity]]*I1674</f>
        <v>450.38</v>
      </c>
      <c r="K1674" s="6">
        <f>MONTH(Tabla2[[#This Row],[OrderDate]])</f>
        <v>1</v>
      </c>
      <c r="L1674" s="6">
        <f>YEAR(Tabla2[[#This Row],[OrderDate]])</f>
        <v>2025</v>
      </c>
      <c r="M1674" s="7" t="s">
        <v>1314</v>
      </c>
      <c r="N1674" s="7" t="s">
        <v>19</v>
      </c>
    </row>
    <row r="1675" spans="1:14" x14ac:dyDescent="0.35">
      <c r="A1675" s="7" t="s">
        <v>2963</v>
      </c>
      <c r="B1675" s="7" t="s">
        <v>864</v>
      </c>
      <c r="C1675" s="7" t="s">
        <v>865</v>
      </c>
      <c r="D1675" s="7" t="s">
        <v>40</v>
      </c>
      <c r="E1675" s="7" t="s">
        <v>120</v>
      </c>
      <c r="F1675" s="7" t="s">
        <v>50</v>
      </c>
      <c r="G1675" s="7" t="s">
        <v>56</v>
      </c>
      <c r="H1675" s="7">
        <v>1</v>
      </c>
      <c r="I1675" s="2">
        <v>141.79</v>
      </c>
      <c r="J1675" s="2">
        <f>Tabla2[[#This Row],[Quantity]]*I1675</f>
        <v>141.79</v>
      </c>
      <c r="K1675" s="6">
        <f>MONTH(Tabla2[[#This Row],[OrderDate]])</f>
        <v>6</v>
      </c>
      <c r="L1675" s="6">
        <f>YEAR(Tabla2[[#This Row],[OrderDate]])</f>
        <v>2025</v>
      </c>
      <c r="M1675" s="7" t="s">
        <v>1562</v>
      </c>
      <c r="N1675" s="7" t="s">
        <v>91</v>
      </c>
    </row>
    <row r="1676" spans="1:14" x14ac:dyDescent="0.35">
      <c r="A1676" s="7" t="s">
        <v>2964</v>
      </c>
      <c r="B1676" s="7" t="s">
        <v>990</v>
      </c>
      <c r="C1676" s="7" t="s">
        <v>991</v>
      </c>
      <c r="D1676" s="7" t="s">
        <v>40</v>
      </c>
      <c r="E1676" s="7" t="s">
        <v>41</v>
      </c>
      <c r="F1676" s="7" t="s">
        <v>50</v>
      </c>
      <c r="G1676" s="7" t="s">
        <v>69</v>
      </c>
      <c r="H1676" s="7">
        <v>4</v>
      </c>
      <c r="I1676" s="2">
        <v>489.41</v>
      </c>
      <c r="J1676" s="2">
        <f>Tabla2[[#This Row],[Quantity]]*I1676</f>
        <v>1957.64</v>
      </c>
      <c r="K1676" s="6">
        <f>MONTH(Tabla2[[#This Row],[OrderDate]])</f>
        <v>9</v>
      </c>
      <c r="L1676" s="6">
        <f>YEAR(Tabla2[[#This Row],[OrderDate]])</f>
        <v>2024</v>
      </c>
      <c r="M1676" s="7" t="s">
        <v>2965</v>
      </c>
      <c r="N1676" s="7" t="s">
        <v>36</v>
      </c>
    </row>
    <row r="1677" spans="1:14" x14ac:dyDescent="0.35">
      <c r="A1677" s="7" t="s">
        <v>2966</v>
      </c>
      <c r="B1677" s="7" t="s">
        <v>2188</v>
      </c>
      <c r="C1677" s="7" t="s">
        <v>2189</v>
      </c>
      <c r="D1677" s="7" t="s">
        <v>32</v>
      </c>
      <c r="E1677" s="7" t="s">
        <v>203</v>
      </c>
      <c r="F1677" s="7" t="s">
        <v>101</v>
      </c>
      <c r="G1677" s="7" t="s">
        <v>237</v>
      </c>
      <c r="H1677" s="7">
        <v>3</v>
      </c>
      <c r="I1677" s="2">
        <v>229.18</v>
      </c>
      <c r="J1677" s="2">
        <f>Tabla2[[#This Row],[Quantity]]*I1677</f>
        <v>687.54</v>
      </c>
      <c r="K1677" s="6">
        <f>MONTH(Tabla2[[#This Row],[OrderDate]])</f>
        <v>1</v>
      </c>
      <c r="L1677" s="6">
        <f>YEAR(Tabla2[[#This Row],[OrderDate]])</f>
        <v>2024</v>
      </c>
      <c r="M1677" s="7" t="s">
        <v>2035</v>
      </c>
      <c r="N1677" s="7" t="s">
        <v>36</v>
      </c>
    </row>
    <row r="1678" spans="1:14" x14ac:dyDescent="0.35">
      <c r="A1678" s="7" t="s">
        <v>2967</v>
      </c>
      <c r="B1678" s="7" t="s">
        <v>321</v>
      </c>
      <c r="C1678" s="7" t="s">
        <v>322</v>
      </c>
      <c r="D1678" s="7" t="s">
        <v>14</v>
      </c>
      <c r="E1678" s="7" t="s">
        <v>95</v>
      </c>
      <c r="F1678" s="7" t="s">
        <v>16</v>
      </c>
      <c r="G1678" s="7" t="s">
        <v>182</v>
      </c>
      <c r="H1678" s="7">
        <v>1</v>
      </c>
      <c r="I1678" s="2">
        <v>720.98</v>
      </c>
      <c r="J1678" s="2">
        <f>Tabla2[[#This Row],[Quantity]]*I1678</f>
        <v>720.98</v>
      </c>
      <c r="K1678" s="6">
        <f>MONTH(Tabla2[[#This Row],[OrderDate]])</f>
        <v>8</v>
      </c>
      <c r="L1678" s="6">
        <f>YEAR(Tabla2[[#This Row],[OrderDate]])</f>
        <v>2025</v>
      </c>
      <c r="M1678" s="7" t="s">
        <v>1553</v>
      </c>
      <c r="N1678" s="7" t="s">
        <v>45</v>
      </c>
    </row>
    <row r="1679" spans="1:14" x14ac:dyDescent="0.35">
      <c r="A1679" s="7" t="s">
        <v>2968</v>
      </c>
      <c r="B1679" s="7" t="s">
        <v>376</v>
      </c>
      <c r="C1679" s="7" t="s">
        <v>377</v>
      </c>
      <c r="D1679" s="7" t="s">
        <v>67</v>
      </c>
      <c r="E1679" s="7" t="s">
        <v>115</v>
      </c>
      <c r="F1679" s="7" t="s">
        <v>101</v>
      </c>
      <c r="G1679" s="7" t="s">
        <v>102</v>
      </c>
      <c r="H1679" s="7">
        <v>3</v>
      </c>
      <c r="I1679" s="2">
        <v>117.74</v>
      </c>
      <c r="J1679" s="2">
        <f>Tabla2[[#This Row],[Quantity]]*I1679</f>
        <v>353.21999999999997</v>
      </c>
      <c r="K1679" s="6">
        <f>MONTH(Tabla2[[#This Row],[OrderDate]])</f>
        <v>12</v>
      </c>
      <c r="L1679" s="6">
        <f>YEAR(Tabla2[[#This Row],[OrderDate]])</f>
        <v>2025</v>
      </c>
      <c r="M1679" s="7" t="s">
        <v>1365</v>
      </c>
      <c r="N1679" s="7" t="s">
        <v>45</v>
      </c>
    </row>
    <row r="1680" spans="1:14" x14ac:dyDescent="0.35">
      <c r="A1680" s="7" t="s">
        <v>2969</v>
      </c>
      <c r="B1680" s="7" t="s">
        <v>1260</v>
      </c>
      <c r="C1680" s="7" t="s">
        <v>1261</v>
      </c>
      <c r="D1680" s="7" t="s">
        <v>32</v>
      </c>
      <c r="E1680" s="7" t="s">
        <v>33</v>
      </c>
      <c r="F1680" s="7" t="s">
        <v>25</v>
      </c>
      <c r="G1680" s="7" t="s">
        <v>139</v>
      </c>
      <c r="H1680" s="7">
        <v>2</v>
      </c>
      <c r="I1680" s="2">
        <v>57.12</v>
      </c>
      <c r="J1680" s="2">
        <f>Tabla2[[#This Row],[Quantity]]*I1680</f>
        <v>114.24</v>
      </c>
      <c r="K1680" s="6">
        <f>MONTH(Tabla2[[#This Row],[OrderDate]])</f>
        <v>8</v>
      </c>
      <c r="L1680" s="6">
        <f>YEAR(Tabla2[[#This Row],[OrderDate]])</f>
        <v>2024</v>
      </c>
      <c r="M1680" s="7" t="s">
        <v>929</v>
      </c>
      <c r="N1680" s="7" t="s">
        <v>19</v>
      </c>
    </row>
    <row r="1681" spans="1:14" x14ac:dyDescent="0.35">
      <c r="A1681" s="7" t="s">
        <v>2970</v>
      </c>
      <c r="B1681" s="7" t="s">
        <v>146</v>
      </c>
      <c r="C1681" s="7" t="s">
        <v>147</v>
      </c>
      <c r="D1681" s="7" t="s">
        <v>14</v>
      </c>
      <c r="E1681" s="7" t="s">
        <v>15</v>
      </c>
      <c r="F1681" s="7" t="s">
        <v>50</v>
      </c>
      <c r="G1681" s="7" t="s">
        <v>216</v>
      </c>
      <c r="H1681" s="7">
        <v>5</v>
      </c>
      <c r="I1681" s="2">
        <v>792.12</v>
      </c>
      <c r="J1681" s="2">
        <f>Tabla2[[#This Row],[Quantity]]*I1681</f>
        <v>3960.6</v>
      </c>
      <c r="K1681" s="6">
        <f>MONTH(Tabla2[[#This Row],[OrderDate]])</f>
        <v>8</v>
      </c>
      <c r="L1681" s="6">
        <f>YEAR(Tabla2[[#This Row],[OrderDate]])</f>
        <v>2025</v>
      </c>
      <c r="M1681" s="7" t="s">
        <v>1161</v>
      </c>
      <c r="N1681" s="7" t="s">
        <v>36</v>
      </c>
    </row>
    <row r="1682" spans="1:14" x14ac:dyDescent="0.35">
      <c r="A1682" s="7" t="s">
        <v>2971</v>
      </c>
      <c r="B1682" s="7" t="s">
        <v>252</v>
      </c>
      <c r="C1682" s="7" t="s">
        <v>253</v>
      </c>
      <c r="D1682" s="7" t="s">
        <v>32</v>
      </c>
      <c r="E1682" s="7" t="s">
        <v>33</v>
      </c>
      <c r="F1682" s="7" t="s">
        <v>16</v>
      </c>
      <c r="G1682" s="7" t="s">
        <v>17</v>
      </c>
      <c r="H1682" s="7">
        <v>5</v>
      </c>
      <c r="I1682" s="2">
        <v>222.91</v>
      </c>
      <c r="J1682" s="2">
        <f>Tabla2[[#This Row],[Quantity]]*I1682</f>
        <v>1114.55</v>
      </c>
      <c r="K1682" s="6">
        <f>MONTH(Tabla2[[#This Row],[OrderDate]])</f>
        <v>5</v>
      </c>
      <c r="L1682" s="6">
        <f>YEAR(Tabla2[[#This Row],[OrderDate]])</f>
        <v>2025</v>
      </c>
      <c r="M1682" s="7" t="s">
        <v>483</v>
      </c>
      <c r="N1682" s="7" t="s">
        <v>19</v>
      </c>
    </row>
    <row r="1683" spans="1:14" x14ac:dyDescent="0.35">
      <c r="A1683" s="7" t="s">
        <v>2972</v>
      </c>
      <c r="B1683" s="7" t="s">
        <v>1196</v>
      </c>
      <c r="C1683" s="7" t="s">
        <v>1197</v>
      </c>
      <c r="D1683" s="7" t="s">
        <v>14</v>
      </c>
      <c r="E1683" s="7" t="s">
        <v>266</v>
      </c>
      <c r="F1683" s="7" t="s">
        <v>50</v>
      </c>
      <c r="G1683" s="7" t="s">
        <v>56</v>
      </c>
      <c r="H1683" s="7">
        <v>3</v>
      </c>
      <c r="I1683" s="2">
        <v>367.16</v>
      </c>
      <c r="J1683" s="2">
        <f>Tabla2[[#This Row],[Quantity]]*I1683</f>
        <v>1101.48</v>
      </c>
      <c r="K1683" s="6">
        <f>MONTH(Tabla2[[#This Row],[OrderDate]])</f>
        <v>3</v>
      </c>
      <c r="L1683" s="6">
        <f>YEAR(Tabla2[[#This Row],[OrderDate]])</f>
        <v>2025</v>
      </c>
      <c r="M1683" s="7" t="s">
        <v>952</v>
      </c>
      <c r="N1683" s="7" t="s">
        <v>28</v>
      </c>
    </row>
    <row r="1684" spans="1:14" x14ac:dyDescent="0.35">
      <c r="A1684" s="7" t="s">
        <v>2973</v>
      </c>
      <c r="B1684" s="7" t="s">
        <v>1018</v>
      </c>
      <c r="C1684" s="7" t="s">
        <v>1019</v>
      </c>
      <c r="D1684" s="7" t="s">
        <v>32</v>
      </c>
      <c r="E1684" s="7" t="s">
        <v>61</v>
      </c>
      <c r="F1684" s="7" t="s">
        <v>16</v>
      </c>
      <c r="G1684" s="7" t="s">
        <v>230</v>
      </c>
      <c r="H1684" s="7">
        <v>5</v>
      </c>
      <c r="I1684" s="2">
        <v>222.23</v>
      </c>
      <c r="J1684" s="2">
        <f>Tabla2[[#This Row],[Quantity]]*I1684</f>
        <v>1111.1499999999999</v>
      </c>
      <c r="K1684" s="6">
        <f>MONTH(Tabla2[[#This Row],[OrderDate]])</f>
        <v>2</v>
      </c>
      <c r="L1684" s="6">
        <f>YEAR(Tabla2[[#This Row],[OrderDate]])</f>
        <v>2026</v>
      </c>
      <c r="M1684" s="7" t="s">
        <v>1237</v>
      </c>
      <c r="N1684" s="7" t="s">
        <v>91</v>
      </c>
    </row>
    <row r="1685" spans="1:14" x14ac:dyDescent="0.35">
      <c r="A1685" s="7" t="s">
        <v>2974</v>
      </c>
      <c r="B1685" s="7" t="s">
        <v>964</v>
      </c>
      <c r="C1685" s="7" t="s">
        <v>965</v>
      </c>
      <c r="D1685" s="7" t="s">
        <v>32</v>
      </c>
      <c r="E1685" s="7" t="s">
        <v>203</v>
      </c>
      <c r="F1685" s="7" t="s">
        <v>50</v>
      </c>
      <c r="G1685" s="7" t="s">
        <v>51</v>
      </c>
      <c r="H1685" s="7">
        <v>5</v>
      </c>
      <c r="I1685" s="2">
        <v>1105.21</v>
      </c>
      <c r="J1685" s="2">
        <f>Tabla2[[#This Row],[Quantity]]*I1685</f>
        <v>5526.05</v>
      </c>
      <c r="K1685" s="6">
        <f>MONTH(Tabla2[[#This Row],[OrderDate]])</f>
        <v>12</v>
      </c>
      <c r="L1685" s="6">
        <f>YEAR(Tabla2[[#This Row],[OrderDate]])</f>
        <v>2025</v>
      </c>
      <c r="M1685" s="7" t="s">
        <v>1106</v>
      </c>
      <c r="N1685" s="7" t="s">
        <v>91</v>
      </c>
    </row>
    <row r="1686" spans="1:14" x14ac:dyDescent="0.35">
      <c r="A1686" s="7" t="s">
        <v>2975</v>
      </c>
      <c r="B1686" s="7" t="s">
        <v>256</v>
      </c>
      <c r="C1686" s="7" t="s">
        <v>257</v>
      </c>
      <c r="D1686" s="7" t="s">
        <v>40</v>
      </c>
      <c r="E1686" s="7" t="s">
        <v>41</v>
      </c>
      <c r="F1686" s="7" t="s">
        <v>16</v>
      </c>
      <c r="G1686" s="7" t="s">
        <v>177</v>
      </c>
      <c r="H1686" s="7">
        <v>5</v>
      </c>
      <c r="I1686" s="2">
        <v>1310.83</v>
      </c>
      <c r="J1686" s="2">
        <f>Tabla2[[#This Row],[Quantity]]*I1686</f>
        <v>6554.15</v>
      </c>
      <c r="K1686" s="6">
        <f>MONTH(Tabla2[[#This Row],[OrderDate]])</f>
        <v>9</v>
      </c>
      <c r="L1686" s="6">
        <f>YEAR(Tabla2[[#This Row],[OrderDate]])</f>
        <v>2024</v>
      </c>
      <c r="M1686" s="7" t="s">
        <v>1408</v>
      </c>
      <c r="N1686" s="7" t="s">
        <v>36</v>
      </c>
    </row>
    <row r="1687" spans="1:14" x14ac:dyDescent="0.35">
      <c r="A1687" s="7" t="s">
        <v>2976</v>
      </c>
      <c r="B1687" s="7" t="s">
        <v>536</v>
      </c>
      <c r="C1687" s="7" t="s">
        <v>537</v>
      </c>
      <c r="D1687" s="7" t="s">
        <v>40</v>
      </c>
      <c r="E1687" s="7" t="s">
        <v>79</v>
      </c>
      <c r="F1687" s="7" t="s">
        <v>25</v>
      </c>
      <c r="G1687" s="7" t="s">
        <v>34</v>
      </c>
      <c r="H1687" s="7">
        <v>2</v>
      </c>
      <c r="I1687" s="2">
        <v>1356.5</v>
      </c>
      <c r="J1687" s="2">
        <f>Tabla2[[#This Row],[Quantity]]*I1687</f>
        <v>2713</v>
      </c>
      <c r="K1687" s="6">
        <f>MONTH(Tabla2[[#This Row],[OrderDate]])</f>
        <v>9</v>
      </c>
      <c r="L1687" s="6">
        <f>YEAR(Tabla2[[#This Row],[OrderDate]])</f>
        <v>2025</v>
      </c>
      <c r="M1687" s="7" t="s">
        <v>1716</v>
      </c>
      <c r="N1687" s="7" t="s">
        <v>36</v>
      </c>
    </row>
    <row r="1688" spans="1:14" x14ac:dyDescent="0.35">
      <c r="A1688" s="7" t="s">
        <v>2977</v>
      </c>
      <c r="B1688" s="7" t="s">
        <v>384</v>
      </c>
      <c r="C1688" s="7" t="s">
        <v>385</v>
      </c>
      <c r="D1688" s="7" t="s">
        <v>23</v>
      </c>
      <c r="E1688" s="7" t="s">
        <v>49</v>
      </c>
      <c r="F1688" s="7" t="s">
        <v>16</v>
      </c>
      <c r="G1688" s="7" t="s">
        <v>177</v>
      </c>
      <c r="H1688" s="7">
        <v>1</v>
      </c>
      <c r="I1688" s="2">
        <v>679.87</v>
      </c>
      <c r="J1688" s="2">
        <f>Tabla2[[#This Row],[Quantity]]*I1688</f>
        <v>679.87</v>
      </c>
      <c r="K1688" s="6">
        <f>MONTH(Tabla2[[#This Row],[OrderDate]])</f>
        <v>11</v>
      </c>
      <c r="L1688" s="6">
        <f>YEAR(Tabla2[[#This Row],[OrderDate]])</f>
        <v>2025</v>
      </c>
      <c r="M1688" s="7" t="s">
        <v>956</v>
      </c>
      <c r="N1688" s="7" t="s">
        <v>19</v>
      </c>
    </row>
    <row r="1689" spans="1:14" x14ac:dyDescent="0.35">
      <c r="A1689" s="7" t="s">
        <v>2978</v>
      </c>
      <c r="B1689" s="7" t="s">
        <v>1793</v>
      </c>
      <c r="C1689" s="7" t="s">
        <v>1794</v>
      </c>
      <c r="D1689" s="7" t="s">
        <v>67</v>
      </c>
      <c r="E1689" s="7" t="s">
        <v>115</v>
      </c>
      <c r="F1689" s="7" t="s">
        <v>50</v>
      </c>
      <c r="G1689" s="7" t="s">
        <v>69</v>
      </c>
      <c r="H1689" s="7">
        <v>1</v>
      </c>
      <c r="I1689" s="2">
        <v>929.89</v>
      </c>
      <c r="J1689" s="2">
        <f>Tabla2[[#This Row],[Quantity]]*I1689</f>
        <v>929.89</v>
      </c>
      <c r="K1689" s="6">
        <f>MONTH(Tabla2[[#This Row],[OrderDate]])</f>
        <v>11</v>
      </c>
      <c r="L1689" s="6">
        <f>YEAR(Tabla2[[#This Row],[OrderDate]])</f>
        <v>2024</v>
      </c>
      <c r="M1689" s="7" t="s">
        <v>916</v>
      </c>
      <c r="N1689" s="7" t="s">
        <v>36</v>
      </c>
    </row>
    <row r="1690" spans="1:14" x14ac:dyDescent="0.35">
      <c r="A1690" s="7" t="s">
        <v>2979</v>
      </c>
      <c r="B1690" s="7" t="s">
        <v>1523</v>
      </c>
      <c r="C1690" s="7" t="s">
        <v>1524</v>
      </c>
      <c r="D1690" s="7" t="s">
        <v>14</v>
      </c>
      <c r="E1690" s="7" t="s">
        <v>95</v>
      </c>
      <c r="F1690" s="7" t="s">
        <v>42</v>
      </c>
      <c r="G1690" s="7" t="s">
        <v>80</v>
      </c>
      <c r="H1690" s="7">
        <v>3</v>
      </c>
      <c r="I1690" s="2">
        <v>909.35</v>
      </c>
      <c r="J1690" s="2">
        <f>Tabla2[[#This Row],[Quantity]]*I1690</f>
        <v>2728.05</v>
      </c>
      <c r="K1690" s="6">
        <f>MONTH(Tabla2[[#This Row],[OrderDate]])</f>
        <v>4</v>
      </c>
      <c r="L1690" s="6">
        <f>YEAR(Tabla2[[#This Row],[OrderDate]])</f>
        <v>2025</v>
      </c>
      <c r="M1690" s="7" t="s">
        <v>1466</v>
      </c>
      <c r="N1690" s="7" t="s">
        <v>19</v>
      </c>
    </row>
    <row r="1691" spans="1:14" x14ac:dyDescent="0.35">
      <c r="A1691" s="7" t="s">
        <v>2980</v>
      </c>
      <c r="B1691" s="7" t="s">
        <v>820</v>
      </c>
      <c r="C1691" s="7" t="s">
        <v>821</v>
      </c>
      <c r="D1691" s="7" t="s">
        <v>23</v>
      </c>
      <c r="E1691" s="7" t="s">
        <v>338</v>
      </c>
      <c r="F1691" s="7" t="s">
        <v>25</v>
      </c>
      <c r="G1691" s="7" t="s">
        <v>34</v>
      </c>
      <c r="H1691" s="7">
        <v>4</v>
      </c>
      <c r="I1691" s="2">
        <v>425.98</v>
      </c>
      <c r="J1691" s="2">
        <f>Tabla2[[#This Row],[Quantity]]*I1691</f>
        <v>1703.92</v>
      </c>
      <c r="K1691" s="6">
        <f>MONTH(Tabla2[[#This Row],[OrderDate]])</f>
        <v>12</v>
      </c>
      <c r="L1691" s="6">
        <f>YEAR(Tabla2[[#This Row],[OrderDate]])</f>
        <v>2024</v>
      </c>
      <c r="M1691" s="7" t="s">
        <v>1321</v>
      </c>
      <c r="N1691" s="7" t="s">
        <v>45</v>
      </c>
    </row>
    <row r="1692" spans="1:14" x14ac:dyDescent="0.35">
      <c r="A1692" s="7" t="s">
        <v>2981</v>
      </c>
      <c r="B1692" s="7" t="s">
        <v>1523</v>
      </c>
      <c r="C1692" s="7" t="s">
        <v>1524</v>
      </c>
      <c r="D1692" s="7" t="s">
        <v>67</v>
      </c>
      <c r="E1692" s="7" t="s">
        <v>115</v>
      </c>
      <c r="F1692" s="7" t="s">
        <v>42</v>
      </c>
      <c r="G1692" s="7" t="s">
        <v>43</v>
      </c>
      <c r="H1692" s="7">
        <v>5</v>
      </c>
      <c r="I1692" s="2">
        <v>1122.83</v>
      </c>
      <c r="J1692" s="2">
        <f>Tabla2[[#This Row],[Quantity]]*I1692</f>
        <v>5614.15</v>
      </c>
      <c r="K1692" s="6">
        <f>MONTH(Tabla2[[#This Row],[OrderDate]])</f>
        <v>9</v>
      </c>
      <c r="L1692" s="6">
        <f>YEAR(Tabla2[[#This Row],[OrderDate]])</f>
        <v>2025</v>
      </c>
      <c r="M1692" s="7" t="s">
        <v>2982</v>
      </c>
      <c r="N1692" s="7" t="s">
        <v>28</v>
      </c>
    </row>
    <row r="1693" spans="1:14" x14ac:dyDescent="0.35">
      <c r="A1693" s="7" t="s">
        <v>2983</v>
      </c>
      <c r="B1693" s="7" t="s">
        <v>87</v>
      </c>
      <c r="C1693" s="7" t="s">
        <v>88</v>
      </c>
      <c r="D1693" s="7" t="s">
        <v>32</v>
      </c>
      <c r="E1693" s="7" t="s">
        <v>61</v>
      </c>
      <c r="F1693" s="7" t="s">
        <v>16</v>
      </c>
      <c r="G1693" s="7" t="s">
        <v>17</v>
      </c>
      <c r="H1693" s="7">
        <v>2</v>
      </c>
      <c r="I1693" s="2">
        <v>627.59</v>
      </c>
      <c r="J1693" s="2">
        <f>Tabla2[[#This Row],[Quantity]]*I1693</f>
        <v>1255.18</v>
      </c>
      <c r="K1693" s="6">
        <f>MONTH(Tabla2[[#This Row],[OrderDate]])</f>
        <v>3</v>
      </c>
      <c r="L1693" s="6">
        <f>YEAR(Tabla2[[#This Row],[OrderDate]])</f>
        <v>2024</v>
      </c>
      <c r="M1693" s="7" t="s">
        <v>2532</v>
      </c>
      <c r="N1693" s="7" t="s">
        <v>45</v>
      </c>
    </row>
    <row r="1694" spans="1:14" x14ac:dyDescent="0.35">
      <c r="A1694" s="7" t="s">
        <v>2984</v>
      </c>
      <c r="B1694" s="7" t="s">
        <v>1281</v>
      </c>
      <c r="C1694" s="7" t="s">
        <v>1282</v>
      </c>
      <c r="D1694" s="7" t="s">
        <v>23</v>
      </c>
      <c r="E1694" s="7" t="s">
        <v>49</v>
      </c>
      <c r="F1694" s="7" t="s">
        <v>50</v>
      </c>
      <c r="G1694" s="7" t="s">
        <v>56</v>
      </c>
      <c r="H1694" s="7">
        <v>5</v>
      </c>
      <c r="I1694" s="2">
        <v>331.46</v>
      </c>
      <c r="J1694" s="2">
        <f>Tabla2[[#This Row],[Quantity]]*I1694</f>
        <v>1657.3</v>
      </c>
      <c r="K1694" s="6">
        <f>MONTH(Tabla2[[#This Row],[OrderDate]])</f>
        <v>7</v>
      </c>
      <c r="L1694" s="6">
        <f>YEAR(Tabla2[[#This Row],[OrderDate]])</f>
        <v>2024</v>
      </c>
      <c r="M1694" s="7" t="s">
        <v>2121</v>
      </c>
      <c r="N1694" s="7" t="s">
        <v>91</v>
      </c>
    </row>
    <row r="1695" spans="1:14" x14ac:dyDescent="0.35">
      <c r="A1695" s="7" t="s">
        <v>2985</v>
      </c>
      <c r="B1695" s="7" t="s">
        <v>755</v>
      </c>
      <c r="C1695" s="7" t="s">
        <v>756</v>
      </c>
      <c r="D1695" s="7" t="s">
        <v>23</v>
      </c>
      <c r="E1695" s="7" t="s">
        <v>24</v>
      </c>
      <c r="F1695" s="7" t="s">
        <v>42</v>
      </c>
      <c r="G1695" s="7" t="s">
        <v>89</v>
      </c>
      <c r="H1695" s="7">
        <v>2</v>
      </c>
      <c r="I1695" s="2">
        <v>724.23</v>
      </c>
      <c r="J1695" s="2">
        <f>Tabla2[[#This Row],[Quantity]]*I1695</f>
        <v>1448.46</v>
      </c>
      <c r="K1695" s="6">
        <f>MONTH(Tabla2[[#This Row],[OrderDate]])</f>
        <v>4</v>
      </c>
      <c r="L1695" s="6">
        <f>YEAR(Tabla2[[#This Row],[OrderDate]])</f>
        <v>2025</v>
      </c>
      <c r="M1695" s="7" t="s">
        <v>2198</v>
      </c>
      <c r="N1695" s="7" t="s">
        <v>28</v>
      </c>
    </row>
    <row r="1696" spans="1:14" x14ac:dyDescent="0.35">
      <c r="A1696" s="7" t="s">
        <v>2986</v>
      </c>
      <c r="B1696" s="7" t="s">
        <v>38</v>
      </c>
      <c r="C1696" s="7" t="s">
        <v>39</v>
      </c>
      <c r="D1696" s="7" t="s">
        <v>67</v>
      </c>
      <c r="E1696" s="7" t="s">
        <v>115</v>
      </c>
      <c r="F1696" s="7" t="s">
        <v>16</v>
      </c>
      <c r="G1696" s="7" t="s">
        <v>17</v>
      </c>
      <c r="H1696" s="7">
        <v>1</v>
      </c>
      <c r="I1696" s="2">
        <v>78.58</v>
      </c>
      <c r="J1696" s="2">
        <f>Tabla2[[#This Row],[Quantity]]*I1696</f>
        <v>78.58</v>
      </c>
      <c r="K1696" s="6">
        <f>MONTH(Tabla2[[#This Row],[OrderDate]])</f>
        <v>10</v>
      </c>
      <c r="L1696" s="6">
        <f>YEAR(Tabla2[[#This Row],[OrderDate]])</f>
        <v>2025</v>
      </c>
      <c r="M1696" s="7" t="s">
        <v>2987</v>
      </c>
      <c r="N1696" s="7" t="s">
        <v>36</v>
      </c>
    </row>
    <row r="1697" spans="1:14" x14ac:dyDescent="0.35">
      <c r="A1697" s="7" t="s">
        <v>2988</v>
      </c>
      <c r="B1697" s="7" t="s">
        <v>72</v>
      </c>
      <c r="C1697" s="7" t="s">
        <v>73</v>
      </c>
      <c r="D1697" s="7" t="s">
        <v>40</v>
      </c>
      <c r="E1697" s="7" t="s">
        <v>120</v>
      </c>
      <c r="F1697" s="7" t="s">
        <v>16</v>
      </c>
      <c r="G1697" s="7" t="s">
        <v>182</v>
      </c>
      <c r="H1697" s="7">
        <v>1</v>
      </c>
      <c r="I1697" s="2">
        <v>126.04</v>
      </c>
      <c r="J1697" s="2">
        <f>Tabla2[[#This Row],[Quantity]]*I1697</f>
        <v>126.04</v>
      </c>
      <c r="K1697" s="6">
        <f>MONTH(Tabla2[[#This Row],[OrderDate]])</f>
        <v>9</v>
      </c>
      <c r="L1697" s="6">
        <f>YEAR(Tabla2[[#This Row],[OrderDate]])</f>
        <v>2024</v>
      </c>
      <c r="M1697" s="7" t="s">
        <v>1575</v>
      </c>
      <c r="N1697" s="7" t="s">
        <v>45</v>
      </c>
    </row>
    <row r="1698" spans="1:14" x14ac:dyDescent="0.35">
      <c r="A1698" s="7" t="s">
        <v>2989</v>
      </c>
      <c r="B1698" s="7" t="s">
        <v>1464</v>
      </c>
      <c r="C1698" s="7" t="s">
        <v>1465</v>
      </c>
      <c r="D1698" s="7" t="s">
        <v>40</v>
      </c>
      <c r="E1698" s="7" t="s">
        <v>41</v>
      </c>
      <c r="F1698" s="7" t="s">
        <v>42</v>
      </c>
      <c r="G1698" s="7" t="s">
        <v>225</v>
      </c>
      <c r="H1698" s="7">
        <v>4</v>
      </c>
      <c r="I1698" s="2">
        <v>859.13</v>
      </c>
      <c r="J1698" s="2">
        <f>Tabla2[[#This Row],[Quantity]]*I1698</f>
        <v>3436.52</v>
      </c>
      <c r="K1698" s="6">
        <f>MONTH(Tabla2[[#This Row],[OrderDate]])</f>
        <v>3</v>
      </c>
      <c r="L1698" s="6">
        <f>YEAR(Tabla2[[#This Row],[OrderDate]])</f>
        <v>2024</v>
      </c>
      <c r="M1698" s="7" t="s">
        <v>2990</v>
      </c>
      <c r="N1698" s="7" t="s">
        <v>28</v>
      </c>
    </row>
    <row r="1699" spans="1:14" x14ac:dyDescent="0.35">
      <c r="A1699" s="7" t="s">
        <v>2991</v>
      </c>
      <c r="B1699" s="7" t="s">
        <v>506</v>
      </c>
      <c r="C1699" s="7" t="s">
        <v>507</v>
      </c>
      <c r="D1699" s="7" t="s">
        <v>14</v>
      </c>
      <c r="E1699" s="7" t="s">
        <v>95</v>
      </c>
      <c r="F1699" s="7" t="s">
        <v>50</v>
      </c>
      <c r="G1699" s="7" t="s">
        <v>69</v>
      </c>
      <c r="H1699" s="7">
        <v>3</v>
      </c>
      <c r="I1699" s="2">
        <v>1471.35</v>
      </c>
      <c r="J1699" s="2">
        <f>Tabla2[[#This Row],[Quantity]]*I1699</f>
        <v>4414.0499999999993</v>
      </c>
      <c r="K1699" s="6">
        <f>MONTH(Tabla2[[#This Row],[OrderDate]])</f>
        <v>9</v>
      </c>
      <c r="L1699" s="6">
        <f>YEAR(Tabla2[[#This Row],[OrderDate]])</f>
        <v>2024</v>
      </c>
      <c r="M1699" s="7" t="s">
        <v>2992</v>
      </c>
      <c r="N1699" s="7" t="s">
        <v>91</v>
      </c>
    </row>
    <row r="1700" spans="1:14" x14ac:dyDescent="0.35">
      <c r="A1700" s="7" t="s">
        <v>2993</v>
      </c>
      <c r="B1700" s="7" t="s">
        <v>1523</v>
      </c>
      <c r="C1700" s="7" t="s">
        <v>1524</v>
      </c>
      <c r="D1700" s="7" t="s">
        <v>14</v>
      </c>
      <c r="E1700" s="7" t="s">
        <v>100</v>
      </c>
      <c r="F1700" s="7" t="s">
        <v>42</v>
      </c>
      <c r="G1700" s="7" t="s">
        <v>80</v>
      </c>
      <c r="H1700" s="7">
        <v>3</v>
      </c>
      <c r="I1700" s="2">
        <v>1285.5999999999999</v>
      </c>
      <c r="J1700" s="2">
        <f>Tabla2[[#This Row],[Quantity]]*I1700</f>
        <v>3856.7999999999997</v>
      </c>
      <c r="K1700" s="6">
        <f>MONTH(Tabla2[[#This Row],[OrderDate]])</f>
        <v>2</v>
      </c>
      <c r="L1700" s="6">
        <f>YEAR(Tabla2[[#This Row],[OrderDate]])</f>
        <v>2026</v>
      </c>
      <c r="M1700" s="7" t="s">
        <v>2994</v>
      </c>
      <c r="N1700" s="7" t="s">
        <v>36</v>
      </c>
    </row>
    <row r="1701" spans="1:14" x14ac:dyDescent="0.35">
      <c r="A1701" s="7" t="s">
        <v>2995</v>
      </c>
      <c r="B1701" s="7" t="s">
        <v>1278</v>
      </c>
      <c r="C1701" s="7" t="s">
        <v>1279</v>
      </c>
      <c r="D1701" s="7" t="s">
        <v>40</v>
      </c>
      <c r="E1701" s="7" t="s">
        <v>120</v>
      </c>
      <c r="F1701" s="7" t="s">
        <v>101</v>
      </c>
      <c r="G1701" s="7" t="s">
        <v>165</v>
      </c>
      <c r="H1701" s="7">
        <v>1</v>
      </c>
      <c r="I1701" s="2">
        <v>207.88</v>
      </c>
      <c r="J1701" s="2">
        <f>Tabla2[[#This Row],[Quantity]]*I1701</f>
        <v>207.88</v>
      </c>
      <c r="K1701" s="6">
        <f>MONTH(Tabla2[[#This Row],[OrderDate]])</f>
        <v>2</v>
      </c>
      <c r="L1701" s="6">
        <f>YEAR(Tabla2[[#This Row],[OrderDate]])</f>
        <v>2026</v>
      </c>
      <c r="M1701" s="7" t="s">
        <v>1367</v>
      </c>
      <c r="N1701" s="7" t="s">
        <v>19</v>
      </c>
    </row>
    <row r="1702" spans="1:14" x14ac:dyDescent="0.35">
      <c r="A1702" s="7" t="s">
        <v>2996</v>
      </c>
      <c r="B1702" s="7" t="s">
        <v>214</v>
      </c>
      <c r="C1702" s="7" t="s">
        <v>215</v>
      </c>
      <c r="D1702" s="7" t="s">
        <v>67</v>
      </c>
      <c r="E1702" s="7" t="s">
        <v>115</v>
      </c>
      <c r="F1702" s="7" t="s">
        <v>25</v>
      </c>
      <c r="G1702" s="7" t="s">
        <v>74</v>
      </c>
      <c r="H1702" s="7">
        <v>1</v>
      </c>
      <c r="I1702" s="2">
        <v>148.94999999999999</v>
      </c>
      <c r="J1702" s="2">
        <f>Tabla2[[#This Row],[Quantity]]*I1702</f>
        <v>148.94999999999999</v>
      </c>
      <c r="K1702" s="6">
        <f>MONTH(Tabla2[[#This Row],[OrderDate]])</f>
        <v>10</v>
      </c>
      <c r="L1702" s="6">
        <f>YEAR(Tabla2[[#This Row],[OrderDate]])</f>
        <v>2025</v>
      </c>
      <c r="M1702" s="7" t="s">
        <v>2149</v>
      </c>
      <c r="N1702" s="7" t="s">
        <v>19</v>
      </c>
    </row>
    <row r="1703" spans="1:14" x14ac:dyDescent="0.35">
      <c r="A1703" s="7" t="s">
        <v>2997</v>
      </c>
      <c r="B1703" s="7" t="s">
        <v>273</v>
      </c>
      <c r="C1703" s="7" t="s">
        <v>274</v>
      </c>
      <c r="D1703" s="7" t="s">
        <v>67</v>
      </c>
      <c r="E1703" s="7" t="s">
        <v>115</v>
      </c>
      <c r="F1703" s="7" t="s">
        <v>25</v>
      </c>
      <c r="G1703" s="7" t="s">
        <v>74</v>
      </c>
      <c r="H1703" s="7">
        <v>1</v>
      </c>
      <c r="I1703" s="2">
        <v>962.78</v>
      </c>
      <c r="J1703" s="2">
        <f>Tabla2[[#This Row],[Quantity]]*I1703</f>
        <v>962.78</v>
      </c>
      <c r="K1703" s="6">
        <f>MONTH(Tabla2[[#This Row],[OrderDate]])</f>
        <v>8</v>
      </c>
      <c r="L1703" s="6">
        <f>YEAR(Tabla2[[#This Row],[OrderDate]])</f>
        <v>2024</v>
      </c>
      <c r="M1703" s="7" t="s">
        <v>757</v>
      </c>
      <c r="N1703" s="7" t="s">
        <v>28</v>
      </c>
    </row>
    <row r="1704" spans="1:14" x14ac:dyDescent="0.35">
      <c r="A1704" s="7" t="s">
        <v>2998</v>
      </c>
      <c r="B1704" s="7" t="s">
        <v>552</v>
      </c>
      <c r="C1704" s="7" t="s">
        <v>553</v>
      </c>
      <c r="D1704" s="7" t="s">
        <v>23</v>
      </c>
      <c r="E1704" s="7" t="s">
        <v>338</v>
      </c>
      <c r="F1704" s="7" t="s">
        <v>16</v>
      </c>
      <c r="G1704" s="7" t="s">
        <v>182</v>
      </c>
      <c r="H1704" s="7">
        <v>4</v>
      </c>
      <c r="I1704" s="2">
        <v>16.309999999999999</v>
      </c>
      <c r="J1704" s="2">
        <f>Tabla2[[#This Row],[Quantity]]*I1704</f>
        <v>65.239999999999995</v>
      </c>
      <c r="K1704" s="6">
        <f>MONTH(Tabla2[[#This Row],[OrderDate]])</f>
        <v>7</v>
      </c>
      <c r="L1704" s="6">
        <f>YEAR(Tabla2[[#This Row],[OrderDate]])</f>
        <v>2024</v>
      </c>
      <c r="M1704" s="7" t="s">
        <v>2999</v>
      </c>
      <c r="N1704" s="7" t="s">
        <v>28</v>
      </c>
    </row>
    <row r="1705" spans="1:14" x14ac:dyDescent="0.35">
      <c r="A1705" s="7" t="s">
        <v>3000</v>
      </c>
      <c r="B1705" s="7" t="s">
        <v>2245</v>
      </c>
      <c r="C1705" s="7" t="s">
        <v>2246</v>
      </c>
      <c r="D1705" s="7" t="s">
        <v>67</v>
      </c>
      <c r="E1705" s="7" t="s">
        <v>130</v>
      </c>
      <c r="F1705" s="7" t="s">
        <v>50</v>
      </c>
      <c r="G1705" s="7" t="s">
        <v>69</v>
      </c>
      <c r="H1705" s="7">
        <v>2</v>
      </c>
      <c r="I1705" s="2">
        <v>44.64</v>
      </c>
      <c r="J1705" s="2">
        <f>Tabla2[[#This Row],[Quantity]]*I1705</f>
        <v>89.28</v>
      </c>
      <c r="K1705" s="6">
        <f>MONTH(Tabla2[[#This Row],[OrderDate]])</f>
        <v>9</v>
      </c>
      <c r="L1705" s="6">
        <f>YEAR(Tabla2[[#This Row],[OrderDate]])</f>
        <v>2024</v>
      </c>
      <c r="M1705" s="7" t="s">
        <v>2503</v>
      </c>
      <c r="N1705" s="7" t="s">
        <v>19</v>
      </c>
    </row>
    <row r="1706" spans="1:14" x14ac:dyDescent="0.35">
      <c r="A1706" s="7" t="s">
        <v>3001</v>
      </c>
      <c r="B1706" s="7" t="s">
        <v>384</v>
      </c>
      <c r="C1706" s="7" t="s">
        <v>385</v>
      </c>
      <c r="D1706" s="7" t="s">
        <v>14</v>
      </c>
      <c r="E1706" s="7" t="s">
        <v>95</v>
      </c>
      <c r="F1706" s="7" t="s">
        <v>101</v>
      </c>
      <c r="G1706" s="7" t="s">
        <v>165</v>
      </c>
      <c r="H1706" s="7">
        <v>4</v>
      </c>
      <c r="I1706" s="2">
        <v>598.75</v>
      </c>
      <c r="J1706" s="2">
        <f>Tabla2[[#This Row],[Quantity]]*I1706</f>
        <v>2395</v>
      </c>
      <c r="K1706" s="6">
        <f>MONTH(Tabla2[[#This Row],[OrderDate]])</f>
        <v>1</v>
      </c>
      <c r="L1706" s="6">
        <f>YEAR(Tabla2[[#This Row],[OrderDate]])</f>
        <v>2025</v>
      </c>
      <c r="M1706" s="7" t="s">
        <v>1603</v>
      </c>
      <c r="N1706" s="7" t="s">
        <v>91</v>
      </c>
    </row>
    <row r="1707" spans="1:14" x14ac:dyDescent="0.35">
      <c r="A1707" s="7" t="s">
        <v>3002</v>
      </c>
      <c r="B1707" s="7" t="s">
        <v>1496</v>
      </c>
      <c r="C1707" s="7" t="s">
        <v>1497</v>
      </c>
      <c r="D1707" s="7" t="s">
        <v>40</v>
      </c>
      <c r="E1707" s="7" t="s">
        <v>120</v>
      </c>
      <c r="F1707" s="7" t="s">
        <v>101</v>
      </c>
      <c r="G1707" s="7" t="s">
        <v>373</v>
      </c>
      <c r="H1707" s="7">
        <v>3</v>
      </c>
      <c r="I1707" s="2">
        <v>942.2</v>
      </c>
      <c r="J1707" s="2">
        <f>Tabla2[[#This Row],[Quantity]]*I1707</f>
        <v>2826.6000000000004</v>
      </c>
      <c r="K1707" s="6">
        <f>MONTH(Tabla2[[#This Row],[OrderDate]])</f>
        <v>1</v>
      </c>
      <c r="L1707" s="6">
        <f>YEAR(Tabla2[[#This Row],[OrderDate]])</f>
        <v>2025</v>
      </c>
      <c r="M1707" s="7" t="s">
        <v>431</v>
      </c>
      <c r="N1707" s="7" t="s">
        <v>28</v>
      </c>
    </row>
    <row r="1708" spans="1:14" x14ac:dyDescent="0.35">
      <c r="A1708" s="7" t="s">
        <v>3003</v>
      </c>
      <c r="B1708" s="7" t="s">
        <v>321</v>
      </c>
      <c r="C1708" s="7" t="s">
        <v>322</v>
      </c>
      <c r="D1708" s="7" t="s">
        <v>23</v>
      </c>
      <c r="E1708" s="7" t="s">
        <v>24</v>
      </c>
      <c r="F1708" s="7" t="s">
        <v>25</v>
      </c>
      <c r="G1708" s="7" t="s">
        <v>34</v>
      </c>
      <c r="H1708" s="7">
        <v>1</v>
      </c>
      <c r="I1708" s="2">
        <v>796.9</v>
      </c>
      <c r="J1708" s="2">
        <f>Tabla2[[#This Row],[Quantity]]*I1708</f>
        <v>796.9</v>
      </c>
      <c r="K1708" s="6">
        <f>MONTH(Tabla2[[#This Row],[OrderDate]])</f>
        <v>6</v>
      </c>
      <c r="L1708" s="6">
        <f>YEAR(Tabla2[[#This Row],[OrderDate]])</f>
        <v>2025</v>
      </c>
      <c r="M1708" s="7" t="s">
        <v>1929</v>
      </c>
      <c r="N1708" s="7" t="s">
        <v>91</v>
      </c>
    </row>
    <row r="1709" spans="1:14" x14ac:dyDescent="0.35">
      <c r="A1709" s="7" t="s">
        <v>3004</v>
      </c>
      <c r="B1709" s="7" t="s">
        <v>142</v>
      </c>
      <c r="C1709" s="7" t="s">
        <v>143</v>
      </c>
      <c r="D1709" s="7" t="s">
        <v>23</v>
      </c>
      <c r="E1709" s="7" t="s">
        <v>49</v>
      </c>
      <c r="F1709" s="7" t="s">
        <v>50</v>
      </c>
      <c r="G1709" s="7" t="s">
        <v>216</v>
      </c>
      <c r="H1709" s="7">
        <v>3</v>
      </c>
      <c r="I1709" s="2">
        <v>1366.37</v>
      </c>
      <c r="J1709" s="2">
        <f>Tabla2[[#This Row],[Quantity]]*I1709</f>
        <v>4099.1099999999997</v>
      </c>
      <c r="K1709" s="6">
        <f>MONTH(Tabla2[[#This Row],[OrderDate]])</f>
        <v>3</v>
      </c>
      <c r="L1709" s="6">
        <f>YEAR(Tabla2[[#This Row],[OrderDate]])</f>
        <v>2024</v>
      </c>
      <c r="M1709" s="7" t="s">
        <v>1731</v>
      </c>
      <c r="N1709" s="7" t="s">
        <v>28</v>
      </c>
    </row>
    <row r="1710" spans="1:14" x14ac:dyDescent="0.35">
      <c r="A1710" s="7" t="s">
        <v>3005</v>
      </c>
      <c r="B1710" s="7" t="s">
        <v>785</v>
      </c>
      <c r="C1710" s="7" t="s">
        <v>786</v>
      </c>
      <c r="D1710" s="7" t="s">
        <v>40</v>
      </c>
      <c r="E1710" s="7" t="s">
        <v>41</v>
      </c>
      <c r="F1710" s="7" t="s">
        <v>50</v>
      </c>
      <c r="G1710" s="7" t="s">
        <v>69</v>
      </c>
      <c r="H1710" s="7">
        <v>5</v>
      </c>
      <c r="I1710" s="2">
        <v>1151.06</v>
      </c>
      <c r="J1710" s="2">
        <f>Tabla2[[#This Row],[Quantity]]*I1710</f>
        <v>5755.2999999999993</v>
      </c>
      <c r="K1710" s="6">
        <f>MONTH(Tabla2[[#This Row],[OrderDate]])</f>
        <v>7</v>
      </c>
      <c r="L1710" s="6">
        <f>YEAR(Tabla2[[#This Row],[OrderDate]])</f>
        <v>2024</v>
      </c>
      <c r="M1710" s="7" t="s">
        <v>534</v>
      </c>
      <c r="N1710" s="7" t="s">
        <v>45</v>
      </c>
    </row>
    <row r="1711" spans="1:14" x14ac:dyDescent="0.35">
      <c r="A1711" s="7" t="s">
        <v>3006</v>
      </c>
      <c r="B1711" s="7" t="s">
        <v>1281</v>
      </c>
      <c r="C1711" s="7" t="s">
        <v>1282</v>
      </c>
      <c r="D1711" s="7" t="s">
        <v>23</v>
      </c>
      <c r="E1711" s="7" t="s">
        <v>49</v>
      </c>
      <c r="F1711" s="7" t="s">
        <v>16</v>
      </c>
      <c r="G1711" s="7" t="s">
        <v>17</v>
      </c>
      <c r="H1711" s="7">
        <v>2</v>
      </c>
      <c r="I1711" s="2">
        <v>1402.43</v>
      </c>
      <c r="J1711" s="2">
        <f>Tabla2[[#This Row],[Quantity]]*I1711</f>
        <v>2804.86</v>
      </c>
      <c r="K1711" s="6">
        <f>MONTH(Tabla2[[#This Row],[OrderDate]])</f>
        <v>6</v>
      </c>
      <c r="L1711" s="6">
        <f>YEAR(Tabla2[[#This Row],[OrderDate]])</f>
        <v>2025</v>
      </c>
      <c r="M1711" s="7" t="s">
        <v>1898</v>
      </c>
      <c r="N1711" s="7" t="s">
        <v>19</v>
      </c>
    </row>
    <row r="1712" spans="1:14" x14ac:dyDescent="0.35">
      <c r="A1712" s="7" t="s">
        <v>3007</v>
      </c>
      <c r="B1712" s="7" t="s">
        <v>83</v>
      </c>
      <c r="C1712" s="7" t="s">
        <v>84</v>
      </c>
      <c r="D1712" s="7" t="s">
        <v>14</v>
      </c>
      <c r="E1712" s="7" t="s">
        <v>15</v>
      </c>
      <c r="F1712" s="7" t="s">
        <v>25</v>
      </c>
      <c r="G1712" s="7" t="s">
        <v>74</v>
      </c>
      <c r="H1712" s="7">
        <v>3</v>
      </c>
      <c r="I1712" s="2">
        <v>744.26</v>
      </c>
      <c r="J1712" s="2">
        <f>Tabla2[[#This Row],[Quantity]]*I1712</f>
        <v>2232.7799999999997</v>
      </c>
      <c r="K1712" s="6">
        <f>MONTH(Tabla2[[#This Row],[OrderDate]])</f>
        <v>9</v>
      </c>
      <c r="L1712" s="6">
        <f>YEAR(Tabla2[[#This Row],[OrderDate]])</f>
        <v>2024</v>
      </c>
      <c r="M1712" s="7" t="s">
        <v>1847</v>
      </c>
      <c r="N1712" s="7" t="s">
        <v>28</v>
      </c>
    </row>
    <row r="1713" spans="1:14" x14ac:dyDescent="0.35">
      <c r="A1713" s="7" t="s">
        <v>3008</v>
      </c>
      <c r="B1713" s="7" t="s">
        <v>1940</v>
      </c>
      <c r="C1713" s="7" t="s">
        <v>1941</v>
      </c>
      <c r="D1713" s="7" t="s">
        <v>14</v>
      </c>
      <c r="E1713" s="7" t="s">
        <v>125</v>
      </c>
      <c r="F1713" s="7" t="s">
        <v>16</v>
      </c>
      <c r="G1713" s="7" t="s">
        <v>230</v>
      </c>
      <c r="H1713" s="7">
        <v>2</v>
      </c>
      <c r="I1713" s="2">
        <v>983.21</v>
      </c>
      <c r="J1713" s="2">
        <f>Tabla2[[#This Row],[Quantity]]*I1713</f>
        <v>1966.42</v>
      </c>
      <c r="K1713" s="6">
        <f>MONTH(Tabla2[[#This Row],[OrderDate]])</f>
        <v>6</v>
      </c>
      <c r="L1713" s="6">
        <f>YEAR(Tabla2[[#This Row],[OrderDate]])</f>
        <v>2025</v>
      </c>
      <c r="M1713" s="7" t="s">
        <v>692</v>
      </c>
      <c r="N1713" s="7" t="s">
        <v>28</v>
      </c>
    </row>
    <row r="1714" spans="1:14" x14ac:dyDescent="0.35">
      <c r="A1714" s="7" t="s">
        <v>3009</v>
      </c>
      <c r="B1714" s="7" t="s">
        <v>260</v>
      </c>
      <c r="C1714" s="7" t="s">
        <v>261</v>
      </c>
      <c r="D1714" s="7" t="s">
        <v>14</v>
      </c>
      <c r="E1714" s="7" t="s">
        <v>266</v>
      </c>
      <c r="F1714" s="7" t="s">
        <v>16</v>
      </c>
      <c r="G1714" s="7" t="s">
        <v>182</v>
      </c>
      <c r="H1714" s="7">
        <v>4</v>
      </c>
      <c r="I1714" s="2">
        <v>313.64999999999998</v>
      </c>
      <c r="J1714" s="2">
        <f>Tabla2[[#This Row],[Quantity]]*I1714</f>
        <v>1254.5999999999999</v>
      </c>
      <c r="K1714" s="6">
        <f>MONTH(Tabla2[[#This Row],[OrderDate]])</f>
        <v>3</v>
      </c>
      <c r="L1714" s="6">
        <f>YEAR(Tabla2[[#This Row],[OrderDate]])</f>
        <v>2025</v>
      </c>
      <c r="M1714" s="7" t="s">
        <v>3010</v>
      </c>
      <c r="N1714" s="7" t="s">
        <v>28</v>
      </c>
    </row>
    <row r="1715" spans="1:14" x14ac:dyDescent="0.35">
      <c r="A1715" s="7" t="s">
        <v>3011</v>
      </c>
      <c r="B1715" s="7" t="s">
        <v>367</v>
      </c>
      <c r="C1715" s="7" t="s">
        <v>368</v>
      </c>
      <c r="D1715" s="7" t="s">
        <v>23</v>
      </c>
      <c r="E1715" s="7" t="s">
        <v>49</v>
      </c>
      <c r="F1715" s="7" t="s">
        <v>25</v>
      </c>
      <c r="G1715" s="7" t="s">
        <v>34</v>
      </c>
      <c r="H1715" s="7">
        <v>4</v>
      </c>
      <c r="I1715" s="2">
        <v>729.83</v>
      </c>
      <c r="J1715" s="2">
        <f>Tabla2[[#This Row],[Quantity]]*I1715</f>
        <v>2919.32</v>
      </c>
      <c r="K1715" s="6">
        <f>MONTH(Tabla2[[#This Row],[OrderDate]])</f>
        <v>1</v>
      </c>
      <c r="L1715" s="6">
        <f>YEAR(Tabla2[[#This Row],[OrderDate]])</f>
        <v>2024</v>
      </c>
      <c r="M1715" s="7" t="s">
        <v>1866</v>
      </c>
      <c r="N1715" s="7" t="s">
        <v>36</v>
      </c>
    </row>
    <row r="1716" spans="1:14" x14ac:dyDescent="0.35">
      <c r="A1716" s="7" t="s">
        <v>3012</v>
      </c>
      <c r="B1716" s="7" t="s">
        <v>146</v>
      </c>
      <c r="C1716" s="7" t="s">
        <v>147</v>
      </c>
      <c r="D1716" s="7" t="s">
        <v>23</v>
      </c>
      <c r="E1716" s="7" t="s">
        <v>24</v>
      </c>
      <c r="F1716" s="7" t="s">
        <v>50</v>
      </c>
      <c r="G1716" s="7" t="s">
        <v>216</v>
      </c>
      <c r="H1716" s="7">
        <v>2</v>
      </c>
      <c r="I1716" s="2">
        <v>196.21</v>
      </c>
      <c r="J1716" s="2">
        <f>Tabla2[[#This Row],[Quantity]]*I1716</f>
        <v>392.42</v>
      </c>
      <c r="K1716" s="6">
        <f>MONTH(Tabla2[[#This Row],[OrderDate]])</f>
        <v>8</v>
      </c>
      <c r="L1716" s="6">
        <f>YEAR(Tabla2[[#This Row],[OrderDate]])</f>
        <v>2025</v>
      </c>
      <c r="M1716" s="7" t="s">
        <v>1316</v>
      </c>
      <c r="N1716" s="7" t="s">
        <v>91</v>
      </c>
    </row>
    <row r="1717" spans="1:14" x14ac:dyDescent="0.35">
      <c r="A1717" s="7" t="s">
        <v>3013</v>
      </c>
      <c r="B1717" s="7" t="s">
        <v>193</v>
      </c>
      <c r="C1717" s="7" t="s">
        <v>194</v>
      </c>
      <c r="D1717" s="7" t="s">
        <v>32</v>
      </c>
      <c r="E1717" s="7" t="s">
        <v>33</v>
      </c>
      <c r="F1717" s="7" t="s">
        <v>101</v>
      </c>
      <c r="G1717" s="7" t="s">
        <v>373</v>
      </c>
      <c r="H1717" s="7">
        <v>5</v>
      </c>
      <c r="I1717" s="2">
        <v>1300</v>
      </c>
      <c r="J1717" s="2">
        <f>Tabla2[[#This Row],[Quantity]]*I1717</f>
        <v>6500</v>
      </c>
      <c r="K1717" s="6">
        <f>MONTH(Tabla2[[#This Row],[OrderDate]])</f>
        <v>11</v>
      </c>
      <c r="L1717" s="6">
        <f>YEAR(Tabla2[[#This Row],[OrderDate]])</f>
        <v>2024</v>
      </c>
      <c r="M1717" s="7" t="s">
        <v>2930</v>
      </c>
      <c r="N1717" s="7" t="s">
        <v>28</v>
      </c>
    </row>
    <row r="1718" spans="1:14" x14ac:dyDescent="0.35">
      <c r="A1718" s="7" t="s">
        <v>3014</v>
      </c>
      <c r="B1718" s="7" t="s">
        <v>809</v>
      </c>
      <c r="C1718" s="7" t="s">
        <v>810</v>
      </c>
      <c r="D1718" s="7" t="s">
        <v>23</v>
      </c>
      <c r="E1718" s="7" t="s">
        <v>338</v>
      </c>
      <c r="F1718" s="7" t="s">
        <v>16</v>
      </c>
      <c r="G1718" s="7" t="s">
        <v>17</v>
      </c>
      <c r="H1718" s="7">
        <v>5</v>
      </c>
      <c r="I1718" s="2">
        <v>327.35000000000002</v>
      </c>
      <c r="J1718" s="2">
        <f>Tabla2[[#This Row],[Quantity]]*I1718</f>
        <v>1636.75</v>
      </c>
      <c r="K1718" s="6">
        <f>MONTH(Tabla2[[#This Row],[OrderDate]])</f>
        <v>5</v>
      </c>
      <c r="L1718" s="6">
        <f>YEAR(Tabla2[[#This Row],[OrderDate]])</f>
        <v>2024</v>
      </c>
      <c r="M1718" s="7" t="s">
        <v>350</v>
      </c>
      <c r="N1718" s="7" t="s">
        <v>45</v>
      </c>
    </row>
    <row r="1719" spans="1:14" x14ac:dyDescent="0.35">
      <c r="A1719" s="7" t="s">
        <v>3015</v>
      </c>
      <c r="B1719" s="7" t="s">
        <v>113</v>
      </c>
      <c r="C1719" s="7" t="s">
        <v>114</v>
      </c>
      <c r="D1719" s="7" t="s">
        <v>14</v>
      </c>
      <c r="E1719" s="7" t="s">
        <v>15</v>
      </c>
      <c r="F1719" s="7" t="s">
        <v>16</v>
      </c>
      <c r="G1719" s="7" t="s">
        <v>230</v>
      </c>
      <c r="H1719" s="7">
        <v>4</v>
      </c>
      <c r="I1719" s="2">
        <v>131.12</v>
      </c>
      <c r="J1719" s="2">
        <f>Tabla2[[#This Row],[Quantity]]*I1719</f>
        <v>524.48</v>
      </c>
      <c r="K1719" s="6">
        <f>MONTH(Tabla2[[#This Row],[OrderDate]])</f>
        <v>10</v>
      </c>
      <c r="L1719" s="6">
        <f>YEAR(Tabla2[[#This Row],[OrderDate]])</f>
        <v>2024</v>
      </c>
      <c r="M1719" s="7" t="s">
        <v>2111</v>
      </c>
      <c r="N1719" s="7" t="s">
        <v>28</v>
      </c>
    </row>
    <row r="1720" spans="1:14" x14ac:dyDescent="0.35">
      <c r="A1720" s="7" t="s">
        <v>3016</v>
      </c>
      <c r="B1720" s="7" t="s">
        <v>406</v>
      </c>
      <c r="C1720" s="7" t="s">
        <v>407</v>
      </c>
      <c r="D1720" s="7" t="s">
        <v>32</v>
      </c>
      <c r="E1720" s="7" t="s">
        <v>203</v>
      </c>
      <c r="F1720" s="7" t="s">
        <v>50</v>
      </c>
      <c r="G1720" s="7" t="s">
        <v>170</v>
      </c>
      <c r="H1720" s="7">
        <v>1</v>
      </c>
      <c r="I1720" s="2">
        <v>122.87</v>
      </c>
      <c r="J1720" s="2">
        <f>Tabla2[[#This Row],[Quantity]]*I1720</f>
        <v>122.87</v>
      </c>
      <c r="K1720" s="6">
        <f>MONTH(Tabla2[[#This Row],[OrderDate]])</f>
        <v>10</v>
      </c>
      <c r="L1720" s="6">
        <f>YEAR(Tabla2[[#This Row],[OrderDate]])</f>
        <v>2024</v>
      </c>
      <c r="M1720" s="7" t="s">
        <v>3017</v>
      </c>
      <c r="N1720" s="7" t="s">
        <v>45</v>
      </c>
    </row>
    <row r="1721" spans="1:14" x14ac:dyDescent="0.35">
      <c r="A1721" s="7" t="s">
        <v>3018</v>
      </c>
      <c r="B1721" s="7" t="s">
        <v>113</v>
      </c>
      <c r="C1721" s="7" t="s">
        <v>114</v>
      </c>
      <c r="D1721" s="7" t="s">
        <v>14</v>
      </c>
      <c r="E1721" s="7" t="s">
        <v>15</v>
      </c>
      <c r="F1721" s="7" t="s">
        <v>16</v>
      </c>
      <c r="G1721" s="7" t="s">
        <v>177</v>
      </c>
      <c r="H1721" s="7">
        <v>5</v>
      </c>
      <c r="I1721" s="2">
        <v>1034.5</v>
      </c>
      <c r="J1721" s="2">
        <f>Tabla2[[#This Row],[Quantity]]*I1721</f>
        <v>5172.5</v>
      </c>
      <c r="K1721" s="6">
        <f>MONTH(Tabla2[[#This Row],[OrderDate]])</f>
        <v>10</v>
      </c>
      <c r="L1721" s="6">
        <f>YEAR(Tabla2[[#This Row],[OrderDate]])</f>
        <v>2024</v>
      </c>
      <c r="M1721" s="7" t="s">
        <v>2104</v>
      </c>
      <c r="N1721" s="7" t="s">
        <v>45</v>
      </c>
    </row>
    <row r="1722" spans="1:14" x14ac:dyDescent="0.35">
      <c r="A1722" s="7" t="s">
        <v>3019</v>
      </c>
      <c r="B1722" s="7" t="s">
        <v>38</v>
      </c>
      <c r="C1722" s="7" t="s">
        <v>39</v>
      </c>
      <c r="D1722" s="7" t="s">
        <v>40</v>
      </c>
      <c r="E1722" s="7" t="s">
        <v>79</v>
      </c>
      <c r="F1722" s="7" t="s">
        <v>50</v>
      </c>
      <c r="G1722" s="7" t="s">
        <v>56</v>
      </c>
      <c r="H1722" s="7">
        <v>5</v>
      </c>
      <c r="I1722" s="2">
        <v>397.29</v>
      </c>
      <c r="J1722" s="2">
        <f>Tabla2[[#This Row],[Quantity]]*I1722</f>
        <v>1986.45</v>
      </c>
      <c r="K1722" s="6">
        <f>MONTH(Tabla2[[#This Row],[OrderDate]])</f>
        <v>6</v>
      </c>
      <c r="L1722" s="6">
        <f>YEAR(Tabla2[[#This Row],[OrderDate]])</f>
        <v>2025</v>
      </c>
      <c r="M1722" s="7" t="s">
        <v>1929</v>
      </c>
      <c r="N1722" s="7" t="s">
        <v>91</v>
      </c>
    </row>
    <row r="1723" spans="1:14" x14ac:dyDescent="0.35">
      <c r="A1723" s="7" t="s">
        <v>3020</v>
      </c>
      <c r="B1723" s="7" t="s">
        <v>287</v>
      </c>
      <c r="C1723" s="7" t="s">
        <v>288</v>
      </c>
      <c r="D1723" s="7" t="s">
        <v>40</v>
      </c>
      <c r="E1723" s="7" t="s">
        <v>79</v>
      </c>
      <c r="F1723" s="7" t="s">
        <v>42</v>
      </c>
      <c r="G1723" s="7" t="s">
        <v>170</v>
      </c>
      <c r="H1723" s="7">
        <v>2</v>
      </c>
      <c r="I1723" s="2">
        <v>303.12</v>
      </c>
      <c r="J1723" s="2">
        <f>Tabla2[[#This Row],[Quantity]]*I1723</f>
        <v>606.24</v>
      </c>
      <c r="K1723" s="6">
        <f>MONTH(Tabla2[[#This Row],[OrderDate]])</f>
        <v>11</v>
      </c>
      <c r="L1723" s="6">
        <f>YEAR(Tabla2[[#This Row],[OrderDate]])</f>
        <v>2024</v>
      </c>
      <c r="M1723" s="7" t="s">
        <v>217</v>
      </c>
      <c r="N1723" s="7" t="s">
        <v>19</v>
      </c>
    </row>
    <row r="1724" spans="1:14" x14ac:dyDescent="0.35">
      <c r="A1724" s="7" t="s">
        <v>3021</v>
      </c>
      <c r="B1724" s="7" t="s">
        <v>727</v>
      </c>
      <c r="C1724" s="7" t="s">
        <v>728</v>
      </c>
      <c r="D1724" s="7" t="s">
        <v>32</v>
      </c>
      <c r="E1724" s="7" t="s">
        <v>203</v>
      </c>
      <c r="F1724" s="7" t="s">
        <v>50</v>
      </c>
      <c r="G1724" s="7" t="s">
        <v>69</v>
      </c>
      <c r="H1724" s="7">
        <v>3</v>
      </c>
      <c r="I1724" s="2">
        <v>245.24</v>
      </c>
      <c r="J1724" s="2">
        <f>Tabla2[[#This Row],[Quantity]]*I1724</f>
        <v>735.72</v>
      </c>
      <c r="K1724" s="6">
        <f>MONTH(Tabla2[[#This Row],[OrderDate]])</f>
        <v>6</v>
      </c>
      <c r="L1724" s="6">
        <f>YEAR(Tabla2[[#This Row],[OrderDate]])</f>
        <v>2025</v>
      </c>
      <c r="M1724" s="7" t="s">
        <v>3022</v>
      </c>
      <c r="N1724" s="7" t="s">
        <v>45</v>
      </c>
    </row>
    <row r="1725" spans="1:14" x14ac:dyDescent="0.35">
      <c r="A1725" s="7" t="s">
        <v>3023</v>
      </c>
      <c r="B1725" s="7" t="s">
        <v>922</v>
      </c>
      <c r="C1725" s="7" t="s">
        <v>923</v>
      </c>
      <c r="D1725" s="7" t="s">
        <v>67</v>
      </c>
      <c r="E1725" s="7" t="s">
        <v>115</v>
      </c>
      <c r="F1725" s="7" t="s">
        <v>25</v>
      </c>
      <c r="G1725" s="7" t="s">
        <v>74</v>
      </c>
      <c r="H1725" s="7">
        <v>5</v>
      </c>
      <c r="I1725" s="2">
        <v>1442.13</v>
      </c>
      <c r="J1725" s="2">
        <f>Tabla2[[#This Row],[Quantity]]*I1725</f>
        <v>7210.6500000000005</v>
      </c>
      <c r="K1725" s="6">
        <f>MONTH(Tabla2[[#This Row],[OrderDate]])</f>
        <v>3</v>
      </c>
      <c r="L1725" s="6">
        <f>YEAR(Tabla2[[#This Row],[OrderDate]])</f>
        <v>2024</v>
      </c>
      <c r="M1725" s="7" t="s">
        <v>1579</v>
      </c>
      <c r="N1725" s="7" t="s">
        <v>19</v>
      </c>
    </row>
    <row r="1726" spans="1:14" x14ac:dyDescent="0.35">
      <c r="A1726" s="7" t="s">
        <v>3024</v>
      </c>
      <c r="B1726" s="7" t="s">
        <v>1278</v>
      </c>
      <c r="C1726" s="7" t="s">
        <v>1279</v>
      </c>
      <c r="D1726" s="7" t="s">
        <v>40</v>
      </c>
      <c r="E1726" s="7" t="s">
        <v>79</v>
      </c>
      <c r="F1726" s="7" t="s">
        <v>50</v>
      </c>
      <c r="G1726" s="7" t="s">
        <v>216</v>
      </c>
      <c r="H1726" s="7">
        <v>4</v>
      </c>
      <c r="I1726" s="2">
        <v>806.1</v>
      </c>
      <c r="J1726" s="2">
        <f>Tabla2[[#This Row],[Quantity]]*I1726</f>
        <v>3224.4</v>
      </c>
      <c r="K1726" s="6">
        <f>MONTH(Tabla2[[#This Row],[OrderDate]])</f>
        <v>9</v>
      </c>
      <c r="L1726" s="6">
        <f>YEAR(Tabla2[[#This Row],[OrderDate]])</f>
        <v>2024</v>
      </c>
      <c r="M1726" s="7" t="s">
        <v>993</v>
      </c>
      <c r="N1726" s="7" t="s">
        <v>36</v>
      </c>
    </row>
    <row r="1727" spans="1:14" x14ac:dyDescent="0.35">
      <c r="A1727" s="7" t="s">
        <v>3025</v>
      </c>
      <c r="B1727" s="7" t="s">
        <v>1516</v>
      </c>
      <c r="C1727" s="7" t="s">
        <v>1517</v>
      </c>
      <c r="D1727" s="7" t="s">
        <v>67</v>
      </c>
      <c r="E1727" s="7" t="s">
        <v>68</v>
      </c>
      <c r="F1727" s="7" t="s">
        <v>16</v>
      </c>
      <c r="G1727" s="7" t="s">
        <v>182</v>
      </c>
      <c r="H1727" s="7">
        <v>1</v>
      </c>
      <c r="I1727" s="2">
        <v>370.23</v>
      </c>
      <c r="J1727" s="2">
        <f>Tabla2[[#This Row],[Quantity]]*I1727</f>
        <v>370.23</v>
      </c>
      <c r="K1727" s="6">
        <f>MONTH(Tabla2[[#This Row],[OrderDate]])</f>
        <v>3</v>
      </c>
      <c r="L1727" s="6">
        <f>YEAR(Tabla2[[#This Row],[OrderDate]])</f>
        <v>2026</v>
      </c>
      <c r="M1727" s="7" t="s">
        <v>749</v>
      </c>
      <c r="N1727" s="7" t="s">
        <v>19</v>
      </c>
    </row>
    <row r="1728" spans="1:14" x14ac:dyDescent="0.35">
      <c r="A1728" s="7" t="s">
        <v>3026</v>
      </c>
      <c r="B1728" s="7" t="s">
        <v>838</v>
      </c>
      <c r="C1728" s="7" t="s">
        <v>839</v>
      </c>
      <c r="D1728" s="7" t="s">
        <v>23</v>
      </c>
      <c r="E1728" s="7" t="s">
        <v>338</v>
      </c>
      <c r="F1728" s="7" t="s">
        <v>25</v>
      </c>
      <c r="G1728" s="7" t="s">
        <v>74</v>
      </c>
      <c r="H1728" s="7">
        <v>5</v>
      </c>
      <c r="I1728" s="2">
        <v>409.29</v>
      </c>
      <c r="J1728" s="2">
        <f>Tabla2[[#This Row],[Quantity]]*I1728</f>
        <v>2046.45</v>
      </c>
      <c r="K1728" s="6">
        <f>MONTH(Tabla2[[#This Row],[OrderDate]])</f>
        <v>10</v>
      </c>
      <c r="L1728" s="6">
        <f>YEAR(Tabla2[[#This Row],[OrderDate]])</f>
        <v>2024</v>
      </c>
      <c r="M1728" s="7" t="s">
        <v>85</v>
      </c>
      <c r="N1728" s="7" t="s">
        <v>28</v>
      </c>
    </row>
    <row r="1729" spans="1:14" x14ac:dyDescent="0.35">
      <c r="A1729" s="7" t="s">
        <v>3027</v>
      </c>
      <c r="B1729" s="7" t="s">
        <v>532</v>
      </c>
      <c r="C1729" s="7" t="s">
        <v>533</v>
      </c>
      <c r="D1729" s="7" t="s">
        <v>67</v>
      </c>
      <c r="E1729" s="7" t="s">
        <v>115</v>
      </c>
      <c r="F1729" s="7" t="s">
        <v>101</v>
      </c>
      <c r="G1729" s="7" t="s">
        <v>237</v>
      </c>
      <c r="H1729" s="7">
        <v>1</v>
      </c>
      <c r="I1729" s="2">
        <v>1044.32</v>
      </c>
      <c r="J1729" s="2">
        <f>Tabla2[[#This Row],[Quantity]]*I1729</f>
        <v>1044.32</v>
      </c>
      <c r="K1729" s="6">
        <f>MONTH(Tabla2[[#This Row],[OrderDate]])</f>
        <v>9</v>
      </c>
      <c r="L1729" s="6">
        <f>YEAR(Tabla2[[#This Row],[OrderDate]])</f>
        <v>2024</v>
      </c>
      <c r="M1729" s="7" t="s">
        <v>1408</v>
      </c>
      <c r="N1729" s="7" t="s">
        <v>45</v>
      </c>
    </row>
    <row r="1730" spans="1:14" x14ac:dyDescent="0.35">
      <c r="A1730" s="7" t="s">
        <v>3028</v>
      </c>
      <c r="B1730" s="7" t="s">
        <v>652</v>
      </c>
      <c r="C1730" s="7" t="s">
        <v>653</v>
      </c>
      <c r="D1730" s="7" t="s">
        <v>14</v>
      </c>
      <c r="E1730" s="7" t="s">
        <v>266</v>
      </c>
      <c r="F1730" s="7" t="s">
        <v>101</v>
      </c>
      <c r="G1730" s="7" t="s">
        <v>165</v>
      </c>
      <c r="H1730" s="7">
        <v>4</v>
      </c>
      <c r="I1730" s="2">
        <v>1425.37</v>
      </c>
      <c r="J1730" s="2">
        <f>Tabla2[[#This Row],[Quantity]]*I1730</f>
        <v>5701.48</v>
      </c>
      <c r="K1730" s="6">
        <f>MONTH(Tabla2[[#This Row],[OrderDate]])</f>
        <v>2</v>
      </c>
      <c r="L1730" s="6">
        <f>YEAR(Tabla2[[#This Row],[OrderDate]])</f>
        <v>2024</v>
      </c>
      <c r="M1730" s="7" t="s">
        <v>144</v>
      </c>
      <c r="N1730" s="7" t="s">
        <v>19</v>
      </c>
    </row>
    <row r="1731" spans="1:14" x14ac:dyDescent="0.35">
      <c r="A1731" s="7" t="s">
        <v>3029</v>
      </c>
      <c r="B1731" s="7" t="s">
        <v>333</v>
      </c>
      <c r="C1731" s="7" t="s">
        <v>334</v>
      </c>
      <c r="D1731" s="7" t="s">
        <v>32</v>
      </c>
      <c r="E1731" s="7" t="s">
        <v>203</v>
      </c>
      <c r="F1731" s="7" t="s">
        <v>42</v>
      </c>
      <c r="G1731" s="7" t="s">
        <v>80</v>
      </c>
      <c r="H1731" s="7">
        <v>5</v>
      </c>
      <c r="I1731" s="2">
        <v>96.13</v>
      </c>
      <c r="J1731" s="2">
        <f>Tabla2[[#This Row],[Quantity]]*I1731</f>
        <v>480.65</v>
      </c>
      <c r="K1731" s="6">
        <f>MONTH(Tabla2[[#This Row],[OrderDate]])</f>
        <v>11</v>
      </c>
      <c r="L1731" s="6">
        <f>YEAR(Tabla2[[#This Row],[OrderDate]])</f>
        <v>2024</v>
      </c>
      <c r="M1731" s="7" t="s">
        <v>1287</v>
      </c>
      <c r="N1731" s="7" t="s">
        <v>91</v>
      </c>
    </row>
    <row r="1732" spans="1:14" x14ac:dyDescent="0.35">
      <c r="A1732" s="7" t="s">
        <v>3030</v>
      </c>
      <c r="B1732" s="7" t="s">
        <v>1159</v>
      </c>
      <c r="C1732" s="7" t="s">
        <v>1160</v>
      </c>
      <c r="D1732" s="7" t="s">
        <v>67</v>
      </c>
      <c r="E1732" s="7" t="s">
        <v>115</v>
      </c>
      <c r="F1732" s="7" t="s">
        <v>42</v>
      </c>
      <c r="G1732" s="7" t="s">
        <v>225</v>
      </c>
      <c r="H1732" s="7">
        <v>2</v>
      </c>
      <c r="I1732" s="2">
        <v>43.54</v>
      </c>
      <c r="J1732" s="2">
        <f>Tabla2[[#This Row],[Quantity]]*I1732</f>
        <v>87.08</v>
      </c>
      <c r="K1732" s="6">
        <f>MONTH(Tabla2[[#This Row],[OrderDate]])</f>
        <v>9</v>
      </c>
      <c r="L1732" s="6">
        <f>YEAR(Tabla2[[#This Row],[OrderDate]])</f>
        <v>2024</v>
      </c>
      <c r="M1732" s="7" t="s">
        <v>2992</v>
      </c>
      <c r="N1732" s="7" t="s">
        <v>91</v>
      </c>
    </row>
    <row r="1733" spans="1:14" x14ac:dyDescent="0.35">
      <c r="A1733" s="7" t="s">
        <v>3031</v>
      </c>
      <c r="B1733" s="7" t="s">
        <v>1369</v>
      </c>
      <c r="C1733" s="7" t="s">
        <v>1370</v>
      </c>
      <c r="D1733" s="7" t="s">
        <v>23</v>
      </c>
      <c r="E1733" s="7" t="s">
        <v>49</v>
      </c>
      <c r="F1733" s="7" t="s">
        <v>42</v>
      </c>
      <c r="G1733" s="7" t="s">
        <v>225</v>
      </c>
      <c r="H1733" s="7">
        <v>5</v>
      </c>
      <c r="I1733" s="2">
        <v>385.21</v>
      </c>
      <c r="J1733" s="2">
        <f>Tabla2[[#This Row],[Quantity]]*I1733</f>
        <v>1926.05</v>
      </c>
      <c r="K1733" s="6">
        <f>MONTH(Tabla2[[#This Row],[OrderDate]])</f>
        <v>11</v>
      </c>
      <c r="L1733" s="6">
        <f>YEAR(Tabla2[[#This Row],[OrderDate]])</f>
        <v>2024</v>
      </c>
      <c r="M1733" s="7" t="s">
        <v>1512</v>
      </c>
      <c r="N1733" s="7" t="s">
        <v>45</v>
      </c>
    </row>
    <row r="1734" spans="1:14" x14ac:dyDescent="0.35">
      <c r="A1734" s="7" t="s">
        <v>3032</v>
      </c>
      <c r="B1734" s="7" t="s">
        <v>759</v>
      </c>
      <c r="C1734" s="7" t="s">
        <v>760</v>
      </c>
      <c r="D1734" s="7" t="s">
        <v>32</v>
      </c>
      <c r="E1734" s="7" t="s">
        <v>61</v>
      </c>
      <c r="F1734" s="7" t="s">
        <v>101</v>
      </c>
      <c r="G1734" s="7" t="s">
        <v>373</v>
      </c>
      <c r="H1734" s="7">
        <v>3</v>
      </c>
      <c r="I1734" s="2">
        <v>185.46</v>
      </c>
      <c r="J1734" s="2">
        <f>Tabla2[[#This Row],[Quantity]]*I1734</f>
        <v>556.38</v>
      </c>
      <c r="K1734" s="6">
        <f>MONTH(Tabla2[[#This Row],[OrderDate]])</f>
        <v>10</v>
      </c>
      <c r="L1734" s="6">
        <f>YEAR(Tabla2[[#This Row],[OrderDate]])</f>
        <v>2024</v>
      </c>
      <c r="M1734" s="7" t="s">
        <v>1703</v>
      </c>
      <c r="N1734" s="7" t="s">
        <v>36</v>
      </c>
    </row>
    <row r="1735" spans="1:14" x14ac:dyDescent="0.35">
      <c r="A1735" s="7" t="s">
        <v>3033</v>
      </c>
      <c r="B1735" s="7" t="s">
        <v>2348</v>
      </c>
      <c r="C1735" s="7" t="s">
        <v>2349</v>
      </c>
      <c r="D1735" s="7" t="s">
        <v>23</v>
      </c>
      <c r="E1735" s="7" t="s">
        <v>24</v>
      </c>
      <c r="F1735" s="7" t="s">
        <v>101</v>
      </c>
      <c r="G1735" s="7" t="s">
        <v>102</v>
      </c>
      <c r="H1735" s="7">
        <v>4</v>
      </c>
      <c r="I1735" s="2">
        <v>1402.53</v>
      </c>
      <c r="J1735" s="2">
        <f>Tabla2[[#This Row],[Quantity]]*I1735</f>
        <v>5610.12</v>
      </c>
      <c r="K1735" s="6">
        <f>MONTH(Tabla2[[#This Row],[OrderDate]])</f>
        <v>11</v>
      </c>
      <c r="L1735" s="6">
        <f>YEAR(Tabla2[[#This Row],[OrderDate]])</f>
        <v>2024</v>
      </c>
      <c r="M1735" s="7" t="s">
        <v>916</v>
      </c>
      <c r="N1735" s="7" t="s">
        <v>28</v>
      </c>
    </row>
    <row r="1736" spans="1:14" x14ac:dyDescent="0.35">
      <c r="A1736" s="7" t="s">
        <v>3034</v>
      </c>
      <c r="B1736" s="7" t="s">
        <v>307</v>
      </c>
      <c r="C1736" s="7" t="s">
        <v>308</v>
      </c>
      <c r="D1736" s="7" t="s">
        <v>32</v>
      </c>
      <c r="E1736" s="7" t="s">
        <v>33</v>
      </c>
      <c r="F1736" s="7" t="s">
        <v>50</v>
      </c>
      <c r="G1736" s="7" t="s">
        <v>216</v>
      </c>
      <c r="H1736" s="7">
        <v>3</v>
      </c>
      <c r="I1736" s="2">
        <v>351.74</v>
      </c>
      <c r="J1736" s="2">
        <f>Tabla2[[#This Row],[Quantity]]*I1736</f>
        <v>1055.22</v>
      </c>
      <c r="K1736" s="6">
        <f>MONTH(Tabla2[[#This Row],[OrderDate]])</f>
        <v>5</v>
      </c>
      <c r="L1736" s="6">
        <f>YEAR(Tabla2[[#This Row],[OrderDate]])</f>
        <v>2024</v>
      </c>
      <c r="M1736" s="7" t="s">
        <v>350</v>
      </c>
      <c r="N1736" s="7" t="s">
        <v>91</v>
      </c>
    </row>
    <row r="1737" spans="1:14" x14ac:dyDescent="0.35">
      <c r="A1737" s="7" t="s">
        <v>3035</v>
      </c>
      <c r="B1737" s="7" t="s">
        <v>402</v>
      </c>
      <c r="C1737" s="7" t="s">
        <v>403</v>
      </c>
      <c r="D1737" s="7" t="s">
        <v>23</v>
      </c>
      <c r="E1737" s="7" t="s">
        <v>49</v>
      </c>
      <c r="F1737" s="7" t="s">
        <v>42</v>
      </c>
      <c r="G1737" s="7" t="s">
        <v>225</v>
      </c>
      <c r="H1737" s="7">
        <v>2</v>
      </c>
      <c r="I1737" s="2">
        <v>1493.05</v>
      </c>
      <c r="J1737" s="2">
        <f>Tabla2[[#This Row],[Quantity]]*I1737</f>
        <v>2986.1</v>
      </c>
      <c r="K1737" s="6">
        <f>MONTH(Tabla2[[#This Row],[OrderDate]])</f>
        <v>9</v>
      </c>
      <c r="L1737" s="6">
        <f>YEAR(Tabla2[[#This Row],[OrderDate]])</f>
        <v>2024</v>
      </c>
      <c r="M1737" s="7" t="s">
        <v>566</v>
      </c>
      <c r="N1737" s="7" t="s">
        <v>45</v>
      </c>
    </row>
    <row r="1738" spans="1:14" x14ac:dyDescent="0.35">
      <c r="A1738" s="7" t="s">
        <v>3036</v>
      </c>
      <c r="B1738" s="7" t="s">
        <v>163</v>
      </c>
      <c r="C1738" s="7" t="s">
        <v>164</v>
      </c>
      <c r="D1738" s="7" t="s">
        <v>40</v>
      </c>
      <c r="E1738" s="7" t="s">
        <v>120</v>
      </c>
      <c r="F1738" s="7" t="s">
        <v>50</v>
      </c>
      <c r="G1738" s="7" t="s">
        <v>69</v>
      </c>
      <c r="H1738" s="7">
        <v>4</v>
      </c>
      <c r="I1738" s="2">
        <v>564.16</v>
      </c>
      <c r="J1738" s="2">
        <f>Tabla2[[#This Row],[Quantity]]*I1738</f>
        <v>2256.64</v>
      </c>
      <c r="K1738" s="6">
        <f>MONTH(Tabla2[[#This Row],[OrderDate]])</f>
        <v>2</v>
      </c>
      <c r="L1738" s="6">
        <f>YEAR(Tabla2[[#This Row],[OrderDate]])</f>
        <v>2024</v>
      </c>
      <c r="M1738" s="7" t="s">
        <v>1669</v>
      </c>
      <c r="N1738" s="7" t="s">
        <v>19</v>
      </c>
    </row>
    <row r="1739" spans="1:14" x14ac:dyDescent="0.35">
      <c r="A1739" s="7" t="s">
        <v>3037</v>
      </c>
      <c r="B1739" s="7" t="s">
        <v>2002</v>
      </c>
      <c r="C1739" s="7" t="s">
        <v>2003</v>
      </c>
      <c r="D1739" s="7" t="s">
        <v>40</v>
      </c>
      <c r="E1739" s="7" t="s">
        <v>41</v>
      </c>
      <c r="F1739" s="7" t="s">
        <v>16</v>
      </c>
      <c r="G1739" s="7" t="s">
        <v>230</v>
      </c>
      <c r="H1739" s="7">
        <v>2</v>
      </c>
      <c r="I1739" s="2">
        <v>532.87</v>
      </c>
      <c r="J1739" s="2">
        <f>Tabla2[[#This Row],[Quantity]]*I1739</f>
        <v>1065.74</v>
      </c>
      <c r="K1739" s="6">
        <f>MONTH(Tabla2[[#This Row],[OrderDate]])</f>
        <v>3</v>
      </c>
      <c r="L1739" s="6">
        <f>YEAR(Tabla2[[#This Row],[OrderDate]])</f>
        <v>2025</v>
      </c>
      <c r="M1739" s="7" t="s">
        <v>660</v>
      </c>
      <c r="N1739" s="7" t="s">
        <v>45</v>
      </c>
    </row>
    <row r="1740" spans="1:14" x14ac:dyDescent="0.35">
      <c r="A1740" s="7" t="s">
        <v>3038</v>
      </c>
      <c r="B1740" s="7" t="s">
        <v>1496</v>
      </c>
      <c r="C1740" s="7" t="s">
        <v>1497</v>
      </c>
      <c r="D1740" s="7" t="s">
        <v>23</v>
      </c>
      <c r="E1740" s="7" t="s">
        <v>24</v>
      </c>
      <c r="F1740" s="7" t="s">
        <v>16</v>
      </c>
      <c r="G1740" s="7" t="s">
        <v>177</v>
      </c>
      <c r="H1740" s="7">
        <v>3</v>
      </c>
      <c r="I1740" s="2">
        <v>127.32</v>
      </c>
      <c r="J1740" s="2">
        <f>Tabla2[[#This Row],[Quantity]]*I1740</f>
        <v>381.96</v>
      </c>
      <c r="K1740" s="6">
        <f>MONTH(Tabla2[[#This Row],[OrderDate]])</f>
        <v>7</v>
      </c>
      <c r="L1740" s="6">
        <f>YEAR(Tabla2[[#This Row],[OrderDate]])</f>
        <v>2025</v>
      </c>
      <c r="M1740" s="7" t="s">
        <v>1608</v>
      </c>
      <c r="N1740" s="7" t="s">
        <v>91</v>
      </c>
    </row>
    <row r="1741" spans="1:14" x14ac:dyDescent="0.35">
      <c r="A1741" s="7" t="s">
        <v>3039</v>
      </c>
      <c r="B1741" s="7" t="s">
        <v>168</v>
      </c>
      <c r="C1741" s="7" t="s">
        <v>169</v>
      </c>
      <c r="D1741" s="7" t="s">
        <v>40</v>
      </c>
      <c r="E1741" s="7" t="s">
        <v>79</v>
      </c>
      <c r="F1741" s="7" t="s">
        <v>25</v>
      </c>
      <c r="G1741" s="7" t="s">
        <v>26</v>
      </c>
      <c r="H1741" s="7">
        <v>3</v>
      </c>
      <c r="I1741" s="2">
        <v>198.2</v>
      </c>
      <c r="J1741" s="2">
        <f>Tabla2[[#This Row],[Quantity]]*I1741</f>
        <v>594.59999999999991</v>
      </c>
      <c r="K1741" s="6">
        <f>MONTH(Tabla2[[#This Row],[OrderDate]])</f>
        <v>11</v>
      </c>
      <c r="L1741" s="6">
        <f>YEAR(Tabla2[[#This Row],[OrderDate]])</f>
        <v>2025</v>
      </c>
      <c r="M1741" s="7" t="s">
        <v>378</v>
      </c>
      <c r="N1741" s="7" t="s">
        <v>36</v>
      </c>
    </row>
    <row r="1742" spans="1:14" x14ac:dyDescent="0.35">
      <c r="A1742" s="7" t="s">
        <v>3040</v>
      </c>
      <c r="B1742" s="7" t="s">
        <v>629</v>
      </c>
      <c r="C1742" s="7" t="s">
        <v>630</v>
      </c>
      <c r="D1742" s="7" t="s">
        <v>14</v>
      </c>
      <c r="E1742" s="7" t="s">
        <v>100</v>
      </c>
      <c r="F1742" s="7" t="s">
        <v>42</v>
      </c>
      <c r="G1742" s="7" t="s">
        <v>43</v>
      </c>
      <c r="H1742" s="7">
        <v>5</v>
      </c>
      <c r="I1742" s="2">
        <v>1192.0999999999999</v>
      </c>
      <c r="J1742" s="2">
        <f>Tabla2[[#This Row],[Quantity]]*I1742</f>
        <v>5960.5</v>
      </c>
      <c r="K1742" s="6">
        <f>MONTH(Tabla2[[#This Row],[OrderDate]])</f>
        <v>9</v>
      </c>
      <c r="L1742" s="6">
        <f>YEAR(Tabla2[[#This Row],[OrderDate]])</f>
        <v>2024</v>
      </c>
      <c r="M1742" s="7" t="s">
        <v>983</v>
      </c>
      <c r="N1742" s="7" t="s">
        <v>19</v>
      </c>
    </row>
    <row r="1743" spans="1:14" x14ac:dyDescent="0.35">
      <c r="A1743" s="7" t="s">
        <v>3041</v>
      </c>
      <c r="B1743" s="7" t="s">
        <v>690</v>
      </c>
      <c r="C1743" s="7" t="s">
        <v>691</v>
      </c>
      <c r="D1743" s="7" t="s">
        <v>67</v>
      </c>
      <c r="E1743" s="7" t="s">
        <v>130</v>
      </c>
      <c r="F1743" s="7" t="s">
        <v>42</v>
      </c>
      <c r="G1743" s="7" t="s">
        <v>170</v>
      </c>
      <c r="H1743" s="7">
        <v>5</v>
      </c>
      <c r="I1743" s="2">
        <v>1129.5999999999999</v>
      </c>
      <c r="J1743" s="2">
        <f>Tabla2[[#This Row],[Quantity]]*I1743</f>
        <v>5648</v>
      </c>
      <c r="K1743" s="6">
        <f>MONTH(Tabla2[[#This Row],[OrderDate]])</f>
        <v>2</v>
      </c>
      <c r="L1743" s="6">
        <f>YEAR(Tabla2[[#This Row],[OrderDate]])</f>
        <v>2024</v>
      </c>
      <c r="M1743" s="7" t="s">
        <v>144</v>
      </c>
      <c r="N1743" s="7" t="s">
        <v>36</v>
      </c>
    </row>
    <row r="1744" spans="1:14" x14ac:dyDescent="0.35">
      <c r="A1744" s="7" t="s">
        <v>3042</v>
      </c>
      <c r="B1744" s="7" t="s">
        <v>925</v>
      </c>
      <c r="C1744" s="7" t="s">
        <v>926</v>
      </c>
      <c r="D1744" s="7" t="s">
        <v>32</v>
      </c>
      <c r="E1744" s="7" t="s">
        <v>33</v>
      </c>
      <c r="F1744" s="7" t="s">
        <v>16</v>
      </c>
      <c r="G1744" s="7" t="s">
        <v>182</v>
      </c>
      <c r="H1744" s="7">
        <v>1</v>
      </c>
      <c r="I1744" s="2">
        <v>837.06</v>
      </c>
      <c r="J1744" s="2">
        <f>Tabla2[[#This Row],[Quantity]]*I1744</f>
        <v>837.06</v>
      </c>
      <c r="K1744" s="6">
        <f>MONTH(Tabla2[[#This Row],[OrderDate]])</f>
        <v>1</v>
      </c>
      <c r="L1744" s="6">
        <f>YEAR(Tabla2[[#This Row],[OrderDate]])</f>
        <v>2024</v>
      </c>
      <c r="M1744" s="7" t="s">
        <v>3043</v>
      </c>
      <c r="N1744" s="7" t="s">
        <v>19</v>
      </c>
    </row>
    <row r="1745" spans="1:14" x14ac:dyDescent="0.35">
      <c r="A1745" s="7" t="s">
        <v>3044</v>
      </c>
      <c r="B1745" s="7" t="s">
        <v>248</v>
      </c>
      <c r="C1745" s="7" t="s">
        <v>249</v>
      </c>
      <c r="D1745" s="7" t="s">
        <v>40</v>
      </c>
      <c r="E1745" s="7" t="s">
        <v>41</v>
      </c>
      <c r="F1745" s="7" t="s">
        <v>42</v>
      </c>
      <c r="G1745" s="7" t="s">
        <v>170</v>
      </c>
      <c r="H1745" s="7">
        <v>2</v>
      </c>
      <c r="I1745" s="2">
        <v>1488.3</v>
      </c>
      <c r="J1745" s="2">
        <f>Tabla2[[#This Row],[Quantity]]*I1745</f>
        <v>2976.6</v>
      </c>
      <c r="K1745" s="6">
        <f>MONTH(Tabla2[[#This Row],[OrderDate]])</f>
        <v>3</v>
      </c>
      <c r="L1745" s="6">
        <f>YEAR(Tabla2[[#This Row],[OrderDate]])</f>
        <v>2024</v>
      </c>
      <c r="M1745" s="7" t="s">
        <v>452</v>
      </c>
      <c r="N1745" s="7" t="s">
        <v>45</v>
      </c>
    </row>
    <row r="1746" spans="1:14" x14ac:dyDescent="0.35">
      <c r="A1746" s="7" t="s">
        <v>3045</v>
      </c>
      <c r="B1746" s="7" t="s">
        <v>311</v>
      </c>
      <c r="C1746" s="7" t="s">
        <v>312</v>
      </c>
      <c r="D1746" s="7" t="s">
        <v>14</v>
      </c>
      <c r="E1746" s="7" t="s">
        <v>95</v>
      </c>
      <c r="F1746" s="7" t="s">
        <v>25</v>
      </c>
      <c r="G1746" s="7" t="s">
        <v>34</v>
      </c>
      <c r="H1746" s="7">
        <v>1</v>
      </c>
      <c r="I1746" s="2">
        <v>1094.47</v>
      </c>
      <c r="J1746" s="2">
        <f>Tabla2[[#This Row],[Quantity]]*I1746</f>
        <v>1094.47</v>
      </c>
      <c r="K1746" s="6">
        <f>MONTH(Tabla2[[#This Row],[OrderDate]])</f>
        <v>9</v>
      </c>
      <c r="L1746" s="6">
        <f>YEAR(Tabla2[[#This Row],[OrderDate]])</f>
        <v>2024</v>
      </c>
      <c r="M1746" s="7" t="s">
        <v>1754</v>
      </c>
      <c r="N1746" s="7" t="s">
        <v>36</v>
      </c>
    </row>
    <row r="1747" spans="1:14" x14ac:dyDescent="0.35">
      <c r="A1747" s="7" t="s">
        <v>3046</v>
      </c>
      <c r="B1747" s="7" t="s">
        <v>1438</v>
      </c>
      <c r="C1747" s="7" t="s">
        <v>1439</v>
      </c>
      <c r="D1747" s="7" t="s">
        <v>67</v>
      </c>
      <c r="E1747" s="7" t="s">
        <v>130</v>
      </c>
      <c r="F1747" s="7" t="s">
        <v>25</v>
      </c>
      <c r="G1747" s="7" t="s">
        <v>26</v>
      </c>
      <c r="H1747" s="7">
        <v>1</v>
      </c>
      <c r="I1747" s="2">
        <v>670.9</v>
      </c>
      <c r="J1747" s="2">
        <f>Tabla2[[#This Row],[Quantity]]*I1747</f>
        <v>670.9</v>
      </c>
      <c r="K1747" s="6">
        <f>MONTH(Tabla2[[#This Row],[OrderDate]])</f>
        <v>12</v>
      </c>
      <c r="L1747" s="6">
        <f>YEAR(Tabla2[[#This Row],[OrderDate]])</f>
        <v>2025</v>
      </c>
      <c r="M1747" s="7" t="s">
        <v>2474</v>
      </c>
      <c r="N1747" s="7" t="s">
        <v>36</v>
      </c>
    </row>
    <row r="1748" spans="1:14" x14ac:dyDescent="0.35">
      <c r="A1748" s="7" t="s">
        <v>3047</v>
      </c>
      <c r="B1748" s="7" t="s">
        <v>1028</v>
      </c>
      <c r="C1748" s="7" t="s">
        <v>1029</v>
      </c>
      <c r="D1748" s="7" t="s">
        <v>32</v>
      </c>
      <c r="E1748" s="7" t="s">
        <v>203</v>
      </c>
      <c r="F1748" s="7" t="s">
        <v>50</v>
      </c>
      <c r="G1748" s="7" t="s">
        <v>170</v>
      </c>
      <c r="H1748" s="7">
        <v>3</v>
      </c>
      <c r="I1748" s="2">
        <v>653.37</v>
      </c>
      <c r="J1748" s="2">
        <f>Tabla2[[#This Row],[Quantity]]*I1748</f>
        <v>1960.1100000000001</v>
      </c>
      <c r="K1748" s="6">
        <f>MONTH(Tabla2[[#This Row],[OrderDate]])</f>
        <v>2</v>
      </c>
      <c r="L1748" s="6">
        <f>YEAR(Tabla2[[#This Row],[OrderDate]])</f>
        <v>2024</v>
      </c>
      <c r="M1748" s="7" t="s">
        <v>1852</v>
      </c>
      <c r="N1748" s="7" t="s">
        <v>28</v>
      </c>
    </row>
    <row r="1749" spans="1:14" x14ac:dyDescent="0.35">
      <c r="A1749" s="7" t="s">
        <v>3048</v>
      </c>
      <c r="B1749" s="7" t="s">
        <v>779</v>
      </c>
      <c r="C1749" s="7" t="s">
        <v>780</v>
      </c>
      <c r="D1749" s="7" t="s">
        <v>14</v>
      </c>
      <c r="E1749" s="7" t="s">
        <v>266</v>
      </c>
      <c r="F1749" s="7" t="s">
        <v>101</v>
      </c>
      <c r="G1749" s="7" t="s">
        <v>237</v>
      </c>
      <c r="H1749" s="7">
        <v>3</v>
      </c>
      <c r="I1749" s="2">
        <v>29.17</v>
      </c>
      <c r="J1749" s="2">
        <f>Tabla2[[#This Row],[Quantity]]*I1749</f>
        <v>87.51</v>
      </c>
      <c r="K1749" s="6">
        <f>MONTH(Tabla2[[#This Row],[OrderDate]])</f>
        <v>8</v>
      </c>
      <c r="L1749" s="6">
        <f>YEAR(Tabla2[[#This Row],[OrderDate]])</f>
        <v>2024</v>
      </c>
      <c r="M1749" s="7" t="s">
        <v>929</v>
      </c>
      <c r="N1749" s="7" t="s">
        <v>91</v>
      </c>
    </row>
    <row r="1750" spans="1:14" x14ac:dyDescent="0.35">
      <c r="A1750" s="7" t="s">
        <v>3049</v>
      </c>
      <c r="B1750" s="7" t="s">
        <v>30</v>
      </c>
      <c r="C1750" s="7" t="s">
        <v>31</v>
      </c>
      <c r="D1750" s="7" t="s">
        <v>67</v>
      </c>
      <c r="E1750" s="7" t="s">
        <v>130</v>
      </c>
      <c r="F1750" s="7" t="s">
        <v>25</v>
      </c>
      <c r="G1750" s="7" t="s">
        <v>74</v>
      </c>
      <c r="H1750" s="7">
        <v>4</v>
      </c>
      <c r="I1750" s="2">
        <v>550.94000000000005</v>
      </c>
      <c r="J1750" s="2">
        <f>Tabla2[[#This Row],[Quantity]]*I1750</f>
        <v>2203.7600000000002</v>
      </c>
      <c r="K1750" s="6">
        <f>MONTH(Tabla2[[#This Row],[OrderDate]])</f>
        <v>10</v>
      </c>
      <c r="L1750" s="6">
        <f>YEAR(Tabla2[[#This Row],[OrderDate]])</f>
        <v>2025</v>
      </c>
      <c r="M1750" s="7" t="s">
        <v>2000</v>
      </c>
      <c r="N1750" s="7" t="s">
        <v>36</v>
      </c>
    </row>
    <row r="1751" spans="1:14" x14ac:dyDescent="0.35">
      <c r="A1751" s="7" t="s">
        <v>3050</v>
      </c>
      <c r="B1751" s="7" t="s">
        <v>269</v>
      </c>
      <c r="C1751" s="7" t="s">
        <v>270</v>
      </c>
      <c r="D1751" s="7" t="s">
        <v>67</v>
      </c>
      <c r="E1751" s="7" t="s">
        <v>115</v>
      </c>
      <c r="F1751" s="7" t="s">
        <v>25</v>
      </c>
      <c r="G1751" s="7" t="s">
        <v>74</v>
      </c>
      <c r="H1751" s="7">
        <v>2</v>
      </c>
      <c r="I1751" s="2">
        <v>666.76</v>
      </c>
      <c r="J1751" s="2">
        <f>Tabla2[[#This Row],[Quantity]]*I1751</f>
        <v>1333.52</v>
      </c>
      <c r="K1751" s="6">
        <f>MONTH(Tabla2[[#This Row],[OrderDate]])</f>
        <v>12</v>
      </c>
      <c r="L1751" s="6">
        <f>YEAR(Tabla2[[#This Row],[OrderDate]])</f>
        <v>2024</v>
      </c>
      <c r="M1751" s="7" t="s">
        <v>3051</v>
      </c>
      <c r="N1751" s="7" t="s">
        <v>91</v>
      </c>
    </row>
    <row r="1752" spans="1:14" x14ac:dyDescent="0.35">
      <c r="A1752" s="7" t="s">
        <v>3052</v>
      </c>
      <c r="B1752" s="7" t="s">
        <v>598</v>
      </c>
      <c r="C1752" s="7" t="s">
        <v>599</v>
      </c>
      <c r="D1752" s="7" t="s">
        <v>32</v>
      </c>
      <c r="E1752" s="7" t="s">
        <v>61</v>
      </c>
      <c r="F1752" s="7" t="s">
        <v>16</v>
      </c>
      <c r="G1752" s="7" t="s">
        <v>177</v>
      </c>
      <c r="H1752" s="7">
        <v>3</v>
      </c>
      <c r="I1752" s="2">
        <v>602.30999999999995</v>
      </c>
      <c r="J1752" s="2">
        <f>Tabla2[[#This Row],[Quantity]]*I1752</f>
        <v>1806.9299999999998</v>
      </c>
      <c r="K1752" s="6">
        <f>MONTH(Tabla2[[#This Row],[OrderDate]])</f>
        <v>1</v>
      </c>
      <c r="L1752" s="6">
        <f>YEAR(Tabla2[[#This Row],[OrderDate]])</f>
        <v>2024</v>
      </c>
      <c r="M1752" s="7" t="s">
        <v>1756</v>
      </c>
      <c r="N1752" s="7" t="s">
        <v>91</v>
      </c>
    </row>
    <row r="1753" spans="1:14" x14ac:dyDescent="0.35">
      <c r="A1753" s="7" t="s">
        <v>3053</v>
      </c>
      <c r="B1753" s="7" t="s">
        <v>113</v>
      </c>
      <c r="C1753" s="7" t="s">
        <v>114</v>
      </c>
      <c r="D1753" s="7" t="s">
        <v>67</v>
      </c>
      <c r="E1753" s="7" t="s">
        <v>68</v>
      </c>
      <c r="F1753" s="7" t="s">
        <v>25</v>
      </c>
      <c r="G1753" s="7" t="s">
        <v>62</v>
      </c>
      <c r="H1753" s="7">
        <v>4</v>
      </c>
      <c r="I1753" s="2">
        <v>22.23</v>
      </c>
      <c r="J1753" s="2">
        <f>Tabla2[[#This Row],[Quantity]]*I1753</f>
        <v>88.92</v>
      </c>
      <c r="K1753" s="6">
        <f>MONTH(Tabla2[[#This Row],[OrderDate]])</f>
        <v>1</v>
      </c>
      <c r="L1753" s="6">
        <f>YEAR(Tabla2[[#This Row],[OrderDate]])</f>
        <v>2026</v>
      </c>
      <c r="M1753" s="7" t="s">
        <v>3054</v>
      </c>
      <c r="N1753" s="7" t="s">
        <v>36</v>
      </c>
    </row>
    <row r="1754" spans="1:14" x14ac:dyDescent="0.35">
      <c r="A1754" s="7" t="s">
        <v>3055</v>
      </c>
      <c r="B1754" s="7" t="s">
        <v>820</v>
      </c>
      <c r="C1754" s="7" t="s">
        <v>821</v>
      </c>
      <c r="D1754" s="7" t="s">
        <v>32</v>
      </c>
      <c r="E1754" s="7" t="s">
        <v>203</v>
      </c>
      <c r="F1754" s="7" t="s">
        <v>42</v>
      </c>
      <c r="G1754" s="7" t="s">
        <v>80</v>
      </c>
      <c r="H1754" s="7">
        <v>4</v>
      </c>
      <c r="I1754" s="2">
        <v>1423.7</v>
      </c>
      <c r="J1754" s="2">
        <f>Tabla2[[#This Row],[Quantity]]*I1754</f>
        <v>5694.8</v>
      </c>
      <c r="K1754" s="6">
        <f>MONTH(Tabla2[[#This Row],[OrderDate]])</f>
        <v>2</v>
      </c>
      <c r="L1754" s="6">
        <f>YEAR(Tabla2[[#This Row],[OrderDate]])</f>
        <v>2024</v>
      </c>
      <c r="M1754" s="7" t="s">
        <v>894</v>
      </c>
      <c r="N1754" s="7" t="s">
        <v>91</v>
      </c>
    </row>
    <row r="1755" spans="1:14" x14ac:dyDescent="0.35">
      <c r="A1755" s="7" t="s">
        <v>3056</v>
      </c>
      <c r="B1755" s="7" t="s">
        <v>426</v>
      </c>
      <c r="C1755" s="7" t="s">
        <v>427</v>
      </c>
      <c r="D1755" s="7" t="s">
        <v>32</v>
      </c>
      <c r="E1755" s="7" t="s">
        <v>61</v>
      </c>
      <c r="F1755" s="7" t="s">
        <v>42</v>
      </c>
      <c r="G1755" s="7" t="s">
        <v>225</v>
      </c>
      <c r="H1755" s="7">
        <v>3</v>
      </c>
      <c r="I1755" s="2">
        <v>808.83</v>
      </c>
      <c r="J1755" s="2">
        <f>Tabla2[[#This Row],[Quantity]]*I1755</f>
        <v>2426.4900000000002</v>
      </c>
      <c r="K1755" s="6">
        <f>MONTH(Tabla2[[#This Row],[OrderDate]])</f>
        <v>1</v>
      </c>
      <c r="L1755" s="6">
        <f>YEAR(Tabla2[[#This Row],[OrderDate]])</f>
        <v>2024</v>
      </c>
      <c r="M1755" s="7" t="s">
        <v>271</v>
      </c>
      <c r="N1755" s="7" t="s">
        <v>91</v>
      </c>
    </row>
    <row r="1756" spans="1:14" x14ac:dyDescent="0.35">
      <c r="A1756" s="7" t="s">
        <v>3057</v>
      </c>
      <c r="B1756" s="7" t="s">
        <v>548</v>
      </c>
      <c r="C1756" s="7" t="s">
        <v>549</v>
      </c>
      <c r="D1756" s="7" t="s">
        <v>40</v>
      </c>
      <c r="E1756" s="7" t="s">
        <v>120</v>
      </c>
      <c r="F1756" s="7" t="s">
        <v>25</v>
      </c>
      <c r="G1756" s="7" t="s">
        <v>26</v>
      </c>
      <c r="H1756" s="7">
        <v>2</v>
      </c>
      <c r="I1756" s="2">
        <v>1020.16</v>
      </c>
      <c r="J1756" s="2">
        <f>Tabla2[[#This Row],[Quantity]]*I1756</f>
        <v>2040.32</v>
      </c>
      <c r="K1756" s="6">
        <f>MONTH(Tabla2[[#This Row],[OrderDate]])</f>
        <v>1</v>
      </c>
      <c r="L1756" s="6">
        <f>YEAR(Tabla2[[#This Row],[OrderDate]])</f>
        <v>2026</v>
      </c>
      <c r="M1756" s="7" t="s">
        <v>1660</v>
      </c>
      <c r="N1756" s="7" t="s">
        <v>28</v>
      </c>
    </row>
    <row r="1757" spans="1:14" x14ac:dyDescent="0.35">
      <c r="A1757" s="7" t="s">
        <v>3058</v>
      </c>
      <c r="B1757" s="7" t="s">
        <v>367</v>
      </c>
      <c r="C1757" s="7" t="s">
        <v>368</v>
      </c>
      <c r="D1757" s="7" t="s">
        <v>14</v>
      </c>
      <c r="E1757" s="7" t="s">
        <v>100</v>
      </c>
      <c r="F1757" s="7" t="s">
        <v>42</v>
      </c>
      <c r="G1757" s="7" t="s">
        <v>89</v>
      </c>
      <c r="H1757" s="7">
        <v>1</v>
      </c>
      <c r="I1757" s="2">
        <v>1057.49</v>
      </c>
      <c r="J1757" s="2">
        <f>Tabla2[[#This Row],[Quantity]]*I1757</f>
        <v>1057.49</v>
      </c>
      <c r="K1757" s="6">
        <f>MONTH(Tabla2[[#This Row],[OrderDate]])</f>
        <v>1</v>
      </c>
      <c r="L1757" s="6">
        <f>YEAR(Tabla2[[#This Row],[OrderDate]])</f>
        <v>2025</v>
      </c>
      <c r="M1757" s="7" t="s">
        <v>1060</v>
      </c>
      <c r="N1757" s="7" t="s">
        <v>45</v>
      </c>
    </row>
    <row r="1758" spans="1:14" x14ac:dyDescent="0.35">
      <c r="A1758" s="7" t="s">
        <v>3059</v>
      </c>
      <c r="B1758" s="7" t="s">
        <v>1018</v>
      </c>
      <c r="C1758" s="7" t="s">
        <v>1019</v>
      </c>
      <c r="D1758" s="7" t="s">
        <v>23</v>
      </c>
      <c r="E1758" s="7" t="s">
        <v>24</v>
      </c>
      <c r="F1758" s="7" t="s">
        <v>25</v>
      </c>
      <c r="G1758" s="7" t="s">
        <v>26</v>
      </c>
      <c r="H1758" s="7">
        <v>4</v>
      </c>
      <c r="I1758" s="2">
        <v>692.22</v>
      </c>
      <c r="J1758" s="2">
        <f>Tabla2[[#This Row],[Quantity]]*I1758</f>
        <v>2768.88</v>
      </c>
      <c r="K1758" s="6">
        <f>MONTH(Tabla2[[#This Row],[OrderDate]])</f>
        <v>11</v>
      </c>
      <c r="L1758" s="6">
        <f>YEAR(Tabla2[[#This Row],[OrderDate]])</f>
        <v>2025</v>
      </c>
      <c r="M1758" s="7" t="s">
        <v>2304</v>
      </c>
      <c r="N1758" s="7" t="s">
        <v>36</v>
      </c>
    </row>
    <row r="1759" spans="1:14" x14ac:dyDescent="0.35">
      <c r="A1759" s="7" t="s">
        <v>3060</v>
      </c>
      <c r="B1759" s="7" t="s">
        <v>1196</v>
      </c>
      <c r="C1759" s="7" t="s">
        <v>1197</v>
      </c>
      <c r="D1759" s="7" t="s">
        <v>67</v>
      </c>
      <c r="E1759" s="7" t="s">
        <v>115</v>
      </c>
      <c r="F1759" s="7" t="s">
        <v>50</v>
      </c>
      <c r="G1759" s="7" t="s">
        <v>56</v>
      </c>
      <c r="H1759" s="7">
        <v>4</v>
      </c>
      <c r="I1759" s="2">
        <v>1348.16</v>
      </c>
      <c r="J1759" s="2">
        <f>Tabla2[[#This Row],[Quantity]]*I1759</f>
        <v>5392.64</v>
      </c>
      <c r="K1759" s="6">
        <f>MONTH(Tabla2[[#This Row],[OrderDate]])</f>
        <v>4</v>
      </c>
      <c r="L1759" s="6">
        <f>YEAR(Tabla2[[#This Row],[OrderDate]])</f>
        <v>2024</v>
      </c>
      <c r="M1759" s="7" t="s">
        <v>327</v>
      </c>
      <c r="N1759" s="7" t="s">
        <v>36</v>
      </c>
    </row>
    <row r="1760" spans="1:14" x14ac:dyDescent="0.35">
      <c r="A1760" s="7" t="s">
        <v>3061</v>
      </c>
      <c r="B1760" s="7" t="s">
        <v>1793</v>
      </c>
      <c r="C1760" s="7" t="s">
        <v>1794</v>
      </c>
      <c r="D1760" s="7" t="s">
        <v>67</v>
      </c>
      <c r="E1760" s="7" t="s">
        <v>130</v>
      </c>
      <c r="F1760" s="7" t="s">
        <v>16</v>
      </c>
      <c r="G1760" s="7" t="s">
        <v>182</v>
      </c>
      <c r="H1760" s="7">
        <v>3</v>
      </c>
      <c r="I1760" s="2">
        <v>454.18</v>
      </c>
      <c r="J1760" s="2">
        <f>Tabla2[[#This Row],[Quantity]]*I1760</f>
        <v>1362.54</v>
      </c>
      <c r="K1760" s="6">
        <f>MONTH(Tabla2[[#This Row],[OrderDate]])</f>
        <v>2</v>
      </c>
      <c r="L1760" s="6">
        <f>YEAR(Tabla2[[#This Row],[OrderDate]])</f>
        <v>2026</v>
      </c>
      <c r="M1760" s="7" t="s">
        <v>647</v>
      </c>
      <c r="N1760" s="7" t="s">
        <v>19</v>
      </c>
    </row>
    <row r="1761" spans="1:14" x14ac:dyDescent="0.35">
      <c r="A1761" s="7" t="s">
        <v>3062</v>
      </c>
      <c r="B1761" s="7" t="s">
        <v>590</v>
      </c>
      <c r="C1761" s="7" t="s">
        <v>591</v>
      </c>
      <c r="D1761" s="7" t="s">
        <v>14</v>
      </c>
      <c r="E1761" s="7" t="s">
        <v>95</v>
      </c>
      <c r="F1761" s="7" t="s">
        <v>16</v>
      </c>
      <c r="G1761" s="7" t="s">
        <v>177</v>
      </c>
      <c r="H1761" s="7">
        <v>4</v>
      </c>
      <c r="I1761" s="2">
        <v>115.63</v>
      </c>
      <c r="J1761" s="2">
        <f>Tabla2[[#This Row],[Quantity]]*I1761</f>
        <v>462.52</v>
      </c>
      <c r="K1761" s="6">
        <f>MONTH(Tabla2[[#This Row],[OrderDate]])</f>
        <v>9</v>
      </c>
      <c r="L1761" s="6">
        <f>YEAR(Tabla2[[#This Row],[OrderDate]])</f>
        <v>2024</v>
      </c>
      <c r="M1761" s="7" t="s">
        <v>1293</v>
      </c>
      <c r="N1761" s="7" t="s">
        <v>36</v>
      </c>
    </row>
    <row r="1762" spans="1:14" x14ac:dyDescent="0.35">
      <c r="A1762" s="7" t="s">
        <v>3063</v>
      </c>
      <c r="B1762" s="7" t="s">
        <v>72</v>
      </c>
      <c r="C1762" s="7" t="s">
        <v>73</v>
      </c>
      <c r="D1762" s="7" t="s">
        <v>40</v>
      </c>
      <c r="E1762" s="7" t="s">
        <v>120</v>
      </c>
      <c r="F1762" s="7" t="s">
        <v>50</v>
      </c>
      <c r="G1762" s="7" t="s">
        <v>170</v>
      </c>
      <c r="H1762" s="7">
        <v>3</v>
      </c>
      <c r="I1762" s="2">
        <v>471.47</v>
      </c>
      <c r="J1762" s="2">
        <f>Tabla2[[#This Row],[Quantity]]*I1762</f>
        <v>1414.41</v>
      </c>
      <c r="K1762" s="6">
        <f>MONTH(Tabla2[[#This Row],[OrderDate]])</f>
        <v>2</v>
      </c>
      <c r="L1762" s="6">
        <f>YEAR(Tabla2[[#This Row],[OrderDate]])</f>
        <v>2026</v>
      </c>
      <c r="M1762" s="7" t="s">
        <v>3064</v>
      </c>
      <c r="N1762" s="7" t="s">
        <v>91</v>
      </c>
    </row>
    <row r="1763" spans="1:14" x14ac:dyDescent="0.35">
      <c r="A1763" s="7" t="s">
        <v>3065</v>
      </c>
      <c r="B1763" s="7" t="s">
        <v>1046</v>
      </c>
      <c r="C1763" s="7" t="s">
        <v>1047</v>
      </c>
      <c r="D1763" s="7" t="s">
        <v>23</v>
      </c>
      <c r="E1763" s="7" t="s">
        <v>338</v>
      </c>
      <c r="F1763" s="7" t="s">
        <v>101</v>
      </c>
      <c r="G1763" s="7" t="s">
        <v>165</v>
      </c>
      <c r="H1763" s="7">
        <v>4</v>
      </c>
      <c r="I1763" s="2">
        <v>1059.29</v>
      </c>
      <c r="J1763" s="2">
        <f>Tabla2[[#This Row],[Quantity]]*I1763</f>
        <v>4237.16</v>
      </c>
      <c r="K1763" s="6">
        <f>MONTH(Tabla2[[#This Row],[OrderDate]])</f>
        <v>2</v>
      </c>
      <c r="L1763" s="6">
        <f>YEAR(Tabla2[[#This Row],[OrderDate]])</f>
        <v>2026</v>
      </c>
      <c r="M1763" s="7" t="s">
        <v>1507</v>
      </c>
      <c r="N1763" s="7" t="s">
        <v>36</v>
      </c>
    </row>
    <row r="1764" spans="1:14" x14ac:dyDescent="0.35">
      <c r="A1764" s="7" t="s">
        <v>3066</v>
      </c>
      <c r="B1764" s="7" t="s">
        <v>618</v>
      </c>
      <c r="C1764" s="7" t="s">
        <v>619</v>
      </c>
      <c r="D1764" s="7" t="s">
        <v>67</v>
      </c>
      <c r="E1764" s="7" t="s">
        <v>115</v>
      </c>
      <c r="F1764" s="7" t="s">
        <v>50</v>
      </c>
      <c r="G1764" s="7" t="s">
        <v>69</v>
      </c>
      <c r="H1764" s="7">
        <v>5</v>
      </c>
      <c r="I1764" s="2">
        <v>801.89</v>
      </c>
      <c r="J1764" s="2">
        <f>Tabla2[[#This Row],[Quantity]]*I1764</f>
        <v>4009.45</v>
      </c>
      <c r="K1764" s="6">
        <f>MONTH(Tabla2[[#This Row],[OrderDate]])</f>
        <v>10</v>
      </c>
      <c r="L1764" s="6">
        <f>YEAR(Tabla2[[#This Row],[OrderDate]])</f>
        <v>2024</v>
      </c>
      <c r="M1764" s="7" t="s">
        <v>3067</v>
      </c>
      <c r="N1764" s="7" t="s">
        <v>36</v>
      </c>
    </row>
    <row r="1765" spans="1:14" x14ac:dyDescent="0.35">
      <c r="A1765" s="7" t="s">
        <v>3068</v>
      </c>
      <c r="B1765" s="7" t="s">
        <v>618</v>
      </c>
      <c r="C1765" s="7" t="s">
        <v>619</v>
      </c>
      <c r="D1765" s="7" t="s">
        <v>40</v>
      </c>
      <c r="E1765" s="7" t="s">
        <v>120</v>
      </c>
      <c r="F1765" s="7" t="s">
        <v>101</v>
      </c>
      <c r="G1765" s="7" t="s">
        <v>649</v>
      </c>
      <c r="H1765" s="7">
        <v>5</v>
      </c>
      <c r="I1765" s="2">
        <v>1122.23</v>
      </c>
      <c r="J1765" s="2">
        <f>Tabla2[[#This Row],[Quantity]]*I1765</f>
        <v>5611.15</v>
      </c>
      <c r="K1765" s="6">
        <f>MONTH(Tabla2[[#This Row],[OrderDate]])</f>
        <v>9</v>
      </c>
      <c r="L1765" s="6">
        <f>YEAR(Tabla2[[#This Row],[OrderDate]])</f>
        <v>2024</v>
      </c>
      <c r="M1765" s="7" t="s">
        <v>1408</v>
      </c>
      <c r="N1765" s="7" t="s">
        <v>45</v>
      </c>
    </row>
    <row r="1766" spans="1:14" x14ac:dyDescent="0.35">
      <c r="A1766" s="7" t="s">
        <v>3069</v>
      </c>
      <c r="B1766" s="7" t="s">
        <v>755</v>
      </c>
      <c r="C1766" s="7" t="s">
        <v>756</v>
      </c>
      <c r="D1766" s="7" t="s">
        <v>40</v>
      </c>
      <c r="E1766" s="7" t="s">
        <v>79</v>
      </c>
      <c r="F1766" s="7" t="s">
        <v>16</v>
      </c>
      <c r="G1766" s="7" t="s">
        <v>182</v>
      </c>
      <c r="H1766" s="7">
        <v>2</v>
      </c>
      <c r="I1766" s="2">
        <v>1059.43</v>
      </c>
      <c r="J1766" s="2">
        <f>Tabla2[[#This Row],[Quantity]]*I1766</f>
        <v>2118.86</v>
      </c>
      <c r="K1766" s="6">
        <f>MONTH(Tabla2[[#This Row],[OrderDate]])</f>
        <v>9</v>
      </c>
      <c r="L1766" s="6">
        <f>YEAR(Tabla2[[#This Row],[OrderDate]])</f>
        <v>2024</v>
      </c>
      <c r="M1766" s="7" t="s">
        <v>289</v>
      </c>
      <c r="N1766" s="7" t="s">
        <v>91</v>
      </c>
    </row>
    <row r="1767" spans="1:14" x14ac:dyDescent="0.35">
      <c r="A1767" s="7" t="s">
        <v>3070</v>
      </c>
      <c r="B1767" s="7" t="s">
        <v>1079</v>
      </c>
      <c r="C1767" s="7" t="s">
        <v>1080</v>
      </c>
      <c r="D1767" s="7" t="s">
        <v>40</v>
      </c>
      <c r="E1767" s="7" t="s">
        <v>41</v>
      </c>
      <c r="F1767" s="7" t="s">
        <v>50</v>
      </c>
      <c r="G1767" s="7" t="s">
        <v>216</v>
      </c>
      <c r="H1767" s="7">
        <v>4</v>
      </c>
      <c r="I1767" s="2">
        <v>509.97</v>
      </c>
      <c r="J1767" s="2">
        <f>Tabla2[[#This Row],[Quantity]]*I1767</f>
        <v>2039.88</v>
      </c>
      <c r="K1767" s="6">
        <f>MONTH(Tabla2[[#This Row],[OrderDate]])</f>
        <v>3</v>
      </c>
      <c r="L1767" s="6">
        <f>YEAR(Tabla2[[#This Row],[OrderDate]])</f>
        <v>2024</v>
      </c>
      <c r="M1767" s="7" t="s">
        <v>2065</v>
      </c>
      <c r="N1767" s="7" t="s">
        <v>19</v>
      </c>
    </row>
    <row r="1768" spans="1:14" x14ac:dyDescent="0.35">
      <c r="A1768" s="7" t="s">
        <v>3071</v>
      </c>
      <c r="B1768" s="7" t="s">
        <v>2399</v>
      </c>
      <c r="C1768" s="7" t="s">
        <v>2400</v>
      </c>
      <c r="D1768" s="7" t="s">
        <v>23</v>
      </c>
      <c r="E1768" s="7" t="s">
        <v>338</v>
      </c>
      <c r="F1768" s="7" t="s">
        <v>42</v>
      </c>
      <c r="G1768" s="7" t="s">
        <v>225</v>
      </c>
      <c r="H1768" s="7">
        <v>2</v>
      </c>
      <c r="I1768" s="2">
        <v>1342.57</v>
      </c>
      <c r="J1768" s="2">
        <f>Tabla2[[#This Row],[Quantity]]*I1768</f>
        <v>2685.14</v>
      </c>
      <c r="K1768" s="6">
        <f>MONTH(Tabla2[[#This Row],[OrderDate]])</f>
        <v>11</v>
      </c>
      <c r="L1768" s="6">
        <f>YEAR(Tabla2[[#This Row],[OrderDate]])</f>
        <v>2025</v>
      </c>
      <c r="M1768" s="7" t="s">
        <v>1214</v>
      </c>
      <c r="N1768" s="7" t="s">
        <v>28</v>
      </c>
    </row>
    <row r="1769" spans="1:14" x14ac:dyDescent="0.35">
      <c r="A1769" s="7" t="s">
        <v>3072</v>
      </c>
      <c r="B1769" s="7" t="s">
        <v>1496</v>
      </c>
      <c r="C1769" s="7" t="s">
        <v>1497</v>
      </c>
      <c r="D1769" s="7" t="s">
        <v>14</v>
      </c>
      <c r="E1769" s="7" t="s">
        <v>15</v>
      </c>
      <c r="F1769" s="7" t="s">
        <v>101</v>
      </c>
      <c r="G1769" s="7" t="s">
        <v>373</v>
      </c>
      <c r="H1769" s="7">
        <v>5</v>
      </c>
      <c r="I1769" s="2">
        <v>297.04000000000002</v>
      </c>
      <c r="J1769" s="2">
        <f>Tabla2[[#This Row],[Quantity]]*I1769</f>
        <v>1485.2</v>
      </c>
      <c r="K1769" s="6">
        <f>MONTH(Tabla2[[#This Row],[OrderDate]])</f>
        <v>12</v>
      </c>
      <c r="L1769" s="6">
        <f>YEAR(Tabla2[[#This Row],[OrderDate]])</f>
        <v>2024</v>
      </c>
      <c r="M1769" s="7" t="s">
        <v>1090</v>
      </c>
      <c r="N1769" s="7" t="s">
        <v>28</v>
      </c>
    </row>
    <row r="1770" spans="1:14" x14ac:dyDescent="0.35">
      <c r="A1770" s="7" t="s">
        <v>3073</v>
      </c>
      <c r="B1770" s="7" t="s">
        <v>481</v>
      </c>
      <c r="C1770" s="7" t="s">
        <v>482</v>
      </c>
      <c r="D1770" s="7" t="s">
        <v>67</v>
      </c>
      <c r="E1770" s="7" t="s">
        <v>130</v>
      </c>
      <c r="F1770" s="7" t="s">
        <v>42</v>
      </c>
      <c r="G1770" s="7" t="s">
        <v>89</v>
      </c>
      <c r="H1770" s="7">
        <v>4</v>
      </c>
      <c r="I1770" s="2">
        <v>1251.28</v>
      </c>
      <c r="J1770" s="2">
        <f>Tabla2[[#This Row],[Quantity]]*I1770</f>
        <v>5005.12</v>
      </c>
      <c r="K1770" s="6">
        <f>MONTH(Tabla2[[#This Row],[OrderDate]])</f>
        <v>9</v>
      </c>
      <c r="L1770" s="6">
        <f>YEAR(Tabla2[[#This Row],[OrderDate]])</f>
        <v>2025</v>
      </c>
      <c r="M1770" s="7" t="s">
        <v>2285</v>
      </c>
      <c r="N1770" s="7" t="s">
        <v>45</v>
      </c>
    </row>
    <row r="1771" spans="1:14" x14ac:dyDescent="0.35">
      <c r="A1771" s="7" t="s">
        <v>3074</v>
      </c>
      <c r="B1771" s="7" t="s">
        <v>1073</v>
      </c>
      <c r="C1771" s="7" t="s">
        <v>1074</v>
      </c>
      <c r="D1771" s="7" t="s">
        <v>40</v>
      </c>
      <c r="E1771" s="7" t="s">
        <v>120</v>
      </c>
      <c r="F1771" s="7" t="s">
        <v>50</v>
      </c>
      <c r="G1771" s="7" t="s">
        <v>69</v>
      </c>
      <c r="H1771" s="7">
        <v>1</v>
      </c>
      <c r="I1771" s="2">
        <v>812.31</v>
      </c>
      <c r="J1771" s="2">
        <f>Tabla2[[#This Row],[Quantity]]*I1771</f>
        <v>812.31</v>
      </c>
      <c r="K1771" s="6">
        <f>MONTH(Tabla2[[#This Row],[OrderDate]])</f>
        <v>12</v>
      </c>
      <c r="L1771" s="6">
        <f>YEAR(Tabla2[[#This Row],[OrderDate]])</f>
        <v>2025</v>
      </c>
      <c r="M1771" s="7" t="s">
        <v>1763</v>
      </c>
      <c r="N1771" s="7" t="s">
        <v>45</v>
      </c>
    </row>
    <row r="1772" spans="1:14" x14ac:dyDescent="0.35">
      <c r="A1772" s="7" t="s">
        <v>3075</v>
      </c>
      <c r="B1772" s="7" t="s">
        <v>1281</v>
      </c>
      <c r="C1772" s="7" t="s">
        <v>1282</v>
      </c>
      <c r="D1772" s="7" t="s">
        <v>40</v>
      </c>
      <c r="E1772" s="7" t="s">
        <v>79</v>
      </c>
      <c r="F1772" s="7" t="s">
        <v>101</v>
      </c>
      <c r="G1772" s="7" t="s">
        <v>165</v>
      </c>
      <c r="H1772" s="7">
        <v>1</v>
      </c>
      <c r="I1772" s="2">
        <v>1114.81</v>
      </c>
      <c r="J1772" s="2">
        <f>Tabla2[[#This Row],[Quantity]]*I1772</f>
        <v>1114.81</v>
      </c>
      <c r="K1772" s="6">
        <f>MONTH(Tabla2[[#This Row],[OrderDate]])</f>
        <v>7</v>
      </c>
      <c r="L1772" s="6">
        <f>YEAR(Tabla2[[#This Row],[OrderDate]])</f>
        <v>2024</v>
      </c>
      <c r="M1772" s="7" t="s">
        <v>1052</v>
      </c>
      <c r="N1772" s="7" t="s">
        <v>45</v>
      </c>
    </row>
    <row r="1773" spans="1:14" x14ac:dyDescent="0.35">
      <c r="A1773" s="7" t="s">
        <v>3076</v>
      </c>
      <c r="B1773" s="7" t="s">
        <v>65</v>
      </c>
      <c r="C1773" s="7" t="s">
        <v>66</v>
      </c>
      <c r="D1773" s="7" t="s">
        <v>14</v>
      </c>
      <c r="E1773" s="7" t="s">
        <v>95</v>
      </c>
      <c r="F1773" s="7" t="s">
        <v>25</v>
      </c>
      <c r="G1773" s="7" t="s">
        <v>62</v>
      </c>
      <c r="H1773" s="7">
        <v>4</v>
      </c>
      <c r="I1773" s="2">
        <v>532.19000000000005</v>
      </c>
      <c r="J1773" s="2">
        <f>Tabla2[[#This Row],[Quantity]]*I1773</f>
        <v>2128.7600000000002</v>
      </c>
      <c r="K1773" s="6">
        <f>MONTH(Tabla2[[#This Row],[OrderDate]])</f>
        <v>11</v>
      </c>
      <c r="L1773" s="6">
        <f>YEAR(Tabla2[[#This Row],[OrderDate]])</f>
        <v>2024</v>
      </c>
      <c r="M1773" s="7" t="s">
        <v>1287</v>
      </c>
      <c r="N1773" s="7" t="s">
        <v>91</v>
      </c>
    </row>
    <row r="1774" spans="1:14" x14ac:dyDescent="0.35">
      <c r="A1774" s="7" t="s">
        <v>3077</v>
      </c>
      <c r="B1774" s="7" t="s">
        <v>1856</v>
      </c>
      <c r="C1774" s="7" t="s">
        <v>1857</v>
      </c>
      <c r="D1774" s="7" t="s">
        <v>23</v>
      </c>
      <c r="E1774" s="7" t="s">
        <v>49</v>
      </c>
      <c r="F1774" s="7" t="s">
        <v>16</v>
      </c>
      <c r="G1774" s="7" t="s">
        <v>17</v>
      </c>
      <c r="H1774" s="7">
        <v>2</v>
      </c>
      <c r="I1774" s="2">
        <v>1408.52</v>
      </c>
      <c r="J1774" s="2">
        <f>Tabla2[[#This Row],[Quantity]]*I1774</f>
        <v>2817.04</v>
      </c>
      <c r="K1774" s="6">
        <f>MONTH(Tabla2[[#This Row],[OrderDate]])</f>
        <v>3</v>
      </c>
      <c r="L1774" s="6">
        <f>YEAR(Tabla2[[#This Row],[OrderDate]])</f>
        <v>2025</v>
      </c>
      <c r="M1774" s="7" t="s">
        <v>3078</v>
      </c>
      <c r="N1774" s="7" t="s">
        <v>45</v>
      </c>
    </row>
    <row r="1775" spans="1:14" x14ac:dyDescent="0.35">
      <c r="A1775" s="7" t="s">
        <v>3079</v>
      </c>
      <c r="B1775" s="7" t="s">
        <v>1246</v>
      </c>
      <c r="C1775" s="7" t="s">
        <v>1247</v>
      </c>
      <c r="D1775" s="7" t="s">
        <v>14</v>
      </c>
      <c r="E1775" s="7" t="s">
        <v>266</v>
      </c>
      <c r="F1775" s="7" t="s">
        <v>42</v>
      </c>
      <c r="G1775" s="7" t="s">
        <v>43</v>
      </c>
      <c r="H1775" s="7">
        <v>4</v>
      </c>
      <c r="I1775" s="2">
        <v>156.63999999999999</v>
      </c>
      <c r="J1775" s="2">
        <f>Tabla2[[#This Row],[Quantity]]*I1775</f>
        <v>626.55999999999995</v>
      </c>
      <c r="K1775" s="6">
        <f>MONTH(Tabla2[[#This Row],[OrderDate]])</f>
        <v>8</v>
      </c>
      <c r="L1775" s="6">
        <f>YEAR(Tabla2[[#This Row],[OrderDate]])</f>
        <v>2024</v>
      </c>
      <c r="M1775" s="7" t="s">
        <v>1822</v>
      </c>
      <c r="N1775" s="7" t="s">
        <v>36</v>
      </c>
    </row>
    <row r="1776" spans="1:14" x14ac:dyDescent="0.35">
      <c r="A1776" s="7" t="s">
        <v>3080</v>
      </c>
      <c r="B1776" s="7" t="s">
        <v>1042</v>
      </c>
      <c r="C1776" s="7" t="s">
        <v>1043</v>
      </c>
      <c r="D1776" s="7" t="s">
        <v>67</v>
      </c>
      <c r="E1776" s="7" t="s">
        <v>130</v>
      </c>
      <c r="F1776" s="7" t="s">
        <v>101</v>
      </c>
      <c r="G1776" s="7" t="s">
        <v>237</v>
      </c>
      <c r="H1776" s="7">
        <v>1</v>
      </c>
      <c r="I1776" s="2">
        <v>922.96</v>
      </c>
      <c r="J1776" s="2">
        <f>Tabla2[[#This Row],[Quantity]]*I1776</f>
        <v>922.96</v>
      </c>
      <c r="K1776" s="6">
        <f>MONTH(Tabla2[[#This Row],[OrderDate]])</f>
        <v>6</v>
      </c>
      <c r="L1776" s="6">
        <f>YEAR(Tabla2[[#This Row],[OrderDate]])</f>
        <v>2025</v>
      </c>
      <c r="M1776" s="7" t="s">
        <v>679</v>
      </c>
      <c r="N1776" s="7" t="s">
        <v>36</v>
      </c>
    </row>
    <row r="1777" spans="1:14" x14ac:dyDescent="0.35">
      <c r="A1777" s="7" t="s">
        <v>3081</v>
      </c>
      <c r="B1777" s="7" t="s">
        <v>1170</v>
      </c>
      <c r="C1777" s="7" t="s">
        <v>1171</v>
      </c>
      <c r="D1777" s="7" t="s">
        <v>32</v>
      </c>
      <c r="E1777" s="7" t="s">
        <v>33</v>
      </c>
      <c r="F1777" s="7" t="s">
        <v>101</v>
      </c>
      <c r="G1777" s="7" t="s">
        <v>102</v>
      </c>
      <c r="H1777" s="7">
        <v>3</v>
      </c>
      <c r="I1777" s="2">
        <v>163.62</v>
      </c>
      <c r="J1777" s="2">
        <f>Tabla2[[#This Row],[Quantity]]*I1777</f>
        <v>490.86</v>
      </c>
      <c r="K1777" s="6">
        <f>MONTH(Tabla2[[#This Row],[OrderDate]])</f>
        <v>4</v>
      </c>
      <c r="L1777" s="6">
        <f>YEAR(Tabla2[[#This Row],[OrderDate]])</f>
        <v>2024</v>
      </c>
      <c r="M1777" s="7" t="s">
        <v>2172</v>
      </c>
      <c r="N1777" s="7" t="s">
        <v>45</v>
      </c>
    </row>
    <row r="1778" spans="1:14" x14ac:dyDescent="0.35">
      <c r="A1778" s="7" t="s">
        <v>3082</v>
      </c>
      <c r="B1778" s="7" t="s">
        <v>426</v>
      </c>
      <c r="C1778" s="7" t="s">
        <v>427</v>
      </c>
      <c r="D1778" s="7" t="s">
        <v>14</v>
      </c>
      <c r="E1778" s="7" t="s">
        <v>15</v>
      </c>
      <c r="F1778" s="7" t="s">
        <v>50</v>
      </c>
      <c r="G1778" s="7" t="s">
        <v>216</v>
      </c>
      <c r="H1778" s="7">
        <v>4</v>
      </c>
      <c r="I1778" s="2">
        <v>1239.1300000000001</v>
      </c>
      <c r="J1778" s="2">
        <f>Tabla2[[#This Row],[Quantity]]*I1778</f>
        <v>4956.5200000000004</v>
      </c>
      <c r="K1778" s="6">
        <f>MONTH(Tabla2[[#This Row],[OrderDate]])</f>
        <v>3</v>
      </c>
      <c r="L1778" s="6">
        <f>YEAR(Tabla2[[#This Row],[OrderDate]])</f>
        <v>2024</v>
      </c>
      <c r="M1778" s="7" t="s">
        <v>2532</v>
      </c>
      <c r="N1778" s="7" t="s">
        <v>45</v>
      </c>
    </row>
    <row r="1779" spans="1:14" x14ac:dyDescent="0.35">
      <c r="A1779" s="7" t="s">
        <v>3083</v>
      </c>
      <c r="B1779" s="7" t="s">
        <v>686</v>
      </c>
      <c r="C1779" s="7" t="s">
        <v>687</v>
      </c>
      <c r="D1779" s="7" t="s">
        <v>32</v>
      </c>
      <c r="E1779" s="7" t="s">
        <v>61</v>
      </c>
      <c r="F1779" s="7" t="s">
        <v>25</v>
      </c>
      <c r="G1779" s="7" t="s">
        <v>74</v>
      </c>
      <c r="H1779" s="7">
        <v>3</v>
      </c>
      <c r="I1779" s="2">
        <v>1184.71</v>
      </c>
      <c r="J1779" s="2">
        <f>Tabla2[[#This Row],[Quantity]]*I1779</f>
        <v>3554.13</v>
      </c>
      <c r="K1779" s="6">
        <f>MONTH(Tabla2[[#This Row],[OrderDate]])</f>
        <v>7</v>
      </c>
      <c r="L1779" s="6">
        <f>YEAR(Tabla2[[#This Row],[OrderDate]])</f>
        <v>2025</v>
      </c>
      <c r="M1779" s="7" t="s">
        <v>1382</v>
      </c>
      <c r="N1779" s="7" t="s">
        <v>19</v>
      </c>
    </row>
    <row r="1780" spans="1:14" x14ac:dyDescent="0.35">
      <c r="A1780" s="7" t="s">
        <v>3084</v>
      </c>
      <c r="B1780" s="7" t="s">
        <v>252</v>
      </c>
      <c r="C1780" s="7" t="s">
        <v>253</v>
      </c>
      <c r="D1780" s="7" t="s">
        <v>67</v>
      </c>
      <c r="E1780" s="7" t="s">
        <v>68</v>
      </c>
      <c r="F1780" s="7" t="s">
        <v>42</v>
      </c>
      <c r="G1780" s="7" t="s">
        <v>225</v>
      </c>
      <c r="H1780" s="7">
        <v>2</v>
      </c>
      <c r="I1780" s="2">
        <v>69.92</v>
      </c>
      <c r="J1780" s="2">
        <f>Tabla2[[#This Row],[Quantity]]*I1780</f>
        <v>139.84</v>
      </c>
      <c r="K1780" s="6">
        <f>MONTH(Tabla2[[#This Row],[OrderDate]])</f>
        <v>8</v>
      </c>
      <c r="L1780" s="6">
        <f>YEAR(Tabla2[[#This Row],[OrderDate]])</f>
        <v>2025</v>
      </c>
      <c r="M1780" s="7" t="s">
        <v>2116</v>
      </c>
      <c r="N1780" s="7" t="s">
        <v>36</v>
      </c>
    </row>
    <row r="1781" spans="1:14" x14ac:dyDescent="0.35">
      <c r="A1781" s="7" t="s">
        <v>3085</v>
      </c>
      <c r="B1781" s="7" t="s">
        <v>77</v>
      </c>
      <c r="C1781" s="7" t="s">
        <v>78</v>
      </c>
      <c r="D1781" s="7" t="s">
        <v>23</v>
      </c>
      <c r="E1781" s="7" t="s">
        <v>24</v>
      </c>
      <c r="F1781" s="7" t="s">
        <v>42</v>
      </c>
      <c r="G1781" s="7" t="s">
        <v>225</v>
      </c>
      <c r="H1781" s="7">
        <v>3</v>
      </c>
      <c r="I1781" s="2">
        <v>819.99</v>
      </c>
      <c r="J1781" s="2">
        <f>Tabla2[[#This Row],[Quantity]]*I1781</f>
        <v>2459.9700000000003</v>
      </c>
      <c r="K1781" s="6">
        <f>MONTH(Tabla2[[#This Row],[OrderDate]])</f>
        <v>11</v>
      </c>
      <c r="L1781" s="6">
        <f>YEAR(Tabla2[[#This Row],[OrderDate]])</f>
        <v>2025</v>
      </c>
      <c r="M1781" s="7" t="s">
        <v>1914</v>
      </c>
      <c r="N1781" s="7" t="s">
        <v>45</v>
      </c>
    </row>
    <row r="1782" spans="1:14" x14ac:dyDescent="0.35">
      <c r="A1782" s="7" t="s">
        <v>3086</v>
      </c>
      <c r="B1782" s="7" t="s">
        <v>605</v>
      </c>
      <c r="C1782" s="7" t="s">
        <v>606</v>
      </c>
      <c r="D1782" s="7" t="s">
        <v>32</v>
      </c>
      <c r="E1782" s="7" t="s">
        <v>61</v>
      </c>
      <c r="F1782" s="7" t="s">
        <v>16</v>
      </c>
      <c r="G1782" s="7" t="s">
        <v>17</v>
      </c>
      <c r="H1782" s="7">
        <v>2</v>
      </c>
      <c r="I1782" s="2">
        <v>1162.4100000000001</v>
      </c>
      <c r="J1782" s="2">
        <f>Tabla2[[#This Row],[Quantity]]*I1782</f>
        <v>2324.8200000000002</v>
      </c>
      <c r="K1782" s="6">
        <f>MONTH(Tabla2[[#This Row],[OrderDate]])</f>
        <v>2</v>
      </c>
      <c r="L1782" s="6">
        <f>YEAR(Tabla2[[#This Row],[OrderDate]])</f>
        <v>2026</v>
      </c>
      <c r="M1782" s="7" t="s">
        <v>1489</v>
      </c>
      <c r="N1782" s="7" t="s">
        <v>36</v>
      </c>
    </row>
    <row r="1783" spans="1:14" x14ac:dyDescent="0.35">
      <c r="A1783" s="7" t="s">
        <v>3087</v>
      </c>
      <c r="B1783" s="7" t="s">
        <v>244</v>
      </c>
      <c r="C1783" s="7" t="s">
        <v>245</v>
      </c>
      <c r="D1783" s="7" t="s">
        <v>40</v>
      </c>
      <c r="E1783" s="7" t="s">
        <v>79</v>
      </c>
      <c r="F1783" s="7" t="s">
        <v>42</v>
      </c>
      <c r="G1783" s="7" t="s">
        <v>225</v>
      </c>
      <c r="H1783" s="7">
        <v>1</v>
      </c>
      <c r="I1783" s="2">
        <v>409.04</v>
      </c>
      <c r="J1783" s="2">
        <f>Tabla2[[#This Row],[Quantity]]*I1783</f>
        <v>409.04</v>
      </c>
      <c r="K1783" s="6">
        <f>MONTH(Tabla2[[#This Row],[OrderDate]])</f>
        <v>10</v>
      </c>
      <c r="L1783" s="6">
        <f>YEAR(Tabla2[[#This Row],[OrderDate]])</f>
        <v>2025</v>
      </c>
      <c r="M1783" s="7" t="s">
        <v>323</v>
      </c>
      <c r="N1783" s="7" t="s">
        <v>36</v>
      </c>
    </row>
    <row r="1784" spans="1:14" x14ac:dyDescent="0.35">
      <c r="A1784" s="7" t="s">
        <v>3088</v>
      </c>
      <c r="B1784" s="7" t="s">
        <v>345</v>
      </c>
      <c r="C1784" s="7" t="s">
        <v>346</v>
      </c>
      <c r="D1784" s="7" t="s">
        <v>23</v>
      </c>
      <c r="E1784" s="7" t="s">
        <v>338</v>
      </c>
      <c r="F1784" s="7" t="s">
        <v>101</v>
      </c>
      <c r="G1784" s="7" t="s">
        <v>165</v>
      </c>
      <c r="H1784" s="7">
        <v>5</v>
      </c>
      <c r="I1784" s="2">
        <v>960.8</v>
      </c>
      <c r="J1784" s="2">
        <f>Tabla2[[#This Row],[Quantity]]*I1784</f>
        <v>4804</v>
      </c>
      <c r="K1784" s="6">
        <f>MONTH(Tabla2[[#This Row],[OrderDate]])</f>
        <v>3</v>
      </c>
      <c r="L1784" s="6">
        <f>YEAR(Tabla2[[#This Row],[OrderDate]])</f>
        <v>2025</v>
      </c>
      <c r="M1784" s="7" t="s">
        <v>675</v>
      </c>
      <c r="N1784" s="7" t="s">
        <v>36</v>
      </c>
    </row>
    <row r="1785" spans="1:14" x14ac:dyDescent="0.35">
      <c r="A1785" s="7" t="s">
        <v>3089</v>
      </c>
      <c r="B1785" s="7" t="s">
        <v>2002</v>
      </c>
      <c r="C1785" s="7" t="s">
        <v>2003</v>
      </c>
      <c r="D1785" s="7" t="s">
        <v>14</v>
      </c>
      <c r="E1785" s="7" t="s">
        <v>95</v>
      </c>
      <c r="F1785" s="7" t="s">
        <v>42</v>
      </c>
      <c r="G1785" s="7" t="s">
        <v>89</v>
      </c>
      <c r="H1785" s="7">
        <v>1</v>
      </c>
      <c r="I1785" s="2">
        <v>384.4</v>
      </c>
      <c r="J1785" s="2">
        <f>Tabla2[[#This Row],[Quantity]]*I1785</f>
        <v>384.4</v>
      </c>
      <c r="K1785" s="6">
        <f>MONTH(Tabla2[[#This Row],[OrderDate]])</f>
        <v>2</v>
      </c>
      <c r="L1785" s="6">
        <f>YEAR(Tabla2[[#This Row],[OrderDate]])</f>
        <v>2026</v>
      </c>
      <c r="M1785" s="7" t="s">
        <v>35</v>
      </c>
      <c r="N1785" s="7" t="s">
        <v>19</v>
      </c>
    </row>
    <row r="1786" spans="1:14" x14ac:dyDescent="0.35">
      <c r="A1786" s="7" t="s">
        <v>3090</v>
      </c>
      <c r="B1786" s="7" t="s">
        <v>707</v>
      </c>
      <c r="C1786" s="7" t="s">
        <v>708</v>
      </c>
      <c r="D1786" s="7" t="s">
        <v>23</v>
      </c>
      <c r="E1786" s="7" t="s">
        <v>24</v>
      </c>
      <c r="F1786" s="7" t="s">
        <v>101</v>
      </c>
      <c r="G1786" s="7" t="s">
        <v>373</v>
      </c>
      <c r="H1786" s="7">
        <v>4</v>
      </c>
      <c r="I1786" s="2">
        <v>1001.09</v>
      </c>
      <c r="J1786" s="2">
        <f>Tabla2[[#This Row],[Quantity]]*I1786</f>
        <v>4004.36</v>
      </c>
      <c r="K1786" s="6">
        <f>MONTH(Tabla2[[#This Row],[OrderDate]])</f>
        <v>10</v>
      </c>
      <c r="L1786" s="6">
        <f>YEAR(Tabla2[[#This Row],[OrderDate]])</f>
        <v>2024</v>
      </c>
      <c r="M1786" s="7" t="s">
        <v>400</v>
      </c>
      <c r="N1786" s="7" t="s">
        <v>36</v>
      </c>
    </row>
    <row r="1787" spans="1:14" x14ac:dyDescent="0.35">
      <c r="A1787" s="7" t="s">
        <v>3091</v>
      </c>
      <c r="B1787" s="7" t="s">
        <v>914</v>
      </c>
      <c r="C1787" s="7" t="s">
        <v>915</v>
      </c>
      <c r="D1787" s="7" t="s">
        <v>32</v>
      </c>
      <c r="E1787" s="7" t="s">
        <v>33</v>
      </c>
      <c r="F1787" s="7" t="s">
        <v>42</v>
      </c>
      <c r="G1787" s="7" t="s">
        <v>43</v>
      </c>
      <c r="H1787" s="7">
        <v>4</v>
      </c>
      <c r="I1787" s="2">
        <v>388.57</v>
      </c>
      <c r="J1787" s="2">
        <f>Tabla2[[#This Row],[Quantity]]*I1787</f>
        <v>1554.28</v>
      </c>
      <c r="K1787" s="6">
        <f>MONTH(Tabla2[[#This Row],[OrderDate]])</f>
        <v>7</v>
      </c>
      <c r="L1787" s="6">
        <f>YEAR(Tabla2[[#This Row],[OrderDate]])</f>
        <v>2025</v>
      </c>
      <c r="M1787" s="7" t="s">
        <v>1207</v>
      </c>
      <c r="N1787" s="7" t="s">
        <v>28</v>
      </c>
    </row>
    <row r="1788" spans="1:14" x14ac:dyDescent="0.35">
      <c r="A1788" s="7" t="s">
        <v>3092</v>
      </c>
      <c r="B1788" s="7" t="s">
        <v>586</v>
      </c>
      <c r="C1788" s="7" t="s">
        <v>587</v>
      </c>
      <c r="D1788" s="7" t="s">
        <v>32</v>
      </c>
      <c r="E1788" s="7" t="s">
        <v>203</v>
      </c>
      <c r="F1788" s="7" t="s">
        <v>25</v>
      </c>
      <c r="G1788" s="7" t="s">
        <v>34</v>
      </c>
      <c r="H1788" s="7">
        <v>1</v>
      </c>
      <c r="I1788" s="2">
        <v>478.46</v>
      </c>
      <c r="J1788" s="2">
        <f>Tabla2[[#This Row],[Quantity]]*I1788</f>
        <v>478.46</v>
      </c>
      <c r="K1788" s="6">
        <f>MONTH(Tabla2[[#This Row],[OrderDate]])</f>
        <v>10</v>
      </c>
      <c r="L1788" s="6">
        <f>YEAR(Tabla2[[#This Row],[OrderDate]])</f>
        <v>2024</v>
      </c>
      <c r="M1788" s="7" t="s">
        <v>3067</v>
      </c>
      <c r="N1788" s="7" t="s">
        <v>45</v>
      </c>
    </row>
    <row r="1789" spans="1:14" x14ac:dyDescent="0.35">
      <c r="A1789" s="7" t="s">
        <v>3093</v>
      </c>
      <c r="B1789" s="7" t="s">
        <v>1749</v>
      </c>
      <c r="C1789" s="7" t="s">
        <v>1750</v>
      </c>
      <c r="D1789" s="7" t="s">
        <v>14</v>
      </c>
      <c r="E1789" s="7" t="s">
        <v>266</v>
      </c>
      <c r="F1789" s="7" t="s">
        <v>25</v>
      </c>
      <c r="G1789" s="7" t="s">
        <v>74</v>
      </c>
      <c r="H1789" s="7">
        <v>2</v>
      </c>
      <c r="I1789" s="2">
        <v>1008.96</v>
      </c>
      <c r="J1789" s="2">
        <f>Tabla2[[#This Row],[Quantity]]*I1789</f>
        <v>2017.92</v>
      </c>
      <c r="K1789" s="6">
        <f>MONTH(Tabla2[[#This Row],[OrderDate]])</f>
        <v>3</v>
      </c>
      <c r="L1789" s="6">
        <f>YEAR(Tabla2[[#This Row],[OrderDate]])</f>
        <v>2024</v>
      </c>
      <c r="M1789" s="7" t="s">
        <v>3094</v>
      </c>
      <c r="N1789" s="7" t="s">
        <v>91</v>
      </c>
    </row>
    <row r="1790" spans="1:14" x14ac:dyDescent="0.35">
      <c r="A1790" s="7" t="s">
        <v>3095</v>
      </c>
      <c r="B1790" s="7" t="s">
        <v>1423</v>
      </c>
      <c r="C1790" s="7" t="s">
        <v>1424</v>
      </c>
      <c r="D1790" s="7" t="s">
        <v>32</v>
      </c>
      <c r="E1790" s="7" t="s">
        <v>61</v>
      </c>
      <c r="F1790" s="7" t="s">
        <v>16</v>
      </c>
      <c r="G1790" s="7" t="s">
        <v>17</v>
      </c>
      <c r="H1790" s="7">
        <v>2</v>
      </c>
      <c r="I1790" s="2">
        <v>419.39</v>
      </c>
      <c r="J1790" s="2">
        <f>Tabla2[[#This Row],[Quantity]]*I1790</f>
        <v>838.78</v>
      </c>
      <c r="K1790" s="6">
        <f>MONTH(Tabla2[[#This Row],[OrderDate]])</f>
        <v>6</v>
      </c>
      <c r="L1790" s="6">
        <f>YEAR(Tabla2[[#This Row],[OrderDate]])</f>
        <v>2025</v>
      </c>
      <c r="M1790" s="7" t="s">
        <v>1898</v>
      </c>
      <c r="N1790" s="7" t="s">
        <v>45</v>
      </c>
    </row>
    <row r="1791" spans="1:14" x14ac:dyDescent="0.35">
      <c r="A1791" s="7" t="s">
        <v>3096</v>
      </c>
      <c r="B1791" s="7" t="s">
        <v>633</v>
      </c>
      <c r="C1791" s="7" t="s">
        <v>634</v>
      </c>
      <c r="D1791" s="7" t="s">
        <v>14</v>
      </c>
      <c r="E1791" s="7" t="s">
        <v>95</v>
      </c>
      <c r="F1791" s="7" t="s">
        <v>101</v>
      </c>
      <c r="G1791" s="7" t="s">
        <v>649</v>
      </c>
      <c r="H1791" s="7">
        <v>1</v>
      </c>
      <c r="I1791" s="2">
        <v>430.28</v>
      </c>
      <c r="J1791" s="2">
        <f>Tabla2[[#This Row],[Quantity]]*I1791</f>
        <v>430.28</v>
      </c>
      <c r="K1791" s="6">
        <f>MONTH(Tabla2[[#This Row],[OrderDate]])</f>
        <v>4</v>
      </c>
      <c r="L1791" s="6">
        <f>YEAR(Tabla2[[#This Row],[OrderDate]])</f>
        <v>2025</v>
      </c>
      <c r="M1791" s="7" t="s">
        <v>3097</v>
      </c>
      <c r="N1791" s="7" t="s">
        <v>91</v>
      </c>
    </row>
    <row r="1792" spans="1:14" x14ac:dyDescent="0.35">
      <c r="A1792" s="7" t="s">
        <v>3098</v>
      </c>
      <c r="B1792" s="7" t="s">
        <v>118</v>
      </c>
      <c r="C1792" s="7" t="s">
        <v>119</v>
      </c>
      <c r="D1792" s="7" t="s">
        <v>14</v>
      </c>
      <c r="E1792" s="7" t="s">
        <v>125</v>
      </c>
      <c r="F1792" s="7" t="s">
        <v>42</v>
      </c>
      <c r="G1792" s="7" t="s">
        <v>80</v>
      </c>
      <c r="H1792" s="7">
        <v>2</v>
      </c>
      <c r="I1792" s="2">
        <v>484.09</v>
      </c>
      <c r="J1792" s="2">
        <f>Tabla2[[#This Row],[Quantity]]*I1792</f>
        <v>968.18</v>
      </c>
      <c r="K1792" s="6">
        <f>MONTH(Tabla2[[#This Row],[OrderDate]])</f>
        <v>9</v>
      </c>
      <c r="L1792" s="6">
        <f>YEAR(Tabla2[[#This Row],[OrderDate]])</f>
        <v>2025</v>
      </c>
      <c r="M1792" s="7" t="s">
        <v>971</v>
      </c>
      <c r="N1792" s="7" t="s">
        <v>91</v>
      </c>
    </row>
    <row r="1793" spans="1:14" x14ac:dyDescent="0.35">
      <c r="A1793" s="7" t="s">
        <v>3099</v>
      </c>
      <c r="B1793" s="7" t="s">
        <v>1149</v>
      </c>
      <c r="C1793" s="7" t="s">
        <v>1150</v>
      </c>
      <c r="D1793" s="7" t="s">
        <v>40</v>
      </c>
      <c r="E1793" s="7" t="s">
        <v>41</v>
      </c>
      <c r="F1793" s="7" t="s">
        <v>25</v>
      </c>
      <c r="G1793" s="7" t="s">
        <v>26</v>
      </c>
      <c r="H1793" s="7">
        <v>4</v>
      </c>
      <c r="I1793" s="2">
        <v>1255.23</v>
      </c>
      <c r="J1793" s="2">
        <f>Tabla2[[#This Row],[Quantity]]*I1793</f>
        <v>5020.92</v>
      </c>
      <c r="K1793" s="6">
        <f>MONTH(Tabla2[[#This Row],[OrderDate]])</f>
        <v>11</v>
      </c>
      <c r="L1793" s="6">
        <f>YEAR(Tabla2[[#This Row],[OrderDate]])</f>
        <v>2024</v>
      </c>
      <c r="M1793" s="7" t="s">
        <v>2547</v>
      </c>
      <c r="N1793" s="7" t="s">
        <v>45</v>
      </c>
    </row>
    <row r="1794" spans="1:14" x14ac:dyDescent="0.35">
      <c r="A1794" s="7" t="s">
        <v>3100</v>
      </c>
      <c r="B1794" s="7" t="s">
        <v>303</v>
      </c>
      <c r="C1794" s="7" t="s">
        <v>304</v>
      </c>
      <c r="D1794" s="7" t="s">
        <v>67</v>
      </c>
      <c r="E1794" s="7" t="s">
        <v>68</v>
      </c>
      <c r="F1794" s="7" t="s">
        <v>25</v>
      </c>
      <c r="G1794" s="7" t="s">
        <v>74</v>
      </c>
      <c r="H1794" s="7">
        <v>2</v>
      </c>
      <c r="I1794" s="2">
        <v>941.74</v>
      </c>
      <c r="J1794" s="2">
        <f>Tabla2[[#This Row],[Quantity]]*I1794</f>
        <v>1883.48</v>
      </c>
      <c r="K1794" s="6">
        <f>MONTH(Tabla2[[#This Row],[OrderDate]])</f>
        <v>6</v>
      </c>
      <c r="L1794" s="6">
        <f>YEAR(Tabla2[[#This Row],[OrderDate]])</f>
        <v>2025</v>
      </c>
      <c r="M1794" s="7" t="s">
        <v>2495</v>
      </c>
      <c r="N1794" s="7" t="s">
        <v>45</v>
      </c>
    </row>
    <row r="1795" spans="1:14" x14ac:dyDescent="0.35">
      <c r="A1795" s="7" t="s">
        <v>3101</v>
      </c>
      <c r="B1795" s="7" t="s">
        <v>113</v>
      </c>
      <c r="C1795" s="7" t="s">
        <v>114</v>
      </c>
      <c r="D1795" s="7" t="s">
        <v>14</v>
      </c>
      <c r="E1795" s="7" t="s">
        <v>125</v>
      </c>
      <c r="F1795" s="7" t="s">
        <v>101</v>
      </c>
      <c r="G1795" s="7" t="s">
        <v>373</v>
      </c>
      <c r="H1795" s="7">
        <v>5</v>
      </c>
      <c r="I1795" s="2">
        <v>99.01</v>
      </c>
      <c r="J1795" s="2">
        <f>Tabla2[[#This Row],[Quantity]]*I1795</f>
        <v>495.05</v>
      </c>
      <c r="K1795" s="6">
        <f>MONTH(Tabla2[[#This Row],[OrderDate]])</f>
        <v>10</v>
      </c>
      <c r="L1795" s="6">
        <f>YEAR(Tabla2[[#This Row],[OrderDate]])</f>
        <v>2025</v>
      </c>
      <c r="M1795" s="7" t="s">
        <v>2000</v>
      </c>
      <c r="N1795" s="7" t="s">
        <v>91</v>
      </c>
    </row>
    <row r="1796" spans="1:14" x14ac:dyDescent="0.35">
      <c r="A1796" s="7" t="s">
        <v>3102</v>
      </c>
      <c r="B1796" s="7" t="s">
        <v>1346</v>
      </c>
      <c r="C1796" s="7" t="s">
        <v>1347</v>
      </c>
      <c r="D1796" s="7" t="s">
        <v>40</v>
      </c>
      <c r="E1796" s="7" t="s">
        <v>79</v>
      </c>
      <c r="F1796" s="7" t="s">
        <v>42</v>
      </c>
      <c r="G1796" s="7" t="s">
        <v>170</v>
      </c>
      <c r="H1796" s="7">
        <v>5</v>
      </c>
      <c r="I1796" s="2">
        <v>947.28</v>
      </c>
      <c r="J1796" s="2">
        <f>Tabla2[[#This Row],[Quantity]]*I1796</f>
        <v>4736.3999999999996</v>
      </c>
      <c r="K1796" s="6">
        <f>MONTH(Tabla2[[#This Row],[OrderDate]])</f>
        <v>3</v>
      </c>
      <c r="L1796" s="6">
        <f>YEAR(Tabla2[[#This Row],[OrderDate]])</f>
        <v>2025</v>
      </c>
      <c r="M1796" s="7" t="s">
        <v>1567</v>
      </c>
      <c r="N1796" s="7" t="s">
        <v>36</v>
      </c>
    </row>
    <row r="1797" spans="1:14" x14ac:dyDescent="0.35">
      <c r="A1797" s="7" t="s">
        <v>3103</v>
      </c>
      <c r="B1797" s="7" t="s">
        <v>336</v>
      </c>
      <c r="C1797" s="7" t="s">
        <v>337</v>
      </c>
      <c r="D1797" s="7" t="s">
        <v>23</v>
      </c>
      <c r="E1797" s="7" t="s">
        <v>338</v>
      </c>
      <c r="F1797" s="7" t="s">
        <v>42</v>
      </c>
      <c r="G1797" s="7" t="s">
        <v>225</v>
      </c>
      <c r="H1797" s="7">
        <v>5</v>
      </c>
      <c r="I1797" s="2">
        <v>264.16000000000003</v>
      </c>
      <c r="J1797" s="2">
        <f>Tabla2[[#This Row],[Quantity]]*I1797</f>
        <v>1320.8000000000002</v>
      </c>
      <c r="K1797" s="6">
        <f>MONTH(Tabla2[[#This Row],[OrderDate]])</f>
        <v>2</v>
      </c>
      <c r="L1797" s="6">
        <f>YEAR(Tabla2[[#This Row],[OrderDate]])</f>
        <v>2024</v>
      </c>
      <c r="M1797" s="7" t="s">
        <v>2023</v>
      </c>
      <c r="N1797" s="7" t="s">
        <v>36</v>
      </c>
    </row>
    <row r="1798" spans="1:14" x14ac:dyDescent="0.35">
      <c r="A1798" s="7" t="s">
        <v>3104</v>
      </c>
      <c r="B1798" s="7" t="s">
        <v>1532</v>
      </c>
      <c r="C1798" s="7" t="s">
        <v>1533</v>
      </c>
      <c r="D1798" s="7" t="s">
        <v>32</v>
      </c>
      <c r="E1798" s="7" t="s">
        <v>61</v>
      </c>
      <c r="F1798" s="7" t="s">
        <v>42</v>
      </c>
      <c r="G1798" s="7" t="s">
        <v>170</v>
      </c>
      <c r="H1798" s="7">
        <v>3</v>
      </c>
      <c r="I1798" s="2">
        <v>333.01</v>
      </c>
      <c r="J1798" s="2">
        <f>Tabla2[[#This Row],[Quantity]]*I1798</f>
        <v>999.03</v>
      </c>
      <c r="K1798" s="6">
        <f>MONTH(Tabla2[[#This Row],[OrderDate]])</f>
        <v>9</v>
      </c>
      <c r="L1798" s="6">
        <f>YEAR(Tabla2[[#This Row],[OrderDate]])</f>
        <v>2025</v>
      </c>
      <c r="M1798" s="7" t="s">
        <v>1787</v>
      </c>
      <c r="N1798" s="7" t="s">
        <v>91</v>
      </c>
    </row>
    <row r="1799" spans="1:14" x14ac:dyDescent="0.35">
      <c r="A1799" s="7" t="s">
        <v>3105</v>
      </c>
      <c r="B1799" s="7" t="s">
        <v>1179</v>
      </c>
      <c r="C1799" s="7" t="s">
        <v>1180</v>
      </c>
      <c r="D1799" s="7" t="s">
        <v>14</v>
      </c>
      <c r="E1799" s="7" t="s">
        <v>95</v>
      </c>
      <c r="F1799" s="7" t="s">
        <v>101</v>
      </c>
      <c r="G1799" s="7" t="s">
        <v>102</v>
      </c>
      <c r="H1799" s="7">
        <v>3</v>
      </c>
      <c r="I1799" s="2">
        <v>1127.44</v>
      </c>
      <c r="J1799" s="2">
        <f>Tabla2[[#This Row],[Quantity]]*I1799</f>
        <v>3382.32</v>
      </c>
      <c r="K1799" s="6">
        <f>MONTH(Tabla2[[#This Row],[OrderDate]])</f>
        <v>3</v>
      </c>
      <c r="L1799" s="6">
        <f>YEAR(Tabla2[[#This Row],[OrderDate]])</f>
        <v>2026</v>
      </c>
      <c r="M1799" s="7" t="s">
        <v>749</v>
      </c>
      <c r="N1799" s="7" t="s">
        <v>36</v>
      </c>
    </row>
    <row r="1800" spans="1:14" x14ac:dyDescent="0.35">
      <c r="A1800" s="7" t="s">
        <v>3106</v>
      </c>
      <c r="B1800" s="7" t="s">
        <v>1743</v>
      </c>
      <c r="C1800" s="7" t="s">
        <v>1744</v>
      </c>
      <c r="D1800" s="7" t="s">
        <v>14</v>
      </c>
      <c r="E1800" s="7" t="s">
        <v>100</v>
      </c>
      <c r="F1800" s="7" t="s">
        <v>50</v>
      </c>
      <c r="G1800" s="7" t="s">
        <v>56</v>
      </c>
      <c r="H1800" s="7">
        <v>4</v>
      </c>
      <c r="I1800" s="2">
        <v>745.96</v>
      </c>
      <c r="J1800" s="2">
        <f>Tabla2[[#This Row],[Quantity]]*I1800</f>
        <v>2983.84</v>
      </c>
      <c r="K1800" s="6">
        <f>MONTH(Tabla2[[#This Row],[OrderDate]])</f>
        <v>2</v>
      </c>
      <c r="L1800" s="6">
        <f>YEAR(Tabla2[[#This Row],[OrderDate]])</f>
        <v>2025</v>
      </c>
      <c r="M1800" s="7" t="s">
        <v>777</v>
      </c>
      <c r="N1800" s="7" t="s">
        <v>45</v>
      </c>
    </row>
    <row r="1801" spans="1:14" x14ac:dyDescent="0.35">
      <c r="A1801" s="7" t="s">
        <v>3107</v>
      </c>
      <c r="B1801" s="7" t="s">
        <v>1285</v>
      </c>
      <c r="C1801" s="7" t="s">
        <v>1286</v>
      </c>
      <c r="D1801" s="7" t="s">
        <v>40</v>
      </c>
      <c r="E1801" s="7" t="s">
        <v>41</v>
      </c>
      <c r="F1801" s="7" t="s">
        <v>50</v>
      </c>
      <c r="G1801" s="7" t="s">
        <v>69</v>
      </c>
      <c r="H1801" s="7">
        <v>5</v>
      </c>
      <c r="I1801" s="2">
        <v>1041.31</v>
      </c>
      <c r="J1801" s="2">
        <f>Tabla2[[#This Row],[Quantity]]*I1801</f>
        <v>5206.5499999999993</v>
      </c>
      <c r="K1801" s="6">
        <f>MONTH(Tabla2[[#This Row],[OrderDate]])</f>
        <v>10</v>
      </c>
      <c r="L1801" s="6">
        <f>YEAR(Tabla2[[#This Row],[OrderDate]])</f>
        <v>2025</v>
      </c>
      <c r="M1801" s="7" t="s">
        <v>1098</v>
      </c>
      <c r="N1801" s="7" t="s">
        <v>36</v>
      </c>
    </row>
    <row r="1802" spans="1:14" x14ac:dyDescent="0.35">
      <c r="A1802" s="7" t="s">
        <v>3108</v>
      </c>
      <c r="B1802" s="7" t="s">
        <v>723</v>
      </c>
      <c r="C1802" s="7" t="s">
        <v>724</v>
      </c>
      <c r="D1802" s="7" t="s">
        <v>67</v>
      </c>
      <c r="E1802" s="7" t="s">
        <v>115</v>
      </c>
      <c r="F1802" s="7" t="s">
        <v>25</v>
      </c>
      <c r="G1802" s="7" t="s">
        <v>74</v>
      </c>
      <c r="H1802" s="7">
        <v>5</v>
      </c>
      <c r="I1802" s="2">
        <v>1024.24</v>
      </c>
      <c r="J1802" s="2">
        <f>Tabla2[[#This Row],[Quantity]]*I1802</f>
        <v>5121.2</v>
      </c>
      <c r="K1802" s="6">
        <f>MONTH(Tabla2[[#This Row],[OrderDate]])</f>
        <v>9</v>
      </c>
      <c r="L1802" s="6">
        <f>YEAR(Tabla2[[#This Row],[OrderDate]])</f>
        <v>2025</v>
      </c>
      <c r="M1802" s="7" t="s">
        <v>3109</v>
      </c>
      <c r="N1802" s="7" t="s">
        <v>45</v>
      </c>
    </row>
    <row r="1803" spans="1:14" x14ac:dyDescent="0.35">
      <c r="A1803" s="7" t="s">
        <v>3110</v>
      </c>
      <c r="B1803" s="7" t="s">
        <v>299</v>
      </c>
      <c r="C1803" s="7" t="s">
        <v>300</v>
      </c>
      <c r="D1803" s="7" t="s">
        <v>14</v>
      </c>
      <c r="E1803" s="7" t="s">
        <v>125</v>
      </c>
      <c r="F1803" s="7" t="s">
        <v>42</v>
      </c>
      <c r="G1803" s="7" t="s">
        <v>170</v>
      </c>
      <c r="H1803" s="7">
        <v>3</v>
      </c>
      <c r="I1803" s="2">
        <v>556.75</v>
      </c>
      <c r="J1803" s="2">
        <f>Tabla2[[#This Row],[Quantity]]*I1803</f>
        <v>1670.25</v>
      </c>
      <c r="K1803" s="6">
        <f>MONTH(Tabla2[[#This Row],[OrderDate]])</f>
        <v>2</v>
      </c>
      <c r="L1803" s="6">
        <f>YEAR(Tabla2[[#This Row],[OrderDate]])</f>
        <v>2025</v>
      </c>
      <c r="M1803" s="7" t="s">
        <v>116</v>
      </c>
      <c r="N1803" s="7" t="s">
        <v>19</v>
      </c>
    </row>
    <row r="1804" spans="1:14" x14ac:dyDescent="0.35">
      <c r="A1804" s="7" t="s">
        <v>3111</v>
      </c>
      <c r="B1804" s="7" t="s">
        <v>210</v>
      </c>
      <c r="C1804" s="7" t="s">
        <v>211</v>
      </c>
      <c r="D1804" s="7" t="s">
        <v>23</v>
      </c>
      <c r="E1804" s="7" t="s">
        <v>49</v>
      </c>
      <c r="F1804" s="7" t="s">
        <v>42</v>
      </c>
      <c r="G1804" s="7" t="s">
        <v>89</v>
      </c>
      <c r="H1804" s="7">
        <v>4</v>
      </c>
      <c r="I1804" s="2">
        <v>424.95</v>
      </c>
      <c r="J1804" s="2">
        <f>Tabla2[[#This Row],[Quantity]]*I1804</f>
        <v>1699.8</v>
      </c>
      <c r="K1804" s="6">
        <f>MONTH(Tabla2[[#This Row],[OrderDate]])</f>
        <v>1</v>
      </c>
      <c r="L1804" s="6">
        <f>YEAR(Tabla2[[#This Row],[OrderDate]])</f>
        <v>2024</v>
      </c>
      <c r="M1804" s="7" t="s">
        <v>1886</v>
      </c>
      <c r="N1804" s="7" t="s">
        <v>36</v>
      </c>
    </row>
    <row r="1805" spans="1:14" x14ac:dyDescent="0.35">
      <c r="A1805" s="7" t="s">
        <v>3112</v>
      </c>
      <c r="B1805" s="7" t="s">
        <v>325</v>
      </c>
      <c r="C1805" s="7" t="s">
        <v>326</v>
      </c>
      <c r="D1805" s="7" t="s">
        <v>23</v>
      </c>
      <c r="E1805" s="7" t="s">
        <v>24</v>
      </c>
      <c r="F1805" s="7" t="s">
        <v>42</v>
      </c>
      <c r="G1805" s="7" t="s">
        <v>170</v>
      </c>
      <c r="H1805" s="7">
        <v>2</v>
      </c>
      <c r="I1805" s="2">
        <v>1446.51</v>
      </c>
      <c r="J1805" s="2">
        <f>Tabla2[[#This Row],[Quantity]]*I1805</f>
        <v>2893.02</v>
      </c>
      <c r="K1805" s="6">
        <f>MONTH(Tabla2[[#This Row],[OrderDate]])</f>
        <v>3</v>
      </c>
      <c r="L1805" s="6">
        <f>YEAR(Tabla2[[#This Row],[OrderDate]])</f>
        <v>2026</v>
      </c>
      <c r="M1805" s="7" t="s">
        <v>637</v>
      </c>
      <c r="N1805" s="7" t="s">
        <v>36</v>
      </c>
    </row>
    <row r="1806" spans="1:14" x14ac:dyDescent="0.35">
      <c r="A1806" s="7" t="s">
        <v>3113</v>
      </c>
      <c r="B1806" s="7" t="s">
        <v>860</v>
      </c>
      <c r="C1806" s="7" t="s">
        <v>861</v>
      </c>
      <c r="D1806" s="7" t="s">
        <v>67</v>
      </c>
      <c r="E1806" s="7" t="s">
        <v>68</v>
      </c>
      <c r="F1806" s="7" t="s">
        <v>50</v>
      </c>
      <c r="G1806" s="7" t="s">
        <v>69</v>
      </c>
      <c r="H1806" s="7">
        <v>3</v>
      </c>
      <c r="I1806" s="2">
        <v>880.99</v>
      </c>
      <c r="J1806" s="2">
        <f>Tabla2[[#This Row],[Quantity]]*I1806</f>
        <v>2642.9700000000003</v>
      </c>
      <c r="K1806" s="6">
        <f>MONTH(Tabla2[[#This Row],[OrderDate]])</f>
        <v>5</v>
      </c>
      <c r="L1806" s="6">
        <f>YEAR(Tabla2[[#This Row],[OrderDate]])</f>
        <v>2024</v>
      </c>
      <c r="M1806" s="7" t="s">
        <v>96</v>
      </c>
      <c r="N1806" s="7" t="s">
        <v>19</v>
      </c>
    </row>
    <row r="1807" spans="1:14" x14ac:dyDescent="0.35">
      <c r="A1807" s="7" t="s">
        <v>3114</v>
      </c>
      <c r="B1807" s="7" t="s">
        <v>197</v>
      </c>
      <c r="C1807" s="7" t="s">
        <v>198</v>
      </c>
      <c r="D1807" s="7" t="s">
        <v>23</v>
      </c>
      <c r="E1807" s="7" t="s">
        <v>49</v>
      </c>
      <c r="F1807" s="7" t="s">
        <v>25</v>
      </c>
      <c r="G1807" s="7" t="s">
        <v>62</v>
      </c>
      <c r="H1807" s="7">
        <v>2</v>
      </c>
      <c r="I1807" s="2">
        <v>287.45999999999998</v>
      </c>
      <c r="J1807" s="2">
        <f>Tabla2[[#This Row],[Quantity]]*I1807</f>
        <v>574.91999999999996</v>
      </c>
      <c r="K1807" s="6">
        <f>MONTH(Tabla2[[#This Row],[OrderDate]])</f>
        <v>5</v>
      </c>
      <c r="L1807" s="6">
        <f>YEAR(Tabla2[[#This Row],[OrderDate]])</f>
        <v>2024</v>
      </c>
      <c r="M1807" s="7" t="s">
        <v>844</v>
      </c>
      <c r="N1807" s="7" t="s">
        <v>19</v>
      </c>
    </row>
    <row r="1808" spans="1:14" x14ac:dyDescent="0.35">
      <c r="A1808" s="7" t="s">
        <v>3115</v>
      </c>
      <c r="B1808" s="7" t="s">
        <v>2719</v>
      </c>
      <c r="C1808" s="7" t="s">
        <v>2720</v>
      </c>
      <c r="D1808" s="7" t="s">
        <v>67</v>
      </c>
      <c r="E1808" s="7" t="s">
        <v>130</v>
      </c>
      <c r="F1808" s="7" t="s">
        <v>101</v>
      </c>
      <c r="G1808" s="7" t="s">
        <v>373</v>
      </c>
      <c r="H1808" s="7">
        <v>5</v>
      </c>
      <c r="I1808" s="2">
        <v>1212.6500000000001</v>
      </c>
      <c r="J1808" s="2">
        <f>Tabla2[[#This Row],[Quantity]]*I1808</f>
        <v>6063.25</v>
      </c>
      <c r="K1808" s="6">
        <f>MONTH(Tabla2[[#This Row],[OrderDate]])</f>
        <v>1</v>
      </c>
      <c r="L1808" s="6">
        <f>YEAR(Tabla2[[#This Row],[OrderDate]])</f>
        <v>2025</v>
      </c>
      <c r="M1808" s="7" t="s">
        <v>1949</v>
      </c>
      <c r="N1808" s="7" t="s">
        <v>91</v>
      </c>
    </row>
    <row r="1809" spans="1:14" x14ac:dyDescent="0.35">
      <c r="A1809" s="7" t="s">
        <v>3116</v>
      </c>
      <c r="B1809" s="7" t="s">
        <v>1159</v>
      </c>
      <c r="C1809" s="7" t="s">
        <v>1160</v>
      </c>
      <c r="D1809" s="7" t="s">
        <v>67</v>
      </c>
      <c r="E1809" s="7" t="s">
        <v>68</v>
      </c>
      <c r="F1809" s="7" t="s">
        <v>16</v>
      </c>
      <c r="G1809" s="7" t="s">
        <v>182</v>
      </c>
      <c r="H1809" s="7">
        <v>4</v>
      </c>
      <c r="I1809" s="2">
        <v>1409.73</v>
      </c>
      <c r="J1809" s="2">
        <f>Tabla2[[#This Row],[Quantity]]*I1809</f>
        <v>5638.92</v>
      </c>
      <c r="K1809" s="6">
        <f>MONTH(Tabla2[[#This Row],[OrderDate]])</f>
        <v>9</v>
      </c>
      <c r="L1809" s="6">
        <f>YEAR(Tabla2[[#This Row],[OrderDate]])</f>
        <v>2024</v>
      </c>
      <c r="M1809" s="7" t="s">
        <v>2965</v>
      </c>
      <c r="N1809" s="7" t="s">
        <v>36</v>
      </c>
    </row>
    <row r="1810" spans="1:14" x14ac:dyDescent="0.35">
      <c r="A1810" s="7" t="s">
        <v>3117</v>
      </c>
      <c r="B1810" s="7" t="s">
        <v>1092</v>
      </c>
      <c r="C1810" s="7" t="s">
        <v>1093</v>
      </c>
      <c r="D1810" s="7" t="s">
        <v>32</v>
      </c>
      <c r="E1810" s="7" t="s">
        <v>203</v>
      </c>
      <c r="F1810" s="7" t="s">
        <v>16</v>
      </c>
      <c r="G1810" s="7" t="s">
        <v>182</v>
      </c>
      <c r="H1810" s="7">
        <v>1</v>
      </c>
      <c r="I1810" s="2">
        <v>1258.17</v>
      </c>
      <c r="J1810" s="2">
        <f>Tabla2[[#This Row],[Quantity]]*I1810</f>
        <v>1258.17</v>
      </c>
      <c r="K1810" s="6">
        <f>MONTH(Tabla2[[#This Row],[OrderDate]])</f>
        <v>7</v>
      </c>
      <c r="L1810" s="6">
        <f>YEAR(Tabla2[[#This Row],[OrderDate]])</f>
        <v>2024</v>
      </c>
      <c r="M1810" s="7" t="s">
        <v>534</v>
      </c>
      <c r="N1810" s="7" t="s">
        <v>91</v>
      </c>
    </row>
    <row r="1811" spans="1:14" x14ac:dyDescent="0.35">
      <c r="A1811" s="7" t="s">
        <v>3118</v>
      </c>
      <c r="B1811" s="7" t="s">
        <v>219</v>
      </c>
      <c r="C1811" s="7" t="s">
        <v>220</v>
      </c>
      <c r="D1811" s="7" t="s">
        <v>67</v>
      </c>
      <c r="E1811" s="7" t="s">
        <v>130</v>
      </c>
      <c r="F1811" s="7" t="s">
        <v>42</v>
      </c>
      <c r="G1811" s="7" t="s">
        <v>89</v>
      </c>
      <c r="H1811" s="7">
        <v>3</v>
      </c>
      <c r="I1811" s="2">
        <v>654.02</v>
      </c>
      <c r="J1811" s="2">
        <f>Tabla2[[#This Row],[Quantity]]*I1811</f>
        <v>1962.06</v>
      </c>
      <c r="K1811" s="6">
        <f>MONTH(Tabla2[[#This Row],[OrderDate]])</f>
        <v>12</v>
      </c>
      <c r="L1811" s="6">
        <f>YEAR(Tabla2[[#This Row],[OrderDate]])</f>
        <v>2025</v>
      </c>
      <c r="M1811" s="7" t="s">
        <v>131</v>
      </c>
      <c r="N1811" s="7" t="s">
        <v>28</v>
      </c>
    </row>
    <row r="1812" spans="1:14" x14ac:dyDescent="0.35">
      <c r="A1812" s="7" t="s">
        <v>3119</v>
      </c>
      <c r="B1812" s="7" t="s">
        <v>118</v>
      </c>
      <c r="C1812" s="7" t="s">
        <v>119</v>
      </c>
      <c r="D1812" s="7" t="s">
        <v>23</v>
      </c>
      <c r="E1812" s="7" t="s">
        <v>338</v>
      </c>
      <c r="F1812" s="7" t="s">
        <v>42</v>
      </c>
      <c r="G1812" s="7" t="s">
        <v>225</v>
      </c>
      <c r="H1812" s="7">
        <v>5</v>
      </c>
      <c r="I1812" s="2">
        <v>954.89</v>
      </c>
      <c r="J1812" s="2">
        <f>Tabla2[[#This Row],[Quantity]]*I1812</f>
        <v>4774.45</v>
      </c>
      <c r="K1812" s="6">
        <f>MONTH(Tabla2[[#This Row],[OrderDate]])</f>
        <v>7</v>
      </c>
      <c r="L1812" s="6">
        <f>YEAR(Tabla2[[#This Row],[OrderDate]])</f>
        <v>2024</v>
      </c>
      <c r="M1812" s="7" t="s">
        <v>1165</v>
      </c>
      <c r="N1812" s="7" t="s">
        <v>19</v>
      </c>
    </row>
    <row r="1813" spans="1:14" x14ac:dyDescent="0.35">
      <c r="A1813" s="7" t="s">
        <v>3120</v>
      </c>
      <c r="B1813" s="7" t="s">
        <v>853</v>
      </c>
      <c r="C1813" s="7" t="s">
        <v>854</v>
      </c>
      <c r="D1813" s="7" t="s">
        <v>67</v>
      </c>
      <c r="E1813" s="7" t="s">
        <v>68</v>
      </c>
      <c r="F1813" s="7" t="s">
        <v>42</v>
      </c>
      <c r="G1813" s="7" t="s">
        <v>43</v>
      </c>
      <c r="H1813" s="7">
        <v>1</v>
      </c>
      <c r="I1813" s="2">
        <v>546.22</v>
      </c>
      <c r="J1813" s="2">
        <f>Tabla2[[#This Row],[Quantity]]*I1813</f>
        <v>546.22</v>
      </c>
      <c r="K1813" s="6">
        <f>MONTH(Tabla2[[#This Row],[OrderDate]])</f>
        <v>4</v>
      </c>
      <c r="L1813" s="6">
        <f>YEAR(Tabla2[[#This Row],[OrderDate]])</f>
        <v>2025</v>
      </c>
      <c r="M1813" s="7" t="s">
        <v>2198</v>
      </c>
      <c r="N1813" s="7" t="s">
        <v>28</v>
      </c>
    </row>
    <row r="1814" spans="1:14" x14ac:dyDescent="0.35">
      <c r="A1814" s="7" t="s">
        <v>3121</v>
      </c>
      <c r="B1814" s="7" t="s">
        <v>260</v>
      </c>
      <c r="C1814" s="7" t="s">
        <v>261</v>
      </c>
      <c r="D1814" s="7" t="s">
        <v>32</v>
      </c>
      <c r="E1814" s="7" t="s">
        <v>61</v>
      </c>
      <c r="F1814" s="7" t="s">
        <v>42</v>
      </c>
      <c r="G1814" s="7" t="s">
        <v>43</v>
      </c>
      <c r="H1814" s="7">
        <v>5</v>
      </c>
      <c r="I1814" s="2">
        <v>521.46</v>
      </c>
      <c r="J1814" s="2">
        <f>Tabla2[[#This Row],[Quantity]]*I1814</f>
        <v>2607.3000000000002</v>
      </c>
      <c r="K1814" s="6">
        <f>MONTH(Tabla2[[#This Row],[OrderDate]])</f>
        <v>4</v>
      </c>
      <c r="L1814" s="6">
        <f>YEAR(Tabla2[[#This Row],[OrderDate]])</f>
        <v>2024</v>
      </c>
      <c r="M1814" s="7" t="s">
        <v>2060</v>
      </c>
      <c r="N1814" s="7" t="s">
        <v>28</v>
      </c>
    </row>
    <row r="1815" spans="1:14" x14ac:dyDescent="0.35">
      <c r="A1815" s="7" t="s">
        <v>3122</v>
      </c>
      <c r="B1815" s="7" t="s">
        <v>173</v>
      </c>
      <c r="C1815" s="7" t="s">
        <v>174</v>
      </c>
      <c r="D1815" s="7" t="s">
        <v>14</v>
      </c>
      <c r="E1815" s="7" t="s">
        <v>95</v>
      </c>
      <c r="F1815" s="7" t="s">
        <v>50</v>
      </c>
      <c r="G1815" s="7" t="s">
        <v>216</v>
      </c>
      <c r="H1815" s="7">
        <v>5</v>
      </c>
      <c r="I1815" s="2">
        <v>35.71</v>
      </c>
      <c r="J1815" s="2">
        <f>Tabla2[[#This Row],[Quantity]]*I1815</f>
        <v>178.55</v>
      </c>
      <c r="K1815" s="6">
        <f>MONTH(Tabla2[[#This Row],[OrderDate]])</f>
        <v>8</v>
      </c>
      <c r="L1815" s="6">
        <f>YEAR(Tabla2[[#This Row],[OrderDate]])</f>
        <v>2025</v>
      </c>
      <c r="M1815" s="7" t="s">
        <v>1350</v>
      </c>
      <c r="N1815" s="7" t="s">
        <v>36</v>
      </c>
    </row>
    <row r="1816" spans="1:14" x14ac:dyDescent="0.35">
      <c r="A1816" s="7" t="s">
        <v>3123</v>
      </c>
      <c r="B1816" s="7" t="s">
        <v>605</v>
      </c>
      <c r="C1816" s="7" t="s">
        <v>606</v>
      </c>
      <c r="D1816" s="7" t="s">
        <v>32</v>
      </c>
      <c r="E1816" s="7" t="s">
        <v>203</v>
      </c>
      <c r="F1816" s="7" t="s">
        <v>101</v>
      </c>
      <c r="G1816" s="7" t="s">
        <v>373</v>
      </c>
      <c r="H1816" s="7">
        <v>1</v>
      </c>
      <c r="I1816" s="2">
        <v>1227.04</v>
      </c>
      <c r="J1816" s="2">
        <f>Tabla2[[#This Row],[Quantity]]*I1816</f>
        <v>1227.04</v>
      </c>
      <c r="K1816" s="6">
        <f>MONTH(Tabla2[[#This Row],[OrderDate]])</f>
        <v>3</v>
      </c>
      <c r="L1816" s="6">
        <f>YEAR(Tabla2[[#This Row],[OrderDate]])</f>
        <v>2025</v>
      </c>
      <c r="M1816" s="7" t="s">
        <v>394</v>
      </c>
      <c r="N1816" s="7" t="s">
        <v>91</v>
      </c>
    </row>
    <row r="1817" spans="1:14" x14ac:dyDescent="0.35">
      <c r="A1817" s="7" t="s">
        <v>3124</v>
      </c>
      <c r="B1817" s="7" t="s">
        <v>460</v>
      </c>
      <c r="C1817" s="7" t="s">
        <v>461</v>
      </c>
      <c r="D1817" s="7" t="s">
        <v>23</v>
      </c>
      <c r="E1817" s="7" t="s">
        <v>24</v>
      </c>
      <c r="F1817" s="7" t="s">
        <v>101</v>
      </c>
      <c r="G1817" s="7" t="s">
        <v>165</v>
      </c>
      <c r="H1817" s="7">
        <v>4</v>
      </c>
      <c r="I1817" s="2">
        <v>1362.96</v>
      </c>
      <c r="J1817" s="2">
        <f>Tabla2[[#This Row],[Quantity]]*I1817</f>
        <v>5451.84</v>
      </c>
      <c r="K1817" s="6">
        <f>MONTH(Tabla2[[#This Row],[OrderDate]])</f>
        <v>4</v>
      </c>
      <c r="L1817" s="6">
        <f>YEAR(Tabla2[[#This Row],[OrderDate]])</f>
        <v>2024</v>
      </c>
      <c r="M1817" s="7" t="s">
        <v>1421</v>
      </c>
      <c r="N1817" s="7" t="s">
        <v>28</v>
      </c>
    </row>
    <row r="1818" spans="1:14" x14ac:dyDescent="0.35">
      <c r="A1818" s="7" t="s">
        <v>3125</v>
      </c>
      <c r="B1818" s="7" t="s">
        <v>579</v>
      </c>
      <c r="C1818" s="7" t="s">
        <v>580</v>
      </c>
      <c r="D1818" s="7" t="s">
        <v>67</v>
      </c>
      <c r="E1818" s="7" t="s">
        <v>130</v>
      </c>
      <c r="F1818" s="7" t="s">
        <v>25</v>
      </c>
      <c r="G1818" s="7" t="s">
        <v>139</v>
      </c>
      <c r="H1818" s="7">
        <v>1</v>
      </c>
      <c r="I1818" s="2">
        <v>1038.44</v>
      </c>
      <c r="J1818" s="2">
        <f>Tabla2[[#This Row],[Quantity]]*I1818</f>
        <v>1038.44</v>
      </c>
      <c r="K1818" s="6">
        <f>MONTH(Tabla2[[#This Row],[OrderDate]])</f>
        <v>4</v>
      </c>
      <c r="L1818" s="6">
        <f>YEAR(Tabla2[[#This Row],[OrderDate]])</f>
        <v>2024</v>
      </c>
      <c r="M1818" s="7" t="s">
        <v>226</v>
      </c>
      <c r="N1818" s="7" t="s">
        <v>28</v>
      </c>
    </row>
    <row r="1819" spans="1:14" x14ac:dyDescent="0.35">
      <c r="A1819" s="7" t="s">
        <v>3126</v>
      </c>
      <c r="B1819" s="7" t="s">
        <v>947</v>
      </c>
      <c r="C1819" s="7" t="s">
        <v>948</v>
      </c>
      <c r="D1819" s="7" t="s">
        <v>67</v>
      </c>
      <c r="E1819" s="7" t="s">
        <v>68</v>
      </c>
      <c r="F1819" s="7" t="s">
        <v>42</v>
      </c>
      <c r="G1819" s="7" t="s">
        <v>43</v>
      </c>
      <c r="H1819" s="7">
        <v>4</v>
      </c>
      <c r="I1819" s="2">
        <v>1362.42</v>
      </c>
      <c r="J1819" s="2">
        <f>Tabla2[[#This Row],[Quantity]]*I1819</f>
        <v>5449.68</v>
      </c>
      <c r="K1819" s="6">
        <f>MONTH(Tabla2[[#This Row],[OrderDate]])</f>
        <v>4</v>
      </c>
      <c r="L1819" s="6">
        <f>YEAR(Tabla2[[#This Row],[OrderDate]])</f>
        <v>2024</v>
      </c>
      <c r="M1819" s="7" t="s">
        <v>2108</v>
      </c>
      <c r="N1819" s="7" t="s">
        <v>28</v>
      </c>
    </row>
    <row r="1820" spans="1:14" x14ac:dyDescent="0.35">
      <c r="A1820" s="7" t="s">
        <v>3127</v>
      </c>
      <c r="B1820" s="7" t="s">
        <v>711</v>
      </c>
      <c r="C1820" s="7" t="s">
        <v>712</v>
      </c>
      <c r="D1820" s="7" t="s">
        <v>23</v>
      </c>
      <c r="E1820" s="7" t="s">
        <v>24</v>
      </c>
      <c r="F1820" s="7" t="s">
        <v>101</v>
      </c>
      <c r="G1820" s="7" t="s">
        <v>165</v>
      </c>
      <c r="H1820" s="7">
        <v>5</v>
      </c>
      <c r="I1820" s="2">
        <v>1204.3399999999999</v>
      </c>
      <c r="J1820" s="2">
        <f>Tabla2[[#This Row],[Quantity]]*I1820</f>
        <v>6021.7</v>
      </c>
      <c r="K1820" s="6">
        <f>MONTH(Tabla2[[#This Row],[OrderDate]])</f>
        <v>7</v>
      </c>
      <c r="L1820" s="6">
        <f>YEAR(Tabla2[[#This Row],[OrderDate]])</f>
        <v>2025</v>
      </c>
      <c r="M1820" s="7" t="s">
        <v>2680</v>
      </c>
      <c r="N1820" s="7" t="s">
        <v>45</v>
      </c>
    </row>
    <row r="1821" spans="1:14" x14ac:dyDescent="0.35">
      <c r="A1821" s="7" t="s">
        <v>3128</v>
      </c>
      <c r="B1821" s="7" t="s">
        <v>1203</v>
      </c>
      <c r="C1821" s="7" t="s">
        <v>1204</v>
      </c>
      <c r="D1821" s="7" t="s">
        <v>32</v>
      </c>
      <c r="E1821" s="7" t="s">
        <v>203</v>
      </c>
      <c r="F1821" s="7" t="s">
        <v>50</v>
      </c>
      <c r="G1821" s="7" t="s">
        <v>69</v>
      </c>
      <c r="H1821" s="7">
        <v>1</v>
      </c>
      <c r="I1821" s="2">
        <v>297.07</v>
      </c>
      <c r="J1821" s="2">
        <f>Tabla2[[#This Row],[Quantity]]*I1821</f>
        <v>297.07</v>
      </c>
      <c r="K1821" s="6">
        <f>MONTH(Tabla2[[#This Row],[OrderDate]])</f>
        <v>12</v>
      </c>
      <c r="L1821" s="6">
        <f>YEAR(Tabla2[[#This Row],[OrderDate]])</f>
        <v>2024</v>
      </c>
      <c r="M1821" s="7" t="s">
        <v>3129</v>
      </c>
      <c r="N1821" s="7" t="s">
        <v>36</v>
      </c>
    </row>
    <row r="1822" spans="1:14" x14ac:dyDescent="0.35">
      <c r="A1822" s="7" t="s">
        <v>3130</v>
      </c>
      <c r="B1822" s="7" t="s">
        <v>123</v>
      </c>
      <c r="C1822" s="7" t="s">
        <v>124</v>
      </c>
      <c r="D1822" s="7" t="s">
        <v>40</v>
      </c>
      <c r="E1822" s="7" t="s">
        <v>41</v>
      </c>
      <c r="F1822" s="7" t="s">
        <v>101</v>
      </c>
      <c r="G1822" s="7" t="s">
        <v>649</v>
      </c>
      <c r="H1822" s="7">
        <v>1</v>
      </c>
      <c r="I1822" s="2">
        <v>667.6</v>
      </c>
      <c r="J1822" s="2">
        <f>Tabla2[[#This Row],[Quantity]]*I1822</f>
        <v>667.6</v>
      </c>
      <c r="K1822" s="6">
        <f>MONTH(Tabla2[[#This Row],[OrderDate]])</f>
        <v>9</v>
      </c>
      <c r="L1822" s="6">
        <f>YEAR(Tabla2[[#This Row],[OrderDate]])</f>
        <v>2024</v>
      </c>
      <c r="M1822" s="7" t="s">
        <v>635</v>
      </c>
      <c r="N1822" s="7" t="s">
        <v>91</v>
      </c>
    </row>
    <row r="1823" spans="1:14" x14ac:dyDescent="0.35">
      <c r="A1823" s="7" t="s">
        <v>3131</v>
      </c>
      <c r="B1823" s="7" t="s">
        <v>2157</v>
      </c>
      <c r="C1823" s="7" t="s">
        <v>2158</v>
      </c>
      <c r="D1823" s="7" t="s">
        <v>23</v>
      </c>
      <c r="E1823" s="7" t="s">
        <v>49</v>
      </c>
      <c r="F1823" s="7" t="s">
        <v>50</v>
      </c>
      <c r="G1823" s="7" t="s">
        <v>51</v>
      </c>
      <c r="H1823" s="7">
        <v>2</v>
      </c>
      <c r="I1823" s="2">
        <v>764.34</v>
      </c>
      <c r="J1823" s="2">
        <f>Tabla2[[#This Row],[Quantity]]*I1823</f>
        <v>1528.68</v>
      </c>
      <c r="K1823" s="6">
        <f>MONTH(Tabla2[[#This Row],[OrderDate]])</f>
        <v>5</v>
      </c>
      <c r="L1823" s="6">
        <f>YEAR(Tabla2[[#This Row],[OrderDate]])</f>
        <v>2024</v>
      </c>
      <c r="M1823" s="7" t="s">
        <v>592</v>
      </c>
      <c r="N1823" s="7" t="s">
        <v>36</v>
      </c>
    </row>
    <row r="1824" spans="1:14" x14ac:dyDescent="0.35">
      <c r="A1824" s="7" t="s">
        <v>3132</v>
      </c>
      <c r="B1824" s="7" t="s">
        <v>1346</v>
      </c>
      <c r="C1824" s="7" t="s">
        <v>1347</v>
      </c>
      <c r="D1824" s="7" t="s">
        <v>67</v>
      </c>
      <c r="E1824" s="7" t="s">
        <v>68</v>
      </c>
      <c r="F1824" s="7" t="s">
        <v>42</v>
      </c>
      <c r="G1824" s="7" t="s">
        <v>80</v>
      </c>
      <c r="H1824" s="7">
        <v>3</v>
      </c>
      <c r="I1824" s="2">
        <v>1265.83</v>
      </c>
      <c r="J1824" s="2">
        <f>Tabla2[[#This Row],[Quantity]]*I1824</f>
        <v>3797.49</v>
      </c>
      <c r="K1824" s="6">
        <f>MONTH(Tabla2[[#This Row],[OrderDate]])</f>
        <v>1</v>
      </c>
      <c r="L1824" s="6">
        <f>YEAR(Tabla2[[#This Row],[OrderDate]])</f>
        <v>2026</v>
      </c>
      <c r="M1824" s="7" t="s">
        <v>620</v>
      </c>
      <c r="N1824" s="7" t="s">
        <v>28</v>
      </c>
    </row>
    <row r="1825" spans="1:14" x14ac:dyDescent="0.35">
      <c r="A1825" s="7" t="s">
        <v>3133</v>
      </c>
      <c r="B1825" s="7" t="s">
        <v>345</v>
      </c>
      <c r="C1825" s="7" t="s">
        <v>346</v>
      </c>
      <c r="D1825" s="7" t="s">
        <v>23</v>
      </c>
      <c r="E1825" s="7" t="s">
        <v>24</v>
      </c>
      <c r="F1825" s="7" t="s">
        <v>42</v>
      </c>
      <c r="G1825" s="7" t="s">
        <v>89</v>
      </c>
      <c r="H1825" s="7">
        <v>2</v>
      </c>
      <c r="I1825" s="2">
        <v>1336.78</v>
      </c>
      <c r="J1825" s="2">
        <f>Tabla2[[#This Row],[Quantity]]*I1825</f>
        <v>2673.56</v>
      </c>
      <c r="K1825" s="6">
        <f>MONTH(Tabla2[[#This Row],[OrderDate]])</f>
        <v>5</v>
      </c>
      <c r="L1825" s="6">
        <f>YEAR(Tabla2[[#This Row],[OrderDate]])</f>
        <v>2024</v>
      </c>
      <c r="M1825" s="7" t="s">
        <v>844</v>
      </c>
      <c r="N1825" s="7" t="s">
        <v>19</v>
      </c>
    </row>
    <row r="1826" spans="1:14" x14ac:dyDescent="0.35">
      <c r="A1826" s="7" t="s">
        <v>3134</v>
      </c>
      <c r="B1826" s="7" t="s">
        <v>558</v>
      </c>
      <c r="C1826" s="7" t="s">
        <v>559</v>
      </c>
      <c r="D1826" s="7" t="s">
        <v>23</v>
      </c>
      <c r="E1826" s="7" t="s">
        <v>338</v>
      </c>
      <c r="F1826" s="7" t="s">
        <v>25</v>
      </c>
      <c r="G1826" s="7" t="s">
        <v>26</v>
      </c>
      <c r="H1826" s="7">
        <v>2</v>
      </c>
      <c r="I1826" s="2">
        <v>595.41</v>
      </c>
      <c r="J1826" s="2">
        <f>Tabla2[[#This Row],[Quantity]]*I1826</f>
        <v>1190.82</v>
      </c>
      <c r="K1826" s="6">
        <f>MONTH(Tabla2[[#This Row],[OrderDate]])</f>
        <v>12</v>
      </c>
      <c r="L1826" s="6">
        <f>YEAR(Tabla2[[#This Row],[OrderDate]])</f>
        <v>2024</v>
      </c>
      <c r="M1826" s="7" t="s">
        <v>1470</v>
      </c>
      <c r="N1826" s="7" t="s">
        <v>91</v>
      </c>
    </row>
    <row r="1827" spans="1:14" x14ac:dyDescent="0.35">
      <c r="A1827" s="7" t="s">
        <v>3135</v>
      </c>
      <c r="B1827" s="7" t="s">
        <v>715</v>
      </c>
      <c r="C1827" s="7" t="s">
        <v>716</v>
      </c>
      <c r="D1827" s="7" t="s">
        <v>67</v>
      </c>
      <c r="E1827" s="7" t="s">
        <v>130</v>
      </c>
      <c r="F1827" s="7" t="s">
        <v>50</v>
      </c>
      <c r="G1827" s="7" t="s">
        <v>69</v>
      </c>
      <c r="H1827" s="7">
        <v>3</v>
      </c>
      <c r="I1827" s="2">
        <v>965.36</v>
      </c>
      <c r="J1827" s="2">
        <f>Tabla2[[#This Row],[Quantity]]*I1827</f>
        <v>2896.08</v>
      </c>
      <c r="K1827" s="6">
        <f>MONTH(Tabla2[[#This Row],[OrderDate]])</f>
        <v>7</v>
      </c>
      <c r="L1827" s="6">
        <f>YEAR(Tabla2[[#This Row],[OrderDate]])</f>
        <v>2025</v>
      </c>
      <c r="M1827" s="7" t="s">
        <v>2252</v>
      </c>
      <c r="N1827" s="7" t="s">
        <v>45</v>
      </c>
    </row>
    <row r="1828" spans="1:14" x14ac:dyDescent="0.35">
      <c r="A1828" s="7" t="s">
        <v>3136</v>
      </c>
      <c r="B1828" s="7" t="s">
        <v>521</v>
      </c>
      <c r="C1828" s="7" t="s">
        <v>522</v>
      </c>
      <c r="D1828" s="7" t="s">
        <v>32</v>
      </c>
      <c r="E1828" s="7" t="s">
        <v>61</v>
      </c>
      <c r="F1828" s="7" t="s">
        <v>16</v>
      </c>
      <c r="G1828" s="7" t="s">
        <v>230</v>
      </c>
      <c r="H1828" s="7">
        <v>3</v>
      </c>
      <c r="I1828" s="2">
        <v>1314.35</v>
      </c>
      <c r="J1828" s="2">
        <f>Tabla2[[#This Row],[Quantity]]*I1828</f>
        <v>3943.0499999999997</v>
      </c>
      <c r="K1828" s="6">
        <f>MONTH(Tabla2[[#This Row],[OrderDate]])</f>
        <v>1</v>
      </c>
      <c r="L1828" s="6">
        <f>YEAR(Tabla2[[#This Row],[OrderDate]])</f>
        <v>2025</v>
      </c>
      <c r="M1828" s="7" t="s">
        <v>2014</v>
      </c>
      <c r="N1828" s="7" t="s">
        <v>36</v>
      </c>
    </row>
    <row r="1829" spans="1:14" x14ac:dyDescent="0.35">
      <c r="A1829" s="7" t="s">
        <v>3137</v>
      </c>
      <c r="B1829" s="7" t="s">
        <v>1496</v>
      </c>
      <c r="C1829" s="7" t="s">
        <v>1497</v>
      </c>
      <c r="D1829" s="7" t="s">
        <v>67</v>
      </c>
      <c r="E1829" s="7" t="s">
        <v>130</v>
      </c>
      <c r="F1829" s="7" t="s">
        <v>16</v>
      </c>
      <c r="G1829" s="7" t="s">
        <v>177</v>
      </c>
      <c r="H1829" s="7">
        <v>4</v>
      </c>
      <c r="I1829" s="2">
        <v>426.94</v>
      </c>
      <c r="J1829" s="2">
        <f>Tabla2[[#This Row],[Quantity]]*I1829</f>
        <v>1707.76</v>
      </c>
      <c r="K1829" s="6">
        <f>MONTH(Tabla2[[#This Row],[OrderDate]])</f>
        <v>9</v>
      </c>
      <c r="L1829" s="6">
        <f>YEAR(Tabla2[[#This Row],[OrderDate]])</f>
        <v>2025</v>
      </c>
      <c r="M1829" s="7" t="s">
        <v>2588</v>
      </c>
      <c r="N1829" s="7" t="s">
        <v>36</v>
      </c>
    </row>
    <row r="1830" spans="1:14" x14ac:dyDescent="0.35">
      <c r="A1830" s="7" t="s">
        <v>3138</v>
      </c>
      <c r="B1830" s="7" t="s">
        <v>2719</v>
      </c>
      <c r="C1830" s="7" t="s">
        <v>2720</v>
      </c>
      <c r="D1830" s="7" t="s">
        <v>40</v>
      </c>
      <c r="E1830" s="7" t="s">
        <v>120</v>
      </c>
      <c r="F1830" s="7" t="s">
        <v>25</v>
      </c>
      <c r="G1830" s="7" t="s">
        <v>62</v>
      </c>
      <c r="H1830" s="7">
        <v>5</v>
      </c>
      <c r="I1830" s="2">
        <v>1448.69</v>
      </c>
      <c r="J1830" s="2">
        <f>Tabla2[[#This Row],[Quantity]]*I1830</f>
        <v>7243.4500000000007</v>
      </c>
      <c r="K1830" s="6">
        <f>MONTH(Tabla2[[#This Row],[OrderDate]])</f>
        <v>10</v>
      </c>
      <c r="L1830" s="6">
        <f>YEAR(Tabla2[[#This Row],[OrderDate]])</f>
        <v>2025</v>
      </c>
      <c r="M1830" s="7" t="s">
        <v>369</v>
      </c>
      <c r="N1830" s="7" t="s">
        <v>19</v>
      </c>
    </row>
    <row r="1831" spans="1:14" x14ac:dyDescent="0.35">
      <c r="A1831" s="7" t="s">
        <v>3139</v>
      </c>
      <c r="B1831" s="7" t="s">
        <v>1340</v>
      </c>
      <c r="C1831" s="7" t="s">
        <v>1341</v>
      </c>
      <c r="D1831" s="7" t="s">
        <v>23</v>
      </c>
      <c r="E1831" s="7" t="s">
        <v>24</v>
      </c>
      <c r="F1831" s="7" t="s">
        <v>50</v>
      </c>
      <c r="G1831" s="7" t="s">
        <v>216</v>
      </c>
      <c r="H1831" s="7">
        <v>5</v>
      </c>
      <c r="I1831" s="2">
        <v>1491.82</v>
      </c>
      <c r="J1831" s="2">
        <f>Tabla2[[#This Row],[Quantity]]*I1831</f>
        <v>7459.0999999999995</v>
      </c>
      <c r="K1831" s="6">
        <f>MONTH(Tabla2[[#This Row],[OrderDate]])</f>
        <v>11</v>
      </c>
      <c r="L1831" s="6">
        <f>YEAR(Tabla2[[#This Row],[OrderDate]])</f>
        <v>2025</v>
      </c>
      <c r="M1831" s="7" t="s">
        <v>1963</v>
      </c>
      <c r="N1831" s="7" t="s">
        <v>28</v>
      </c>
    </row>
    <row r="1832" spans="1:14" x14ac:dyDescent="0.35">
      <c r="A1832" s="7" t="s">
        <v>3140</v>
      </c>
      <c r="B1832" s="7" t="s">
        <v>260</v>
      </c>
      <c r="C1832" s="7" t="s">
        <v>261</v>
      </c>
      <c r="D1832" s="7" t="s">
        <v>32</v>
      </c>
      <c r="E1832" s="7" t="s">
        <v>61</v>
      </c>
      <c r="F1832" s="7" t="s">
        <v>101</v>
      </c>
      <c r="G1832" s="7" t="s">
        <v>373</v>
      </c>
      <c r="H1832" s="7">
        <v>4</v>
      </c>
      <c r="I1832" s="2">
        <v>1124.93</v>
      </c>
      <c r="J1832" s="2">
        <f>Tabla2[[#This Row],[Quantity]]*I1832</f>
        <v>4499.72</v>
      </c>
      <c r="K1832" s="6">
        <f>MONTH(Tabla2[[#This Row],[OrderDate]])</f>
        <v>12</v>
      </c>
      <c r="L1832" s="6">
        <f>YEAR(Tabla2[[#This Row],[OrderDate]])</f>
        <v>2024</v>
      </c>
      <c r="M1832" s="7" t="s">
        <v>697</v>
      </c>
      <c r="N1832" s="7" t="s">
        <v>19</v>
      </c>
    </row>
    <row r="1833" spans="1:14" x14ac:dyDescent="0.35">
      <c r="A1833" s="7" t="s">
        <v>3141</v>
      </c>
      <c r="B1833" s="7" t="s">
        <v>1875</v>
      </c>
      <c r="C1833" s="7" t="s">
        <v>1876</v>
      </c>
      <c r="D1833" s="7" t="s">
        <v>40</v>
      </c>
      <c r="E1833" s="7" t="s">
        <v>120</v>
      </c>
      <c r="F1833" s="7" t="s">
        <v>42</v>
      </c>
      <c r="G1833" s="7" t="s">
        <v>225</v>
      </c>
      <c r="H1833" s="7">
        <v>2</v>
      </c>
      <c r="I1833" s="2">
        <v>165.6</v>
      </c>
      <c r="J1833" s="2">
        <f>Tabla2[[#This Row],[Quantity]]*I1833</f>
        <v>331.2</v>
      </c>
      <c r="K1833" s="6">
        <f>MONTH(Tabla2[[#This Row],[OrderDate]])</f>
        <v>7</v>
      </c>
      <c r="L1833" s="6">
        <f>YEAR(Tabla2[[#This Row],[OrderDate]])</f>
        <v>2025</v>
      </c>
      <c r="M1833" s="7" t="s">
        <v>1371</v>
      </c>
      <c r="N1833" s="7" t="s">
        <v>28</v>
      </c>
    </row>
    <row r="1834" spans="1:14" x14ac:dyDescent="0.35">
      <c r="A1834" s="7" t="s">
        <v>3142</v>
      </c>
      <c r="B1834" s="7" t="s">
        <v>240</v>
      </c>
      <c r="C1834" s="7" t="s">
        <v>241</v>
      </c>
      <c r="D1834" s="7" t="s">
        <v>23</v>
      </c>
      <c r="E1834" s="7" t="s">
        <v>338</v>
      </c>
      <c r="F1834" s="7" t="s">
        <v>50</v>
      </c>
      <c r="G1834" s="7" t="s">
        <v>56</v>
      </c>
      <c r="H1834" s="7">
        <v>5</v>
      </c>
      <c r="I1834" s="2">
        <v>917.26</v>
      </c>
      <c r="J1834" s="2">
        <f>Tabla2[[#This Row],[Quantity]]*I1834</f>
        <v>4586.3</v>
      </c>
      <c r="K1834" s="6">
        <f>MONTH(Tabla2[[#This Row],[OrderDate]])</f>
        <v>1</v>
      </c>
      <c r="L1834" s="6">
        <f>YEAR(Tabla2[[#This Row],[OrderDate]])</f>
        <v>2025</v>
      </c>
      <c r="M1834" s="7" t="s">
        <v>1314</v>
      </c>
      <c r="N1834" s="7" t="s">
        <v>19</v>
      </c>
    </row>
    <row r="1835" spans="1:14" x14ac:dyDescent="0.35">
      <c r="A1835" s="7" t="s">
        <v>3143</v>
      </c>
      <c r="B1835" s="7" t="s">
        <v>151</v>
      </c>
      <c r="C1835" s="7" t="s">
        <v>152</v>
      </c>
      <c r="D1835" s="7" t="s">
        <v>40</v>
      </c>
      <c r="E1835" s="7" t="s">
        <v>120</v>
      </c>
      <c r="F1835" s="7" t="s">
        <v>42</v>
      </c>
      <c r="G1835" s="7" t="s">
        <v>225</v>
      </c>
      <c r="H1835" s="7">
        <v>3</v>
      </c>
      <c r="I1835" s="2">
        <v>1218.6199999999999</v>
      </c>
      <c r="J1835" s="2">
        <f>Tabla2[[#This Row],[Quantity]]*I1835</f>
        <v>3655.8599999999997</v>
      </c>
      <c r="K1835" s="6">
        <f>MONTH(Tabla2[[#This Row],[OrderDate]])</f>
        <v>1</v>
      </c>
      <c r="L1835" s="6">
        <f>YEAR(Tabla2[[#This Row],[OrderDate]])</f>
        <v>2026</v>
      </c>
      <c r="M1835" s="7" t="s">
        <v>3144</v>
      </c>
      <c r="N1835" s="7" t="s">
        <v>36</v>
      </c>
    </row>
    <row r="1836" spans="1:14" x14ac:dyDescent="0.35">
      <c r="A1836" s="7" t="s">
        <v>3145</v>
      </c>
      <c r="B1836" s="7" t="s">
        <v>718</v>
      </c>
      <c r="C1836" s="7" t="s">
        <v>719</v>
      </c>
      <c r="D1836" s="7" t="s">
        <v>32</v>
      </c>
      <c r="E1836" s="7" t="s">
        <v>33</v>
      </c>
      <c r="F1836" s="7" t="s">
        <v>101</v>
      </c>
      <c r="G1836" s="7" t="s">
        <v>373</v>
      </c>
      <c r="H1836" s="7">
        <v>2</v>
      </c>
      <c r="I1836" s="2">
        <v>431.17</v>
      </c>
      <c r="J1836" s="2">
        <f>Tabla2[[#This Row],[Quantity]]*I1836</f>
        <v>862.34</v>
      </c>
      <c r="K1836" s="6">
        <f>MONTH(Tabla2[[#This Row],[OrderDate]])</f>
        <v>10</v>
      </c>
      <c r="L1836" s="6">
        <f>YEAR(Tabla2[[#This Row],[OrderDate]])</f>
        <v>2025</v>
      </c>
      <c r="M1836" s="7" t="s">
        <v>3146</v>
      </c>
      <c r="N1836" s="7" t="s">
        <v>45</v>
      </c>
    </row>
    <row r="1837" spans="1:14" x14ac:dyDescent="0.35">
      <c r="A1837" s="7" t="s">
        <v>3147</v>
      </c>
      <c r="B1837" s="7" t="s">
        <v>521</v>
      </c>
      <c r="C1837" s="7" t="s">
        <v>522</v>
      </c>
      <c r="D1837" s="7" t="s">
        <v>67</v>
      </c>
      <c r="E1837" s="7" t="s">
        <v>130</v>
      </c>
      <c r="F1837" s="7" t="s">
        <v>42</v>
      </c>
      <c r="G1837" s="7" t="s">
        <v>43</v>
      </c>
      <c r="H1837" s="7">
        <v>2</v>
      </c>
      <c r="I1837" s="2">
        <v>1041.29</v>
      </c>
      <c r="J1837" s="2">
        <f>Tabla2[[#This Row],[Quantity]]*I1837</f>
        <v>2082.58</v>
      </c>
      <c r="K1837" s="6">
        <f>MONTH(Tabla2[[#This Row],[OrderDate]])</f>
        <v>5</v>
      </c>
      <c r="L1837" s="6">
        <f>YEAR(Tabla2[[#This Row],[OrderDate]])</f>
        <v>2024</v>
      </c>
      <c r="M1837" s="7" t="s">
        <v>212</v>
      </c>
      <c r="N1837" s="7" t="s">
        <v>28</v>
      </c>
    </row>
    <row r="1838" spans="1:14" x14ac:dyDescent="0.35">
      <c r="A1838" s="7" t="s">
        <v>3148</v>
      </c>
      <c r="B1838" s="7" t="s">
        <v>273</v>
      </c>
      <c r="C1838" s="7" t="s">
        <v>274</v>
      </c>
      <c r="D1838" s="7" t="s">
        <v>67</v>
      </c>
      <c r="E1838" s="7" t="s">
        <v>130</v>
      </c>
      <c r="F1838" s="7" t="s">
        <v>50</v>
      </c>
      <c r="G1838" s="7" t="s">
        <v>216</v>
      </c>
      <c r="H1838" s="7">
        <v>5</v>
      </c>
      <c r="I1838" s="2">
        <v>753.01</v>
      </c>
      <c r="J1838" s="2">
        <f>Tabla2[[#This Row],[Quantity]]*I1838</f>
        <v>3765.05</v>
      </c>
      <c r="K1838" s="6">
        <f>MONTH(Tabla2[[#This Row],[OrderDate]])</f>
        <v>1</v>
      </c>
      <c r="L1838" s="6">
        <f>YEAR(Tabla2[[#This Row],[OrderDate]])</f>
        <v>2024</v>
      </c>
      <c r="M1838" s="7" t="s">
        <v>1184</v>
      </c>
      <c r="N1838" s="7" t="s">
        <v>36</v>
      </c>
    </row>
    <row r="1839" spans="1:14" x14ac:dyDescent="0.35">
      <c r="A1839" s="7" t="s">
        <v>3149</v>
      </c>
      <c r="B1839" s="7" t="s">
        <v>611</v>
      </c>
      <c r="C1839" s="7" t="s">
        <v>612</v>
      </c>
      <c r="D1839" s="7" t="s">
        <v>40</v>
      </c>
      <c r="E1839" s="7" t="s">
        <v>79</v>
      </c>
      <c r="F1839" s="7" t="s">
        <v>101</v>
      </c>
      <c r="G1839" s="7" t="s">
        <v>165</v>
      </c>
      <c r="H1839" s="7">
        <v>3</v>
      </c>
      <c r="I1839" s="2">
        <v>1041.17</v>
      </c>
      <c r="J1839" s="2">
        <f>Tabla2[[#This Row],[Quantity]]*I1839</f>
        <v>3123.51</v>
      </c>
      <c r="K1839" s="6">
        <f>MONTH(Tabla2[[#This Row],[OrderDate]])</f>
        <v>1</v>
      </c>
      <c r="L1839" s="6">
        <f>YEAR(Tabla2[[#This Row],[OrderDate]])</f>
        <v>2024</v>
      </c>
      <c r="M1839" s="7" t="s">
        <v>1188</v>
      </c>
      <c r="N1839" s="7" t="s">
        <v>19</v>
      </c>
    </row>
    <row r="1840" spans="1:14" x14ac:dyDescent="0.35">
      <c r="A1840" s="7" t="s">
        <v>3150</v>
      </c>
      <c r="B1840" s="7" t="s">
        <v>1523</v>
      </c>
      <c r="C1840" s="7" t="s">
        <v>1524</v>
      </c>
      <c r="D1840" s="7" t="s">
        <v>32</v>
      </c>
      <c r="E1840" s="7" t="s">
        <v>203</v>
      </c>
      <c r="F1840" s="7" t="s">
        <v>42</v>
      </c>
      <c r="G1840" s="7" t="s">
        <v>43</v>
      </c>
      <c r="H1840" s="7">
        <v>2</v>
      </c>
      <c r="I1840" s="2">
        <v>1116.1300000000001</v>
      </c>
      <c r="J1840" s="2">
        <f>Tabla2[[#This Row],[Quantity]]*I1840</f>
        <v>2232.2600000000002</v>
      </c>
      <c r="K1840" s="6">
        <f>MONTH(Tabla2[[#This Row],[OrderDate]])</f>
        <v>6</v>
      </c>
      <c r="L1840" s="6">
        <f>YEAR(Tabla2[[#This Row],[OrderDate]])</f>
        <v>2024</v>
      </c>
      <c r="M1840" s="7" t="s">
        <v>1503</v>
      </c>
      <c r="N1840" s="7" t="s">
        <v>19</v>
      </c>
    </row>
    <row r="1841" spans="1:14" x14ac:dyDescent="0.35">
      <c r="A1841" s="7" t="s">
        <v>3151</v>
      </c>
      <c r="B1841" s="7" t="s">
        <v>291</v>
      </c>
      <c r="C1841" s="7" t="s">
        <v>292</v>
      </c>
      <c r="D1841" s="7" t="s">
        <v>23</v>
      </c>
      <c r="E1841" s="7" t="s">
        <v>338</v>
      </c>
      <c r="F1841" s="7" t="s">
        <v>42</v>
      </c>
      <c r="G1841" s="7" t="s">
        <v>80</v>
      </c>
      <c r="H1841" s="7">
        <v>5</v>
      </c>
      <c r="I1841" s="2">
        <v>193.63</v>
      </c>
      <c r="J1841" s="2">
        <f>Tabla2[[#This Row],[Quantity]]*I1841</f>
        <v>968.15</v>
      </c>
      <c r="K1841" s="6">
        <f>MONTH(Tabla2[[#This Row],[OrderDate]])</f>
        <v>2</v>
      </c>
      <c r="L1841" s="6">
        <f>YEAR(Tabla2[[#This Row],[OrderDate]])</f>
        <v>2025</v>
      </c>
      <c r="M1841" s="7" t="s">
        <v>1714</v>
      </c>
      <c r="N1841" s="7" t="s">
        <v>45</v>
      </c>
    </row>
    <row r="1842" spans="1:14" x14ac:dyDescent="0.35">
      <c r="A1842" s="7" t="s">
        <v>3152</v>
      </c>
      <c r="B1842" s="7" t="s">
        <v>450</v>
      </c>
      <c r="C1842" s="7" t="s">
        <v>451</v>
      </c>
      <c r="D1842" s="7" t="s">
        <v>14</v>
      </c>
      <c r="E1842" s="7" t="s">
        <v>100</v>
      </c>
      <c r="F1842" s="7" t="s">
        <v>101</v>
      </c>
      <c r="G1842" s="7" t="s">
        <v>165</v>
      </c>
      <c r="H1842" s="7">
        <v>2</v>
      </c>
      <c r="I1842" s="2">
        <v>36.520000000000003</v>
      </c>
      <c r="J1842" s="2">
        <f>Tabla2[[#This Row],[Quantity]]*I1842</f>
        <v>73.040000000000006</v>
      </c>
      <c r="K1842" s="6">
        <f>MONTH(Tabla2[[#This Row],[OrderDate]])</f>
        <v>2</v>
      </c>
      <c r="L1842" s="6">
        <f>YEAR(Tabla2[[#This Row],[OrderDate]])</f>
        <v>2025</v>
      </c>
      <c r="M1842" s="7" t="s">
        <v>803</v>
      </c>
      <c r="N1842" s="7" t="s">
        <v>45</v>
      </c>
    </row>
    <row r="1843" spans="1:14" x14ac:dyDescent="0.35">
      <c r="A1843" s="7" t="s">
        <v>3153</v>
      </c>
      <c r="B1843" s="7" t="s">
        <v>878</v>
      </c>
      <c r="C1843" s="7" t="s">
        <v>879</v>
      </c>
      <c r="D1843" s="7" t="s">
        <v>23</v>
      </c>
      <c r="E1843" s="7" t="s">
        <v>338</v>
      </c>
      <c r="F1843" s="7" t="s">
        <v>16</v>
      </c>
      <c r="G1843" s="7" t="s">
        <v>148</v>
      </c>
      <c r="H1843" s="7">
        <v>1</v>
      </c>
      <c r="I1843" s="2">
        <v>1262.6300000000001</v>
      </c>
      <c r="J1843" s="2">
        <f>Tabla2[[#This Row],[Quantity]]*I1843</f>
        <v>1262.6300000000001</v>
      </c>
      <c r="K1843" s="6">
        <f>MONTH(Tabla2[[#This Row],[OrderDate]])</f>
        <v>1</v>
      </c>
      <c r="L1843" s="6">
        <f>YEAR(Tabla2[[#This Row],[OrderDate]])</f>
        <v>2025</v>
      </c>
      <c r="M1843" s="7" t="s">
        <v>1873</v>
      </c>
      <c r="N1843" s="7" t="s">
        <v>91</v>
      </c>
    </row>
    <row r="1844" spans="1:14" x14ac:dyDescent="0.35">
      <c r="A1844" s="7" t="s">
        <v>3154</v>
      </c>
      <c r="B1844" s="7" t="s">
        <v>113</v>
      </c>
      <c r="C1844" s="7" t="s">
        <v>114</v>
      </c>
      <c r="D1844" s="7" t="s">
        <v>67</v>
      </c>
      <c r="E1844" s="7" t="s">
        <v>115</v>
      </c>
      <c r="F1844" s="7" t="s">
        <v>50</v>
      </c>
      <c r="G1844" s="7" t="s">
        <v>216</v>
      </c>
      <c r="H1844" s="7">
        <v>5</v>
      </c>
      <c r="I1844" s="2">
        <v>1101.0999999999999</v>
      </c>
      <c r="J1844" s="2">
        <f>Tabla2[[#This Row],[Quantity]]*I1844</f>
        <v>5505.5</v>
      </c>
      <c r="K1844" s="6">
        <f>MONTH(Tabla2[[#This Row],[OrderDate]])</f>
        <v>11</v>
      </c>
      <c r="L1844" s="6">
        <f>YEAR(Tabla2[[#This Row],[OrderDate]])</f>
        <v>2025</v>
      </c>
      <c r="M1844" s="7" t="s">
        <v>3155</v>
      </c>
      <c r="N1844" s="7" t="s">
        <v>45</v>
      </c>
    </row>
    <row r="1845" spans="1:14" x14ac:dyDescent="0.35">
      <c r="A1845" s="7" t="s">
        <v>3156</v>
      </c>
      <c r="B1845" s="7" t="s">
        <v>518</v>
      </c>
      <c r="C1845" s="7" t="s">
        <v>519</v>
      </c>
      <c r="D1845" s="7" t="s">
        <v>23</v>
      </c>
      <c r="E1845" s="7" t="s">
        <v>24</v>
      </c>
      <c r="F1845" s="7" t="s">
        <v>50</v>
      </c>
      <c r="G1845" s="7" t="s">
        <v>216</v>
      </c>
      <c r="H1845" s="7">
        <v>1</v>
      </c>
      <c r="I1845" s="2">
        <v>747.88</v>
      </c>
      <c r="J1845" s="2">
        <f>Tabla2[[#This Row],[Quantity]]*I1845</f>
        <v>747.88</v>
      </c>
      <c r="K1845" s="6">
        <f>MONTH(Tabla2[[#This Row],[OrderDate]])</f>
        <v>11</v>
      </c>
      <c r="L1845" s="6">
        <f>YEAR(Tabla2[[#This Row],[OrderDate]])</f>
        <v>2024</v>
      </c>
      <c r="M1845" s="7" t="s">
        <v>2100</v>
      </c>
      <c r="N1845" s="7" t="s">
        <v>91</v>
      </c>
    </row>
    <row r="1846" spans="1:14" x14ac:dyDescent="0.35">
      <c r="A1846" s="7" t="s">
        <v>3157</v>
      </c>
      <c r="B1846" s="7" t="s">
        <v>2245</v>
      </c>
      <c r="C1846" s="7" t="s">
        <v>2246</v>
      </c>
      <c r="D1846" s="7" t="s">
        <v>14</v>
      </c>
      <c r="E1846" s="7" t="s">
        <v>266</v>
      </c>
      <c r="F1846" s="7" t="s">
        <v>16</v>
      </c>
      <c r="G1846" s="7" t="s">
        <v>182</v>
      </c>
      <c r="H1846" s="7">
        <v>5</v>
      </c>
      <c r="I1846" s="2">
        <v>1431</v>
      </c>
      <c r="J1846" s="2">
        <f>Tabla2[[#This Row],[Quantity]]*I1846</f>
        <v>7155</v>
      </c>
      <c r="K1846" s="6">
        <f>MONTH(Tabla2[[#This Row],[OrderDate]])</f>
        <v>6</v>
      </c>
      <c r="L1846" s="6">
        <f>YEAR(Tabla2[[#This Row],[OrderDate]])</f>
        <v>2024</v>
      </c>
      <c r="M1846" s="7" t="s">
        <v>896</v>
      </c>
      <c r="N1846" s="7" t="s">
        <v>45</v>
      </c>
    </row>
    <row r="1847" spans="1:14" x14ac:dyDescent="0.35">
      <c r="A1847" s="7" t="s">
        <v>3158</v>
      </c>
      <c r="B1847" s="7" t="s">
        <v>303</v>
      </c>
      <c r="C1847" s="7" t="s">
        <v>304</v>
      </c>
      <c r="D1847" s="7" t="s">
        <v>32</v>
      </c>
      <c r="E1847" s="7" t="s">
        <v>203</v>
      </c>
      <c r="F1847" s="7" t="s">
        <v>25</v>
      </c>
      <c r="G1847" s="7" t="s">
        <v>26</v>
      </c>
      <c r="H1847" s="7">
        <v>5</v>
      </c>
      <c r="I1847" s="2">
        <v>1349.21</v>
      </c>
      <c r="J1847" s="2">
        <f>Tabla2[[#This Row],[Quantity]]*I1847</f>
        <v>6746.05</v>
      </c>
      <c r="K1847" s="6">
        <f>MONTH(Tabla2[[#This Row],[OrderDate]])</f>
        <v>5</v>
      </c>
      <c r="L1847" s="6">
        <f>YEAR(Tabla2[[#This Row],[OrderDate]])</f>
        <v>2025</v>
      </c>
      <c r="M1847" s="7" t="s">
        <v>1458</v>
      </c>
      <c r="N1847" s="7" t="s">
        <v>45</v>
      </c>
    </row>
    <row r="1848" spans="1:14" x14ac:dyDescent="0.35">
      <c r="A1848" s="7" t="s">
        <v>3159</v>
      </c>
      <c r="B1848" s="7" t="s">
        <v>605</v>
      </c>
      <c r="C1848" s="7" t="s">
        <v>606</v>
      </c>
      <c r="D1848" s="7" t="s">
        <v>32</v>
      </c>
      <c r="E1848" s="7" t="s">
        <v>33</v>
      </c>
      <c r="F1848" s="7" t="s">
        <v>101</v>
      </c>
      <c r="G1848" s="7" t="s">
        <v>237</v>
      </c>
      <c r="H1848" s="7">
        <v>5</v>
      </c>
      <c r="I1848" s="2">
        <v>308.8</v>
      </c>
      <c r="J1848" s="2">
        <f>Tabla2[[#This Row],[Quantity]]*I1848</f>
        <v>1544</v>
      </c>
      <c r="K1848" s="6">
        <f>MONTH(Tabla2[[#This Row],[OrderDate]])</f>
        <v>11</v>
      </c>
      <c r="L1848" s="6">
        <f>YEAR(Tabla2[[#This Row],[OrderDate]])</f>
        <v>2025</v>
      </c>
      <c r="M1848" s="7" t="s">
        <v>1963</v>
      </c>
      <c r="N1848" s="7" t="s">
        <v>36</v>
      </c>
    </row>
    <row r="1849" spans="1:14" x14ac:dyDescent="0.35">
      <c r="A1849" s="7" t="s">
        <v>3160</v>
      </c>
      <c r="B1849" s="7" t="s">
        <v>264</v>
      </c>
      <c r="C1849" s="7" t="s">
        <v>265</v>
      </c>
      <c r="D1849" s="7" t="s">
        <v>14</v>
      </c>
      <c r="E1849" s="7" t="s">
        <v>100</v>
      </c>
      <c r="F1849" s="7" t="s">
        <v>42</v>
      </c>
      <c r="G1849" s="7" t="s">
        <v>80</v>
      </c>
      <c r="H1849" s="7">
        <v>2</v>
      </c>
      <c r="I1849" s="2">
        <v>1330.65</v>
      </c>
      <c r="J1849" s="2">
        <f>Tabla2[[#This Row],[Quantity]]*I1849</f>
        <v>2661.3</v>
      </c>
      <c r="K1849" s="6">
        <f>MONTH(Tabla2[[#This Row],[OrderDate]])</f>
        <v>5</v>
      </c>
      <c r="L1849" s="6">
        <f>YEAR(Tabla2[[#This Row],[OrderDate]])</f>
        <v>2024</v>
      </c>
      <c r="M1849" s="7" t="s">
        <v>2248</v>
      </c>
      <c r="N1849" s="7" t="s">
        <v>45</v>
      </c>
    </row>
    <row r="1850" spans="1:14" x14ac:dyDescent="0.35">
      <c r="A1850" s="7" t="s">
        <v>3161</v>
      </c>
      <c r="B1850" s="7" t="s">
        <v>1681</v>
      </c>
      <c r="C1850" s="7" t="s">
        <v>1682</v>
      </c>
      <c r="D1850" s="7" t="s">
        <v>23</v>
      </c>
      <c r="E1850" s="7" t="s">
        <v>24</v>
      </c>
      <c r="F1850" s="7" t="s">
        <v>16</v>
      </c>
      <c r="G1850" s="7" t="s">
        <v>17</v>
      </c>
      <c r="H1850" s="7">
        <v>1</v>
      </c>
      <c r="I1850" s="2">
        <v>861.21</v>
      </c>
      <c r="J1850" s="2">
        <f>Tabla2[[#This Row],[Quantity]]*I1850</f>
        <v>861.21</v>
      </c>
      <c r="K1850" s="6">
        <f>MONTH(Tabla2[[#This Row],[OrderDate]])</f>
        <v>10</v>
      </c>
      <c r="L1850" s="6">
        <f>YEAR(Tabla2[[#This Row],[OrderDate]])</f>
        <v>2024</v>
      </c>
      <c r="M1850" s="7" t="s">
        <v>2140</v>
      </c>
      <c r="N1850" s="7" t="s">
        <v>36</v>
      </c>
    </row>
    <row r="1851" spans="1:14" x14ac:dyDescent="0.35">
      <c r="A1851" s="7" t="s">
        <v>3162</v>
      </c>
      <c r="B1851" s="7" t="s">
        <v>1101</v>
      </c>
      <c r="C1851" s="7" t="s">
        <v>1102</v>
      </c>
      <c r="D1851" s="7" t="s">
        <v>32</v>
      </c>
      <c r="E1851" s="7" t="s">
        <v>61</v>
      </c>
      <c r="F1851" s="7" t="s">
        <v>50</v>
      </c>
      <c r="G1851" s="7" t="s">
        <v>69</v>
      </c>
      <c r="H1851" s="7">
        <v>1</v>
      </c>
      <c r="I1851" s="2">
        <v>256.89999999999998</v>
      </c>
      <c r="J1851" s="2">
        <f>Tabla2[[#This Row],[Quantity]]*I1851</f>
        <v>256.89999999999998</v>
      </c>
      <c r="K1851" s="6">
        <f>MONTH(Tabla2[[#This Row],[OrderDate]])</f>
        <v>7</v>
      </c>
      <c r="L1851" s="6">
        <f>YEAR(Tabla2[[#This Row],[OrderDate]])</f>
        <v>2025</v>
      </c>
      <c r="M1851" s="7" t="s">
        <v>1054</v>
      </c>
      <c r="N1851" s="7" t="s">
        <v>28</v>
      </c>
    </row>
    <row r="1852" spans="1:14" x14ac:dyDescent="0.35">
      <c r="A1852" s="7" t="s">
        <v>3163</v>
      </c>
      <c r="B1852" s="7" t="s">
        <v>602</v>
      </c>
      <c r="C1852" s="7" t="s">
        <v>603</v>
      </c>
      <c r="D1852" s="7" t="s">
        <v>14</v>
      </c>
      <c r="E1852" s="7" t="s">
        <v>266</v>
      </c>
      <c r="F1852" s="7" t="s">
        <v>101</v>
      </c>
      <c r="G1852" s="7" t="s">
        <v>102</v>
      </c>
      <c r="H1852" s="7">
        <v>1</v>
      </c>
      <c r="I1852" s="2">
        <v>527.92999999999995</v>
      </c>
      <c r="J1852" s="2">
        <f>Tabla2[[#This Row],[Quantity]]*I1852</f>
        <v>527.92999999999995</v>
      </c>
      <c r="K1852" s="6">
        <f>MONTH(Tabla2[[#This Row],[OrderDate]])</f>
        <v>9</v>
      </c>
      <c r="L1852" s="6">
        <f>YEAR(Tabla2[[#This Row],[OrderDate]])</f>
        <v>2024</v>
      </c>
      <c r="M1852" s="7" t="s">
        <v>1754</v>
      </c>
      <c r="N1852" s="7" t="s">
        <v>45</v>
      </c>
    </row>
    <row r="1853" spans="1:14" x14ac:dyDescent="0.35">
      <c r="A1853" s="7" t="s">
        <v>3164</v>
      </c>
      <c r="B1853" s="7" t="s">
        <v>618</v>
      </c>
      <c r="C1853" s="7" t="s">
        <v>619</v>
      </c>
      <c r="D1853" s="7" t="s">
        <v>14</v>
      </c>
      <c r="E1853" s="7" t="s">
        <v>125</v>
      </c>
      <c r="F1853" s="7" t="s">
        <v>16</v>
      </c>
      <c r="G1853" s="7" t="s">
        <v>177</v>
      </c>
      <c r="H1853" s="7">
        <v>5</v>
      </c>
      <c r="I1853" s="2">
        <v>1039.94</v>
      </c>
      <c r="J1853" s="2">
        <f>Tabla2[[#This Row],[Quantity]]*I1853</f>
        <v>5199.7000000000007</v>
      </c>
      <c r="K1853" s="6">
        <f>MONTH(Tabla2[[#This Row],[OrderDate]])</f>
        <v>6</v>
      </c>
      <c r="L1853" s="6">
        <f>YEAR(Tabla2[[#This Row],[OrderDate]])</f>
        <v>2025</v>
      </c>
      <c r="M1853" s="7" t="s">
        <v>3022</v>
      </c>
      <c r="N1853" s="7" t="s">
        <v>36</v>
      </c>
    </row>
    <row r="1854" spans="1:14" x14ac:dyDescent="0.35">
      <c r="A1854" s="7" t="s">
        <v>3165</v>
      </c>
      <c r="B1854" s="7" t="s">
        <v>163</v>
      </c>
      <c r="C1854" s="7" t="s">
        <v>164</v>
      </c>
      <c r="D1854" s="7" t="s">
        <v>23</v>
      </c>
      <c r="E1854" s="7" t="s">
        <v>24</v>
      </c>
      <c r="F1854" s="7" t="s">
        <v>101</v>
      </c>
      <c r="G1854" s="7" t="s">
        <v>165</v>
      </c>
      <c r="H1854" s="7">
        <v>5</v>
      </c>
      <c r="I1854" s="2">
        <v>1217.9000000000001</v>
      </c>
      <c r="J1854" s="2">
        <f>Tabla2[[#This Row],[Quantity]]*I1854</f>
        <v>6089.5</v>
      </c>
      <c r="K1854" s="6">
        <f>MONTH(Tabla2[[#This Row],[OrderDate]])</f>
        <v>10</v>
      </c>
      <c r="L1854" s="6">
        <f>YEAR(Tabla2[[#This Row],[OrderDate]])</f>
        <v>2025</v>
      </c>
      <c r="M1854" s="7" t="s">
        <v>161</v>
      </c>
      <c r="N1854" s="7" t="s">
        <v>19</v>
      </c>
    </row>
    <row r="1855" spans="1:14" x14ac:dyDescent="0.35">
      <c r="A1855" s="7" t="s">
        <v>3166</v>
      </c>
      <c r="B1855" s="7" t="s">
        <v>380</v>
      </c>
      <c r="C1855" s="7" t="s">
        <v>381</v>
      </c>
      <c r="D1855" s="7" t="s">
        <v>23</v>
      </c>
      <c r="E1855" s="7" t="s">
        <v>49</v>
      </c>
      <c r="F1855" s="7" t="s">
        <v>101</v>
      </c>
      <c r="G1855" s="7" t="s">
        <v>373</v>
      </c>
      <c r="H1855" s="7">
        <v>2</v>
      </c>
      <c r="I1855" s="2">
        <v>464.79</v>
      </c>
      <c r="J1855" s="2">
        <f>Tabla2[[#This Row],[Quantity]]*I1855</f>
        <v>929.58</v>
      </c>
      <c r="K1855" s="6">
        <f>MONTH(Tabla2[[#This Row],[OrderDate]])</f>
        <v>9</v>
      </c>
      <c r="L1855" s="6">
        <f>YEAR(Tabla2[[#This Row],[OrderDate]])</f>
        <v>2025</v>
      </c>
      <c r="M1855" s="7" t="s">
        <v>1598</v>
      </c>
      <c r="N1855" s="7" t="s">
        <v>91</v>
      </c>
    </row>
    <row r="1856" spans="1:14" x14ac:dyDescent="0.35">
      <c r="A1856" s="7" t="s">
        <v>3167</v>
      </c>
      <c r="B1856" s="7" t="s">
        <v>30</v>
      </c>
      <c r="C1856" s="7" t="s">
        <v>31</v>
      </c>
      <c r="D1856" s="7" t="s">
        <v>67</v>
      </c>
      <c r="E1856" s="7" t="s">
        <v>68</v>
      </c>
      <c r="F1856" s="7" t="s">
        <v>42</v>
      </c>
      <c r="G1856" s="7" t="s">
        <v>225</v>
      </c>
      <c r="H1856" s="7">
        <v>5</v>
      </c>
      <c r="I1856" s="2">
        <v>845.09</v>
      </c>
      <c r="J1856" s="2">
        <f>Tabla2[[#This Row],[Quantity]]*I1856</f>
        <v>4225.45</v>
      </c>
      <c r="K1856" s="6">
        <f>MONTH(Tabla2[[#This Row],[OrderDate]])</f>
        <v>2</v>
      </c>
      <c r="L1856" s="6">
        <f>YEAR(Tabla2[[#This Row],[OrderDate]])</f>
        <v>2026</v>
      </c>
      <c r="M1856" s="7" t="s">
        <v>1367</v>
      </c>
      <c r="N1856" s="7" t="s">
        <v>19</v>
      </c>
    </row>
    <row r="1857" spans="1:14" x14ac:dyDescent="0.35">
      <c r="A1857" s="7" t="s">
        <v>3168</v>
      </c>
      <c r="B1857" s="7" t="s">
        <v>273</v>
      </c>
      <c r="C1857" s="7" t="s">
        <v>274</v>
      </c>
      <c r="D1857" s="7" t="s">
        <v>67</v>
      </c>
      <c r="E1857" s="7" t="s">
        <v>115</v>
      </c>
      <c r="F1857" s="7" t="s">
        <v>42</v>
      </c>
      <c r="G1857" s="7" t="s">
        <v>80</v>
      </c>
      <c r="H1857" s="7">
        <v>1</v>
      </c>
      <c r="I1857" s="2">
        <v>771.02</v>
      </c>
      <c r="J1857" s="2">
        <f>Tabla2[[#This Row],[Quantity]]*I1857</f>
        <v>771.02</v>
      </c>
      <c r="K1857" s="6">
        <f>MONTH(Tabla2[[#This Row],[OrderDate]])</f>
        <v>4</v>
      </c>
      <c r="L1857" s="6">
        <f>YEAR(Tabla2[[#This Row],[OrderDate]])</f>
        <v>2025</v>
      </c>
      <c r="M1857" s="7" t="s">
        <v>490</v>
      </c>
      <c r="N1857" s="7" t="s">
        <v>28</v>
      </c>
    </row>
    <row r="1858" spans="1:14" x14ac:dyDescent="0.35">
      <c r="A1858" s="7" t="s">
        <v>3169</v>
      </c>
      <c r="B1858" s="7" t="s">
        <v>1707</v>
      </c>
      <c r="C1858" s="7" t="s">
        <v>1708</v>
      </c>
      <c r="D1858" s="7" t="s">
        <v>67</v>
      </c>
      <c r="E1858" s="7" t="s">
        <v>115</v>
      </c>
      <c r="F1858" s="7" t="s">
        <v>42</v>
      </c>
      <c r="G1858" s="7" t="s">
        <v>80</v>
      </c>
      <c r="H1858" s="7">
        <v>3</v>
      </c>
      <c r="I1858" s="2">
        <v>723.58</v>
      </c>
      <c r="J1858" s="2">
        <f>Tabla2[[#This Row],[Quantity]]*I1858</f>
        <v>2170.7400000000002</v>
      </c>
      <c r="K1858" s="6">
        <f>MONTH(Tabla2[[#This Row],[OrderDate]])</f>
        <v>10</v>
      </c>
      <c r="L1858" s="6">
        <f>YEAR(Tabla2[[#This Row],[OrderDate]])</f>
        <v>2024</v>
      </c>
      <c r="M1858" s="7" t="s">
        <v>744</v>
      </c>
      <c r="N1858" s="7" t="s">
        <v>45</v>
      </c>
    </row>
    <row r="1859" spans="1:14" x14ac:dyDescent="0.35">
      <c r="A1859" s="7" t="s">
        <v>3170</v>
      </c>
      <c r="B1859" s="7" t="s">
        <v>1018</v>
      </c>
      <c r="C1859" s="7" t="s">
        <v>1019</v>
      </c>
      <c r="D1859" s="7" t="s">
        <v>23</v>
      </c>
      <c r="E1859" s="7" t="s">
        <v>24</v>
      </c>
      <c r="F1859" s="7" t="s">
        <v>25</v>
      </c>
      <c r="G1859" s="7" t="s">
        <v>62</v>
      </c>
      <c r="H1859" s="7">
        <v>4</v>
      </c>
      <c r="I1859" s="2">
        <v>1345.82</v>
      </c>
      <c r="J1859" s="2">
        <f>Tabla2[[#This Row],[Quantity]]*I1859</f>
        <v>5383.28</v>
      </c>
      <c r="K1859" s="6">
        <f>MONTH(Tabla2[[#This Row],[OrderDate]])</f>
        <v>1</v>
      </c>
      <c r="L1859" s="6">
        <f>YEAR(Tabla2[[#This Row],[OrderDate]])</f>
        <v>2026</v>
      </c>
      <c r="M1859" s="7" t="s">
        <v>1048</v>
      </c>
      <c r="N1859" s="7" t="s">
        <v>19</v>
      </c>
    </row>
    <row r="1860" spans="1:14" x14ac:dyDescent="0.35">
      <c r="A1860" s="7" t="s">
        <v>3171</v>
      </c>
      <c r="B1860" s="7" t="s">
        <v>1212</v>
      </c>
      <c r="C1860" s="7" t="s">
        <v>1213</v>
      </c>
      <c r="D1860" s="7" t="s">
        <v>32</v>
      </c>
      <c r="E1860" s="7" t="s">
        <v>33</v>
      </c>
      <c r="F1860" s="7" t="s">
        <v>25</v>
      </c>
      <c r="G1860" s="7" t="s">
        <v>34</v>
      </c>
      <c r="H1860" s="7">
        <v>1</v>
      </c>
      <c r="I1860" s="2">
        <v>596.95000000000005</v>
      </c>
      <c r="J1860" s="2">
        <f>Tabla2[[#This Row],[Quantity]]*I1860</f>
        <v>596.95000000000005</v>
      </c>
      <c r="K1860" s="6">
        <f>MONTH(Tabla2[[#This Row],[OrderDate]])</f>
        <v>3</v>
      </c>
      <c r="L1860" s="6">
        <f>YEAR(Tabla2[[#This Row],[OrderDate]])</f>
        <v>2025</v>
      </c>
      <c r="M1860" s="7" t="s">
        <v>952</v>
      </c>
      <c r="N1860" s="7" t="s">
        <v>28</v>
      </c>
    </row>
    <row r="1861" spans="1:14" x14ac:dyDescent="0.35">
      <c r="A1861" s="7" t="s">
        <v>3172</v>
      </c>
      <c r="B1861" s="7" t="s">
        <v>860</v>
      </c>
      <c r="C1861" s="7" t="s">
        <v>861</v>
      </c>
      <c r="D1861" s="7" t="s">
        <v>67</v>
      </c>
      <c r="E1861" s="7" t="s">
        <v>68</v>
      </c>
      <c r="F1861" s="7" t="s">
        <v>42</v>
      </c>
      <c r="G1861" s="7" t="s">
        <v>43</v>
      </c>
      <c r="H1861" s="7">
        <v>2</v>
      </c>
      <c r="I1861" s="2">
        <v>968.25</v>
      </c>
      <c r="J1861" s="2">
        <f>Tabla2[[#This Row],[Quantity]]*I1861</f>
        <v>1936.5</v>
      </c>
      <c r="K1861" s="6">
        <f>MONTH(Tabla2[[#This Row],[OrderDate]])</f>
        <v>1</v>
      </c>
      <c r="L1861" s="6">
        <f>YEAR(Tabla2[[#This Row],[OrderDate]])</f>
        <v>2025</v>
      </c>
      <c r="M1861" s="7" t="s">
        <v>1949</v>
      </c>
      <c r="N1861" s="7" t="s">
        <v>28</v>
      </c>
    </row>
    <row r="1862" spans="1:14" x14ac:dyDescent="0.35">
      <c r="A1862" s="7" t="s">
        <v>3173</v>
      </c>
      <c r="B1862" s="7" t="s">
        <v>2188</v>
      </c>
      <c r="C1862" s="7" t="s">
        <v>2189</v>
      </c>
      <c r="D1862" s="7" t="s">
        <v>67</v>
      </c>
      <c r="E1862" s="7" t="s">
        <v>130</v>
      </c>
      <c r="F1862" s="7" t="s">
        <v>50</v>
      </c>
      <c r="G1862" s="7" t="s">
        <v>51</v>
      </c>
      <c r="H1862" s="7">
        <v>4</v>
      </c>
      <c r="I1862" s="2">
        <v>1232.24</v>
      </c>
      <c r="J1862" s="2">
        <f>Tabla2[[#This Row],[Quantity]]*I1862</f>
        <v>4928.96</v>
      </c>
      <c r="K1862" s="6">
        <f>MONTH(Tabla2[[#This Row],[OrderDate]])</f>
        <v>6</v>
      </c>
      <c r="L1862" s="6">
        <f>YEAR(Tabla2[[#This Row],[OrderDate]])</f>
        <v>2025</v>
      </c>
      <c r="M1862" s="7" t="s">
        <v>2338</v>
      </c>
      <c r="N1862" s="7" t="s">
        <v>45</v>
      </c>
    </row>
    <row r="1863" spans="1:14" x14ac:dyDescent="0.35">
      <c r="A1863" s="7" t="s">
        <v>3174</v>
      </c>
      <c r="B1863" s="7" t="s">
        <v>878</v>
      </c>
      <c r="C1863" s="7" t="s">
        <v>879</v>
      </c>
      <c r="D1863" s="7" t="s">
        <v>40</v>
      </c>
      <c r="E1863" s="7" t="s">
        <v>120</v>
      </c>
      <c r="F1863" s="7" t="s">
        <v>16</v>
      </c>
      <c r="G1863" s="7" t="s">
        <v>148</v>
      </c>
      <c r="H1863" s="7">
        <v>4</v>
      </c>
      <c r="I1863" s="2">
        <v>806.31</v>
      </c>
      <c r="J1863" s="2">
        <f>Tabla2[[#This Row],[Quantity]]*I1863</f>
        <v>3225.24</v>
      </c>
      <c r="K1863" s="6">
        <f>MONTH(Tabla2[[#This Row],[OrderDate]])</f>
        <v>1</v>
      </c>
      <c r="L1863" s="6">
        <f>YEAR(Tabla2[[#This Row],[OrderDate]])</f>
        <v>2025</v>
      </c>
      <c r="M1863" s="7" t="s">
        <v>654</v>
      </c>
      <c r="N1863" s="7" t="s">
        <v>36</v>
      </c>
    </row>
    <row r="1864" spans="1:14" x14ac:dyDescent="0.35">
      <c r="A1864" s="7" t="s">
        <v>3175</v>
      </c>
      <c r="B1864" s="7" t="s">
        <v>244</v>
      </c>
      <c r="C1864" s="7" t="s">
        <v>245</v>
      </c>
      <c r="D1864" s="7" t="s">
        <v>14</v>
      </c>
      <c r="E1864" s="7" t="s">
        <v>15</v>
      </c>
      <c r="F1864" s="7" t="s">
        <v>25</v>
      </c>
      <c r="G1864" s="7" t="s">
        <v>26</v>
      </c>
      <c r="H1864" s="7">
        <v>5</v>
      </c>
      <c r="I1864" s="2">
        <v>682.05</v>
      </c>
      <c r="J1864" s="2">
        <f>Tabla2[[#This Row],[Quantity]]*I1864</f>
        <v>3410.25</v>
      </c>
      <c r="K1864" s="6">
        <f>MONTH(Tabla2[[#This Row],[OrderDate]])</f>
        <v>9</v>
      </c>
      <c r="L1864" s="6">
        <f>YEAR(Tabla2[[#This Row],[OrderDate]])</f>
        <v>2025</v>
      </c>
      <c r="M1864" s="7" t="s">
        <v>1112</v>
      </c>
      <c r="N1864" s="7" t="s">
        <v>36</v>
      </c>
    </row>
    <row r="1865" spans="1:14" x14ac:dyDescent="0.35">
      <c r="A1865" s="7" t="s">
        <v>3176</v>
      </c>
      <c r="B1865" s="7" t="s">
        <v>969</v>
      </c>
      <c r="C1865" s="7" t="s">
        <v>970</v>
      </c>
      <c r="D1865" s="7" t="s">
        <v>14</v>
      </c>
      <c r="E1865" s="7" t="s">
        <v>266</v>
      </c>
      <c r="F1865" s="7" t="s">
        <v>42</v>
      </c>
      <c r="G1865" s="7" t="s">
        <v>225</v>
      </c>
      <c r="H1865" s="7">
        <v>2</v>
      </c>
      <c r="I1865" s="2">
        <v>370.67</v>
      </c>
      <c r="J1865" s="2">
        <f>Tabla2[[#This Row],[Quantity]]*I1865</f>
        <v>741.34</v>
      </c>
      <c r="K1865" s="6">
        <f>MONTH(Tabla2[[#This Row],[OrderDate]])</f>
        <v>10</v>
      </c>
      <c r="L1865" s="6">
        <f>YEAR(Tabla2[[#This Row],[OrderDate]])</f>
        <v>2025</v>
      </c>
      <c r="M1865" s="7" t="s">
        <v>3177</v>
      </c>
      <c r="N1865" s="7" t="s">
        <v>19</v>
      </c>
    </row>
    <row r="1866" spans="1:14" x14ac:dyDescent="0.35">
      <c r="A1866" s="7" t="s">
        <v>3178</v>
      </c>
      <c r="B1866" s="7" t="s">
        <v>801</v>
      </c>
      <c r="C1866" s="7" t="s">
        <v>802</v>
      </c>
      <c r="D1866" s="7" t="s">
        <v>14</v>
      </c>
      <c r="E1866" s="7" t="s">
        <v>100</v>
      </c>
      <c r="F1866" s="7" t="s">
        <v>25</v>
      </c>
      <c r="G1866" s="7" t="s">
        <v>26</v>
      </c>
      <c r="H1866" s="7">
        <v>1</v>
      </c>
      <c r="I1866" s="2">
        <v>1123.92</v>
      </c>
      <c r="J1866" s="2">
        <f>Tabla2[[#This Row],[Quantity]]*I1866</f>
        <v>1123.92</v>
      </c>
      <c r="K1866" s="6">
        <f>MONTH(Tabla2[[#This Row],[OrderDate]])</f>
        <v>3</v>
      </c>
      <c r="L1866" s="6">
        <f>YEAR(Tabla2[[#This Row],[OrderDate]])</f>
        <v>2025</v>
      </c>
      <c r="M1866" s="7" t="s">
        <v>208</v>
      </c>
      <c r="N1866" s="7" t="s">
        <v>91</v>
      </c>
    </row>
    <row r="1867" spans="1:14" x14ac:dyDescent="0.35">
      <c r="A1867" s="7" t="s">
        <v>3179</v>
      </c>
      <c r="B1867" s="7" t="s">
        <v>1101</v>
      </c>
      <c r="C1867" s="7" t="s">
        <v>1102</v>
      </c>
      <c r="D1867" s="7" t="s">
        <v>67</v>
      </c>
      <c r="E1867" s="7" t="s">
        <v>68</v>
      </c>
      <c r="F1867" s="7" t="s">
        <v>16</v>
      </c>
      <c r="G1867" s="7" t="s">
        <v>182</v>
      </c>
      <c r="H1867" s="7">
        <v>2</v>
      </c>
      <c r="I1867" s="2">
        <v>1060.4100000000001</v>
      </c>
      <c r="J1867" s="2">
        <f>Tabla2[[#This Row],[Quantity]]*I1867</f>
        <v>2120.8200000000002</v>
      </c>
      <c r="K1867" s="6">
        <f>MONTH(Tabla2[[#This Row],[OrderDate]])</f>
        <v>2</v>
      </c>
      <c r="L1867" s="6">
        <f>YEAR(Tabla2[[#This Row],[OrderDate]])</f>
        <v>2026</v>
      </c>
      <c r="M1867" s="7" t="s">
        <v>795</v>
      </c>
      <c r="N1867" s="7" t="s">
        <v>36</v>
      </c>
    </row>
    <row r="1868" spans="1:14" x14ac:dyDescent="0.35">
      <c r="A1868" s="7" t="s">
        <v>3180</v>
      </c>
      <c r="B1868" s="7" t="s">
        <v>842</v>
      </c>
      <c r="C1868" s="7" t="s">
        <v>843</v>
      </c>
      <c r="D1868" s="7" t="s">
        <v>32</v>
      </c>
      <c r="E1868" s="7" t="s">
        <v>33</v>
      </c>
      <c r="F1868" s="7" t="s">
        <v>42</v>
      </c>
      <c r="G1868" s="7" t="s">
        <v>225</v>
      </c>
      <c r="H1868" s="7">
        <v>1</v>
      </c>
      <c r="I1868" s="2">
        <v>1295.22</v>
      </c>
      <c r="J1868" s="2">
        <f>Tabla2[[#This Row],[Quantity]]*I1868</f>
        <v>1295.22</v>
      </c>
      <c r="K1868" s="6">
        <f>MONTH(Tabla2[[#This Row],[OrderDate]])</f>
        <v>3</v>
      </c>
      <c r="L1868" s="6">
        <f>YEAR(Tabla2[[#This Row],[OrderDate]])</f>
        <v>2026</v>
      </c>
      <c r="M1868" s="7" t="s">
        <v>2230</v>
      </c>
      <c r="N1868" s="7" t="s">
        <v>36</v>
      </c>
    </row>
    <row r="1869" spans="1:14" x14ac:dyDescent="0.35">
      <c r="A1869" s="7" t="s">
        <v>3181</v>
      </c>
      <c r="B1869" s="7" t="s">
        <v>396</v>
      </c>
      <c r="C1869" s="7" t="s">
        <v>397</v>
      </c>
      <c r="D1869" s="7" t="s">
        <v>14</v>
      </c>
      <c r="E1869" s="7" t="s">
        <v>266</v>
      </c>
      <c r="F1869" s="7" t="s">
        <v>16</v>
      </c>
      <c r="G1869" s="7" t="s">
        <v>230</v>
      </c>
      <c r="H1869" s="7">
        <v>2</v>
      </c>
      <c r="I1869" s="2">
        <v>226.25</v>
      </c>
      <c r="J1869" s="2">
        <f>Tabla2[[#This Row],[Quantity]]*I1869</f>
        <v>452.5</v>
      </c>
      <c r="K1869" s="6">
        <f>MONTH(Tabla2[[#This Row],[OrderDate]])</f>
        <v>2</v>
      </c>
      <c r="L1869" s="6">
        <f>YEAR(Tabla2[[#This Row],[OrderDate]])</f>
        <v>2026</v>
      </c>
      <c r="M1869" s="7" t="s">
        <v>2994</v>
      </c>
      <c r="N1869" s="7" t="s">
        <v>28</v>
      </c>
    </row>
    <row r="1870" spans="1:14" x14ac:dyDescent="0.35">
      <c r="A1870" s="7" t="s">
        <v>3182</v>
      </c>
      <c r="B1870" s="7" t="s">
        <v>105</v>
      </c>
      <c r="C1870" s="7" t="s">
        <v>106</v>
      </c>
      <c r="D1870" s="7" t="s">
        <v>67</v>
      </c>
      <c r="E1870" s="7" t="s">
        <v>68</v>
      </c>
      <c r="F1870" s="7" t="s">
        <v>50</v>
      </c>
      <c r="G1870" s="7" t="s">
        <v>51</v>
      </c>
      <c r="H1870" s="7">
        <v>5</v>
      </c>
      <c r="I1870" s="2">
        <v>1407.97</v>
      </c>
      <c r="J1870" s="2">
        <f>Tabla2[[#This Row],[Quantity]]*I1870</f>
        <v>7039.85</v>
      </c>
      <c r="K1870" s="6">
        <f>MONTH(Tabla2[[#This Row],[OrderDate]])</f>
        <v>9</v>
      </c>
      <c r="L1870" s="6">
        <f>YEAR(Tabla2[[#This Row],[OrderDate]])</f>
        <v>2024</v>
      </c>
      <c r="M1870" s="7" t="s">
        <v>1413</v>
      </c>
      <c r="N1870" s="7" t="s">
        <v>91</v>
      </c>
    </row>
    <row r="1871" spans="1:14" x14ac:dyDescent="0.35">
      <c r="A1871" s="7" t="s">
        <v>3183</v>
      </c>
      <c r="B1871" s="7" t="s">
        <v>388</v>
      </c>
      <c r="C1871" s="7" t="s">
        <v>389</v>
      </c>
      <c r="D1871" s="7" t="s">
        <v>40</v>
      </c>
      <c r="E1871" s="7" t="s">
        <v>79</v>
      </c>
      <c r="F1871" s="7" t="s">
        <v>16</v>
      </c>
      <c r="G1871" s="7" t="s">
        <v>182</v>
      </c>
      <c r="H1871" s="7">
        <v>4</v>
      </c>
      <c r="I1871" s="2">
        <v>1449.53</v>
      </c>
      <c r="J1871" s="2">
        <f>Tabla2[[#This Row],[Quantity]]*I1871</f>
        <v>5798.12</v>
      </c>
      <c r="K1871" s="6">
        <f>MONTH(Tabla2[[#This Row],[OrderDate]])</f>
        <v>5</v>
      </c>
      <c r="L1871" s="6">
        <f>YEAR(Tabla2[[#This Row],[OrderDate]])</f>
        <v>2025</v>
      </c>
      <c r="M1871" s="7" t="s">
        <v>301</v>
      </c>
      <c r="N1871" s="7" t="s">
        <v>36</v>
      </c>
    </row>
    <row r="1872" spans="1:14" x14ac:dyDescent="0.35">
      <c r="A1872" s="7" t="s">
        <v>3184</v>
      </c>
      <c r="B1872" s="7" t="s">
        <v>904</v>
      </c>
      <c r="C1872" s="7" t="s">
        <v>905</v>
      </c>
      <c r="D1872" s="7" t="s">
        <v>40</v>
      </c>
      <c r="E1872" s="7" t="s">
        <v>120</v>
      </c>
      <c r="F1872" s="7" t="s">
        <v>42</v>
      </c>
      <c r="G1872" s="7" t="s">
        <v>80</v>
      </c>
      <c r="H1872" s="7">
        <v>3</v>
      </c>
      <c r="I1872" s="2">
        <v>1486.46</v>
      </c>
      <c r="J1872" s="2">
        <f>Tabla2[[#This Row],[Quantity]]*I1872</f>
        <v>4459.38</v>
      </c>
      <c r="K1872" s="6">
        <f>MONTH(Tabla2[[#This Row],[OrderDate]])</f>
        <v>4</v>
      </c>
      <c r="L1872" s="6">
        <f>YEAR(Tabla2[[#This Row],[OrderDate]])</f>
        <v>2025</v>
      </c>
      <c r="M1872" s="7" t="s">
        <v>765</v>
      </c>
      <c r="N1872" s="7" t="s">
        <v>45</v>
      </c>
    </row>
    <row r="1873" spans="1:14" x14ac:dyDescent="0.35">
      <c r="A1873" s="7" t="s">
        <v>3185</v>
      </c>
      <c r="B1873" s="7" t="s">
        <v>1423</v>
      </c>
      <c r="C1873" s="7" t="s">
        <v>1424</v>
      </c>
      <c r="D1873" s="7" t="s">
        <v>32</v>
      </c>
      <c r="E1873" s="7" t="s">
        <v>203</v>
      </c>
      <c r="F1873" s="7" t="s">
        <v>16</v>
      </c>
      <c r="G1873" s="7" t="s">
        <v>182</v>
      </c>
      <c r="H1873" s="7">
        <v>3</v>
      </c>
      <c r="I1873" s="2">
        <v>1316.87</v>
      </c>
      <c r="J1873" s="2">
        <f>Tabla2[[#This Row],[Quantity]]*I1873</f>
        <v>3950.6099999999997</v>
      </c>
      <c r="K1873" s="6">
        <f>MONTH(Tabla2[[#This Row],[OrderDate]])</f>
        <v>1</v>
      </c>
      <c r="L1873" s="6">
        <f>YEAR(Tabla2[[#This Row],[OrderDate]])</f>
        <v>2026</v>
      </c>
      <c r="M1873" s="7" t="s">
        <v>620</v>
      </c>
      <c r="N1873" s="7" t="s">
        <v>36</v>
      </c>
    </row>
    <row r="1874" spans="1:14" x14ac:dyDescent="0.35">
      <c r="A1874" s="7" t="s">
        <v>3186</v>
      </c>
      <c r="B1874" s="7" t="s">
        <v>1144</v>
      </c>
      <c r="C1874" s="7" t="s">
        <v>1145</v>
      </c>
      <c r="D1874" s="7" t="s">
        <v>32</v>
      </c>
      <c r="E1874" s="7" t="s">
        <v>33</v>
      </c>
      <c r="F1874" s="7" t="s">
        <v>42</v>
      </c>
      <c r="G1874" s="7" t="s">
        <v>225</v>
      </c>
      <c r="H1874" s="7">
        <v>1</v>
      </c>
      <c r="I1874" s="2">
        <v>291</v>
      </c>
      <c r="J1874" s="2">
        <f>Tabla2[[#This Row],[Quantity]]*I1874</f>
        <v>291</v>
      </c>
      <c r="K1874" s="6">
        <f>MONTH(Tabla2[[#This Row],[OrderDate]])</f>
        <v>3</v>
      </c>
      <c r="L1874" s="6">
        <f>YEAR(Tabla2[[#This Row],[OrderDate]])</f>
        <v>2024</v>
      </c>
      <c r="M1874" s="7" t="s">
        <v>2990</v>
      </c>
      <c r="N1874" s="7" t="s">
        <v>28</v>
      </c>
    </row>
    <row r="1875" spans="1:14" x14ac:dyDescent="0.35">
      <c r="A1875" s="7" t="s">
        <v>3187</v>
      </c>
      <c r="B1875" s="7" t="s">
        <v>1707</v>
      </c>
      <c r="C1875" s="7" t="s">
        <v>1708</v>
      </c>
      <c r="D1875" s="7" t="s">
        <v>14</v>
      </c>
      <c r="E1875" s="7" t="s">
        <v>266</v>
      </c>
      <c r="F1875" s="7" t="s">
        <v>50</v>
      </c>
      <c r="G1875" s="7" t="s">
        <v>69</v>
      </c>
      <c r="H1875" s="7">
        <v>2</v>
      </c>
      <c r="I1875" s="2">
        <v>357.78</v>
      </c>
      <c r="J1875" s="2">
        <f>Tabla2[[#This Row],[Quantity]]*I1875</f>
        <v>715.56</v>
      </c>
      <c r="K1875" s="6">
        <f>MONTH(Tabla2[[#This Row],[OrderDate]])</f>
        <v>5</v>
      </c>
      <c r="L1875" s="6">
        <f>YEAR(Tabla2[[#This Row],[OrderDate]])</f>
        <v>2025</v>
      </c>
      <c r="M1875" s="7" t="s">
        <v>870</v>
      </c>
      <c r="N1875" s="7" t="s">
        <v>19</v>
      </c>
    </row>
    <row r="1876" spans="1:14" x14ac:dyDescent="0.35">
      <c r="A1876" s="7" t="s">
        <v>3188</v>
      </c>
      <c r="B1876" s="7" t="s">
        <v>435</v>
      </c>
      <c r="C1876" s="7" t="s">
        <v>436</v>
      </c>
      <c r="D1876" s="7" t="s">
        <v>14</v>
      </c>
      <c r="E1876" s="7" t="s">
        <v>100</v>
      </c>
      <c r="F1876" s="7" t="s">
        <v>50</v>
      </c>
      <c r="G1876" s="7" t="s">
        <v>51</v>
      </c>
      <c r="H1876" s="7">
        <v>1</v>
      </c>
      <c r="I1876" s="2">
        <v>575.39</v>
      </c>
      <c r="J1876" s="2">
        <f>Tabla2[[#This Row],[Quantity]]*I1876</f>
        <v>575.39</v>
      </c>
      <c r="K1876" s="6">
        <f>MONTH(Tabla2[[#This Row],[OrderDate]])</f>
        <v>6</v>
      </c>
      <c r="L1876" s="6">
        <f>YEAR(Tabla2[[#This Row],[OrderDate]])</f>
        <v>2025</v>
      </c>
      <c r="M1876" s="7" t="s">
        <v>3022</v>
      </c>
      <c r="N1876" s="7" t="s">
        <v>28</v>
      </c>
    </row>
    <row r="1877" spans="1:14" x14ac:dyDescent="0.35">
      <c r="A1877" s="7" t="s">
        <v>3189</v>
      </c>
      <c r="B1877" s="7" t="s">
        <v>755</v>
      </c>
      <c r="C1877" s="7" t="s">
        <v>756</v>
      </c>
      <c r="D1877" s="7" t="s">
        <v>32</v>
      </c>
      <c r="E1877" s="7" t="s">
        <v>61</v>
      </c>
      <c r="F1877" s="7" t="s">
        <v>101</v>
      </c>
      <c r="G1877" s="7" t="s">
        <v>237</v>
      </c>
      <c r="H1877" s="7">
        <v>1</v>
      </c>
      <c r="I1877" s="2">
        <v>1466.27</v>
      </c>
      <c r="J1877" s="2">
        <f>Tabla2[[#This Row],[Quantity]]*I1877</f>
        <v>1466.27</v>
      </c>
      <c r="K1877" s="6">
        <f>MONTH(Tabla2[[#This Row],[OrderDate]])</f>
        <v>3</v>
      </c>
      <c r="L1877" s="6">
        <f>YEAR(Tabla2[[#This Row],[OrderDate]])</f>
        <v>2024</v>
      </c>
      <c r="M1877" s="7" t="s">
        <v>2894</v>
      </c>
      <c r="N1877" s="7" t="s">
        <v>19</v>
      </c>
    </row>
    <row r="1878" spans="1:14" x14ac:dyDescent="0.35">
      <c r="A1878" s="7" t="s">
        <v>3190</v>
      </c>
      <c r="B1878" s="7" t="s">
        <v>690</v>
      </c>
      <c r="C1878" s="7" t="s">
        <v>691</v>
      </c>
      <c r="D1878" s="7" t="s">
        <v>67</v>
      </c>
      <c r="E1878" s="7" t="s">
        <v>115</v>
      </c>
      <c r="F1878" s="7" t="s">
        <v>16</v>
      </c>
      <c r="G1878" s="7" t="s">
        <v>230</v>
      </c>
      <c r="H1878" s="7">
        <v>1</v>
      </c>
      <c r="I1878" s="2">
        <v>1161.8599999999999</v>
      </c>
      <c r="J1878" s="2">
        <f>Tabla2[[#This Row],[Quantity]]*I1878</f>
        <v>1161.8599999999999</v>
      </c>
      <c r="K1878" s="6">
        <f>MONTH(Tabla2[[#This Row],[OrderDate]])</f>
        <v>8</v>
      </c>
      <c r="L1878" s="6">
        <f>YEAR(Tabla2[[#This Row],[OrderDate]])</f>
        <v>2025</v>
      </c>
      <c r="M1878" s="7" t="s">
        <v>600</v>
      </c>
      <c r="N1878" s="7" t="s">
        <v>91</v>
      </c>
    </row>
    <row r="1879" spans="1:14" x14ac:dyDescent="0.35">
      <c r="A1879" s="7" t="s">
        <v>3191</v>
      </c>
      <c r="B1879" s="7" t="s">
        <v>832</v>
      </c>
      <c r="C1879" s="7" t="s">
        <v>833</v>
      </c>
      <c r="D1879" s="7" t="s">
        <v>40</v>
      </c>
      <c r="E1879" s="7" t="s">
        <v>41</v>
      </c>
      <c r="F1879" s="7" t="s">
        <v>101</v>
      </c>
      <c r="G1879" s="7" t="s">
        <v>373</v>
      </c>
      <c r="H1879" s="7">
        <v>5</v>
      </c>
      <c r="I1879" s="2">
        <v>967.33</v>
      </c>
      <c r="J1879" s="2">
        <f>Tabla2[[#This Row],[Quantity]]*I1879</f>
        <v>4836.6500000000005</v>
      </c>
      <c r="K1879" s="6">
        <f>MONTH(Tabla2[[#This Row],[OrderDate]])</f>
        <v>8</v>
      </c>
      <c r="L1879" s="6">
        <f>YEAR(Tabla2[[#This Row],[OrderDate]])</f>
        <v>2025</v>
      </c>
      <c r="M1879" s="7" t="s">
        <v>2396</v>
      </c>
      <c r="N1879" s="7" t="s">
        <v>36</v>
      </c>
    </row>
    <row r="1880" spans="1:14" x14ac:dyDescent="0.35">
      <c r="A1880" s="7" t="s">
        <v>3192</v>
      </c>
      <c r="B1880" s="7" t="s">
        <v>392</v>
      </c>
      <c r="C1880" s="7" t="s">
        <v>393</v>
      </c>
      <c r="D1880" s="7" t="s">
        <v>67</v>
      </c>
      <c r="E1880" s="7" t="s">
        <v>130</v>
      </c>
      <c r="F1880" s="7" t="s">
        <v>42</v>
      </c>
      <c r="G1880" s="7" t="s">
        <v>89</v>
      </c>
      <c r="H1880" s="7">
        <v>1</v>
      </c>
      <c r="I1880" s="2">
        <v>573.71</v>
      </c>
      <c r="J1880" s="2">
        <f>Tabla2[[#This Row],[Quantity]]*I1880</f>
        <v>573.71</v>
      </c>
      <c r="K1880" s="6">
        <f>MONTH(Tabla2[[#This Row],[OrderDate]])</f>
        <v>1</v>
      </c>
      <c r="L1880" s="6">
        <f>YEAR(Tabla2[[#This Row],[OrderDate]])</f>
        <v>2025</v>
      </c>
      <c r="M1880" s="7" t="s">
        <v>2151</v>
      </c>
      <c r="N1880" s="7" t="s">
        <v>19</v>
      </c>
    </row>
    <row r="1881" spans="1:14" x14ac:dyDescent="0.35">
      <c r="A1881" s="7" t="s">
        <v>3193</v>
      </c>
      <c r="B1881" s="7" t="s">
        <v>548</v>
      </c>
      <c r="C1881" s="7" t="s">
        <v>549</v>
      </c>
      <c r="D1881" s="7" t="s">
        <v>23</v>
      </c>
      <c r="E1881" s="7" t="s">
        <v>49</v>
      </c>
      <c r="F1881" s="7" t="s">
        <v>101</v>
      </c>
      <c r="G1881" s="7" t="s">
        <v>165</v>
      </c>
      <c r="H1881" s="7">
        <v>4</v>
      </c>
      <c r="I1881" s="2">
        <v>995.11</v>
      </c>
      <c r="J1881" s="2">
        <f>Tabla2[[#This Row],[Quantity]]*I1881</f>
        <v>3980.44</v>
      </c>
      <c r="K1881" s="6">
        <f>MONTH(Tabla2[[#This Row],[OrderDate]])</f>
        <v>5</v>
      </c>
      <c r="L1881" s="6">
        <f>YEAR(Tabla2[[#This Row],[OrderDate]])</f>
        <v>2025</v>
      </c>
      <c r="M1881" s="7" t="s">
        <v>319</v>
      </c>
      <c r="N1881" s="7" t="s">
        <v>19</v>
      </c>
    </row>
    <row r="1882" spans="1:14" x14ac:dyDescent="0.35">
      <c r="A1882" s="7" t="s">
        <v>3194</v>
      </c>
      <c r="B1882" s="7" t="s">
        <v>633</v>
      </c>
      <c r="C1882" s="7" t="s">
        <v>634</v>
      </c>
      <c r="D1882" s="7" t="s">
        <v>23</v>
      </c>
      <c r="E1882" s="7" t="s">
        <v>49</v>
      </c>
      <c r="F1882" s="7" t="s">
        <v>101</v>
      </c>
      <c r="G1882" s="7" t="s">
        <v>102</v>
      </c>
      <c r="H1882" s="7">
        <v>5</v>
      </c>
      <c r="I1882" s="2">
        <v>969.26</v>
      </c>
      <c r="J1882" s="2">
        <f>Tabla2[[#This Row],[Quantity]]*I1882</f>
        <v>4846.3</v>
      </c>
      <c r="K1882" s="6">
        <f>MONTH(Tabla2[[#This Row],[OrderDate]])</f>
        <v>2</v>
      </c>
      <c r="L1882" s="6">
        <f>YEAR(Tabla2[[#This Row],[OrderDate]])</f>
        <v>2024</v>
      </c>
      <c r="M1882" s="7" t="s">
        <v>121</v>
      </c>
      <c r="N1882" s="7" t="s">
        <v>19</v>
      </c>
    </row>
    <row r="1883" spans="1:14" x14ac:dyDescent="0.35">
      <c r="A1883" s="7" t="s">
        <v>3195</v>
      </c>
      <c r="B1883" s="7" t="s">
        <v>969</v>
      </c>
      <c r="C1883" s="7" t="s">
        <v>970</v>
      </c>
      <c r="D1883" s="7" t="s">
        <v>32</v>
      </c>
      <c r="E1883" s="7" t="s">
        <v>203</v>
      </c>
      <c r="F1883" s="7" t="s">
        <v>101</v>
      </c>
      <c r="G1883" s="7" t="s">
        <v>102</v>
      </c>
      <c r="H1883" s="7">
        <v>5</v>
      </c>
      <c r="I1883" s="2">
        <v>386.1</v>
      </c>
      <c r="J1883" s="2">
        <f>Tabla2[[#This Row],[Quantity]]*I1883</f>
        <v>1930.5</v>
      </c>
      <c r="K1883" s="6">
        <f>MONTH(Tabla2[[#This Row],[OrderDate]])</f>
        <v>2</v>
      </c>
      <c r="L1883" s="6">
        <f>YEAR(Tabla2[[#This Row],[OrderDate]])</f>
        <v>2024</v>
      </c>
      <c r="M1883" s="7" t="s">
        <v>850</v>
      </c>
      <c r="N1883" s="7" t="s">
        <v>19</v>
      </c>
    </row>
    <row r="1884" spans="1:14" x14ac:dyDescent="0.35">
      <c r="A1884" s="7" t="s">
        <v>3196</v>
      </c>
      <c r="B1884" s="7" t="s">
        <v>532</v>
      </c>
      <c r="C1884" s="7" t="s">
        <v>533</v>
      </c>
      <c r="D1884" s="7" t="s">
        <v>40</v>
      </c>
      <c r="E1884" s="7" t="s">
        <v>79</v>
      </c>
      <c r="F1884" s="7" t="s">
        <v>50</v>
      </c>
      <c r="G1884" s="7" t="s">
        <v>51</v>
      </c>
      <c r="H1884" s="7">
        <v>1</v>
      </c>
      <c r="I1884" s="2">
        <v>258.11</v>
      </c>
      <c r="J1884" s="2">
        <f>Tabla2[[#This Row],[Quantity]]*I1884</f>
        <v>258.11</v>
      </c>
      <c r="K1884" s="6">
        <f>MONTH(Tabla2[[#This Row],[OrderDate]])</f>
        <v>3</v>
      </c>
      <c r="L1884" s="6">
        <f>YEAR(Tabla2[[#This Row],[OrderDate]])</f>
        <v>2024</v>
      </c>
      <c r="M1884" s="7" t="s">
        <v>3197</v>
      </c>
      <c r="N1884" s="7" t="s">
        <v>19</v>
      </c>
    </row>
    <row r="1885" spans="1:14" x14ac:dyDescent="0.35">
      <c r="A1885" s="7" t="s">
        <v>3198</v>
      </c>
      <c r="B1885" s="7" t="s">
        <v>1149</v>
      </c>
      <c r="C1885" s="7" t="s">
        <v>1150</v>
      </c>
      <c r="D1885" s="7" t="s">
        <v>23</v>
      </c>
      <c r="E1885" s="7" t="s">
        <v>24</v>
      </c>
      <c r="F1885" s="7" t="s">
        <v>50</v>
      </c>
      <c r="G1885" s="7" t="s">
        <v>51</v>
      </c>
      <c r="H1885" s="7">
        <v>4</v>
      </c>
      <c r="I1885" s="2">
        <v>267.93</v>
      </c>
      <c r="J1885" s="2">
        <f>Tabla2[[#This Row],[Quantity]]*I1885</f>
        <v>1071.72</v>
      </c>
      <c r="K1885" s="6">
        <f>MONTH(Tabla2[[#This Row],[OrderDate]])</f>
        <v>12</v>
      </c>
      <c r="L1885" s="6">
        <f>YEAR(Tabla2[[#This Row],[OrderDate]])</f>
        <v>2025</v>
      </c>
      <c r="M1885" s="7" t="s">
        <v>382</v>
      </c>
      <c r="N1885" s="7" t="s">
        <v>91</v>
      </c>
    </row>
    <row r="1886" spans="1:14" x14ac:dyDescent="0.35">
      <c r="A1886" s="7" t="s">
        <v>3199</v>
      </c>
      <c r="B1886" s="7" t="s">
        <v>558</v>
      </c>
      <c r="C1886" s="7" t="s">
        <v>559</v>
      </c>
      <c r="D1886" s="7" t="s">
        <v>67</v>
      </c>
      <c r="E1886" s="7" t="s">
        <v>68</v>
      </c>
      <c r="F1886" s="7" t="s">
        <v>50</v>
      </c>
      <c r="G1886" s="7" t="s">
        <v>51</v>
      </c>
      <c r="H1886" s="7">
        <v>2</v>
      </c>
      <c r="I1886" s="2">
        <v>946.83</v>
      </c>
      <c r="J1886" s="2">
        <f>Tabla2[[#This Row],[Quantity]]*I1886</f>
        <v>1893.66</v>
      </c>
      <c r="K1886" s="6">
        <f>MONTH(Tabla2[[#This Row],[OrderDate]])</f>
        <v>1</v>
      </c>
      <c r="L1886" s="6">
        <f>YEAR(Tabla2[[#This Row],[OrderDate]])</f>
        <v>2024</v>
      </c>
      <c r="M1886" s="7" t="s">
        <v>3200</v>
      </c>
      <c r="N1886" s="7" t="s">
        <v>28</v>
      </c>
    </row>
    <row r="1887" spans="1:14" x14ac:dyDescent="0.35">
      <c r="A1887" s="7" t="s">
        <v>3201</v>
      </c>
      <c r="B1887" s="7" t="s">
        <v>380</v>
      </c>
      <c r="C1887" s="7" t="s">
        <v>381</v>
      </c>
      <c r="D1887" s="7" t="s">
        <v>67</v>
      </c>
      <c r="E1887" s="7" t="s">
        <v>115</v>
      </c>
      <c r="F1887" s="7" t="s">
        <v>42</v>
      </c>
      <c r="G1887" s="7" t="s">
        <v>43</v>
      </c>
      <c r="H1887" s="7">
        <v>1</v>
      </c>
      <c r="I1887" s="2">
        <v>329.42</v>
      </c>
      <c r="J1887" s="2">
        <f>Tabla2[[#This Row],[Quantity]]*I1887</f>
        <v>329.42</v>
      </c>
      <c r="K1887" s="6">
        <f>MONTH(Tabla2[[#This Row],[OrderDate]])</f>
        <v>1</v>
      </c>
      <c r="L1887" s="6">
        <f>YEAR(Tabla2[[#This Row],[OrderDate]])</f>
        <v>2025</v>
      </c>
      <c r="M1887" s="7" t="s">
        <v>1385</v>
      </c>
      <c r="N1887" s="7" t="s">
        <v>19</v>
      </c>
    </row>
    <row r="1888" spans="1:14" x14ac:dyDescent="0.35">
      <c r="A1888" s="7" t="s">
        <v>3202</v>
      </c>
      <c r="B1888" s="7" t="s">
        <v>235</v>
      </c>
      <c r="C1888" s="7" t="s">
        <v>236</v>
      </c>
      <c r="D1888" s="7" t="s">
        <v>32</v>
      </c>
      <c r="E1888" s="7" t="s">
        <v>61</v>
      </c>
      <c r="F1888" s="7" t="s">
        <v>16</v>
      </c>
      <c r="G1888" s="7" t="s">
        <v>230</v>
      </c>
      <c r="H1888" s="7">
        <v>2</v>
      </c>
      <c r="I1888" s="2">
        <v>151.36000000000001</v>
      </c>
      <c r="J1888" s="2">
        <f>Tabla2[[#This Row],[Quantity]]*I1888</f>
        <v>302.72000000000003</v>
      </c>
      <c r="K1888" s="6">
        <f>MONTH(Tabla2[[#This Row],[OrderDate]])</f>
        <v>11</v>
      </c>
      <c r="L1888" s="6">
        <f>YEAR(Tabla2[[#This Row],[OrderDate]])</f>
        <v>2024</v>
      </c>
      <c r="M1888" s="7" t="s">
        <v>2463</v>
      </c>
      <c r="N1888" s="7" t="s">
        <v>45</v>
      </c>
    </row>
    <row r="1889" spans="1:14" x14ac:dyDescent="0.35">
      <c r="A1889" s="7" t="s">
        <v>3203</v>
      </c>
      <c r="B1889" s="7" t="s">
        <v>446</v>
      </c>
      <c r="C1889" s="7" t="s">
        <v>447</v>
      </c>
      <c r="D1889" s="7" t="s">
        <v>23</v>
      </c>
      <c r="E1889" s="7" t="s">
        <v>49</v>
      </c>
      <c r="F1889" s="7" t="s">
        <v>16</v>
      </c>
      <c r="G1889" s="7" t="s">
        <v>148</v>
      </c>
      <c r="H1889" s="7">
        <v>5</v>
      </c>
      <c r="I1889" s="2">
        <v>713.36</v>
      </c>
      <c r="J1889" s="2">
        <f>Tabla2[[#This Row],[Quantity]]*I1889</f>
        <v>3566.8</v>
      </c>
      <c r="K1889" s="6">
        <f>MONTH(Tabla2[[#This Row],[OrderDate]])</f>
        <v>11</v>
      </c>
      <c r="L1889" s="6">
        <f>YEAR(Tabla2[[#This Row],[OrderDate]])</f>
        <v>2024</v>
      </c>
      <c r="M1889" s="7" t="s">
        <v>217</v>
      </c>
      <c r="N1889" s="7" t="s">
        <v>45</v>
      </c>
    </row>
    <row r="1890" spans="1:14" x14ac:dyDescent="0.35">
      <c r="A1890" s="7" t="s">
        <v>3204</v>
      </c>
      <c r="B1890" s="7" t="s">
        <v>801</v>
      </c>
      <c r="C1890" s="7" t="s">
        <v>802</v>
      </c>
      <c r="D1890" s="7" t="s">
        <v>14</v>
      </c>
      <c r="E1890" s="7" t="s">
        <v>95</v>
      </c>
      <c r="F1890" s="7" t="s">
        <v>101</v>
      </c>
      <c r="G1890" s="7" t="s">
        <v>237</v>
      </c>
      <c r="H1890" s="7">
        <v>3</v>
      </c>
      <c r="I1890" s="2">
        <v>1146.25</v>
      </c>
      <c r="J1890" s="2">
        <f>Tabla2[[#This Row],[Quantity]]*I1890</f>
        <v>3438.75</v>
      </c>
      <c r="K1890" s="6">
        <f>MONTH(Tabla2[[#This Row],[OrderDate]])</f>
        <v>2</v>
      </c>
      <c r="L1890" s="6">
        <f>YEAR(Tabla2[[#This Row],[OrderDate]])</f>
        <v>2024</v>
      </c>
      <c r="M1890" s="7" t="s">
        <v>121</v>
      </c>
      <c r="N1890" s="7" t="s">
        <v>28</v>
      </c>
    </row>
    <row r="1891" spans="1:14" x14ac:dyDescent="0.35">
      <c r="A1891" s="7" t="s">
        <v>3205</v>
      </c>
      <c r="B1891" s="7" t="s">
        <v>785</v>
      </c>
      <c r="C1891" s="7" t="s">
        <v>786</v>
      </c>
      <c r="D1891" s="7" t="s">
        <v>40</v>
      </c>
      <c r="E1891" s="7" t="s">
        <v>120</v>
      </c>
      <c r="F1891" s="7" t="s">
        <v>25</v>
      </c>
      <c r="G1891" s="7" t="s">
        <v>34</v>
      </c>
      <c r="H1891" s="7">
        <v>5</v>
      </c>
      <c r="I1891" s="2">
        <v>128.06</v>
      </c>
      <c r="J1891" s="2">
        <f>Tabla2[[#This Row],[Quantity]]*I1891</f>
        <v>640.29999999999995</v>
      </c>
      <c r="K1891" s="6">
        <f>MONTH(Tabla2[[#This Row],[OrderDate]])</f>
        <v>4</v>
      </c>
      <c r="L1891" s="6">
        <f>YEAR(Tabla2[[#This Row],[OrderDate]])</f>
        <v>2026</v>
      </c>
      <c r="M1891" s="7" t="s">
        <v>1779</v>
      </c>
      <c r="N1891" s="7" t="s">
        <v>19</v>
      </c>
    </row>
    <row r="1892" spans="1:14" x14ac:dyDescent="0.35">
      <c r="A1892" s="7" t="s">
        <v>3206</v>
      </c>
      <c r="B1892" s="7" t="s">
        <v>755</v>
      </c>
      <c r="C1892" s="7" t="s">
        <v>756</v>
      </c>
      <c r="D1892" s="7" t="s">
        <v>14</v>
      </c>
      <c r="E1892" s="7" t="s">
        <v>125</v>
      </c>
      <c r="F1892" s="7" t="s">
        <v>101</v>
      </c>
      <c r="G1892" s="7" t="s">
        <v>649</v>
      </c>
      <c r="H1892" s="7">
        <v>3</v>
      </c>
      <c r="I1892" s="2">
        <v>407.2</v>
      </c>
      <c r="J1892" s="2">
        <f>Tabla2[[#This Row],[Quantity]]*I1892</f>
        <v>1221.5999999999999</v>
      </c>
      <c r="K1892" s="6">
        <f>MONTH(Tabla2[[#This Row],[OrderDate]])</f>
        <v>2</v>
      </c>
      <c r="L1892" s="6">
        <f>YEAR(Tabla2[[#This Row],[OrderDate]])</f>
        <v>2024</v>
      </c>
      <c r="M1892" s="7" t="s">
        <v>121</v>
      </c>
      <c r="N1892" s="7" t="s">
        <v>28</v>
      </c>
    </row>
    <row r="1893" spans="1:14" x14ac:dyDescent="0.35">
      <c r="A1893" s="7" t="s">
        <v>3207</v>
      </c>
      <c r="B1893" s="7" t="s">
        <v>1018</v>
      </c>
      <c r="C1893" s="7" t="s">
        <v>1019</v>
      </c>
      <c r="D1893" s="7" t="s">
        <v>40</v>
      </c>
      <c r="E1893" s="7" t="s">
        <v>120</v>
      </c>
      <c r="F1893" s="7" t="s">
        <v>16</v>
      </c>
      <c r="G1893" s="7" t="s">
        <v>17</v>
      </c>
      <c r="H1893" s="7">
        <v>5</v>
      </c>
      <c r="I1893" s="2">
        <v>775.62</v>
      </c>
      <c r="J1893" s="2">
        <f>Tabla2[[#This Row],[Quantity]]*I1893</f>
        <v>3878.1</v>
      </c>
      <c r="K1893" s="6">
        <f>MONTH(Tabla2[[#This Row],[OrderDate]])</f>
        <v>5</v>
      </c>
      <c r="L1893" s="6">
        <f>YEAR(Tabla2[[#This Row],[OrderDate]])</f>
        <v>2024</v>
      </c>
      <c r="M1893" s="7" t="s">
        <v>3208</v>
      </c>
      <c r="N1893" s="7" t="s">
        <v>28</v>
      </c>
    </row>
    <row r="1894" spans="1:14" x14ac:dyDescent="0.35">
      <c r="A1894" s="7" t="s">
        <v>3209</v>
      </c>
      <c r="B1894" s="7" t="s">
        <v>128</v>
      </c>
      <c r="C1894" s="7" t="s">
        <v>129</v>
      </c>
      <c r="D1894" s="7" t="s">
        <v>14</v>
      </c>
      <c r="E1894" s="7" t="s">
        <v>95</v>
      </c>
      <c r="F1894" s="7" t="s">
        <v>16</v>
      </c>
      <c r="G1894" s="7" t="s">
        <v>182</v>
      </c>
      <c r="H1894" s="7">
        <v>3</v>
      </c>
      <c r="I1894" s="2">
        <v>135.05000000000001</v>
      </c>
      <c r="J1894" s="2">
        <f>Tabla2[[#This Row],[Quantity]]*I1894</f>
        <v>405.15000000000003</v>
      </c>
      <c r="K1894" s="6">
        <f>MONTH(Tabla2[[#This Row],[OrderDate]])</f>
        <v>2</v>
      </c>
      <c r="L1894" s="6">
        <f>YEAR(Tabla2[[#This Row],[OrderDate]])</f>
        <v>2025</v>
      </c>
      <c r="M1894" s="7" t="s">
        <v>508</v>
      </c>
      <c r="N1894" s="7" t="s">
        <v>36</v>
      </c>
    </row>
    <row r="1895" spans="1:14" x14ac:dyDescent="0.35">
      <c r="A1895" s="7" t="s">
        <v>3210</v>
      </c>
      <c r="B1895" s="7" t="s">
        <v>860</v>
      </c>
      <c r="C1895" s="7" t="s">
        <v>861</v>
      </c>
      <c r="D1895" s="7" t="s">
        <v>14</v>
      </c>
      <c r="E1895" s="7" t="s">
        <v>266</v>
      </c>
      <c r="F1895" s="7" t="s">
        <v>16</v>
      </c>
      <c r="G1895" s="7" t="s">
        <v>17</v>
      </c>
      <c r="H1895" s="7">
        <v>5</v>
      </c>
      <c r="I1895" s="2">
        <v>306.06</v>
      </c>
      <c r="J1895" s="2">
        <f>Tabla2[[#This Row],[Quantity]]*I1895</f>
        <v>1530.3</v>
      </c>
      <c r="K1895" s="6">
        <f>MONTH(Tabla2[[#This Row],[OrderDate]])</f>
        <v>3</v>
      </c>
      <c r="L1895" s="6">
        <f>YEAR(Tabla2[[#This Row],[OrderDate]])</f>
        <v>2025</v>
      </c>
      <c r="M1895" s="7" t="s">
        <v>3211</v>
      </c>
      <c r="N1895" s="7" t="s">
        <v>28</v>
      </c>
    </row>
    <row r="1896" spans="1:14" x14ac:dyDescent="0.35">
      <c r="A1896" s="7" t="s">
        <v>3212</v>
      </c>
      <c r="B1896" s="7" t="s">
        <v>2245</v>
      </c>
      <c r="C1896" s="7" t="s">
        <v>2246</v>
      </c>
      <c r="D1896" s="7" t="s">
        <v>67</v>
      </c>
      <c r="E1896" s="7" t="s">
        <v>130</v>
      </c>
      <c r="F1896" s="7" t="s">
        <v>16</v>
      </c>
      <c r="G1896" s="7" t="s">
        <v>182</v>
      </c>
      <c r="H1896" s="7">
        <v>2</v>
      </c>
      <c r="I1896" s="2">
        <v>1318.59</v>
      </c>
      <c r="J1896" s="2">
        <f>Tabla2[[#This Row],[Quantity]]*I1896</f>
        <v>2637.18</v>
      </c>
      <c r="K1896" s="6">
        <f>MONTH(Tabla2[[#This Row],[OrderDate]])</f>
        <v>4</v>
      </c>
      <c r="L1896" s="6">
        <f>YEAR(Tabla2[[#This Row],[OrderDate]])</f>
        <v>2025</v>
      </c>
      <c r="M1896" s="7" t="s">
        <v>1217</v>
      </c>
      <c r="N1896" s="7" t="s">
        <v>28</v>
      </c>
    </row>
    <row r="1897" spans="1:14" x14ac:dyDescent="0.35">
      <c r="A1897" s="7" t="s">
        <v>3213</v>
      </c>
      <c r="B1897" s="7" t="s">
        <v>1170</v>
      </c>
      <c r="C1897" s="7" t="s">
        <v>1171</v>
      </c>
      <c r="D1897" s="7" t="s">
        <v>32</v>
      </c>
      <c r="E1897" s="7" t="s">
        <v>33</v>
      </c>
      <c r="F1897" s="7" t="s">
        <v>101</v>
      </c>
      <c r="G1897" s="7" t="s">
        <v>165</v>
      </c>
      <c r="H1897" s="7">
        <v>2</v>
      </c>
      <c r="I1897" s="2">
        <v>382.73</v>
      </c>
      <c r="J1897" s="2">
        <f>Tabla2[[#This Row],[Quantity]]*I1897</f>
        <v>765.46</v>
      </c>
      <c r="K1897" s="6">
        <f>MONTH(Tabla2[[#This Row],[OrderDate]])</f>
        <v>11</v>
      </c>
      <c r="L1897" s="6">
        <f>YEAR(Tabla2[[#This Row],[OrderDate]])</f>
        <v>2025</v>
      </c>
      <c r="M1897" s="7" t="s">
        <v>1781</v>
      </c>
      <c r="N1897" s="7" t="s">
        <v>45</v>
      </c>
    </row>
    <row r="1898" spans="1:14" x14ac:dyDescent="0.35">
      <c r="A1898" s="7" t="s">
        <v>3214</v>
      </c>
      <c r="B1898" s="7" t="s">
        <v>723</v>
      </c>
      <c r="C1898" s="7" t="s">
        <v>724</v>
      </c>
      <c r="D1898" s="7" t="s">
        <v>23</v>
      </c>
      <c r="E1898" s="7" t="s">
        <v>338</v>
      </c>
      <c r="F1898" s="7" t="s">
        <v>42</v>
      </c>
      <c r="G1898" s="7" t="s">
        <v>80</v>
      </c>
      <c r="H1898" s="7">
        <v>3</v>
      </c>
      <c r="I1898" s="2">
        <v>927.95</v>
      </c>
      <c r="J1898" s="2">
        <f>Tabla2[[#This Row],[Quantity]]*I1898</f>
        <v>2783.8500000000004</v>
      </c>
      <c r="K1898" s="6">
        <f>MONTH(Tabla2[[#This Row],[OrderDate]])</f>
        <v>1</v>
      </c>
      <c r="L1898" s="6">
        <f>YEAR(Tabla2[[#This Row],[OrderDate]])</f>
        <v>2026</v>
      </c>
      <c r="M1898" s="7" t="s">
        <v>1235</v>
      </c>
      <c r="N1898" s="7" t="s">
        <v>91</v>
      </c>
    </row>
    <row r="1899" spans="1:14" x14ac:dyDescent="0.35">
      <c r="A1899" s="7" t="s">
        <v>3215</v>
      </c>
      <c r="B1899" s="7" t="s">
        <v>1496</v>
      </c>
      <c r="C1899" s="7" t="s">
        <v>1497</v>
      </c>
      <c r="D1899" s="7" t="s">
        <v>14</v>
      </c>
      <c r="E1899" s="7" t="s">
        <v>266</v>
      </c>
      <c r="F1899" s="7" t="s">
        <v>50</v>
      </c>
      <c r="G1899" s="7" t="s">
        <v>170</v>
      </c>
      <c r="H1899" s="7">
        <v>2</v>
      </c>
      <c r="I1899" s="2">
        <v>770.5</v>
      </c>
      <c r="J1899" s="2">
        <f>Tabla2[[#This Row],[Quantity]]*I1899</f>
        <v>1541</v>
      </c>
      <c r="K1899" s="6">
        <f>MONTH(Tabla2[[#This Row],[OrderDate]])</f>
        <v>2</v>
      </c>
      <c r="L1899" s="6">
        <f>YEAR(Tabla2[[#This Row],[OrderDate]])</f>
        <v>2024</v>
      </c>
      <c r="M1899" s="7" t="s">
        <v>850</v>
      </c>
      <c r="N1899" s="7" t="s">
        <v>45</v>
      </c>
    </row>
    <row r="1900" spans="1:14" x14ac:dyDescent="0.35">
      <c r="A1900" s="7" t="s">
        <v>3216</v>
      </c>
      <c r="B1900" s="7" t="s">
        <v>1196</v>
      </c>
      <c r="C1900" s="7" t="s">
        <v>1197</v>
      </c>
      <c r="D1900" s="7" t="s">
        <v>67</v>
      </c>
      <c r="E1900" s="7" t="s">
        <v>130</v>
      </c>
      <c r="F1900" s="7" t="s">
        <v>50</v>
      </c>
      <c r="G1900" s="7" t="s">
        <v>51</v>
      </c>
      <c r="H1900" s="7">
        <v>5</v>
      </c>
      <c r="I1900" s="2">
        <v>838.83</v>
      </c>
      <c r="J1900" s="2">
        <f>Tabla2[[#This Row],[Quantity]]*I1900</f>
        <v>4194.1500000000005</v>
      </c>
      <c r="K1900" s="6">
        <f>MONTH(Tabla2[[#This Row],[OrderDate]])</f>
        <v>3</v>
      </c>
      <c r="L1900" s="6">
        <f>YEAR(Tabla2[[#This Row],[OrderDate]])</f>
        <v>2024</v>
      </c>
      <c r="M1900" s="7" t="s">
        <v>3217</v>
      </c>
      <c r="N1900" s="7" t="s">
        <v>36</v>
      </c>
    </row>
    <row r="1901" spans="1:14" x14ac:dyDescent="0.35">
      <c r="A1901" s="7" t="s">
        <v>3218</v>
      </c>
      <c r="B1901" s="7" t="s">
        <v>142</v>
      </c>
      <c r="C1901" s="7" t="s">
        <v>143</v>
      </c>
      <c r="D1901" s="7" t="s">
        <v>32</v>
      </c>
      <c r="E1901" s="7" t="s">
        <v>61</v>
      </c>
      <c r="F1901" s="7" t="s">
        <v>16</v>
      </c>
      <c r="G1901" s="7" t="s">
        <v>177</v>
      </c>
      <c r="H1901" s="7">
        <v>1</v>
      </c>
      <c r="I1901" s="2">
        <v>839.82</v>
      </c>
      <c r="J1901" s="2">
        <f>Tabla2[[#This Row],[Quantity]]*I1901</f>
        <v>839.82</v>
      </c>
      <c r="K1901" s="6">
        <f>MONTH(Tabla2[[#This Row],[OrderDate]])</f>
        <v>1</v>
      </c>
      <c r="L1901" s="6">
        <f>YEAR(Tabla2[[#This Row],[OrderDate]])</f>
        <v>2024</v>
      </c>
      <c r="M1901" s="7" t="s">
        <v>1126</v>
      </c>
      <c r="N1901" s="7" t="s">
        <v>45</v>
      </c>
    </row>
    <row r="1902" spans="1:14" x14ac:dyDescent="0.35">
      <c r="A1902" s="7" t="s">
        <v>3219</v>
      </c>
      <c r="B1902" s="7" t="s">
        <v>295</v>
      </c>
      <c r="C1902" s="7" t="s">
        <v>296</v>
      </c>
      <c r="D1902" s="7" t="s">
        <v>32</v>
      </c>
      <c r="E1902" s="7" t="s">
        <v>203</v>
      </c>
      <c r="F1902" s="7" t="s">
        <v>25</v>
      </c>
      <c r="G1902" s="7" t="s">
        <v>26</v>
      </c>
      <c r="H1902" s="7">
        <v>2</v>
      </c>
      <c r="I1902" s="2">
        <v>1283.1099999999999</v>
      </c>
      <c r="J1902" s="2">
        <f>Tabla2[[#This Row],[Quantity]]*I1902</f>
        <v>2566.2199999999998</v>
      </c>
      <c r="K1902" s="6">
        <f>MONTH(Tabla2[[#This Row],[OrderDate]])</f>
        <v>2</v>
      </c>
      <c r="L1902" s="6">
        <f>YEAR(Tabla2[[#This Row],[OrderDate]])</f>
        <v>2025</v>
      </c>
      <c r="M1902" s="7" t="s">
        <v>357</v>
      </c>
      <c r="N1902" s="7" t="s">
        <v>28</v>
      </c>
    </row>
    <row r="1903" spans="1:14" x14ac:dyDescent="0.35">
      <c r="A1903" s="7" t="s">
        <v>3220</v>
      </c>
      <c r="B1903" s="7" t="s">
        <v>1828</v>
      </c>
      <c r="C1903" s="7" t="s">
        <v>1829</v>
      </c>
      <c r="D1903" s="7" t="s">
        <v>40</v>
      </c>
      <c r="E1903" s="7" t="s">
        <v>120</v>
      </c>
      <c r="F1903" s="7" t="s">
        <v>16</v>
      </c>
      <c r="G1903" s="7" t="s">
        <v>148</v>
      </c>
      <c r="H1903" s="7">
        <v>2</v>
      </c>
      <c r="I1903" s="2">
        <v>1418.19</v>
      </c>
      <c r="J1903" s="2">
        <f>Tabla2[[#This Row],[Quantity]]*I1903</f>
        <v>2836.38</v>
      </c>
      <c r="K1903" s="6">
        <f>MONTH(Tabla2[[#This Row],[OrderDate]])</f>
        <v>11</v>
      </c>
      <c r="L1903" s="6">
        <f>YEAR(Tabla2[[#This Row],[OrderDate]])</f>
        <v>2025</v>
      </c>
      <c r="M1903" s="7" t="s">
        <v>908</v>
      </c>
      <c r="N1903" s="7" t="s">
        <v>36</v>
      </c>
    </row>
    <row r="1904" spans="1:14" x14ac:dyDescent="0.35">
      <c r="A1904" s="7" t="s">
        <v>3221</v>
      </c>
      <c r="B1904" s="7" t="s">
        <v>817</v>
      </c>
      <c r="C1904" s="7" t="s">
        <v>818</v>
      </c>
      <c r="D1904" s="7" t="s">
        <v>67</v>
      </c>
      <c r="E1904" s="7" t="s">
        <v>68</v>
      </c>
      <c r="F1904" s="7" t="s">
        <v>50</v>
      </c>
      <c r="G1904" s="7" t="s">
        <v>56</v>
      </c>
      <c r="H1904" s="7">
        <v>3</v>
      </c>
      <c r="I1904" s="2">
        <v>160.27000000000001</v>
      </c>
      <c r="J1904" s="2">
        <f>Tabla2[[#This Row],[Quantity]]*I1904</f>
        <v>480.81000000000006</v>
      </c>
      <c r="K1904" s="6">
        <f>MONTH(Tabla2[[#This Row],[OrderDate]])</f>
        <v>3</v>
      </c>
      <c r="L1904" s="6">
        <f>YEAR(Tabla2[[#This Row],[OrderDate]])</f>
        <v>2026</v>
      </c>
      <c r="M1904" s="7" t="s">
        <v>1569</v>
      </c>
      <c r="N1904" s="7" t="s">
        <v>19</v>
      </c>
    </row>
    <row r="1905" spans="1:14" x14ac:dyDescent="0.35">
      <c r="A1905" s="7" t="s">
        <v>3222</v>
      </c>
      <c r="B1905" s="7" t="s">
        <v>771</v>
      </c>
      <c r="C1905" s="7" t="s">
        <v>772</v>
      </c>
      <c r="D1905" s="7" t="s">
        <v>67</v>
      </c>
      <c r="E1905" s="7" t="s">
        <v>115</v>
      </c>
      <c r="F1905" s="7" t="s">
        <v>25</v>
      </c>
      <c r="G1905" s="7" t="s">
        <v>34</v>
      </c>
      <c r="H1905" s="7">
        <v>4</v>
      </c>
      <c r="I1905" s="2">
        <v>903.8</v>
      </c>
      <c r="J1905" s="2">
        <f>Tabla2[[#This Row],[Quantity]]*I1905</f>
        <v>3615.2</v>
      </c>
      <c r="K1905" s="6">
        <f>MONTH(Tabla2[[#This Row],[OrderDate]])</f>
        <v>1</v>
      </c>
      <c r="L1905" s="6">
        <f>YEAR(Tabla2[[#This Row],[OrderDate]])</f>
        <v>2024</v>
      </c>
      <c r="M1905" s="7" t="s">
        <v>2035</v>
      </c>
      <c r="N1905" s="7" t="s">
        <v>36</v>
      </c>
    </row>
    <row r="1906" spans="1:14" x14ac:dyDescent="0.35">
      <c r="A1906" s="7" t="s">
        <v>3223</v>
      </c>
      <c r="B1906" s="7" t="s">
        <v>345</v>
      </c>
      <c r="C1906" s="7" t="s">
        <v>346</v>
      </c>
      <c r="D1906" s="7" t="s">
        <v>14</v>
      </c>
      <c r="E1906" s="7" t="s">
        <v>266</v>
      </c>
      <c r="F1906" s="7" t="s">
        <v>25</v>
      </c>
      <c r="G1906" s="7" t="s">
        <v>139</v>
      </c>
      <c r="H1906" s="7">
        <v>4</v>
      </c>
      <c r="I1906" s="2">
        <v>637.08000000000004</v>
      </c>
      <c r="J1906" s="2">
        <f>Tabla2[[#This Row],[Quantity]]*I1906</f>
        <v>2548.3200000000002</v>
      </c>
      <c r="K1906" s="6">
        <f>MONTH(Tabla2[[#This Row],[OrderDate]])</f>
        <v>7</v>
      </c>
      <c r="L1906" s="6">
        <f>YEAR(Tabla2[[#This Row],[OrderDate]])</f>
        <v>2024</v>
      </c>
      <c r="M1906" s="7" t="s">
        <v>221</v>
      </c>
      <c r="N1906" s="7" t="s">
        <v>36</v>
      </c>
    </row>
    <row r="1907" spans="1:14" x14ac:dyDescent="0.35">
      <c r="A1907" s="7" t="s">
        <v>3224</v>
      </c>
      <c r="B1907" s="7" t="s">
        <v>123</v>
      </c>
      <c r="C1907" s="7" t="s">
        <v>124</v>
      </c>
      <c r="D1907" s="7" t="s">
        <v>32</v>
      </c>
      <c r="E1907" s="7" t="s">
        <v>203</v>
      </c>
      <c r="F1907" s="7" t="s">
        <v>101</v>
      </c>
      <c r="G1907" s="7" t="s">
        <v>373</v>
      </c>
      <c r="H1907" s="7">
        <v>1</v>
      </c>
      <c r="I1907" s="2">
        <v>126.11</v>
      </c>
      <c r="J1907" s="2">
        <f>Tabla2[[#This Row],[Quantity]]*I1907</f>
        <v>126.11</v>
      </c>
      <c r="K1907" s="6">
        <f>MONTH(Tabla2[[#This Row],[OrderDate]])</f>
        <v>7</v>
      </c>
      <c r="L1907" s="6">
        <f>YEAR(Tabla2[[#This Row],[OrderDate]])</f>
        <v>2024</v>
      </c>
      <c r="M1907" s="7" t="s">
        <v>1452</v>
      </c>
      <c r="N1907" s="7" t="s">
        <v>28</v>
      </c>
    </row>
    <row r="1908" spans="1:14" x14ac:dyDescent="0.35">
      <c r="A1908" s="7" t="s">
        <v>3225</v>
      </c>
      <c r="B1908" s="7" t="s">
        <v>594</v>
      </c>
      <c r="C1908" s="7" t="s">
        <v>595</v>
      </c>
      <c r="D1908" s="7" t="s">
        <v>14</v>
      </c>
      <c r="E1908" s="7" t="s">
        <v>266</v>
      </c>
      <c r="F1908" s="7" t="s">
        <v>50</v>
      </c>
      <c r="G1908" s="7" t="s">
        <v>56</v>
      </c>
      <c r="H1908" s="7">
        <v>4</v>
      </c>
      <c r="I1908" s="2">
        <v>1232.0899999999999</v>
      </c>
      <c r="J1908" s="2">
        <f>Tabla2[[#This Row],[Quantity]]*I1908</f>
        <v>4928.3599999999997</v>
      </c>
      <c r="K1908" s="6">
        <f>MONTH(Tabla2[[#This Row],[OrderDate]])</f>
        <v>2</v>
      </c>
      <c r="L1908" s="6">
        <f>YEAR(Tabla2[[#This Row],[OrderDate]])</f>
        <v>2025</v>
      </c>
      <c r="M1908" s="7" t="s">
        <v>2098</v>
      </c>
      <c r="N1908" s="7" t="s">
        <v>19</v>
      </c>
    </row>
    <row r="1909" spans="1:14" x14ac:dyDescent="0.35">
      <c r="A1909" s="7" t="s">
        <v>3226</v>
      </c>
      <c r="B1909" s="7" t="s">
        <v>960</v>
      </c>
      <c r="C1909" s="7" t="s">
        <v>961</v>
      </c>
      <c r="D1909" s="7" t="s">
        <v>14</v>
      </c>
      <c r="E1909" s="7" t="s">
        <v>100</v>
      </c>
      <c r="F1909" s="7" t="s">
        <v>50</v>
      </c>
      <c r="G1909" s="7" t="s">
        <v>56</v>
      </c>
      <c r="H1909" s="7">
        <v>2</v>
      </c>
      <c r="I1909" s="2">
        <v>215.75</v>
      </c>
      <c r="J1909" s="2">
        <f>Tabla2[[#This Row],[Quantity]]*I1909</f>
        <v>431.5</v>
      </c>
      <c r="K1909" s="6">
        <f>MONTH(Tabla2[[#This Row],[OrderDate]])</f>
        <v>12</v>
      </c>
      <c r="L1909" s="6">
        <f>YEAR(Tabla2[[#This Row],[OrderDate]])</f>
        <v>2025</v>
      </c>
      <c r="M1909" s="7" t="s">
        <v>1365</v>
      </c>
      <c r="N1909" s="7" t="s">
        <v>36</v>
      </c>
    </row>
    <row r="1910" spans="1:14" x14ac:dyDescent="0.35">
      <c r="A1910" s="7" t="s">
        <v>3227</v>
      </c>
      <c r="B1910" s="7" t="s">
        <v>801</v>
      </c>
      <c r="C1910" s="7" t="s">
        <v>802</v>
      </c>
      <c r="D1910" s="7" t="s">
        <v>14</v>
      </c>
      <c r="E1910" s="7" t="s">
        <v>15</v>
      </c>
      <c r="F1910" s="7" t="s">
        <v>42</v>
      </c>
      <c r="G1910" s="7" t="s">
        <v>89</v>
      </c>
      <c r="H1910" s="7">
        <v>2</v>
      </c>
      <c r="I1910" s="2">
        <v>1314.2</v>
      </c>
      <c r="J1910" s="2">
        <f>Tabla2[[#This Row],[Quantity]]*I1910</f>
        <v>2628.4</v>
      </c>
      <c r="K1910" s="6">
        <f>MONTH(Tabla2[[#This Row],[OrderDate]])</f>
        <v>5</v>
      </c>
      <c r="L1910" s="6">
        <f>YEAR(Tabla2[[#This Row],[OrderDate]])</f>
        <v>2025</v>
      </c>
      <c r="M1910" s="7" t="s">
        <v>1631</v>
      </c>
      <c r="N1910" s="7" t="s">
        <v>45</v>
      </c>
    </row>
    <row r="1911" spans="1:14" x14ac:dyDescent="0.35">
      <c r="A1911" s="7" t="s">
        <v>3228</v>
      </c>
      <c r="B1911" s="7" t="s">
        <v>1523</v>
      </c>
      <c r="C1911" s="7" t="s">
        <v>1524</v>
      </c>
      <c r="D1911" s="7" t="s">
        <v>67</v>
      </c>
      <c r="E1911" s="7" t="s">
        <v>115</v>
      </c>
      <c r="F1911" s="7" t="s">
        <v>16</v>
      </c>
      <c r="G1911" s="7" t="s">
        <v>230</v>
      </c>
      <c r="H1911" s="7">
        <v>5</v>
      </c>
      <c r="I1911" s="2">
        <v>176.84</v>
      </c>
      <c r="J1911" s="2">
        <f>Tabla2[[#This Row],[Quantity]]*I1911</f>
        <v>884.2</v>
      </c>
      <c r="K1911" s="6">
        <f>MONTH(Tabla2[[#This Row],[OrderDate]])</f>
        <v>2</v>
      </c>
      <c r="L1911" s="6">
        <f>YEAR(Tabla2[[#This Row],[OrderDate]])</f>
        <v>2026</v>
      </c>
      <c r="M1911" s="7" t="s">
        <v>795</v>
      </c>
      <c r="N1911" s="7" t="s">
        <v>45</v>
      </c>
    </row>
    <row r="1912" spans="1:14" x14ac:dyDescent="0.35">
      <c r="A1912" s="7" t="s">
        <v>3229</v>
      </c>
      <c r="B1912" s="7" t="s">
        <v>481</v>
      </c>
      <c r="C1912" s="7" t="s">
        <v>482</v>
      </c>
      <c r="D1912" s="7" t="s">
        <v>67</v>
      </c>
      <c r="E1912" s="7" t="s">
        <v>68</v>
      </c>
      <c r="F1912" s="7" t="s">
        <v>42</v>
      </c>
      <c r="G1912" s="7" t="s">
        <v>80</v>
      </c>
      <c r="H1912" s="7">
        <v>2</v>
      </c>
      <c r="I1912" s="2">
        <v>663.13</v>
      </c>
      <c r="J1912" s="2">
        <f>Tabla2[[#This Row],[Quantity]]*I1912</f>
        <v>1326.26</v>
      </c>
      <c r="K1912" s="6">
        <f>MONTH(Tabla2[[#This Row],[OrderDate]])</f>
        <v>10</v>
      </c>
      <c r="L1912" s="6">
        <f>YEAR(Tabla2[[#This Row],[OrderDate]])</f>
        <v>2025</v>
      </c>
      <c r="M1912" s="7" t="s">
        <v>1854</v>
      </c>
      <c r="N1912" s="7" t="s">
        <v>19</v>
      </c>
    </row>
    <row r="1913" spans="1:14" x14ac:dyDescent="0.35">
      <c r="A1913" s="7" t="s">
        <v>3230</v>
      </c>
      <c r="B1913" s="7" t="s">
        <v>59</v>
      </c>
      <c r="C1913" s="7" t="s">
        <v>60</v>
      </c>
      <c r="D1913" s="7" t="s">
        <v>14</v>
      </c>
      <c r="E1913" s="7" t="s">
        <v>125</v>
      </c>
      <c r="F1913" s="7" t="s">
        <v>50</v>
      </c>
      <c r="G1913" s="7" t="s">
        <v>216</v>
      </c>
      <c r="H1913" s="7">
        <v>3</v>
      </c>
      <c r="I1913" s="2">
        <v>1377.71</v>
      </c>
      <c r="J1913" s="2">
        <f>Tabla2[[#This Row],[Quantity]]*I1913</f>
        <v>4133.13</v>
      </c>
      <c r="K1913" s="6">
        <f>MONTH(Tabla2[[#This Row],[OrderDate]])</f>
        <v>12</v>
      </c>
      <c r="L1913" s="6">
        <f>YEAR(Tabla2[[#This Row],[OrderDate]])</f>
        <v>2024</v>
      </c>
      <c r="M1913" s="7" t="s">
        <v>2237</v>
      </c>
      <c r="N1913" s="7" t="s">
        <v>28</v>
      </c>
    </row>
    <row r="1914" spans="1:14" x14ac:dyDescent="0.35">
      <c r="A1914" s="7" t="s">
        <v>3231</v>
      </c>
      <c r="B1914" s="7" t="s">
        <v>264</v>
      </c>
      <c r="C1914" s="7" t="s">
        <v>265</v>
      </c>
      <c r="D1914" s="7" t="s">
        <v>14</v>
      </c>
      <c r="E1914" s="7" t="s">
        <v>95</v>
      </c>
      <c r="F1914" s="7" t="s">
        <v>25</v>
      </c>
      <c r="G1914" s="7" t="s">
        <v>62</v>
      </c>
      <c r="H1914" s="7">
        <v>1</v>
      </c>
      <c r="I1914" s="2">
        <v>1122.6600000000001</v>
      </c>
      <c r="J1914" s="2">
        <f>Tabla2[[#This Row],[Quantity]]*I1914</f>
        <v>1122.6600000000001</v>
      </c>
      <c r="K1914" s="6">
        <f>MONTH(Tabla2[[#This Row],[OrderDate]])</f>
        <v>12</v>
      </c>
      <c r="L1914" s="6">
        <f>YEAR(Tabla2[[#This Row],[OrderDate]])</f>
        <v>2025</v>
      </c>
      <c r="M1914" s="7" t="s">
        <v>1460</v>
      </c>
      <c r="N1914" s="7" t="s">
        <v>45</v>
      </c>
    </row>
    <row r="1915" spans="1:14" x14ac:dyDescent="0.35">
      <c r="A1915" s="7" t="s">
        <v>3232</v>
      </c>
      <c r="B1915" s="7" t="s">
        <v>77</v>
      </c>
      <c r="C1915" s="7" t="s">
        <v>78</v>
      </c>
      <c r="D1915" s="7" t="s">
        <v>32</v>
      </c>
      <c r="E1915" s="7" t="s">
        <v>33</v>
      </c>
      <c r="F1915" s="7" t="s">
        <v>25</v>
      </c>
      <c r="G1915" s="7" t="s">
        <v>62</v>
      </c>
      <c r="H1915" s="7">
        <v>3</v>
      </c>
      <c r="I1915" s="2">
        <v>287.83999999999997</v>
      </c>
      <c r="J1915" s="2">
        <f>Tabla2[[#This Row],[Quantity]]*I1915</f>
        <v>863.52</v>
      </c>
      <c r="K1915" s="6">
        <f>MONTH(Tabla2[[#This Row],[OrderDate]])</f>
        <v>3</v>
      </c>
      <c r="L1915" s="6">
        <f>YEAR(Tabla2[[#This Row],[OrderDate]])</f>
        <v>2026</v>
      </c>
      <c r="M1915" s="7" t="s">
        <v>2230</v>
      </c>
      <c r="N1915" s="7" t="s">
        <v>19</v>
      </c>
    </row>
    <row r="1916" spans="1:14" x14ac:dyDescent="0.35">
      <c r="A1916" s="7" t="s">
        <v>3233</v>
      </c>
      <c r="B1916" s="7" t="s">
        <v>355</v>
      </c>
      <c r="C1916" s="7" t="s">
        <v>356</v>
      </c>
      <c r="D1916" s="7" t="s">
        <v>32</v>
      </c>
      <c r="E1916" s="7" t="s">
        <v>61</v>
      </c>
      <c r="F1916" s="7" t="s">
        <v>42</v>
      </c>
      <c r="G1916" s="7" t="s">
        <v>80</v>
      </c>
      <c r="H1916" s="7">
        <v>2</v>
      </c>
      <c r="I1916" s="2">
        <v>494.15</v>
      </c>
      <c r="J1916" s="2">
        <f>Tabla2[[#This Row],[Quantity]]*I1916</f>
        <v>988.3</v>
      </c>
      <c r="K1916" s="6">
        <f>MONTH(Tabla2[[#This Row],[OrderDate]])</f>
        <v>6</v>
      </c>
      <c r="L1916" s="6">
        <f>YEAR(Tabla2[[#This Row],[OrderDate]])</f>
        <v>2024</v>
      </c>
      <c r="M1916" s="7" t="s">
        <v>1348</v>
      </c>
      <c r="N1916" s="7" t="s">
        <v>19</v>
      </c>
    </row>
    <row r="1917" spans="1:14" x14ac:dyDescent="0.35">
      <c r="A1917" s="7" t="s">
        <v>3234</v>
      </c>
      <c r="B1917" s="7" t="s">
        <v>133</v>
      </c>
      <c r="C1917" s="7" t="s">
        <v>134</v>
      </c>
      <c r="D1917" s="7" t="s">
        <v>23</v>
      </c>
      <c r="E1917" s="7" t="s">
        <v>338</v>
      </c>
      <c r="F1917" s="7" t="s">
        <v>25</v>
      </c>
      <c r="G1917" s="7" t="s">
        <v>74</v>
      </c>
      <c r="H1917" s="7">
        <v>3</v>
      </c>
      <c r="I1917" s="2">
        <v>1496.12</v>
      </c>
      <c r="J1917" s="2">
        <f>Tabla2[[#This Row],[Quantity]]*I1917</f>
        <v>4488.3599999999997</v>
      </c>
      <c r="K1917" s="6">
        <f>MONTH(Tabla2[[#This Row],[OrderDate]])</f>
        <v>10</v>
      </c>
      <c r="L1917" s="6">
        <f>YEAR(Tabla2[[#This Row],[OrderDate]])</f>
        <v>2025</v>
      </c>
      <c r="M1917" s="7" t="s">
        <v>369</v>
      </c>
      <c r="N1917" s="7" t="s">
        <v>45</v>
      </c>
    </row>
    <row r="1918" spans="1:14" x14ac:dyDescent="0.35">
      <c r="A1918" s="7" t="s">
        <v>3235</v>
      </c>
      <c r="B1918" s="7" t="s">
        <v>552</v>
      </c>
      <c r="C1918" s="7" t="s">
        <v>553</v>
      </c>
      <c r="D1918" s="7" t="s">
        <v>67</v>
      </c>
      <c r="E1918" s="7" t="s">
        <v>115</v>
      </c>
      <c r="F1918" s="7" t="s">
        <v>101</v>
      </c>
      <c r="G1918" s="7" t="s">
        <v>373</v>
      </c>
      <c r="H1918" s="7">
        <v>1</v>
      </c>
      <c r="I1918" s="2">
        <v>421.59</v>
      </c>
      <c r="J1918" s="2">
        <f>Tabla2[[#This Row],[Quantity]]*I1918</f>
        <v>421.59</v>
      </c>
      <c r="K1918" s="6">
        <f>MONTH(Tabla2[[#This Row],[OrderDate]])</f>
        <v>1</v>
      </c>
      <c r="L1918" s="6">
        <f>YEAR(Tabla2[[#This Row],[OrderDate]])</f>
        <v>2025</v>
      </c>
      <c r="M1918" s="7" t="s">
        <v>1809</v>
      </c>
      <c r="N1918" s="7" t="s">
        <v>91</v>
      </c>
    </row>
    <row r="1919" spans="1:14" x14ac:dyDescent="0.35">
      <c r="A1919" s="7" t="s">
        <v>3236</v>
      </c>
      <c r="B1919" s="7" t="s">
        <v>248</v>
      </c>
      <c r="C1919" s="7" t="s">
        <v>249</v>
      </c>
      <c r="D1919" s="7" t="s">
        <v>67</v>
      </c>
      <c r="E1919" s="7" t="s">
        <v>130</v>
      </c>
      <c r="F1919" s="7" t="s">
        <v>42</v>
      </c>
      <c r="G1919" s="7" t="s">
        <v>80</v>
      </c>
      <c r="H1919" s="7">
        <v>3</v>
      </c>
      <c r="I1919" s="2">
        <v>917.15</v>
      </c>
      <c r="J1919" s="2">
        <f>Tabla2[[#This Row],[Quantity]]*I1919</f>
        <v>2751.45</v>
      </c>
      <c r="K1919" s="6">
        <f>MONTH(Tabla2[[#This Row],[OrderDate]])</f>
        <v>6</v>
      </c>
      <c r="L1919" s="6">
        <f>YEAR(Tabla2[[#This Row],[OrderDate]])</f>
        <v>2025</v>
      </c>
      <c r="M1919" s="7" t="s">
        <v>1747</v>
      </c>
      <c r="N1919" s="7" t="s">
        <v>45</v>
      </c>
    </row>
    <row r="1920" spans="1:14" x14ac:dyDescent="0.35">
      <c r="A1920" s="7" t="s">
        <v>3237</v>
      </c>
      <c r="B1920" s="7" t="s">
        <v>1058</v>
      </c>
      <c r="C1920" s="7" t="s">
        <v>1059</v>
      </c>
      <c r="D1920" s="7" t="s">
        <v>32</v>
      </c>
      <c r="E1920" s="7" t="s">
        <v>203</v>
      </c>
      <c r="F1920" s="7" t="s">
        <v>50</v>
      </c>
      <c r="G1920" s="7" t="s">
        <v>170</v>
      </c>
      <c r="H1920" s="7">
        <v>1</v>
      </c>
      <c r="I1920" s="2">
        <v>1292.19</v>
      </c>
      <c r="J1920" s="2">
        <f>Tabla2[[#This Row],[Quantity]]*I1920</f>
        <v>1292.19</v>
      </c>
      <c r="K1920" s="6">
        <f>MONTH(Tabla2[[#This Row],[OrderDate]])</f>
        <v>10</v>
      </c>
      <c r="L1920" s="6">
        <f>YEAR(Tabla2[[#This Row],[OrderDate]])</f>
        <v>2025</v>
      </c>
      <c r="M1920" s="7" t="s">
        <v>2551</v>
      </c>
      <c r="N1920" s="7" t="s">
        <v>28</v>
      </c>
    </row>
    <row r="1921" spans="1:14" x14ac:dyDescent="0.35">
      <c r="A1921" s="7" t="s">
        <v>3238</v>
      </c>
      <c r="B1921" s="7" t="s">
        <v>281</v>
      </c>
      <c r="C1921" s="7" t="s">
        <v>282</v>
      </c>
      <c r="D1921" s="7" t="s">
        <v>14</v>
      </c>
      <c r="E1921" s="7" t="s">
        <v>95</v>
      </c>
      <c r="F1921" s="7" t="s">
        <v>42</v>
      </c>
      <c r="G1921" s="7" t="s">
        <v>225</v>
      </c>
      <c r="H1921" s="7">
        <v>5</v>
      </c>
      <c r="I1921" s="2">
        <v>1248.82</v>
      </c>
      <c r="J1921" s="2">
        <f>Tabla2[[#This Row],[Quantity]]*I1921</f>
        <v>6244.0999999999995</v>
      </c>
      <c r="K1921" s="6">
        <f>MONTH(Tabla2[[#This Row],[OrderDate]])</f>
        <v>2</v>
      </c>
      <c r="L1921" s="6">
        <f>YEAR(Tabla2[[#This Row],[OrderDate]])</f>
        <v>2024</v>
      </c>
      <c r="M1921" s="7" t="s">
        <v>3239</v>
      </c>
      <c r="N1921" s="7" t="s">
        <v>45</v>
      </c>
    </row>
    <row r="1922" spans="1:14" x14ac:dyDescent="0.35">
      <c r="A1922" s="7" t="s">
        <v>3240</v>
      </c>
      <c r="B1922" s="7" t="s">
        <v>2348</v>
      </c>
      <c r="C1922" s="7" t="s">
        <v>2349</v>
      </c>
      <c r="D1922" s="7" t="s">
        <v>14</v>
      </c>
      <c r="E1922" s="7" t="s">
        <v>125</v>
      </c>
      <c r="F1922" s="7" t="s">
        <v>42</v>
      </c>
      <c r="G1922" s="7" t="s">
        <v>170</v>
      </c>
      <c r="H1922" s="7">
        <v>1</v>
      </c>
      <c r="I1922" s="2">
        <v>763</v>
      </c>
      <c r="J1922" s="2">
        <f>Tabla2[[#This Row],[Quantity]]*I1922</f>
        <v>763</v>
      </c>
      <c r="K1922" s="6">
        <f>MONTH(Tabla2[[#This Row],[OrderDate]])</f>
        <v>12</v>
      </c>
      <c r="L1922" s="6">
        <f>YEAR(Tabla2[[#This Row],[OrderDate]])</f>
        <v>2024</v>
      </c>
      <c r="M1922" s="7" t="s">
        <v>1824</v>
      </c>
      <c r="N1922" s="7" t="s">
        <v>19</v>
      </c>
    </row>
    <row r="1923" spans="1:14" x14ac:dyDescent="0.35">
      <c r="A1923" s="7" t="s">
        <v>3241</v>
      </c>
      <c r="B1923" s="7" t="s">
        <v>904</v>
      </c>
      <c r="C1923" s="7" t="s">
        <v>905</v>
      </c>
      <c r="D1923" s="7" t="s">
        <v>14</v>
      </c>
      <c r="E1923" s="7" t="s">
        <v>15</v>
      </c>
      <c r="F1923" s="7" t="s">
        <v>25</v>
      </c>
      <c r="G1923" s="7" t="s">
        <v>62</v>
      </c>
      <c r="H1923" s="7">
        <v>2</v>
      </c>
      <c r="I1923" s="2">
        <v>1476.63</v>
      </c>
      <c r="J1923" s="2">
        <f>Tabla2[[#This Row],[Quantity]]*I1923</f>
        <v>2953.26</v>
      </c>
      <c r="K1923" s="6">
        <f>MONTH(Tabla2[[#This Row],[OrderDate]])</f>
        <v>9</v>
      </c>
      <c r="L1923" s="6">
        <f>YEAR(Tabla2[[#This Row],[OrderDate]])</f>
        <v>2024</v>
      </c>
      <c r="M1923" s="7" t="s">
        <v>1363</v>
      </c>
      <c r="N1923" s="7" t="s">
        <v>45</v>
      </c>
    </row>
    <row r="1924" spans="1:14" x14ac:dyDescent="0.35">
      <c r="A1924" s="7" t="s">
        <v>3242</v>
      </c>
      <c r="B1924" s="7" t="s">
        <v>235</v>
      </c>
      <c r="C1924" s="7" t="s">
        <v>236</v>
      </c>
      <c r="D1924" s="7" t="s">
        <v>32</v>
      </c>
      <c r="E1924" s="7" t="s">
        <v>203</v>
      </c>
      <c r="F1924" s="7" t="s">
        <v>101</v>
      </c>
      <c r="G1924" s="7" t="s">
        <v>373</v>
      </c>
      <c r="H1924" s="7">
        <v>1</v>
      </c>
      <c r="I1924" s="2">
        <v>1435.38</v>
      </c>
      <c r="J1924" s="2">
        <f>Tabla2[[#This Row],[Quantity]]*I1924</f>
        <v>1435.38</v>
      </c>
      <c r="K1924" s="6">
        <f>MONTH(Tabla2[[#This Row],[OrderDate]])</f>
        <v>3</v>
      </c>
      <c r="L1924" s="6">
        <f>YEAR(Tabla2[[#This Row],[OrderDate]])</f>
        <v>2025</v>
      </c>
      <c r="M1924" s="7" t="s">
        <v>1393</v>
      </c>
      <c r="N1924" s="7" t="s">
        <v>28</v>
      </c>
    </row>
    <row r="1925" spans="1:14" x14ac:dyDescent="0.35">
      <c r="A1925" s="7" t="s">
        <v>3243</v>
      </c>
      <c r="B1925" s="7" t="s">
        <v>1149</v>
      </c>
      <c r="C1925" s="7" t="s">
        <v>1150</v>
      </c>
      <c r="D1925" s="7" t="s">
        <v>32</v>
      </c>
      <c r="E1925" s="7" t="s">
        <v>33</v>
      </c>
      <c r="F1925" s="7" t="s">
        <v>42</v>
      </c>
      <c r="G1925" s="7" t="s">
        <v>89</v>
      </c>
      <c r="H1925" s="7">
        <v>3</v>
      </c>
      <c r="I1925" s="2">
        <v>542.16</v>
      </c>
      <c r="J1925" s="2">
        <f>Tabla2[[#This Row],[Quantity]]*I1925</f>
        <v>1626.48</v>
      </c>
      <c r="K1925" s="6">
        <f>MONTH(Tabla2[[#This Row],[OrderDate]])</f>
        <v>1</v>
      </c>
      <c r="L1925" s="6">
        <f>YEAR(Tabla2[[#This Row],[OrderDate]])</f>
        <v>2025</v>
      </c>
      <c r="M1925" s="7" t="s">
        <v>967</v>
      </c>
      <c r="N1925" s="7" t="s">
        <v>91</v>
      </c>
    </row>
    <row r="1926" spans="1:14" x14ac:dyDescent="0.35">
      <c r="A1926" s="7" t="s">
        <v>3244</v>
      </c>
      <c r="B1926" s="7" t="s">
        <v>856</v>
      </c>
      <c r="C1926" s="7" t="s">
        <v>857</v>
      </c>
      <c r="D1926" s="7" t="s">
        <v>67</v>
      </c>
      <c r="E1926" s="7" t="s">
        <v>68</v>
      </c>
      <c r="F1926" s="7" t="s">
        <v>101</v>
      </c>
      <c r="G1926" s="7" t="s">
        <v>165</v>
      </c>
      <c r="H1926" s="7">
        <v>1</v>
      </c>
      <c r="I1926" s="2">
        <v>1258.18</v>
      </c>
      <c r="J1926" s="2">
        <f>Tabla2[[#This Row],[Quantity]]*I1926</f>
        <v>1258.18</v>
      </c>
      <c r="K1926" s="6">
        <f>MONTH(Tabla2[[#This Row],[OrderDate]])</f>
        <v>3</v>
      </c>
      <c r="L1926" s="6">
        <f>YEAR(Tabla2[[#This Row],[OrderDate]])</f>
        <v>2024</v>
      </c>
      <c r="M1926" s="7" t="s">
        <v>3245</v>
      </c>
      <c r="N1926" s="7" t="s">
        <v>36</v>
      </c>
    </row>
    <row r="1927" spans="1:14" x14ac:dyDescent="0.35">
      <c r="A1927" s="7" t="s">
        <v>3246</v>
      </c>
      <c r="B1927" s="7" t="s">
        <v>1159</v>
      </c>
      <c r="C1927" s="7" t="s">
        <v>1160</v>
      </c>
      <c r="D1927" s="7" t="s">
        <v>40</v>
      </c>
      <c r="E1927" s="7" t="s">
        <v>41</v>
      </c>
      <c r="F1927" s="7" t="s">
        <v>16</v>
      </c>
      <c r="G1927" s="7" t="s">
        <v>182</v>
      </c>
      <c r="H1927" s="7">
        <v>5</v>
      </c>
      <c r="I1927" s="2">
        <v>481.6</v>
      </c>
      <c r="J1927" s="2">
        <f>Tabla2[[#This Row],[Quantity]]*I1927</f>
        <v>2408</v>
      </c>
      <c r="K1927" s="6">
        <f>MONTH(Tabla2[[#This Row],[OrderDate]])</f>
        <v>11</v>
      </c>
      <c r="L1927" s="6">
        <f>YEAR(Tabla2[[#This Row],[OrderDate]])</f>
        <v>2025</v>
      </c>
      <c r="M1927" s="7" t="s">
        <v>175</v>
      </c>
      <c r="N1927" s="7" t="s">
        <v>36</v>
      </c>
    </row>
    <row r="1928" spans="1:14" x14ac:dyDescent="0.35">
      <c r="A1928" s="7" t="s">
        <v>3247</v>
      </c>
      <c r="B1928" s="7" t="s">
        <v>388</v>
      </c>
      <c r="C1928" s="7" t="s">
        <v>389</v>
      </c>
      <c r="D1928" s="7" t="s">
        <v>40</v>
      </c>
      <c r="E1928" s="7" t="s">
        <v>41</v>
      </c>
      <c r="F1928" s="7" t="s">
        <v>25</v>
      </c>
      <c r="G1928" s="7" t="s">
        <v>62</v>
      </c>
      <c r="H1928" s="7">
        <v>5</v>
      </c>
      <c r="I1928" s="2">
        <v>624.79</v>
      </c>
      <c r="J1928" s="2">
        <f>Tabla2[[#This Row],[Quantity]]*I1928</f>
        <v>3123.95</v>
      </c>
      <c r="K1928" s="6">
        <f>MONTH(Tabla2[[#This Row],[OrderDate]])</f>
        <v>12</v>
      </c>
      <c r="L1928" s="6">
        <f>YEAR(Tabla2[[#This Row],[OrderDate]])</f>
        <v>2024</v>
      </c>
      <c r="M1928" s="7" t="s">
        <v>3248</v>
      </c>
      <c r="N1928" s="7" t="s">
        <v>19</v>
      </c>
    </row>
    <row r="1929" spans="1:14" x14ac:dyDescent="0.35">
      <c r="A1929" s="7" t="s">
        <v>3249</v>
      </c>
      <c r="B1929" s="7" t="s">
        <v>771</v>
      </c>
      <c r="C1929" s="7" t="s">
        <v>772</v>
      </c>
      <c r="D1929" s="7" t="s">
        <v>32</v>
      </c>
      <c r="E1929" s="7" t="s">
        <v>203</v>
      </c>
      <c r="F1929" s="7" t="s">
        <v>16</v>
      </c>
      <c r="G1929" s="7" t="s">
        <v>17</v>
      </c>
      <c r="H1929" s="7">
        <v>1</v>
      </c>
      <c r="I1929" s="2">
        <v>293.89999999999998</v>
      </c>
      <c r="J1929" s="2">
        <f>Tabla2[[#This Row],[Quantity]]*I1929</f>
        <v>293.89999999999998</v>
      </c>
      <c r="K1929" s="6">
        <f>MONTH(Tabla2[[#This Row],[OrderDate]])</f>
        <v>9</v>
      </c>
      <c r="L1929" s="6">
        <f>YEAR(Tabla2[[#This Row],[OrderDate]])</f>
        <v>2024</v>
      </c>
      <c r="M1929" s="7" t="s">
        <v>2648</v>
      </c>
      <c r="N1929" s="7" t="s">
        <v>19</v>
      </c>
    </row>
    <row r="1930" spans="1:14" x14ac:dyDescent="0.35">
      <c r="A1930" s="7" t="s">
        <v>3250</v>
      </c>
      <c r="B1930" s="7" t="s">
        <v>384</v>
      </c>
      <c r="C1930" s="7" t="s">
        <v>385</v>
      </c>
      <c r="D1930" s="7" t="s">
        <v>32</v>
      </c>
      <c r="E1930" s="7" t="s">
        <v>61</v>
      </c>
      <c r="F1930" s="7" t="s">
        <v>101</v>
      </c>
      <c r="G1930" s="7" t="s">
        <v>373</v>
      </c>
      <c r="H1930" s="7">
        <v>2</v>
      </c>
      <c r="I1930" s="2">
        <v>952.8</v>
      </c>
      <c r="J1930" s="2">
        <f>Tabla2[[#This Row],[Quantity]]*I1930</f>
        <v>1905.6</v>
      </c>
      <c r="K1930" s="6">
        <f>MONTH(Tabla2[[#This Row],[OrderDate]])</f>
        <v>1</v>
      </c>
      <c r="L1930" s="6">
        <f>YEAR(Tabla2[[#This Row],[OrderDate]])</f>
        <v>2024</v>
      </c>
      <c r="M1930" s="7" t="s">
        <v>1577</v>
      </c>
      <c r="N1930" s="7" t="s">
        <v>45</v>
      </c>
    </row>
    <row r="1931" spans="1:14" x14ac:dyDescent="0.35">
      <c r="A1931" s="7" t="s">
        <v>3251</v>
      </c>
      <c r="B1931" s="7" t="s">
        <v>336</v>
      </c>
      <c r="C1931" s="7" t="s">
        <v>337</v>
      </c>
      <c r="D1931" s="7" t="s">
        <v>32</v>
      </c>
      <c r="E1931" s="7" t="s">
        <v>61</v>
      </c>
      <c r="F1931" s="7" t="s">
        <v>25</v>
      </c>
      <c r="G1931" s="7" t="s">
        <v>62</v>
      </c>
      <c r="H1931" s="7">
        <v>2</v>
      </c>
      <c r="I1931" s="2">
        <v>1154.46</v>
      </c>
      <c r="J1931" s="2">
        <f>Tabla2[[#This Row],[Quantity]]*I1931</f>
        <v>2308.92</v>
      </c>
      <c r="K1931" s="6">
        <f>MONTH(Tabla2[[#This Row],[OrderDate]])</f>
        <v>12</v>
      </c>
      <c r="L1931" s="6">
        <f>YEAR(Tabla2[[#This Row],[OrderDate]])</f>
        <v>2025</v>
      </c>
      <c r="M1931" s="7" t="s">
        <v>191</v>
      </c>
      <c r="N1931" s="7" t="s">
        <v>91</v>
      </c>
    </row>
    <row r="1932" spans="1:14" x14ac:dyDescent="0.35">
      <c r="A1932" s="7" t="s">
        <v>3252</v>
      </c>
      <c r="B1932" s="7" t="s">
        <v>311</v>
      </c>
      <c r="C1932" s="7" t="s">
        <v>312</v>
      </c>
      <c r="D1932" s="7" t="s">
        <v>40</v>
      </c>
      <c r="E1932" s="7" t="s">
        <v>41</v>
      </c>
      <c r="F1932" s="7" t="s">
        <v>16</v>
      </c>
      <c r="G1932" s="7" t="s">
        <v>148</v>
      </c>
      <c r="H1932" s="7">
        <v>3</v>
      </c>
      <c r="I1932" s="2">
        <v>344.09</v>
      </c>
      <c r="J1932" s="2">
        <f>Tabla2[[#This Row],[Quantity]]*I1932</f>
        <v>1032.27</v>
      </c>
      <c r="K1932" s="6">
        <f>MONTH(Tabla2[[#This Row],[OrderDate]])</f>
        <v>2</v>
      </c>
      <c r="L1932" s="6">
        <f>YEAR(Tabla2[[#This Row],[OrderDate]])</f>
        <v>2024</v>
      </c>
      <c r="M1932" s="7" t="s">
        <v>107</v>
      </c>
      <c r="N1932" s="7" t="s">
        <v>28</v>
      </c>
    </row>
    <row r="1933" spans="1:14" x14ac:dyDescent="0.35">
      <c r="A1933" s="7" t="s">
        <v>3253</v>
      </c>
      <c r="B1933" s="7" t="s">
        <v>159</v>
      </c>
      <c r="C1933" s="7" t="s">
        <v>160</v>
      </c>
      <c r="D1933" s="7" t="s">
        <v>40</v>
      </c>
      <c r="E1933" s="7" t="s">
        <v>79</v>
      </c>
      <c r="F1933" s="7" t="s">
        <v>25</v>
      </c>
      <c r="G1933" s="7" t="s">
        <v>74</v>
      </c>
      <c r="H1933" s="7">
        <v>4</v>
      </c>
      <c r="I1933" s="2">
        <v>222.91</v>
      </c>
      <c r="J1933" s="2">
        <f>Tabla2[[#This Row],[Quantity]]*I1933</f>
        <v>891.64</v>
      </c>
      <c r="K1933" s="6">
        <f>MONTH(Tabla2[[#This Row],[OrderDate]])</f>
        <v>2</v>
      </c>
      <c r="L1933" s="6">
        <f>YEAR(Tabla2[[#This Row],[OrderDate]])</f>
        <v>2026</v>
      </c>
      <c r="M1933" s="7" t="s">
        <v>650</v>
      </c>
      <c r="N1933" s="7" t="s">
        <v>91</v>
      </c>
    </row>
    <row r="1934" spans="1:14" x14ac:dyDescent="0.35">
      <c r="A1934" s="7" t="s">
        <v>3254</v>
      </c>
      <c r="B1934" s="7" t="s">
        <v>1079</v>
      </c>
      <c r="C1934" s="7" t="s">
        <v>1080</v>
      </c>
      <c r="D1934" s="7" t="s">
        <v>40</v>
      </c>
      <c r="E1934" s="7" t="s">
        <v>41</v>
      </c>
      <c r="F1934" s="7" t="s">
        <v>42</v>
      </c>
      <c r="G1934" s="7" t="s">
        <v>80</v>
      </c>
      <c r="H1934" s="7">
        <v>1</v>
      </c>
      <c r="I1934" s="2">
        <v>1389.67</v>
      </c>
      <c r="J1934" s="2">
        <f>Tabla2[[#This Row],[Quantity]]*I1934</f>
        <v>1389.67</v>
      </c>
      <c r="K1934" s="6">
        <f>MONTH(Tabla2[[#This Row],[OrderDate]])</f>
        <v>7</v>
      </c>
      <c r="L1934" s="6">
        <f>YEAR(Tabla2[[#This Row],[OrderDate]])</f>
        <v>2024</v>
      </c>
      <c r="M1934" s="7" t="s">
        <v>2243</v>
      </c>
      <c r="N1934" s="7" t="s">
        <v>19</v>
      </c>
    </row>
    <row r="1935" spans="1:14" x14ac:dyDescent="0.35">
      <c r="A1935" s="7" t="s">
        <v>3255</v>
      </c>
      <c r="B1935" s="7" t="s">
        <v>1024</v>
      </c>
      <c r="C1935" s="7" t="s">
        <v>1025</v>
      </c>
      <c r="D1935" s="7" t="s">
        <v>40</v>
      </c>
      <c r="E1935" s="7" t="s">
        <v>79</v>
      </c>
      <c r="F1935" s="7" t="s">
        <v>101</v>
      </c>
      <c r="G1935" s="7" t="s">
        <v>373</v>
      </c>
      <c r="H1935" s="7">
        <v>1</v>
      </c>
      <c r="I1935" s="2">
        <v>855.59</v>
      </c>
      <c r="J1935" s="2">
        <f>Tabla2[[#This Row],[Quantity]]*I1935</f>
        <v>855.59</v>
      </c>
      <c r="K1935" s="6">
        <f>MONTH(Tabla2[[#This Row],[OrderDate]])</f>
        <v>11</v>
      </c>
      <c r="L1935" s="6">
        <f>YEAR(Tabla2[[#This Row],[OrderDate]])</f>
        <v>2025</v>
      </c>
      <c r="M1935" s="7" t="s">
        <v>2641</v>
      </c>
      <c r="N1935" s="7" t="s">
        <v>91</v>
      </c>
    </row>
    <row r="1936" spans="1:14" x14ac:dyDescent="0.35">
      <c r="A1936" s="7" t="s">
        <v>3256</v>
      </c>
      <c r="B1936" s="7" t="s">
        <v>299</v>
      </c>
      <c r="C1936" s="7" t="s">
        <v>300</v>
      </c>
      <c r="D1936" s="7" t="s">
        <v>40</v>
      </c>
      <c r="E1936" s="7" t="s">
        <v>120</v>
      </c>
      <c r="F1936" s="7" t="s">
        <v>25</v>
      </c>
      <c r="G1936" s="7" t="s">
        <v>139</v>
      </c>
      <c r="H1936" s="7">
        <v>1</v>
      </c>
      <c r="I1936" s="2">
        <v>752.84</v>
      </c>
      <c r="J1936" s="2">
        <f>Tabla2[[#This Row],[Quantity]]*I1936</f>
        <v>752.84</v>
      </c>
      <c r="K1936" s="6">
        <f>MONTH(Tabla2[[#This Row],[OrderDate]])</f>
        <v>7</v>
      </c>
      <c r="L1936" s="6">
        <f>YEAR(Tabla2[[#This Row],[OrderDate]])</f>
        <v>2024</v>
      </c>
      <c r="M1936" s="7" t="s">
        <v>3257</v>
      </c>
      <c r="N1936" s="7" t="s">
        <v>19</v>
      </c>
    </row>
    <row r="1937" spans="1:14" x14ac:dyDescent="0.35">
      <c r="A1937" s="7" t="s">
        <v>3258</v>
      </c>
      <c r="B1937" s="7" t="s">
        <v>83</v>
      </c>
      <c r="C1937" s="7" t="s">
        <v>84</v>
      </c>
      <c r="D1937" s="7" t="s">
        <v>32</v>
      </c>
      <c r="E1937" s="7" t="s">
        <v>33</v>
      </c>
      <c r="F1937" s="7" t="s">
        <v>25</v>
      </c>
      <c r="G1937" s="7" t="s">
        <v>34</v>
      </c>
      <c r="H1937" s="7">
        <v>3</v>
      </c>
      <c r="I1937" s="2">
        <v>747.55</v>
      </c>
      <c r="J1937" s="2">
        <f>Tabla2[[#This Row],[Quantity]]*I1937</f>
        <v>2242.6499999999996</v>
      </c>
      <c r="K1937" s="6">
        <f>MONTH(Tabla2[[#This Row],[OrderDate]])</f>
        <v>6</v>
      </c>
      <c r="L1937" s="6">
        <f>YEAR(Tabla2[[#This Row],[OrderDate]])</f>
        <v>2024</v>
      </c>
      <c r="M1937" s="7" t="s">
        <v>1481</v>
      </c>
      <c r="N1937" s="7" t="s">
        <v>28</v>
      </c>
    </row>
    <row r="1938" spans="1:14" x14ac:dyDescent="0.35">
      <c r="A1938" s="7" t="s">
        <v>3259</v>
      </c>
      <c r="B1938" s="7" t="s">
        <v>210</v>
      </c>
      <c r="C1938" s="7" t="s">
        <v>211</v>
      </c>
      <c r="D1938" s="7" t="s">
        <v>14</v>
      </c>
      <c r="E1938" s="7" t="s">
        <v>100</v>
      </c>
      <c r="F1938" s="7" t="s">
        <v>25</v>
      </c>
      <c r="G1938" s="7" t="s">
        <v>34</v>
      </c>
      <c r="H1938" s="7">
        <v>4</v>
      </c>
      <c r="I1938" s="2">
        <v>349.46</v>
      </c>
      <c r="J1938" s="2">
        <f>Tabla2[[#This Row],[Quantity]]*I1938</f>
        <v>1397.84</v>
      </c>
      <c r="K1938" s="6">
        <f>MONTH(Tabla2[[#This Row],[OrderDate]])</f>
        <v>11</v>
      </c>
      <c r="L1938" s="6">
        <f>YEAR(Tabla2[[#This Row],[OrderDate]])</f>
        <v>2024</v>
      </c>
      <c r="M1938" s="7" t="s">
        <v>2547</v>
      </c>
      <c r="N1938" s="7" t="s">
        <v>45</v>
      </c>
    </row>
    <row r="1939" spans="1:14" x14ac:dyDescent="0.35">
      <c r="A1939" s="7" t="s">
        <v>3260</v>
      </c>
      <c r="B1939" s="7" t="s">
        <v>109</v>
      </c>
      <c r="C1939" s="7" t="s">
        <v>110</v>
      </c>
      <c r="D1939" s="7" t="s">
        <v>40</v>
      </c>
      <c r="E1939" s="7" t="s">
        <v>79</v>
      </c>
      <c r="F1939" s="7" t="s">
        <v>42</v>
      </c>
      <c r="G1939" s="7" t="s">
        <v>170</v>
      </c>
      <c r="H1939" s="7">
        <v>1</v>
      </c>
      <c r="I1939" s="2">
        <v>282.35000000000002</v>
      </c>
      <c r="J1939" s="2">
        <f>Tabla2[[#This Row],[Quantity]]*I1939</f>
        <v>282.35000000000002</v>
      </c>
      <c r="K1939" s="6">
        <f>MONTH(Tabla2[[#This Row],[OrderDate]])</f>
        <v>6</v>
      </c>
      <c r="L1939" s="6">
        <f>YEAR(Tabla2[[#This Row],[OrderDate]])</f>
        <v>2025</v>
      </c>
      <c r="M1939" s="7" t="s">
        <v>305</v>
      </c>
      <c r="N1939" s="7" t="s">
        <v>91</v>
      </c>
    </row>
    <row r="1940" spans="1:14" x14ac:dyDescent="0.35">
      <c r="A1940" s="7" t="s">
        <v>3261</v>
      </c>
      <c r="B1940" s="7" t="s">
        <v>77</v>
      </c>
      <c r="C1940" s="7" t="s">
        <v>78</v>
      </c>
      <c r="D1940" s="7" t="s">
        <v>40</v>
      </c>
      <c r="E1940" s="7" t="s">
        <v>79</v>
      </c>
      <c r="F1940" s="7" t="s">
        <v>25</v>
      </c>
      <c r="G1940" s="7" t="s">
        <v>74</v>
      </c>
      <c r="H1940" s="7">
        <v>3</v>
      </c>
      <c r="I1940" s="2">
        <v>994.97</v>
      </c>
      <c r="J1940" s="2">
        <f>Tabla2[[#This Row],[Quantity]]*I1940</f>
        <v>2984.91</v>
      </c>
      <c r="K1940" s="6">
        <f>MONTH(Tabla2[[#This Row],[OrderDate]])</f>
        <v>5</v>
      </c>
      <c r="L1940" s="6">
        <f>YEAR(Tabla2[[#This Row],[OrderDate]])</f>
        <v>2025</v>
      </c>
      <c r="M1940" s="7" t="s">
        <v>2027</v>
      </c>
      <c r="N1940" s="7" t="s">
        <v>45</v>
      </c>
    </row>
    <row r="1941" spans="1:14" x14ac:dyDescent="0.35">
      <c r="A1941" s="7" t="s">
        <v>3262</v>
      </c>
      <c r="B1941" s="7" t="s">
        <v>639</v>
      </c>
      <c r="C1941" s="7" t="s">
        <v>640</v>
      </c>
      <c r="D1941" s="7" t="s">
        <v>67</v>
      </c>
      <c r="E1941" s="7" t="s">
        <v>130</v>
      </c>
      <c r="F1941" s="7" t="s">
        <v>50</v>
      </c>
      <c r="G1941" s="7" t="s">
        <v>216</v>
      </c>
      <c r="H1941" s="7">
        <v>2</v>
      </c>
      <c r="I1941" s="2">
        <v>1200.71</v>
      </c>
      <c r="J1941" s="2">
        <f>Tabla2[[#This Row],[Quantity]]*I1941</f>
        <v>2401.42</v>
      </c>
      <c r="K1941" s="6">
        <f>MONTH(Tabla2[[#This Row],[OrderDate]])</f>
        <v>5</v>
      </c>
      <c r="L1941" s="6">
        <f>YEAR(Tabla2[[#This Row],[OrderDate]])</f>
        <v>2024</v>
      </c>
      <c r="M1941" s="7" t="s">
        <v>2153</v>
      </c>
      <c r="N1941" s="7" t="s">
        <v>28</v>
      </c>
    </row>
    <row r="1942" spans="1:14" x14ac:dyDescent="0.35">
      <c r="A1942" s="7" t="s">
        <v>3263</v>
      </c>
      <c r="B1942" s="7" t="s">
        <v>1260</v>
      </c>
      <c r="C1942" s="7" t="s">
        <v>1261</v>
      </c>
      <c r="D1942" s="7" t="s">
        <v>14</v>
      </c>
      <c r="E1942" s="7" t="s">
        <v>95</v>
      </c>
      <c r="F1942" s="7" t="s">
        <v>101</v>
      </c>
      <c r="G1942" s="7" t="s">
        <v>373</v>
      </c>
      <c r="H1942" s="7">
        <v>4</v>
      </c>
      <c r="I1942" s="2">
        <v>684.23</v>
      </c>
      <c r="J1942" s="2">
        <f>Tabla2[[#This Row],[Quantity]]*I1942</f>
        <v>2736.92</v>
      </c>
      <c r="K1942" s="6">
        <f>MONTH(Tabla2[[#This Row],[OrderDate]])</f>
        <v>11</v>
      </c>
      <c r="L1942" s="6">
        <f>YEAR(Tabla2[[#This Row],[OrderDate]])</f>
        <v>2025</v>
      </c>
      <c r="M1942" s="7" t="s">
        <v>2729</v>
      </c>
      <c r="N1942" s="7" t="s">
        <v>45</v>
      </c>
    </row>
    <row r="1943" spans="1:14" x14ac:dyDescent="0.35">
      <c r="A1943" s="7" t="s">
        <v>3264</v>
      </c>
      <c r="B1943" s="7" t="s">
        <v>113</v>
      </c>
      <c r="C1943" s="7" t="s">
        <v>114</v>
      </c>
      <c r="D1943" s="7" t="s">
        <v>14</v>
      </c>
      <c r="E1943" s="7" t="s">
        <v>95</v>
      </c>
      <c r="F1943" s="7" t="s">
        <v>42</v>
      </c>
      <c r="G1943" s="7" t="s">
        <v>225</v>
      </c>
      <c r="H1943" s="7">
        <v>5</v>
      </c>
      <c r="I1943" s="2">
        <v>572.96</v>
      </c>
      <c r="J1943" s="2">
        <f>Tabla2[[#This Row],[Quantity]]*I1943</f>
        <v>2864.8</v>
      </c>
      <c r="K1943" s="6">
        <f>MONTH(Tabla2[[#This Row],[OrderDate]])</f>
        <v>4</v>
      </c>
      <c r="L1943" s="6">
        <f>YEAR(Tabla2[[#This Row],[OrderDate]])</f>
        <v>2024</v>
      </c>
      <c r="M1943" s="7" t="s">
        <v>1219</v>
      </c>
      <c r="N1943" s="7" t="s">
        <v>45</v>
      </c>
    </row>
    <row r="1944" spans="1:14" x14ac:dyDescent="0.35">
      <c r="A1944" s="7" t="s">
        <v>3265</v>
      </c>
      <c r="B1944" s="7" t="s">
        <v>2399</v>
      </c>
      <c r="C1944" s="7" t="s">
        <v>2400</v>
      </c>
      <c r="D1944" s="7" t="s">
        <v>67</v>
      </c>
      <c r="E1944" s="7" t="s">
        <v>130</v>
      </c>
      <c r="F1944" s="7" t="s">
        <v>101</v>
      </c>
      <c r="G1944" s="7" t="s">
        <v>649</v>
      </c>
      <c r="H1944" s="7">
        <v>3</v>
      </c>
      <c r="I1944" s="2">
        <v>1026.6500000000001</v>
      </c>
      <c r="J1944" s="2">
        <f>Tabla2[[#This Row],[Quantity]]*I1944</f>
        <v>3079.9500000000003</v>
      </c>
      <c r="K1944" s="6">
        <f>MONTH(Tabla2[[#This Row],[OrderDate]])</f>
        <v>4</v>
      </c>
      <c r="L1944" s="6">
        <f>YEAR(Tabla2[[#This Row],[OrderDate]])</f>
        <v>2025</v>
      </c>
      <c r="M1944" s="7" t="s">
        <v>1635</v>
      </c>
      <c r="N1944" s="7" t="s">
        <v>45</v>
      </c>
    </row>
    <row r="1945" spans="1:14" x14ac:dyDescent="0.35">
      <c r="A1945" s="7" t="s">
        <v>3266</v>
      </c>
      <c r="B1945" s="7" t="s">
        <v>228</v>
      </c>
      <c r="C1945" s="7" t="s">
        <v>229</v>
      </c>
      <c r="D1945" s="7" t="s">
        <v>67</v>
      </c>
      <c r="E1945" s="7" t="s">
        <v>130</v>
      </c>
      <c r="F1945" s="7" t="s">
        <v>42</v>
      </c>
      <c r="G1945" s="7" t="s">
        <v>80</v>
      </c>
      <c r="H1945" s="7">
        <v>4</v>
      </c>
      <c r="I1945" s="2">
        <v>363.43</v>
      </c>
      <c r="J1945" s="2">
        <f>Tabla2[[#This Row],[Quantity]]*I1945</f>
        <v>1453.72</v>
      </c>
      <c r="K1945" s="6">
        <f>MONTH(Tabla2[[#This Row],[OrderDate]])</f>
        <v>4</v>
      </c>
      <c r="L1945" s="6">
        <f>YEAR(Tabla2[[#This Row],[OrderDate]])</f>
        <v>2024</v>
      </c>
      <c r="M1945" s="7" t="s">
        <v>730</v>
      </c>
      <c r="N1945" s="7" t="s">
        <v>36</v>
      </c>
    </row>
    <row r="1946" spans="1:14" x14ac:dyDescent="0.35">
      <c r="A1946" s="7" t="s">
        <v>3267</v>
      </c>
      <c r="B1946" s="7" t="s">
        <v>47</v>
      </c>
      <c r="C1946" s="7" t="s">
        <v>48</v>
      </c>
      <c r="D1946" s="7" t="s">
        <v>32</v>
      </c>
      <c r="E1946" s="7" t="s">
        <v>61</v>
      </c>
      <c r="F1946" s="7" t="s">
        <v>42</v>
      </c>
      <c r="G1946" s="7" t="s">
        <v>89</v>
      </c>
      <c r="H1946" s="7">
        <v>1</v>
      </c>
      <c r="I1946" s="2">
        <v>1313.39</v>
      </c>
      <c r="J1946" s="2">
        <f>Tabla2[[#This Row],[Quantity]]*I1946</f>
        <v>1313.39</v>
      </c>
      <c r="K1946" s="6">
        <f>MONTH(Tabla2[[#This Row],[OrderDate]])</f>
        <v>8</v>
      </c>
      <c r="L1946" s="6">
        <f>YEAR(Tabla2[[#This Row],[OrderDate]])</f>
        <v>2024</v>
      </c>
      <c r="M1946" s="7" t="s">
        <v>1520</v>
      </c>
      <c r="N1946" s="7" t="s">
        <v>45</v>
      </c>
    </row>
    <row r="1947" spans="1:14" x14ac:dyDescent="0.35">
      <c r="A1947" s="7" t="s">
        <v>3268</v>
      </c>
      <c r="B1947" s="7" t="s">
        <v>464</v>
      </c>
      <c r="C1947" s="7" t="s">
        <v>465</v>
      </c>
      <c r="D1947" s="7" t="s">
        <v>67</v>
      </c>
      <c r="E1947" s="7" t="s">
        <v>115</v>
      </c>
      <c r="F1947" s="7" t="s">
        <v>101</v>
      </c>
      <c r="G1947" s="7" t="s">
        <v>373</v>
      </c>
      <c r="H1947" s="7">
        <v>5</v>
      </c>
      <c r="I1947" s="2">
        <v>315.48</v>
      </c>
      <c r="J1947" s="2">
        <f>Tabla2[[#This Row],[Quantity]]*I1947</f>
        <v>1577.4</v>
      </c>
      <c r="K1947" s="6">
        <f>MONTH(Tabla2[[#This Row],[OrderDate]])</f>
        <v>10</v>
      </c>
      <c r="L1947" s="6">
        <f>YEAR(Tabla2[[#This Row],[OrderDate]])</f>
        <v>2025</v>
      </c>
      <c r="M1947" s="7" t="s">
        <v>267</v>
      </c>
      <c r="N1947" s="7" t="s">
        <v>19</v>
      </c>
    </row>
    <row r="1948" spans="1:14" x14ac:dyDescent="0.35">
      <c r="A1948" s="7" t="s">
        <v>3269</v>
      </c>
      <c r="B1948" s="7" t="s">
        <v>763</v>
      </c>
      <c r="C1948" s="7" t="s">
        <v>764</v>
      </c>
      <c r="D1948" s="7" t="s">
        <v>32</v>
      </c>
      <c r="E1948" s="7" t="s">
        <v>203</v>
      </c>
      <c r="F1948" s="7" t="s">
        <v>25</v>
      </c>
      <c r="G1948" s="7" t="s">
        <v>62</v>
      </c>
      <c r="H1948" s="7">
        <v>3</v>
      </c>
      <c r="I1948" s="2">
        <v>851.52</v>
      </c>
      <c r="J1948" s="2">
        <f>Tabla2[[#This Row],[Quantity]]*I1948</f>
        <v>2554.56</v>
      </c>
      <c r="K1948" s="6">
        <f>MONTH(Tabla2[[#This Row],[OrderDate]])</f>
        <v>8</v>
      </c>
      <c r="L1948" s="6">
        <f>YEAR(Tabla2[[#This Row],[OrderDate]])</f>
        <v>2024</v>
      </c>
      <c r="M1948" s="7" t="s">
        <v>2428</v>
      </c>
      <c r="N1948" s="7" t="s">
        <v>28</v>
      </c>
    </row>
    <row r="1949" spans="1:14" x14ac:dyDescent="0.35">
      <c r="A1949" s="7" t="s">
        <v>3270</v>
      </c>
      <c r="B1949" s="7" t="s">
        <v>1128</v>
      </c>
      <c r="C1949" s="7" t="s">
        <v>1129</v>
      </c>
      <c r="D1949" s="7" t="s">
        <v>67</v>
      </c>
      <c r="E1949" s="7" t="s">
        <v>68</v>
      </c>
      <c r="F1949" s="7" t="s">
        <v>16</v>
      </c>
      <c r="G1949" s="7" t="s">
        <v>148</v>
      </c>
      <c r="H1949" s="7">
        <v>1</v>
      </c>
      <c r="I1949" s="2">
        <v>265.86</v>
      </c>
      <c r="J1949" s="2">
        <f>Tabla2[[#This Row],[Quantity]]*I1949</f>
        <v>265.86</v>
      </c>
      <c r="K1949" s="6">
        <f>MONTH(Tabla2[[#This Row],[OrderDate]])</f>
        <v>1</v>
      </c>
      <c r="L1949" s="6">
        <f>YEAR(Tabla2[[#This Row],[OrderDate]])</f>
        <v>2024</v>
      </c>
      <c r="M1949" s="7" t="s">
        <v>2911</v>
      </c>
      <c r="N1949" s="7" t="s">
        <v>45</v>
      </c>
    </row>
    <row r="1950" spans="1:14" x14ac:dyDescent="0.35">
      <c r="A1950" s="7" t="s">
        <v>3271</v>
      </c>
      <c r="B1950" s="7" t="s">
        <v>311</v>
      </c>
      <c r="C1950" s="7" t="s">
        <v>312</v>
      </c>
      <c r="D1950" s="7" t="s">
        <v>40</v>
      </c>
      <c r="E1950" s="7" t="s">
        <v>41</v>
      </c>
      <c r="F1950" s="7" t="s">
        <v>101</v>
      </c>
      <c r="G1950" s="7" t="s">
        <v>102</v>
      </c>
      <c r="H1950" s="7">
        <v>1</v>
      </c>
      <c r="I1950" s="2">
        <v>1028.27</v>
      </c>
      <c r="J1950" s="2">
        <f>Tabla2[[#This Row],[Quantity]]*I1950</f>
        <v>1028.27</v>
      </c>
      <c r="K1950" s="6">
        <f>MONTH(Tabla2[[#This Row],[OrderDate]])</f>
        <v>10</v>
      </c>
      <c r="L1950" s="6">
        <f>YEAR(Tabla2[[#This Row],[OrderDate]])</f>
        <v>2025</v>
      </c>
      <c r="M1950" s="7" t="s">
        <v>2270</v>
      </c>
      <c r="N1950" s="7" t="s">
        <v>19</v>
      </c>
    </row>
    <row r="1951" spans="1:14" x14ac:dyDescent="0.35">
      <c r="A1951" s="7" t="s">
        <v>3272</v>
      </c>
      <c r="B1951" s="7" t="s">
        <v>406</v>
      </c>
      <c r="C1951" s="7" t="s">
        <v>407</v>
      </c>
      <c r="D1951" s="7" t="s">
        <v>32</v>
      </c>
      <c r="E1951" s="7" t="s">
        <v>203</v>
      </c>
      <c r="F1951" s="7" t="s">
        <v>50</v>
      </c>
      <c r="G1951" s="7" t="s">
        <v>69</v>
      </c>
      <c r="H1951" s="7">
        <v>2</v>
      </c>
      <c r="I1951" s="2">
        <v>691.46</v>
      </c>
      <c r="J1951" s="2">
        <f>Tabla2[[#This Row],[Quantity]]*I1951</f>
        <v>1382.92</v>
      </c>
      <c r="K1951" s="6">
        <f>MONTH(Tabla2[[#This Row],[OrderDate]])</f>
        <v>6</v>
      </c>
      <c r="L1951" s="6">
        <f>YEAR(Tabla2[[#This Row],[OrderDate]])</f>
        <v>2025</v>
      </c>
      <c r="M1951" s="7" t="s">
        <v>3273</v>
      </c>
      <c r="N1951" s="7" t="s">
        <v>19</v>
      </c>
    </row>
    <row r="1952" spans="1:14" x14ac:dyDescent="0.35">
      <c r="A1952" s="7" t="s">
        <v>3274</v>
      </c>
      <c r="B1952" s="7" t="s">
        <v>969</v>
      </c>
      <c r="C1952" s="7" t="s">
        <v>970</v>
      </c>
      <c r="D1952" s="7" t="s">
        <v>23</v>
      </c>
      <c r="E1952" s="7" t="s">
        <v>49</v>
      </c>
      <c r="F1952" s="7" t="s">
        <v>16</v>
      </c>
      <c r="G1952" s="7" t="s">
        <v>177</v>
      </c>
      <c r="H1952" s="7">
        <v>3</v>
      </c>
      <c r="I1952" s="2">
        <v>907.24</v>
      </c>
      <c r="J1952" s="2">
        <f>Tabla2[[#This Row],[Quantity]]*I1952</f>
        <v>2721.7200000000003</v>
      </c>
      <c r="K1952" s="6">
        <f>MONTH(Tabla2[[#This Row],[OrderDate]])</f>
        <v>1</v>
      </c>
      <c r="L1952" s="6">
        <f>YEAR(Tabla2[[#This Row],[OrderDate]])</f>
        <v>2024</v>
      </c>
      <c r="M1952" s="7" t="s">
        <v>1610</v>
      </c>
      <c r="N1952" s="7" t="s">
        <v>28</v>
      </c>
    </row>
    <row r="1953" spans="1:14" x14ac:dyDescent="0.35">
      <c r="A1953" s="7" t="s">
        <v>3275</v>
      </c>
      <c r="B1953" s="7" t="s">
        <v>1001</v>
      </c>
      <c r="C1953" s="7" t="s">
        <v>1002</v>
      </c>
      <c r="D1953" s="7" t="s">
        <v>67</v>
      </c>
      <c r="E1953" s="7" t="s">
        <v>115</v>
      </c>
      <c r="F1953" s="7" t="s">
        <v>16</v>
      </c>
      <c r="G1953" s="7" t="s">
        <v>17</v>
      </c>
      <c r="H1953" s="7">
        <v>4</v>
      </c>
      <c r="I1953" s="2">
        <v>181.82</v>
      </c>
      <c r="J1953" s="2">
        <f>Tabla2[[#This Row],[Quantity]]*I1953</f>
        <v>727.28</v>
      </c>
      <c r="K1953" s="6">
        <f>MONTH(Tabla2[[#This Row],[OrderDate]])</f>
        <v>11</v>
      </c>
      <c r="L1953" s="6">
        <f>YEAR(Tabla2[[#This Row],[OrderDate]])</f>
        <v>2025</v>
      </c>
      <c r="M1953" s="7" t="s">
        <v>956</v>
      </c>
      <c r="N1953" s="7" t="s">
        <v>28</v>
      </c>
    </row>
    <row r="1954" spans="1:14" x14ac:dyDescent="0.35">
      <c r="A1954" s="7" t="s">
        <v>3276</v>
      </c>
      <c r="B1954" s="7" t="s">
        <v>922</v>
      </c>
      <c r="C1954" s="7" t="s">
        <v>923</v>
      </c>
      <c r="D1954" s="7" t="s">
        <v>14</v>
      </c>
      <c r="E1954" s="7" t="s">
        <v>15</v>
      </c>
      <c r="F1954" s="7" t="s">
        <v>50</v>
      </c>
      <c r="G1954" s="7" t="s">
        <v>69</v>
      </c>
      <c r="H1954" s="7">
        <v>2</v>
      </c>
      <c r="I1954" s="2">
        <v>1408.8</v>
      </c>
      <c r="J1954" s="2">
        <f>Tabla2[[#This Row],[Quantity]]*I1954</f>
        <v>2817.6</v>
      </c>
      <c r="K1954" s="6">
        <f>MONTH(Tabla2[[#This Row],[OrderDate]])</f>
        <v>4</v>
      </c>
      <c r="L1954" s="6">
        <f>YEAR(Tabla2[[#This Row],[OrderDate]])</f>
        <v>2024</v>
      </c>
      <c r="M1954" s="7" t="s">
        <v>1421</v>
      </c>
      <c r="N1954" s="7" t="s">
        <v>45</v>
      </c>
    </row>
    <row r="1955" spans="1:14" x14ac:dyDescent="0.35">
      <c r="A1955" s="7" t="s">
        <v>3277</v>
      </c>
      <c r="B1955" s="7" t="s">
        <v>755</v>
      </c>
      <c r="C1955" s="7" t="s">
        <v>756</v>
      </c>
      <c r="D1955" s="7" t="s">
        <v>32</v>
      </c>
      <c r="E1955" s="7" t="s">
        <v>33</v>
      </c>
      <c r="F1955" s="7" t="s">
        <v>50</v>
      </c>
      <c r="G1955" s="7" t="s">
        <v>51</v>
      </c>
      <c r="H1955" s="7">
        <v>1</v>
      </c>
      <c r="I1955" s="2">
        <v>880.7</v>
      </c>
      <c r="J1955" s="2">
        <f>Tabla2[[#This Row],[Quantity]]*I1955</f>
        <v>880.7</v>
      </c>
      <c r="K1955" s="6">
        <f>MONTH(Tabla2[[#This Row],[OrderDate]])</f>
        <v>8</v>
      </c>
      <c r="L1955" s="6">
        <f>YEAR(Tabla2[[#This Row],[OrderDate]])</f>
        <v>2024</v>
      </c>
      <c r="M1955" s="7" t="s">
        <v>757</v>
      </c>
      <c r="N1955" s="7" t="s">
        <v>19</v>
      </c>
    </row>
    <row r="1956" spans="1:14" x14ac:dyDescent="0.35">
      <c r="A1956" s="7" t="s">
        <v>3278</v>
      </c>
      <c r="B1956" s="7" t="s">
        <v>87</v>
      </c>
      <c r="C1956" s="7" t="s">
        <v>88</v>
      </c>
      <c r="D1956" s="7" t="s">
        <v>67</v>
      </c>
      <c r="E1956" s="7" t="s">
        <v>68</v>
      </c>
      <c r="F1956" s="7" t="s">
        <v>25</v>
      </c>
      <c r="G1956" s="7" t="s">
        <v>139</v>
      </c>
      <c r="H1956" s="7">
        <v>1</v>
      </c>
      <c r="I1956" s="2">
        <v>323.14</v>
      </c>
      <c r="J1956" s="2">
        <f>Tabla2[[#This Row],[Quantity]]*I1956</f>
        <v>323.14</v>
      </c>
      <c r="K1956" s="6">
        <f>MONTH(Tabla2[[#This Row],[OrderDate]])</f>
        <v>1</v>
      </c>
      <c r="L1956" s="6">
        <f>YEAR(Tabla2[[#This Row],[OrderDate]])</f>
        <v>2025</v>
      </c>
      <c r="M1956" s="7" t="s">
        <v>876</v>
      </c>
      <c r="N1956" s="7" t="s">
        <v>36</v>
      </c>
    </row>
    <row r="1957" spans="1:14" x14ac:dyDescent="0.35">
      <c r="A1957" s="7" t="s">
        <v>3279</v>
      </c>
      <c r="B1957" s="7" t="s">
        <v>759</v>
      </c>
      <c r="C1957" s="7" t="s">
        <v>760</v>
      </c>
      <c r="D1957" s="7" t="s">
        <v>40</v>
      </c>
      <c r="E1957" s="7" t="s">
        <v>120</v>
      </c>
      <c r="F1957" s="7" t="s">
        <v>25</v>
      </c>
      <c r="G1957" s="7" t="s">
        <v>62</v>
      </c>
      <c r="H1957" s="7">
        <v>5</v>
      </c>
      <c r="I1957" s="2">
        <v>986.52</v>
      </c>
      <c r="J1957" s="2">
        <f>Tabla2[[#This Row],[Quantity]]*I1957</f>
        <v>4932.6000000000004</v>
      </c>
      <c r="K1957" s="6">
        <f>MONTH(Tabla2[[#This Row],[OrderDate]])</f>
        <v>8</v>
      </c>
      <c r="L1957" s="6">
        <f>YEAR(Tabla2[[#This Row],[OrderDate]])</f>
        <v>2024</v>
      </c>
      <c r="M1957" s="7" t="s">
        <v>2428</v>
      </c>
      <c r="N1957" s="7" t="s">
        <v>28</v>
      </c>
    </row>
    <row r="1958" spans="1:14" x14ac:dyDescent="0.35">
      <c r="A1958" s="7" t="s">
        <v>3280</v>
      </c>
      <c r="B1958" s="7" t="s">
        <v>59</v>
      </c>
      <c r="C1958" s="7" t="s">
        <v>60</v>
      </c>
      <c r="D1958" s="7" t="s">
        <v>40</v>
      </c>
      <c r="E1958" s="7" t="s">
        <v>79</v>
      </c>
      <c r="F1958" s="7" t="s">
        <v>50</v>
      </c>
      <c r="G1958" s="7" t="s">
        <v>69</v>
      </c>
      <c r="H1958" s="7">
        <v>4</v>
      </c>
      <c r="I1958" s="2">
        <v>1299.76</v>
      </c>
      <c r="J1958" s="2">
        <f>Tabla2[[#This Row],[Quantity]]*I1958</f>
        <v>5199.04</v>
      </c>
      <c r="K1958" s="6">
        <f>MONTH(Tabla2[[#This Row],[OrderDate]])</f>
        <v>3</v>
      </c>
      <c r="L1958" s="6">
        <f>YEAR(Tabla2[[#This Row],[OrderDate]])</f>
        <v>2025</v>
      </c>
      <c r="M1958" s="7" t="s">
        <v>3281</v>
      </c>
      <c r="N1958" s="7" t="s">
        <v>45</v>
      </c>
    </row>
    <row r="1959" spans="1:14" x14ac:dyDescent="0.35">
      <c r="A1959" s="7" t="s">
        <v>3282</v>
      </c>
      <c r="B1959" s="7" t="s">
        <v>299</v>
      </c>
      <c r="C1959" s="7" t="s">
        <v>300</v>
      </c>
      <c r="D1959" s="7" t="s">
        <v>40</v>
      </c>
      <c r="E1959" s="7" t="s">
        <v>79</v>
      </c>
      <c r="F1959" s="7" t="s">
        <v>101</v>
      </c>
      <c r="G1959" s="7" t="s">
        <v>237</v>
      </c>
      <c r="H1959" s="7">
        <v>3</v>
      </c>
      <c r="I1959" s="2">
        <v>250.75</v>
      </c>
      <c r="J1959" s="2">
        <f>Tabla2[[#This Row],[Quantity]]*I1959</f>
        <v>752.25</v>
      </c>
      <c r="K1959" s="6">
        <f>MONTH(Tabla2[[#This Row],[OrderDate]])</f>
        <v>2</v>
      </c>
      <c r="L1959" s="6">
        <f>YEAR(Tabla2[[#This Row],[OrderDate]])</f>
        <v>2026</v>
      </c>
      <c r="M1959" s="7" t="s">
        <v>650</v>
      </c>
      <c r="N1959" s="7" t="s">
        <v>28</v>
      </c>
    </row>
    <row r="1960" spans="1:14" x14ac:dyDescent="0.35">
      <c r="A1960" s="7" t="s">
        <v>3283</v>
      </c>
      <c r="B1960" s="7" t="s">
        <v>1444</v>
      </c>
      <c r="C1960" s="7" t="s">
        <v>1445</v>
      </c>
      <c r="D1960" s="7" t="s">
        <v>23</v>
      </c>
      <c r="E1960" s="7" t="s">
        <v>49</v>
      </c>
      <c r="F1960" s="7" t="s">
        <v>101</v>
      </c>
      <c r="G1960" s="7" t="s">
        <v>237</v>
      </c>
      <c r="H1960" s="7">
        <v>4</v>
      </c>
      <c r="I1960" s="2">
        <v>889.62</v>
      </c>
      <c r="J1960" s="2">
        <f>Tabla2[[#This Row],[Quantity]]*I1960</f>
        <v>3558.48</v>
      </c>
      <c r="K1960" s="6">
        <f>MONTH(Tabla2[[#This Row],[OrderDate]])</f>
        <v>4</v>
      </c>
      <c r="L1960" s="6">
        <f>YEAR(Tabla2[[#This Row],[OrderDate]])</f>
        <v>2024</v>
      </c>
      <c r="M1960" s="7" t="s">
        <v>2108</v>
      </c>
      <c r="N1960" s="7" t="s">
        <v>28</v>
      </c>
    </row>
    <row r="1961" spans="1:14" x14ac:dyDescent="0.35">
      <c r="A1961" s="7" t="s">
        <v>3284</v>
      </c>
      <c r="B1961" s="7" t="s">
        <v>925</v>
      </c>
      <c r="C1961" s="7" t="s">
        <v>926</v>
      </c>
      <c r="D1961" s="7" t="s">
        <v>67</v>
      </c>
      <c r="E1961" s="7" t="s">
        <v>115</v>
      </c>
      <c r="F1961" s="7" t="s">
        <v>42</v>
      </c>
      <c r="G1961" s="7" t="s">
        <v>80</v>
      </c>
      <c r="H1961" s="7">
        <v>3</v>
      </c>
      <c r="I1961" s="2">
        <v>517.67999999999995</v>
      </c>
      <c r="J1961" s="2">
        <f>Tabla2[[#This Row],[Quantity]]*I1961</f>
        <v>1553.04</v>
      </c>
      <c r="K1961" s="6">
        <f>MONTH(Tabla2[[#This Row],[OrderDate]])</f>
        <v>9</v>
      </c>
      <c r="L1961" s="6">
        <f>YEAR(Tabla2[[#This Row],[OrderDate]])</f>
        <v>2025</v>
      </c>
      <c r="M1961" s="7" t="s">
        <v>1112</v>
      </c>
      <c r="N1961" s="7" t="s">
        <v>19</v>
      </c>
    </row>
    <row r="1962" spans="1:14" x14ac:dyDescent="0.35">
      <c r="A1962" s="7" t="s">
        <v>3285</v>
      </c>
      <c r="B1962" s="7" t="s">
        <v>109</v>
      </c>
      <c r="C1962" s="7" t="s">
        <v>110</v>
      </c>
      <c r="D1962" s="7" t="s">
        <v>32</v>
      </c>
      <c r="E1962" s="7" t="s">
        <v>33</v>
      </c>
      <c r="F1962" s="7" t="s">
        <v>101</v>
      </c>
      <c r="G1962" s="7" t="s">
        <v>649</v>
      </c>
      <c r="H1962" s="7">
        <v>2</v>
      </c>
      <c r="I1962" s="2">
        <v>883.86</v>
      </c>
      <c r="J1962" s="2">
        <f>Tabla2[[#This Row],[Quantity]]*I1962</f>
        <v>1767.72</v>
      </c>
      <c r="K1962" s="6">
        <f>MONTH(Tabla2[[#This Row],[OrderDate]])</f>
        <v>8</v>
      </c>
      <c r="L1962" s="6">
        <f>YEAR(Tabla2[[#This Row],[OrderDate]])</f>
        <v>2025</v>
      </c>
      <c r="M1962" s="7" t="s">
        <v>3286</v>
      </c>
      <c r="N1962" s="7" t="s">
        <v>91</v>
      </c>
    </row>
    <row r="1963" spans="1:14" x14ac:dyDescent="0.35">
      <c r="A1963" s="7" t="s">
        <v>3287</v>
      </c>
      <c r="B1963" s="7" t="s">
        <v>54</v>
      </c>
      <c r="C1963" s="7" t="s">
        <v>55</v>
      </c>
      <c r="D1963" s="7" t="s">
        <v>23</v>
      </c>
      <c r="E1963" s="7" t="s">
        <v>49</v>
      </c>
      <c r="F1963" s="7" t="s">
        <v>25</v>
      </c>
      <c r="G1963" s="7" t="s">
        <v>34</v>
      </c>
      <c r="H1963" s="7">
        <v>1</v>
      </c>
      <c r="I1963" s="2">
        <v>643.1</v>
      </c>
      <c r="J1963" s="2">
        <f>Tabla2[[#This Row],[Quantity]]*I1963</f>
        <v>643.1</v>
      </c>
      <c r="K1963" s="6">
        <f>MONTH(Tabla2[[#This Row],[OrderDate]])</f>
        <v>5</v>
      </c>
      <c r="L1963" s="6">
        <f>YEAR(Tabla2[[#This Row],[OrderDate]])</f>
        <v>2025</v>
      </c>
      <c r="M1963" s="7" t="s">
        <v>2961</v>
      </c>
      <c r="N1963" s="7" t="s">
        <v>36</v>
      </c>
    </row>
    <row r="1964" spans="1:14" x14ac:dyDescent="0.35">
      <c r="A1964" s="7" t="s">
        <v>3288</v>
      </c>
      <c r="B1964" s="7" t="s">
        <v>1677</v>
      </c>
      <c r="C1964" s="7" t="s">
        <v>1678</v>
      </c>
      <c r="D1964" s="7" t="s">
        <v>32</v>
      </c>
      <c r="E1964" s="7" t="s">
        <v>61</v>
      </c>
      <c r="F1964" s="7" t="s">
        <v>25</v>
      </c>
      <c r="G1964" s="7" t="s">
        <v>34</v>
      </c>
      <c r="H1964" s="7">
        <v>1</v>
      </c>
      <c r="I1964" s="2">
        <v>565.17999999999995</v>
      </c>
      <c r="J1964" s="2">
        <f>Tabla2[[#This Row],[Quantity]]*I1964</f>
        <v>565.17999999999995</v>
      </c>
      <c r="K1964" s="6">
        <f>MONTH(Tabla2[[#This Row],[OrderDate]])</f>
        <v>4</v>
      </c>
      <c r="L1964" s="6">
        <f>YEAR(Tabla2[[#This Row],[OrderDate]])</f>
        <v>2024</v>
      </c>
      <c r="M1964" s="7" t="s">
        <v>3289</v>
      </c>
      <c r="N1964" s="7" t="s">
        <v>91</v>
      </c>
    </row>
    <row r="1965" spans="1:14" x14ac:dyDescent="0.35">
      <c r="A1965" s="7" t="s">
        <v>3290</v>
      </c>
      <c r="B1965" s="7" t="s">
        <v>146</v>
      </c>
      <c r="C1965" s="7" t="s">
        <v>147</v>
      </c>
      <c r="D1965" s="7" t="s">
        <v>14</v>
      </c>
      <c r="E1965" s="7" t="s">
        <v>95</v>
      </c>
      <c r="F1965" s="7" t="s">
        <v>101</v>
      </c>
      <c r="G1965" s="7" t="s">
        <v>373</v>
      </c>
      <c r="H1965" s="7">
        <v>4</v>
      </c>
      <c r="I1965" s="2">
        <v>1131.9100000000001</v>
      </c>
      <c r="J1965" s="2">
        <f>Tabla2[[#This Row],[Quantity]]*I1965</f>
        <v>4527.6400000000003</v>
      </c>
      <c r="K1965" s="6">
        <f>MONTH(Tabla2[[#This Row],[OrderDate]])</f>
        <v>1</v>
      </c>
      <c r="L1965" s="6">
        <f>YEAR(Tabla2[[#This Row],[OrderDate]])</f>
        <v>2025</v>
      </c>
      <c r="M1965" s="7" t="s">
        <v>3291</v>
      </c>
      <c r="N1965" s="7" t="s">
        <v>28</v>
      </c>
    </row>
    <row r="1966" spans="1:14" x14ac:dyDescent="0.35">
      <c r="A1966" s="7" t="s">
        <v>3292</v>
      </c>
      <c r="B1966" s="7" t="s">
        <v>210</v>
      </c>
      <c r="C1966" s="7" t="s">
        <v>211</v>
      </c>
      <c r="D1966" s="7" t="s">
        <v>67</v>
      </c>
      <c r="E1966" s="7" t="s">
        <v>130</v>
      </c>
      <c r="F1966" s="7" t="s">
        <v>50</v>
      </c>
      <c r="G1966" s="7" t="s">
        <v>51</v>
      </c>
      <c r="H1966" s="7">
        <v>3</v>
      </c>
      <c r="I1966" s="2">
        <v>585.79</v>
      </c>
      <c r="J1966" s="2">
        <f>Tabla2[[#This Row],[Quantity]]*I1966</f>
        <v>1757.37</v>
      </c>
      <c r="K1966" s="6">
        <f>MONTH(Tabla2[[#This Row],[OrderDate]])</f>
        <v>10</v>
      </c>
      <c r="L1966" s="6">
        <f>YEAR(Tabla2[[#This Row],[OrderDate]])</f>
        <v>2024</v>
      </c>
      <c r="M1966" s="7" t="s">
        <v>85</v>
      </c>
      <c r="N1966" s="7" t="s">
        <v>45</v>
      </c>
    </row>
    <row r="1967" spans="1:14" x14ac:dyDescent="0.35">
      <c r="A1967" s="7" t="s">
        <v>3293</v>
      </c>
      <c r="B1967" s="7" t="s">
        <v>248</v>
      </c>
      <c r="C1967" s="7" t="s">
        <v>249</v>
      </c>
      <c r="D1967" s="7" t="s">
        <v>32</v>
      </c>
      <c r="E1967" s="7" t="s">
        <v>203</v>
      </c>
      <c r="F1967" s="7" t="s">
        <v>16</v>
      </c>
      <c r="G1967" s="7" t="s">
        <v>148</v>
      </c>
      <c r="H1967" s="7">
        <v>2</v>
      </c>
      <c r="I1967" s="2">
        <v>415.26</v>
      </c>
      <c r="J1967" s="2">
        <f>Tabla2[[#This Row],[Quantity]]*I1967</f>
        <v>830.52</v>
      </c>
      <c r="K1967" s="6">
        <f>MONTH(Tabla2[[#This Row],[OrderDate]])</f>
        <v>4</v>
      </c>
      <c r="L1967" s="6">
        <f>YEAR(Tabla2[[#This Row],[OrderDate]])</f>
        <v>2024</v>
      </c>
      <c r="M1967" s="7" t="s">
        <v>365</v>
      </c>
      <c r="N1967" s="7" t="s">
        <v>36</v>
      </c>
    </row>
    <row r="1968" spans="1:14" x14ac:dyDescent="0.35">
      <c r="A1968" s="7" t="s">
        <v>3294</v>
      </c>
      <c r="B1968" s="7" t="s">
        <v>287</v>
      </c>
      <c r="C1968" s="7" t="s">
        <v>288</v>
      </c>
      <c r="D1968" s="7" t="s">
        <v>67</v>
      </c>
      <c r="E1968" s="7" t="s">
        <v>115</v>
      </c>
      <c r="F1968" s="7" t="s">
        <v>50</v>
      </c>
      <c r="G1968" s="7" t="s">
        <v>216</v>
      </c>
      <c r="H1968" s="7">
        <v>1</v>
      </c>
      <c r="I1968" s="2">
        <v>443.72</v>
      </c>
      <c r="J1968" s="2">
        <f>Tabla2[[#This Row],[Quantity]]*I1968</f>
        <v>443.72</v>
      </c>
      <c r="K1968" s="6">
        <f>MONTH(Tabla2[[#This Row],[OrderDate]])</f>
        <v>3</v>
      </c>
      <c r="L1968" s="6">
        <f>YEAR(Tabla2[[#This Row],[OrderDate]])</f>
        <v>2024</v>
      </c>
      <c r="M1968" s="7" t="s">
        <v>3295</v>
      </c>
      <c r="N1968" s="7" t="s">
        <v>19</v>
      </c>
    </row>
    <row r="1969" spans="1:14" x14ac:dyDescent="0.35">
      <c r="A1969" s="7" t="s">
        <v>3296</v>
      </c>
      <c r="B1969" s="7" t="s">
        <v>252</v>
      </c>
      <c r="C1969" s="7" t="s">
        <v>253</v>
      </c>
      <c r="D1969" s="7" t="s">
        <v>23</v>
      </c>
      <c r="E1969" s="7" t="s">
        <v>49</v>
      </c>
      <c r="F1969" s="7" t="s">
        <v>101</v>
      </c>
      <c r="G1969" s="7" t="s">
        <v>237</v>
      </c>
      <c r="H1969" s="7">
        <v>2</v>
      </c>
      <c r="I1969" s="2">
        <v>1192.05</v>
      </c>
      <c r="J1969" s="2">
        <f>Tabla2[[#This Row],[Quantity]]*I1969</f>
        <v>2384.1</v>
      </c>
      <c r="K1969" s="6">
        <f>MONTH(Tabla2[[#This Row],[OrderDate]])</f>
        <v>9</v>
      </c>
      <c r="L1969" s="6">
        <f>YEAR(Tabla2[[#This Row],[OrderDate]])</f>
        <v>2025</v>
      </c>
      <c r="M1969" s="7" t="s">
        <v>2772</v>
      </c>
      <c r="N1969" s="7" t="s">
        <v>36</v>
      </c>
    </row>
    <row r="1970" spans="1:14" x14ac:dyDescent="0.35">
      <c r="A1970" s="7" t="s">
        <v>3297</v>
      </c>
      <c r="B1970" s="7" t="s">
        <v>496</v>
      </c>
      <c r="C1970" s="7" t="s">
        <v>497</v>
      </c>
      <c r="D1970" s="7" t="s">
        <v>67</v>
      </c>
      <c r="E1970" s="7" t="s">
        <v>130</v>
      </c>
      <c r="F1970" s="7" t="s">
        <v>101</v>
      </c>
      <c r="G1970" s="7" t="s">
        <v>102</v>
      </c>
      <c r="H1970" s="7">
        <v>3</v>
      </c>
      <c r="I1970" s="2">
        <v>1275.45</v>
      </c>
      <c r="J1970" s="2">
        <f>Tabla2[[#This Row],[Quantity]]*I1970</f>
        <v>3826.3500000000004</v>
      </c>
      <c r="K1970" s="6">
        <f>MONTH(Tabla2[[#This Row],[OrderDate]])</f>
        <v>3</v>
      </c>
      <c r="L1970" s="6">
        <f>YEAR(Tabla2[[#This Row],[OrderDate]])</f>
        <v>2025</v>
      </c>
      <c r="M1970" s="7" t="s">
        <v>675</v>
      </c>
      <c r="N1970" s="7" t="s">
        <v>91</v>
      </c>
    </row>
    <row r="1971" spans="1:14" x14ac:dyDescent="0.35">
      <c r="A1971" s="7" t="s">
        <v>3298</v>
      </c>
      <c r="B1971" s="7" t="s">
        <v>707</v>
      </c>
      <c r="C1971" s="7" t="s">
        <v>708</v>
      </c>
      <c r="D1971" s="7" t="s">
        <v>67</v>
      </c>
      <c r="E1971" s="7" t="s">
        <v>68</v>
      </c>
      <c r="F1971" s="7" t="s">
        <v>42</v>
      </c>
      <c r="G1971" s="7" t="s">
        <v>43</v>
      </c>
      <c r="H1971" s="7">
        <v>1</v>
      </c>
      <c r="I1971" s="2">
        <v>1281.28</v>
      </c>
      <c r="J1971" s="2">
        <f>Tabla2[[#This Row],[Quantity]]*I1971</f>
        <v>1281.28</v>
      </c>
      <c r="K1971" s="6">
        <f>MONTH(Tabla2[[#This Row],[OrderDate]])</f>
        <v>4</v>
      </c>
      <c r="L1971" s="6">
        <f>YEAR(Tabla2[[#This Row],[OrderDate]])</f>
        <v>2024</v>
      </c>
      <c r="M1971" s="7" t="s">
        <v>1219</v>
      </c>
      <c r="N1971" s="7" t="s">
        <v>45</v>
      </c>
    </row>
    <row r="1972" spans="1:14" x14ac:dyDescent="0.35">
      <c r="A1972" s="7" t="s">
        <v>3299</v>
      </c>
      <c r="B1972" s="7" t="s">
        <v>219</v>
      </c>
      <c r="C1972" s="7" t="s">
        <v>220</v>
      </c>
      <c r="D1972" s="7" t="s">
        <v>32</v>
      </c>
      <c r="E1972" s="7" t="s">
        <v>203</v>
      </c>
      <c r="F1972" s="7" t="s">
        <v>42</v>
      </c>
      <c r="G1972" s="7" t="s">
        <v>225</v>
      </c>
      <c r="H1972" s="7">
        <v>3</v>
      </c>
      <c r="I1972" s="2">
        <v>576.82000000000005</v>
      </c>
      <c r="J1972" s="2">
        <f>Tabla2[[#This Row],[Quantity]]*I1972</f>
        <v>1730.46</v>
      </c>
      <c r="K1972" s="6">
        <f>MONTH(Tabla2[[#This Row],[OrderDate]])</f>
        <v>1</v>
      </c>
      <c r="L1972" s="6">
        <f>YEAR(Tabla2[[#This Row],[OrderDate]])</f>
        <v>2024</v>
      </c>
      <c r="M1972" s="7" t="s">
        <v>462</v>
      </c>
      <c r="N1972" s="7" t="s">
        <v>36</v>
      </c>
    </row>
    <row r="1973" spans="1:14" x14ac:dyDescent="0.35">
      <c r="A1973" s="7" t="s">
        <v>3300</v>
      </c>
      <c r="B1973" s="7" t="s">
        <v>123</v>
      </c>
      <c r="C1973" s="7" t="s">
        <v>124</v>
      </c>
      <c r="D1973" s="7" t="s">
        <v>40</v>
      </c>
      <c r="E1973" s="7" t="s">
        <v>79</v>
      </c>
      <c r="F1973" s="7" t="s">
        <v>16</v>
      </c>
      <c r="G1973" s="7" t="s">
        <v>148</v>
      </c>
      <c r="H1973" s="7">
        <v>4</v>
      </c>
      <c r="I1973" s="2">
        <v>931.7</v>
      </c>
      <c r="J1973" s="2">
        <f>Tabla2[[#This Row],[Quantity]]*I1973</f>
        <v>3726.8</v>
      </c>
      <c r="K1973" s="6">
        <f>MONTH(Tabla2[[#This Row],[OrderDate]])</f>
        <v>6</v>
      </c>
      <c r="L1973" s="6">
        <f>YEAR(Tabla2[[#This Row],[OrderDate]])</f>
        <v>2025</v>
      </c>
      <c r="M1973" s="7" t="s">
        <v>305</v>
      </c>
      <c r="N1973" s="7" t="s">
        <v>28</v>
      </c>
    </row>
    <row r="1974" spans="1:14" x14ac:dyDescent="0.35">
      <c r="A1974" s="7" t="s">
        <v>3301</v>
      </c>
      <c r="B1974" s="7" t="s">
        <v>345</v>
      </c>
      <c r="C1974" s="7" t="s">
        <v>346</v>
      </c>
      <c r="D1974" s="7" t="s">
        <v>23</v>
      </c>
      <c r="E1974" s="7" t="s">
        <v>338</v>
      </c>
      <c r="F1974" s="7" t="s">
        <v>101</v>
      </c>
      <c r="G1974" s="7" t="s">
        <v>649</v>
      </c>
      <c r="H1974" s="7">
        <v>2</v>
      </c>
      <c r="I1974" s="2">
        <v>324.14999999999998</v>
      </c>
      <c r="J1974" s="2">
        <f>Tabla2[[#This Row],[Quantity]]*I1974</f>
        <v>648.29999999999995</v>
      </c>
      <c r="K1974" s="6">
        <f>MONTH(Tabla2[[#This Row],[OrderDate]])</f>
        <v>10</v>
      </c>
      <c r="L1974" s="6">
        <f>YEAR(Tabla2[[#This Row],[OrderDate]])</f>
        <v>2024</v>
      </c>
      <c r="M1974" s="7" t="s">
        <v>1256</v>
      </c>
      <c r="N1974" s="7" t="s">
        <v>45</v>
      </c>
    </row>
    <row r="1975" spans="1:14" x14ac:dyDescent="0.35">
      <c r="A1975" s="7" t="s">
        <v>3302</v>
      </c>
      <c r="B1975" s="7" t="s">
        <v>797</v>
      </c>
      <c r="C1975" s="7" t="s">
        <v>798</v>
      </c>
      <c r="D1975" s="7" t="s">
        <v>32</v>
      </c>
      <c r="E1975" s="7" t="s">
        <v>33</v>
      </c>
      <c r="F1975" s="7" t="s">
        <v>50</v>
      </c>
      <c r="G1975" s="7" t="s">
        <v>51</v>
      </c>
      <c r="H1975" s="7">
        <v>4</v>
      </c>
      <c r="I1975" s="2">
        <v>926.87</v>
      </c>
      <c r="J1975" s="2">
        <f>Tabla2[[#This Row],[Quantity]]*I1975</f>
        <v>3707.48</v>
      </c>
      <c r="K1975" s="6">
        <f>MONTH(Tabla2[[#This Row],[OrderDate]])</f>
        <v>11</v>
      </c>
      <c r="L1975" s="6">
        <f>YEAR(Tabla2[[#This Row],[OrderDate]])</f>
        <v>2025</v>
      </c>
      <c r="M1975" s="7" t="s">
        <v>1026</v>
      </c>
      <c r="N1975" s="7" t="s">
        <v>36</v>
      </c>
    </row>
    <row r="1976" spans="1:14" x14ac:dyDescent="0.35">
      <c r="A1976" s="7" t="s">
        <v>3303</v>
      </c>
      <c r="B1976" s="7" t="s">
        <v>759</v>
      </c>
      <c r="C1976" s="7" t="s">
        <v>760</v>
      </c>
      <c r="D1976" s="7" t="s">
        <v>32</v>
      </c>
      <c r="E1976" s="7" t="s">
        <v>203</v>
      </c>
      <c r="F1976" s="7" t="s">
        <v>42</v>
      </c>
      <c r="G1976" s="7" t="s">
        <v>80</v>
      </c>
      <c r="H1976" s="7">
        <v>4</v>
      </c>
      <c r="I1976" s="2">
        <v>1228.73</v>
      </c>
      <c r="J1976" s="2">
        <f>Tabla2[[#This Row],[Quantity]]*I1976</f>
        <v>4914.92</v>
      </c>
      <c r="K1976" s="6">
        <f>MONTH(Tabla2[[#This Row],[OrderDate]])</f>
        <v>2</v>
      </c>
      <c r="L1976" s="6">
        <f>YEAR(Tabla2[[#This Row],[OrderDate]])</f>
        <v>2024</v>
      </c>
      <c r="M1976" s="7" t="s">
        <v>2069</v>
      </c>
      <c r="N1976" s="7" t="s">
        <v>91</v>
      </c>
    </row>
    <row r="1977" spans="1:14" x14ac:dyDescent="0.35">
      <c r="A1977" s="7" t="s">
        <v>3304</v>
      </c>
      <c r="B1977" s="7" t="s">
        <v>321</v>
      </c>
      <c r="C1977" s="7" t="s">
        <v>322</v>
      </c>
      <c r="D1977" s="7" t="s">
        <v>40</v>
      </c>
      <c r="E1977" s="7" t="s">
        <v>79</v>
      </c>
      <c r="F1977" s="7" t="s">
        <v>25</v>
      </c>
      <c r="G1977" s="7" t="s">
        <v>74</v>
      </c>
      <c r="H1977" s="7">
        <v>1</v>
      </c>
      <c r="I1977" s="2">
        <v>762.39</v>
      </c>
      <c r="J1977" s="2">
        <f>Tabla2[[#This Row],[Quantity]]*I1977</f>
        <v>762.39</v>
      </c>
      <c r="K1977" s="6">
        <f>MONTH(Tabla2[[#This Row],[OrderDate]])</f>
        <v>9</v>
      </c>
      <c r="L1977" s="6">
        <f>YEAR(Tabla2[[#This Row],[OrderDate]])</f>
        <v>2024</v>
      </c>
      <c r="M1977" s="7" t="s">
        <v>3305</v>
      </c>
      <c r="N1977" s="7" t="s">
        <v>91</v>
      </c>
    </row>
    <row r="1978" spans="1:14" x14ac:dyDescent="0.35">
      <c r="A1978" s="7" t="s">
        <v>3306</v>
      </c>
      <c r="B1978" s="7" t="s">
        <v>443</v>
      </c>
      <c r="C1978" s="7" t="s">
        <v>444</v>
      </c>
      <c r="D1978" s="7" t="s">
        <v>67</v>
      </c>
      <c r="E1978" s="7" t="s">
        <v>130</v>
      </c>
      <c r="F1978" s="7" t="s">
        <v>101</v>
      </c>
      <c r="G1978" s="7" t="s">
        <v>237</v>
      </c>
      <c r="H1978" s="7">
        <v>1</v>
      </c>
      <c r="I1978" s="2">
        <v>1450.64</v>
      </c>
      <c r="J1978" s="2">
        <f>Tabla2[[#This Row],[Quantity]]*I1978</f>
        <v>1450.64</v>
      </c>
      <c r="K1978" s="6">
        <f>MONTH(Tabla2[[#This Row],[OrderDate]])</f>
        <v>9</v>
      </c>
      <c r="L1978" s="6">
        <f>YEAR(Tabla2[[#This Row],[OrderDate]])</f>
        <v>2024</v>
      </c>
      <c r="M1978" s="7" t="s">
        <v>2648</v>
      </c>
      <c r="N1978" s="7" t="s">
        <v>36</v>
      </c>
    </row>
    <row r="1979" spans="1:14" x14ac:dyDescent="0.35">
      <c r="A1979" s="7" t="s">
        <v>3307</v>
      </c>
      <c r="B1979" s="7" t="s">
        <v>439</v>
      </c>
      <c r="C1979" s="7" t="s">
        <v>440</v>
      </c>
      <c r="D1979" s="7" t="s">
        <v>67</v>
      </c>
      <c r="E1979" s="7" t="s">
        <v>130</v>
      </c>
      <c r="F1979" s="7" t="s">
        <v>101</v>
      </c>
      <c r="G1979" s="7" t="s">
        <v>165</v>
      </c>
      <c r="H1979" s="7">
        <v>5</v>
      </c>
      <c r="I1979" s="2">
        <v>609.46</v>
      </c>
      <c r="J1979" s="2">
        <f>Tabla2[[#This Row],[Quantity]]*I1979</f>
        <v>3047.3</v>
      </c>
      <c r="K1979" s="6">
        <f>MONTH(Tabla2[[#This Row],[OrderDate]])</f>
        <v>4</v>
      </c>
      <c r="L1979" s="6">
        <f>YEAR(Tabla2[[#This Row],[OrderDate]])</f>
        <v>2024</v>
      </c>
      <c r="M1979" s="7" t="s">
        <v>2172</v>
      </c>
      <c r="N1979" s="7" t="s">
        <v>36</v>
      </c>
    </row>
    <row r="1980" spans="1:14" x14ac:dyDescent="0.35">
      <c r="A1980" s="7" t="s">
        <v>3308</v>
      </c>
      <c r="B1980" s="7" t="s">
        <v>1101</v>
      </c>
      <c r="C1980" s="7" t="s">
        <v>1102</v>
      </c>
      <c r="D1980" s="7" t="s">
        <v>14</v>
      </c>
      <c r="E1980" s="7" t="s">
        <v>100</v>
      </c>
      <c r="F1980" s="7" t="s">
        <v>42</v>
      </c>
      <c r="G1980" s="7" t="s">
        <v>170</v>
      </c>
      <c r="H1980" s="7">
        <v>3</v>
      </c>
      <c r="I1980" s="2">
        <v>239.87</v>
      </c>
      <c r="J1980" s="2">
        <f>Tabla2[[#This Row],[Quantity]]*I1980</f>
        <v>719.61</v>
      </c>
      <c r="K1980" s="6">
        <f>MONTH(Tabla2[[#This Row],[OrderDate]])</f>
        <v>2</v>
      </c>
      <c r="L1980" s="6">
        <f>YEAR(Tabla2[[#This Row],[OrderDate]])</f>
        <v>2024</v>
      </c>
      <c r="M1980" s="7" t="s">
        <v>1588</v>
      </c>
      <c r="N1980" s="7" t="s">
        <v>28</v>
      </c>
    </row>
    <row r="1981" spans="1:14" x14ac:dyDescent="0.35">
      <c r="A1981" s="7" t="s">
        <v>3309</v>
      </c>
      <c r="B1981" s="7" t="s">
        <v>443</v>
      </c>
      <c r="C1981" s="7" t="s">
        <v>444</v>
      </c>
      <c r="D1981" s="7" t="s">
        <v>67</v>
      </c>
      <c r="E1981" s="7" t="s">
        <v>115</v>
      </c>
      <c r="F1981" s="7" t="s">
        <v>25</v>
      </c>
      <c r="G1981" s="7" t="s">
        <v>26</v>
      </c>
      <c r="H1981" s="7">
        <v>2</v>
      </c>
      <c r="I1981" s="2">
        <v>355.13</v>
      </c>
      <c r="J1981" s="2">
        <f>Tabla2[[#This Row],[Quantity]]*I1981</f>
        <v>710.26</v>
      </c>
      <c r="K1981" s="6">
        <f>MONTH(Tabla2[[#This Row],[OrderDate]])</f>
        <v>11</v>
      </c>
      <c r="L1981" s="6">
        <f>YEAR(Tabla2[[#This Row],[OrderDate]])</f>
        <v>2025</v>
      </c>
      <c r="M1981" s="7" t="s">
        <v>3310</v>
      </c>
      <c r="N1981" s="7" t="s">
        <v>45</v>
      </c>
    </row>
    <row r="1982" spans="1:14" x14ac:dyDescent="0.35">
      <c r="A1982" s="7" t="s">
        <v>3311</v>
      </c>
      <c r="B1982" s="7" t="s">
        <v>775</v>
      </c>
      <c r="C1982" s="7" t="s">
        <v>776</v>
      </c>
      <c r="D1982" s="7" t="s">
        <v>67</v>
      </c>
      <c r="E1982" s="7" t="s">
        <v>130</v>
      </c>
      <c r="F1982" s="7" t="s">
        <v>42</v>
      </c>
      <c r="G1982" s="7" t="s">
        <v>225</v>
      </c>
      <c r="H1982" s="7">
        <v>5</v>
      </c>
      <c r="I1982" s="2">
        <v>1448.22</v>
      </c>
      <c r="J1982" s="2">
        <f>Tabla2[[#This Row],[Quantity]]*I1982</f>
        <v>7241.1</v>
      </c>
      <c r="K1982" s="6">
        <f>MONTH(Tabla2[[#This Row],[OrderDate]])</f>
        <v>2</v>
      </c>
      <c r="L1982" s="6">
        <f>YEAR(Tabla2[[#This Row],[OrderDate]])</f>
        <v>2026</v>
      </c>
      <c r="M1982" s="7" t="s">
        <v>1629</v>
      </c>
      <c r="N1982" s="7" t="s">
        <v>91</v>
      </c>
    </row>
    <row r="1983" spans="1:14" x14ac:dyDescent="0.35">
      <c r="A1983" s="7" t="s">
        <v>3312</v>
      </c>
      <c r="B1983" s="7" t="s">
        <v>273</v>
      </c>
      <c r="C1983" s="7" t="s">
        <v>274</v>
      </c>
      <c r="D1983" s="7" t="s">
        <v>14</v>
      </c>
      <c r="E1983" s="7" t="s">
        <v>15</v>
      </c>
      <c r="F1983" s="7" t="s">
        <v>25</v>
      </c>
      <c r="G1983" s="7" t="s">
        <v>26</v>
      </c>
      <c r="H1983" s="7">
        <v>4</v>
      </c>
      <c r="I1983" s="2">
        <v>1166.31</v>
      </c>
      <c r="J1983" s="2">
        <f>Tabla2[[#This Row],[Quantity]]*I1983</f>
        <v>4665.24</v>
      </c>
      <c r="K1983" s="6">
        <f>MONTH(Tabla2[[#This Row],[OrderDate]])</f>
        <v>8</v>
      </c>
      <c r="L1983" s="6">
        <f>YEAR(Tabla2[[#This Row],[OrderDate]])</f>
        <v>2024</v>
      </c>
      <c r="M1983" s="7" t="s">
        <v>1822</v>
      </c>
      <c r="N1983" s="7" t="s">
        <v>28</v>
      </c>
    </row>
    <row r="1984" spans="1:14" x14ac:dyDescent="0.35">
      <c r="A1984" s="7" t="s">
        <v>3313</v>
      </c>
      <c r="B1984" s="7" t="s">
        <v>1153</v>
      </c>
      <c r="C1984" s="7" t="s">
        <v>1154</v>
      </c>
      <c r="D1984" s="7" t="s">
        <v>67</v>
      </c>
      <c r="E1984" s="7" t="s">
        <v>68</v>
      </c>
      <c r="F1984" s="7" t="s">
        <v>42</v>
      </c>
      <c r="G1984" s="7" t="s">
        <v>170</v>
      </c>
      <c r="H1984" s="7">
        <v>1</v>
      </c>
      <c r="I1984" s="2">
        <v>462.79</v>
      </c>
      <c r="J1984" s="2">
        <f>Tabla2[[#This Row],[Quantity]]*I1984</f>
        <v>462.79</v>
      </c>
      <c r="K1984" s="6">
        <f>MONTH(Tabla2[[#This Row],[OrderDate]])</f>
        <v>11</v>
      </c>
      <c r="L1984" s="6">
        <f>YEAR(Tabla2[[#This Row],[OrderDate]])</f>
        <v>2024</v>
      </c>
      <c r="M1984" s="7" t="s">
        <v>1181</v>
      </c>
      <c r="N1984" s="7" t="s">
        <v>91</v>
      </c>
    </row>
    <row r="1985" spans="1:14" x14ac:dyDescent="0.35">
      <c r="A1985" s="7" t="s">
        <v>3314</v>
      </c>
      <c r="B1985" s="7" t="s">
        <v>1278</v>
      </c>
      <c r="C1985" s="7" t="s">
        <v>1279</v>
      </c>
      <c r="D1985" s="7" t="s">
        <v>67</v>
      </c>
      <c r="E1985" s="7" t="s">
        <v>115</v>
      </c>
      <c r="F1985" s="7" t="s">
        <v>16</v>
      </c>
      <c r="G1985" s="7" t="s">
        <v>177</v>
      </c>
      <c r="H1985" s="7">
        <v>5</v>
      </c>
      <c r="I1985" s="2">
        <v>757.07</v>
      </c>
      <c r="J1985" s="2">
        <f>Tabla2[[#This Row],[Quantity]]*I1985</f>
        <v>3785.3500000000004</v>
      </c>
      <c r="K1985" s="6">
        <f>MONTH(Tabla2[[#This Row],[OrderDate]])</f>
        <v>11</v>
      </c>
      <c r="L1985" s="6">
        <f>YEAR(Tabla2[[#This Row],[OrderDate]])</f>
        <v>2025</v>
      </c>
      <c r="M1985" s="7" t="s">
        <v>479</v>
      </c>
      <c r="N1985" s="7" t="s">
        <v>19</v>
      </c>
    </row>
    <row r="1986" spans="1:14" x14ac:dyDescent="0.35">
      <c r="A1986" s="7" t="s">
        <v>3315</v>
      </c>
      <c r="B1986" s="7" t="s">
        <v>742</v>
      </c>
      <c r="C1986" s="7" t="s">
        <v>743</v>
      </c>
      <c r="D1986" s="7" t="s">
        <v>14</v>
      </c>
      <c r="E1986" s="7" t="s">
        <v>95</v>
      </c>
      <c r="F1986" s="7" t="s">
        <v>42</v>
      </c>
      <c r="G1986" s="7" t="s">
        <v>80</v>
      </c>
      <c r="H1986" s="7">
        <v>3</v>
      </c>
      <c r="I1986" s="2">
        <v>438.61</v>
      </c>
      <c r="J1986" s="2">
        <f>Tabla2[[#This Row],[Quantity]]*I1986</f>
        <v>1315.83</v>
      </c>
      <c r="K1986" s="6">
        <f>MONTH(Tabla2[[#This Row],[OrderDate]])</f>
        <v>8</v>
      </c>
      <c r="L1986" s="6">
        <f>YEAR(Tabla2[[#This Row],[OrderDate]])</f>
        <v>2024</v>
      </c>
      <c r="M1986" s="7" t="s">
        <v>3316</v>
      </c>
      <c r="N1986" s="7" t="s">
        <v>91</v>
      </c>
    </row>
    <row r="1987" spans="1:14" x14ac:dyDescent="0.35">
      <c r="A1987" s="7" t="s">
        <v>3317</v>
      </c>
      <c r="B1987" s="7" t="s">
        <v>2245</v>
      </c>
      <c r="C1987" s="7" t="s">
        <v>2246</v>
      </c>
      <c r="D1987" s="7" t="s">
        <v>32</v>
      </c>
      <c r="E1987" s="7" t="s">
        <v>61</v>
      </c>
      <c r="F1987" s="7" t="s">
        <v>25</v>
      </c>
      <c r="G1987" s="7" t="s">
        <v>74</v>
      </c>
      <c r="H1987" s="7">
        <v>2</v>
      </c>
      <c r="I1987" s="2">
        <v>1342.01</v>
      </c>
      <c r="J1987" s="2">
        <f>Tabla2[[#This Row],[Quantity]]*I1987</f>
        <v>2684.02</v>
      </c>
      <c r="K1987" s="6">
        <f>MONTH(Tabla2[[#This Row],[OrderDate]])</f>
        <v>3</v>
      </c>
      <c r="L1987" s="6">
        <f>YEAR(Tabla2[[#This Row],[OrderDate]])</f>
        <v>2026</v>
      </c>
      <c r="M1987" s="7" t="s">
        <v>390</v>
      </c>
      <c r="N1987" s="7" t="s">
        <v>36</v>
      </c>
    </row>
    <row r="1988" spans="1:14" x14ac:dyDescent="0.35">
      <c r="A1988" s="7" t="s">
        <v>3318</v>
      </c>
      <c r="B1988" s="7" t="s">
        <v>763</v>
      </c>
      <c r="C1988" s="7" t="s">
        <v>764</v>
      </c>
      <c r="D1988" s="7" t="s">
        <v>67</v>
      </c>
      <c r="E1988" s="7" t="s">
        <v>130</v>
      </c>
      <c r="F1988" s="7" t="s">
        <v>42</v>
      </c>
      <c r="G1988" s="7" t="s">
        <v>80</v>
      </c>
      <c r="H1988" s="7">
        <v>1</v>
      </c>
      <c r="I1988" s="2">
        <v>1260.1500000000001</v>
      </c>
      <c r="J1988" s="2">
        <f>Tabla2[[#This Row],[Quantity]]*I1988</f>
        <v>1260.1500000000001</v>
      </c>
      <c r="K1988" s="6">
        <f>MONTH(Tabla2[[#This Row],[OrderDate]])</f>
        <v>7</v>
      </c>
      <c r="L1988" s="6">
        <f>YEAR(Tabla2[[#This Row],[OrderDate]])</f>
        <v>2024</v>
      </c>
      <c r="M1988" s="7" t="s">
        <v>1727</v>
      </c>
      <c r="N1988" s="7" t="s">
        <v>19</v>
      </c>
    </row>
    <row r="1989" spans="1:14" x14ac:dyDescent="0.35">
      <c r="A1989" s="7" t="s">
        <v>3319</v>
      </c>
      <c r="B1989" s="7" t="s">
        <v>223</v>
      </c>
      <c r="C1989" s="7" t="s">
        <v>224</v>
      </c>
      <c r="D1989" s="7" t="s">
        <v>40</v>
      </c>
      <c r="E1989" s="7" t="s">
        <v>79</v>
      </c>
      <c r="F1989" s="7" t="s">
        <v>50</v>
      </c>
      <c r="G1989" s="7" t="s">
        <v>51</v>
      </c>
      <c r="H1989" s="7">
        <v>5</v>
      </c>
      <c r="I1989" s="2">
        <v>753.9</v>
      </c>
      <c r="J1989" s="2">
        <f>Tabla2[[#This Row],[Quantity]]*I1989</f>
        <v>3769.5</v>
      </c>
      <c r="K1989" s="6">
        <f>MONTH(Tabla2[[#This Row],[OrderDate]])</f>
        <v>10</v>
      </c>
      <c r="L1989" s="6">
        <f>YEAR(Tabla2[[#This Row],[OrderDate]])</f>
        <v>2024</v>
      </c>
      <c r="M1989" s="7" t="s">
        <v>667</v>
      </c>
      <c r="N1989" s="7" t="s">
        <v>36</v>
      </c>
    </row>
    <row r="1990" spans="1:14" x14ac:dyDescent="0.35">
      <c r="A1990" s="7" t="s">
        <v>3320</v>
      </c>
      <c r="B1990" s="7" t="s">
        <v>12</v>
      </c>
      <c r="C1990" s="7" t="s">
        <v>13</v>
      </c>
      <c r="D1990" s="7" t="s">
        <v>67</v>
      </c>
      <c r="E1990" s="7" t="s">
        <v>130</v>
      </c>
      <c r="F1990" s="7" t="s">
        <v>50</v>
      </c>
      <c r="G1990" s="7" t="s">
        <v>216</v>
      </c>
      <c r="H1990" s="7">
        <v>2</v>
      </c>
      <c r="I1990" s="2">
        <v>1324.92</v>
      </c>
      <c r="J1990" s="2">
        <f>Tabla2[[#This Row],[Quantity]]*I1990</f>
        <v>2649.84</v>
      </c>
      <c r="K1990" s="6">
        <f>MONTH(Tabla2[[#This Row],[OrderDate]])</f>
        <v>2</v>
      </c>
      <c r="L1990" s="6">
        <f>YEAR(Tabla2[[#This Row],[OrderDate]])</f>
        <v>2025</v>
      </c>
      <c r="M1990" s="7" t="s">
        <v>2057</v>
      </c>
      <c r="N1990" s="7" t="s">
        <v>19</v>
      </c>
    </row>
    <row r="1991" spans="1:14" x14ac:dyDescent="0.35">
      <c r="A1991" s="7" t="s">
        <v>3321</v>
      </c>
      <c r="B1991" s="7" t="s">
        <v>791</v>
      </c>
      <c r="C1991" s="7" t="s">
        <v>792</v>
      </c>
      <c r="D1991" s="7" t="s">
        <v>14</v>
      </c>
      <c r="E1991" s="7" t="s">
        <v>15</v>
      </c>
      <c r="F1991" s="7" t="s">
        <v>25</v>
      </c>
      <c r="G1991" s="7" t="s">
        <v>26</v>
      </c>
      <c r="H1991" s="7">
        <v>5</v>
      </c>
      <c r="I1991" s="2">
        <v>1065.3699999999999</v>
      </c>
      <c r="J1991" s="2">
        <f>Tabla2[[#This Row],[Quantity]]*I1991</f>
        <v>5326.8499999999995</v>
      </c>
      <c r="K1991" s="6">
        <f>MONTH(Tabla2[[#This Row],[OrderDate]])</f>
        <v>6</v>
      </c>
      <c r="L1991" s="6">
        <f>YEAR(Tabla2[[#This Row],[OrderDate]])</f>
        <v>2024</v>
      </c>
      <c r="M1991" s="7" t="s">
        <v>1064</v>
      </c>
      <c r="N1991" s="7" t="s">
        <v>91</v>
      </c>
    </row>
    <row r="1992" spans="1:14" x14ac:dyDescent="0.35">
      <c r="A1992" s="7" t="s">
        <v>3322</v>
      </c>
      <c r="B1992" s="7" t="s">
        <v>359</v>
      </c>
      <c r="C1992" s="7" t="s">
        <v>360</v>
      </c>
      <c r="D1992" s="7" t="s">
        <v>23</v>
      </c>
      <c r="E1992" s="7" t="s">
        <v>49</v>
      </c>
      <c r="F1992" s="7" t="s">
        <v>16</v>
      </c>
      <c r="G1992" s="7" t="s">
        <v>177</v>
      </c>
      <c r="H1992" s="7">
        <v>2</v>
      </c>
      <c r="I1992" s="2">
        <v>559.61</v>
      </c>
      <c r="J1992" s="2">
        <f>Tabla2[[#This Row],[Quantity]]*I1992</f>
        <v>1119.22</v>
      </c>
      <c r="K1992" s="6">
        <f>MONTH(Tabla2[[#This Row],[OrderDate]])</f>
        <v>6</v>
      </c>
      <c r="L1992" s="6">
        <f>YEAR(Tabla2[[#This Row],[OrderDate]])</f>
        <v>2025</v>
      </c>
      <c r="M1992" s="7" t="s">
        <v>1352</v>
      </c>
      <c r="N1992" s="7" t="s">
        <v>45</v>
      </c>
    </row>
    <row r="1993" spans="1:14" x14ac:dyDescent="0.35">
      <c r="A1993" s="7" t="s">
        <v>3323</v>
      </c>
      <c r="B1993" s="7" t="s">
        <v>12</v>
      </c>
      <c r="C1993" s="7" t="s">
        <v>13</v>
      </c>
      <c r="D1993" s="7" t="s">
        <v>67</v>
      </c>
      <c r="E1993" s="7" t="s">
        <v>115</v>
      </c>
      <c r="F1993" s="7" t="s">
        <v>50</v>
      </c>
      <c r="G1993" s="7" t="s">
        <v>69</v>
      </c>
      <c r="H1993" s="7">
        <v>2</v>
      </c>
      <c r="I1993" s="2">
        <v>717.96</v>
      </c>
      <c r="J1993" s="2">
        <f>Tabla2[[#This Row],[Quantity]]*I1993</f>
        <v>1435.92</v>
      </c>
      <c r="K1993" s="6">
        <f>MONTH(Tabla2[[#This Row],[OrderDate]])</f>
        <v>5</v>
      </c>
      <c r="L1993" s="6">
        <f>YEAR(Tabla2[[#This Row],[OrderDate]])</f>
        <v>2024</v>
      </c>
      <c r="M1993" s="7" t="s">
        <v>1455</v>
      </c>
      <c r="N1993" s="7" t="s">
        <v>36</v>
      </c>
    </row>
    <row r="1994" spans="1:14" x14ac:dyDescent="0.35">
      <c r="A1994" s="7" t="s">
        <v>3324</v>
      </c>
      <c r="B1994" s="7" t="s">
        <v>173</v>
      </c>
      <c r="C1994" s="7" t="s">
        <v>174</v>
      </c>
      <c r="D1994" s="7" t="s">
        <v>23</v>
      </c>
      <c r="E1994" s="7" t="s">
        <v>49</v>
      </c>
      <c r="F1994" s="7" t="s">
        <v>42</v>
      </c>
      <c r="G1994" s="7" t="s">
        <v>225</v>
      </c>
      <c r="H1994" s="7">
        <v>2</v>
      </c>
      <c r="I1994" s="2">
        <v>937.01</v>
      </c>
      <c r="J1994" s="2">
        <f>Tabla2[[#This Row],[Quantity]]*I1994</f>
        <v>1874.02</v>
      </c>
      <c r="K1994" s="6">
        <f>MONTH(Tabla2[[#This Row],[OrderDate]])</f>
        <v>11</v>
      </c>
      <c r="L1994" s="6">
        <f>YEAR(Tabla2[[#This Row],[OrderDate]])</f>
        <v>2025</v>
      </c>
      <c r="M1994" s="7" t="s">
        <v>2048</v>
      </c>
      <c r="N1994" s="7" t="s">
        <v>45</v>
      </c>
    </row>
    <row r="1995" spans="1:14" x14ac:dyDescent="0.35">
      <c r="A1995" s="7" t="s">
        <v>3325</v>
      </c>
      <c r="B1995" s="7" t="s">
        <v>248</v>
      </c>
      <c r="C1995" s="7" t="s">
        <v>249</v>
      </c>
      <c r="D1995" s="7" t="s">
        <v>67</v>
      </c>
      <c r="E1995" s="7" t="s">
        <v>130</v>
      </c>
      <c r="F1995" s="7" t="s">
        <v>16</v>
      </c>
      <c r="G1995" s="7" t="s">
        <v>148</v>
      </c>
      <c r="H1995" s="7">
        <v>4</v>
      </c>
      <c r="I1995" s="2">
        <v>694.6</v>
      </c>
      <c r="J1995" s="2">
        <f>Tabla2[[#This Row],[Quantity]]*I1995</f>
        <v>2778.4</v>
      </c>
      <c r="K1995" s="6">
        <f>MONTH(Tabla2[[#This Row],[OrderDate]])</f>
        <v>2</v>
      </c>
      <c r="L1995" s="6">
        <f>YEAR(Tabla2[[#This Row],[OrderDate]])</f>
        <v>2024</v>
      </c>
      <c r="M1995" s="7" t="s">
        <v>1174</v>
      </c>
      <c r="N1995" s="7" t="s">
        <v>28</v>
      </c>
    </row>
    <row r="1996" spans="1:14" x14ac:dyDescent="0.35">
      <c r="A1996" s="7" t="s">
        <v>3326</v>
      </c>
      <c r="B1996" s="7" t="s">
        <v>586</v>
      </c>
      <c r="C1996" s="7" t="s">
        <v>587</v>
      </c>
      <c r="D1996" s="7" t="s">
        <v>23</v>
      </c>
      <c r="E1996" s="7" t="s">
        <v>24</v>
      </c>
      <c r="F1996" s="7" t="s">
        <v>16</v>
      </c>
      <c r="G1996" s="7" t="s">
        <v>17</v>
      </c>
      <c r="H1996" s="7">
        <v>5</v>
      </c>
      <c r="I1996" s="2">
        <v>907.43</v>
      </c>
      <c r="J1996" s="2">
        <f>Tabla2[[#This Row],[Quantity]]*I1996</f>
        <v>4537.1499999999996</v>
      </c>
      <c r="K1996" s="6">
        <f>MONTH(Tabla2[[#This Row],[OrderDate]])</f>
        <v>6</v>
      </c>
      <c r="L1996" s="6">
        <f>YEAR(Tabla2[[#This Row],[OrderDate]])</f>
        <v>2024</v>
      </c>
      <c r="M1996" s="7" t="s">
        <v>1348</v>
      </c>
      <c r="N1996" s="7" t="s">
        <v>28</v>
      </c>
    </row>
    <row r="1997" spans="1:14" x14ac:dyDescent="0.35">
      <c r="A1997" s="7" t="s">
        <v>3327</v>
      </c>
      <c r="B1997" s="7" t="s">
        <v>1307</v>
      </c>
      <c r="C1997" s="7" t="s">
        <v>1308</v>
      </c>
      <c r="D1997" s="7" t="s">
        <v>32</v>
      </c>
      <c r="E1997" s="7" t="s">
        <v>61</v>
      </c>
      <c r="F1997" s="7" t="s">
        <v>25</v>
      </c>
      <c r="G1997" s="7" t="s">
        <v>26</v>
      </c>
      <c r="H1997" s="7">
        <v>5</v>
      </c>
      <c r="I1997" s="2">
        <v>1127.3800000000001</v>
      </c>
      <c r="J1997" s="2">
        <f>Tabla2[[#This Row],[Quantity]]*I1997</f>
        <v>5636.9000000000005</v>
      </c>
      <c r="K1997" s="6">
        <f>MONTH(Tabla2[[#This Row],[OrderDate]])</f>
        <v>8</v>
      </c>
      <c r="L1997" s="6">
        <f>YEAR(Tabla2[[#This Row],[OrderDate]])</f>
        <v>2024</v>
      </c>
      <c r="M1997" s="7" t="s">
        <v>1518</v>
      </c>
      <c r="N1997" s="7" t="s">
        <v>28</v>
      </c>
    </row>
    <row r="1998" spans="1:14" x14ac:dyDescent="0.35">
      <c r="A1998" s="7" t="s">
        <v>3328</v>
      </c>
      <c r="B1998" s="7" t="s">
        <v>1677</v>
      </c>
      <c r="C1998" s="7" t="s">
        <v>1678</v>
      </c>
      <c r="D1998" s="7" t="s">
        <v>32</v>
      </c>
      <c r="E1998" s="7" t="s">
        <v>61</v>
      </c>
      <c r="F1998" s="7" t="s">
        <v>16</v>
      </c>
      <c r="G1998" s="7" t="s">
        <v>230</v>
      </c>
      <c r="H1998" s="7">
        <v>4</v>
      </c>
      <c r="I1998" s="2">
        <v>1438.86</v>
      </c>
      <c r="J1998" s="2">
        <f>Tabla2[[#This Row],[Quantity]]*I1998</f>
        <v>5755.44</v>
      </c>
      <c r="K1998" s="6">
        <f>MONTH(Tabla2[[#This Row],[OrderDate]])</f>
        <v>6</v>
      </c>
      <c r="L1998" s="6">
        <f>YEAR(Tabla2[[#This Row],[OrderDate]])</f>
        <v>2025</v>
      </c>
      <c r="M1998" s="7" t="s">
        <v>1254</v>
      </c>
      <c r="N1998" s="7" t="s">
        <v>91</v>
      </c>
    </row>
    <row r="1999" spans="1:14" x14ac:dyDescent="0.35">
      <c r="A1999" s="7" t="s">
        <v>3329</v>
      </c>
      <c r="B1999" s="7" t="s">
        <v>223</v>
      </c>
      <c r="C1999" s="7" t="s">
        <v>224</v>
      </c>
      <c r="D1999" s="7" t="s">
        <v>32</v>
      </c>
      <c r="E1999" s="7" t="s">
        <v>61</v>
      </c>
      <c r="F1999" s="7" t="s">
        <v>25</v>
      </c>
      <c r="G1999" s="7" t="s">
        <v>139</v>
      </c>
      <c r="H1999" s="7">
        <v>4</v>
      </c>
      <c r="I1999" s="2">
        <v>1151.3399999999999</v>
      </c>
      <c r="J1999" s="2">
        <f>Tabla2[[#This Row],[Quantity]]*I1999</f>
        <v>4605.3599999999997</v>
      </c>
      <c r="K1999" s="6">
        <f>MONTH(Tabla2[[#This Row],[OrderDate]])</f>
        <v>9</v>
      </c>
      <c r="L1999" s="6">
        <f>YEAR(Tabla2[[#This Row],[OrderDate]])</f>
        <v>2024</v>
      </c>
      <c r="M1999" s="7" t="s">
        <v>289</v>
      </c>
      <c r="N1999" s="7" t="s">
        <v>19</v>
      </c>
    </row>
    <row r="2000" spans="1:14" x14ac:dyDescent="0.35">
      <c r="A2000" s="7" t="s">
        <v>3330</v>
      </c>
      <c r="B2000" s="7" t="s">
        <v>443</v>
      </c>
      <c r="C2000" s="7" t="s">
        <v>444</v>
      </c>
      <c r="D2000" s="7" t="s">
        <v>32</v>
      </c>
      <c r="E2000" s="7" t="s">
        <v>33</v>
      </c>
      <c r="F2000" s="7" t="s">
        <v>101</v>
      </c>
      <c r="G2000" s="7" t="s">
        <v>373</v>
      </c>
      <c r="H2000" s="7">
        <v>3</v>
      </c>
      <c r="I2000" s="2">
        <v>1182.57</v>
      </c>
      <c r="J2000" s="2">
        <f>Tabla2[[#This Row],[Quantity]]*I2000</f>
        <v>3547.71</v>
      </c>
      <c r="K2000" s="6">
        <f>MONTH(Tabla2[[#This Row],[OrderDate]])</f>
        <v>12</v>
      </c>
      <c r="L2000" s="6">
        <f>YEAR(Tabla2[[#This Row],[OrderDate]])</f>
        <v>2024</v>
      </c>
      <c r="M2000" s="7" t="s">
        <v>1889</v>
      </c>
      <c r="N2000" s="7" t="s">
        <v>19</v>
      </c>
    </row>
    <row r="2001" spans="1:14" x14ac:dyDescent="0.35">
      <c r="A2001" s="7" t="s">
        <v>3331</v>
      </c>
      <c r="B2001" s="7" t="s">
        <v>38</v>
      </c>
      <c r="C2001" s="7" t="s">
        <v>39</v>
      </c>
      <c r="D2001" s="7" t="s">
        <v>40</v>
      </c>
      <c r="E2001" s="7" t="s">
        <v>120</v>
      </c>
      <c r="F2001" s="7" t="s">
        <v>50</v>
      </c>
      <c r="G2001" s="7" t="s">
        <v>170</v>
      </c>
      <c r="H2001" s="7">
        <v>3</v>
      </c>
      <c r="I2001" s="2">
        <v>66.58</v>
      </c>
      <c r="J2001" s="2">
        <f>Tabla2[[#This Row],[Quantity]]*I2001</f>
        <v>199.74</v>
      </c>
      <c r="K2001" s="6">
        <f>MONTH(Tabla2[[#This Row],[OrderDate]])</f>
        <v>4</v>
      </c>
      <c r="L2001" s="6">
        <f>YEAR(Tabla2[[#This Row],[OrderDate]])</f>
        <v>2025</v>
      </c>
      <c r="M2001" s="7" t="s">
        <v>538</v>
      </c>
      <c r="N2001" s="7" t="s">
        <v>36</v>
      </c>
    </row>
    <row r="2002" spans="1:14" x14ac:dyDescent="0.35">
      <c r="A2002" s="7" t="s">
        <v>3332</v>
      </c>
      <c r="B2002" s="7" t="s">
        <v>618</v>
      </c>
      <c r="C2002" s="7" t="s">
        <v>619</v>
      </c>
      <c r="D2002" s="7" t="s">
        <v>14</v>
      </c>
      <c r="E2002" s="7" t="s">
        <v>125</v>
      </c>
      <c r="F2002" s="7" t="s">
        <v>16</v>
      </c>
      <c r="G2002" s="7" t="s">
        <v>17</v>
      </c>
      <c r="H2002" s="7">
        <v>2</v>
      </c>
      <c r="I2002" s="2">
        <v>1070.68</v>
      </c>
      <c r="J2002" s="2">
        <f>Tabla2[[#This Row],[Quantity]]*I2002</f>
        <v>2141.36</v>
      </c>
      <c r="K2002" s="6">
        <f>MONTH(Tabla2[[#This Row],[OrderDate]])</f>
        <v>3</v>
      </c>
      <c r="L2002" s="6">
        <f>YEAR(Tabla2[[#This Row],[OrderDate]])</f>
        <v>2026</v>
      </c>
      <c r="M2002" s="7" t="s">
        <v>1569</v>
      </c>
      <c r="N2002" s="7" t="s">
        <v>36</v>
      </c>
    </row>
    <row r="2003" spans="1:14" x14ac:dyDescent="0.35">
      <c r="A2003" s="7" t="s">
        <v>3333</v>
      </c>
      <c r="B2003" s="7" t="s">
        <v>429</v>
      </c>
      <c r="C2003" s="7" t="s">
        <v>430</v>
      </c>
      <c r="D2003" s="7" t="s">
        <v>23</v>
      </c>
      <c r="E2003" s="7" t="s">
        <v>338</v>
      </c>
      <c r="F2003" s="7" t="s">
        <v>101</v>
      </c>
      <c r="G2003" s="7" t="s">
        <v>102</v>
      </c>
      <c r="H2003" s="7">
        <v>5</v>
      </c>
      <c r="I2003" s="2">
        <v>478.38</v>
      </c>
      <c r="J2003" s="2">
        <f>Tabla2[[#This Row],[Quantity]]*I2003</f>
        <v>2391.9</v>
      </c>
      <c r="K2003" s="6">
        <f>MONTH(Tabla2[[#This Row],[OrderDate]])</f>
        <v>10</v>
      </c>
      <c r="L2003" s="6">
        <f>YEAR(Tabla2[[#This Row],[OrderDate]])</f>
        <v>2024</v>
      </c>
      <c r="M2003" s="7" t="s">
        <v>2140</v>
      </c>
      <c r="N2003" s="7" t="s">
        <v>45</v>
      </c>
    </row>
    <row r="2004" spans="1:14" x14ac:dyDescent="0.35">
      <c r="A2004" s="7" t="s">
        <v>3334</v>
      </c>
      <c r="B2004" s="7" t="s">
        <v>742</v>
      </c>
      <c r="C2004" s="7" t="s">
        <v>743</v>
      </c>
      <c r="D2004" s="7" t="s">
        <v>40</v>
      </c>
      <c r="E2004" s="7" t="s">
        <v>120</v>
      </c>
      <c r="F2004" s="7" t="s">
        <v>25</v>
      </c>
      <c r="G2004" s="7" t="s">
        <v>26</v>
      </c>
      <c r="H2004" s="7">
        <v>4</v>
      </c>
      <c r="I2004" s="2">
        <v>251.48</v>
      </c>
      <c r="J2004" s="2">
        <f>Tabla2[[#This Row],[Quantity]]*I2004</f>
        <v>1005.92</v>
      </c>
      <c r="K2004" s="6">
        <f>MONTH(Tabla2[[#This Row],[OrderDate]])</f>
        <v>4</v>
      </c>
      <c r="L2004" s="6">
        <f>YEAR(Tabla2[[#This Row],[OrderDate]])</f>
        <v>2024</v>
      </c>
      <c r="M2004" s="7" t="s">
        <v>1040</v>
      </c>
      <c r="N2004" s="7" t="s">
        <v>36</v>
      </c>
    </row>
    <row r="2005" spans="1:14" x14ac:dyDescent="0.35">
      <c r="A2005" s="7" t="s">
        <v>3335</v>
      </c>
      <c r="B2005" s="7" t="s">
        <v>842</v>
      </c>
      <c r="C2005" s="7" t="s">
        <v>843</v>
      </c>
      <c r="D2005" s="7" t="s">
        <v>67</v>
      </c>
      <c r="E2005" s="7" t="s">
        <v>130</v>
      </c>
      <c r="F2005" s="7" t="s">
        <v>16</v>
      </c>
      <c r="G2005" s="7" t="s">
        <v>177</v>
      </c>
      <c r="H2005" s="7">
        <v>4</v>
      </c>
      <c r="I2005" s="2">
        <v>1089.8800000000001</v>
      </c>
      <c r="J2005" s="2">
        <f>Tabla2[[#This Row],[Quantity]]*I2005</f>
        <v>4359.5200000000004</v>
      </c>
      <c r="K2005" s="6">
        <f>MONTH(Tabla2[[#This Row],[OrderDate]])</f>
        <v>6</v>
      </c>
      <c r="L2005" s="6">
        <f>YEAR(Tabla2[[#This Row],[OrderDate]])</f>
        <v>2025</v>
      </c>
      <c r="M2005" s="7" t="s">
        <v>1157</v>
      </c>
      <c r="N2005" s="7" t="s">
        <v>91</v>
      </c>
    </row>
    <row r="2006" spans="1:14" x14ac:dyDescent="0.35">
      <c r="A2006" s="7" t="s">
        <v>3336</v>
      </c>
      <c r="B2006" s="7" t="s">
        <v>1516</v>
      </c>
      <c r="C2006" s="7" t="s">
        <v>1517</v>
      </c>
      <c r="D2006" s="7" t="s">
        <v>32</v>
      </c>
      <c r="E2006" s="7" t="s">
        <v>33</v>
      </c>
      <c r="F2006" s="7" t="s">
        <v>101</v>
      </c>
      <c r="G2006" s="7" t="s">
        <v>102</v>
      </c>
      <c r="H2006" s="7">
        <v>4</v>
      </c>
      <c r="I2006" s="2">
        <v>388.58</v>
      </c>
      <c r="J2006" s="2">
        <f>Tabla2[[#This Row],[Quantity]]*I2006</f>
        <v>1554.32</v>
      </c>
      <c r="K2006" s="6">
        <f>MONTH(Tabla2[[#This Row],[OrderDate]])</f>
        <v>2</v>
      </c>
      <c r="L2006" s="6">
        <f>YEAR(Tabla2[[#This Row],[OrderDate]])</f>
        <v>2026</v>
      </c>
      <c r="M2006" s="7" t="s">
        <v>647</v>
      </c>
      <c r="N2006" s="7" t="s">
        <v>28</v>
      </c>
    </row>
    <row r="2007" spans="1:14" x14ac:dyDescent="0.35">
      <c r="A2007" s="7" t="s">
        <v>3337</v>
      </c>
      <c r="B2007" s="7" t="s">
        <v>273</v>
      </c>
      <c r="C2007" s="7" t="s">
        <v>274</v>
      </c>
      <c r="D2007" s="7" t="s">
        <v>32</v>
      </c>
      <c r="E2007" s="7" t="s">
        <v>203</v>
      </c>
      <c r="F2007" s="7" t="s">
        <v>50</v>
      </c>
      <c r="G2007" s="7" t="s">
        <v>56</v>
      </c>
      <c r="H2007" s="7">
        <v>2</v>
      </c>
      <c r="I2007" s="2">
        <v>1275.74</v>
      </c>
      <c r="J2007" s="2">
        <f>Tabla2[[#This Row],[Quantity]]*I2007</f>
        <v>2551.48</v>
      </c>
      <c r="K2007" s="6">
        <f>MONTH(Tabla2[[#This Row],[OrderDate]])</f>
        <v>10</v>
      </c>
      <c r="L2007" s="6">
        <f>YEAR(Tabla2[[#This Row],[OrderDate]])</f>
        <v>2025</v>
      </c>
      <c r="M2007" s="7" t="s">
        <v>1266</v>
      </c>
      <c r="N2007" s="7" t="s">
        <v>45</v>
      </c>
    </row>
    <row r="2008" spans="1:14" x14ac:dyDescent="0.35">
      <c r="A2008" s="7" t="s">
        <v>3338</v>
      </c>
      <c r="B2008" s="7" t="s">
        <v>759</v>
      </c>
      <c r="C2008" s="7" t="s">
        <v>760</v>
      </c>
      <c r="D2008" s="7" t="s">
        <v>32</v>
      </c>
      <c r="E2008" s="7" t="s">
        <v>33</v>
      </c>
      <c r="F2008" s="7" t="s">
        <v>42</v>
      </c>
      <c r="G2008" s="7" t="s">
        <v>89</v>
      </c>
      <c r="H2008" s="7">
        <v>2</v>
      </c>
      <c r="I2008" s="2">
        <v>867.61</v>
      </c>
      <c r="J2008" s="2">
        <f>Tabla2[[#This Row],[Quantity]]*I2008</f>
        <v>1735.22</v>
      </c>
      <c r="K2008" s="6">
        <f>MONTH(Tabla2[[#This Row],[OrderDate]])</f>
        <v>3</v>
      </c>
      <c r="L2008" s="6">
        <f>YEAR(Tabla2[[#This Row],[OrderDate]])</f>
        <v>2025</v>
      </c>
      <c r="M2008" s="7" t="s">
        <v>343</v>
      </c>
      <c r="N2008" s="7" t="s">
        <v>19</v>
      </c>
    </row>
    <row r="2009" spans="1:14" x14ac:dyDescent="0.35">
      <c r="A2009" s="7" t="s">
        <v>3339</v>
      </c>
      <c r="B2009" s="7" t="s">
        <v>1144</v>
      </c>
      <c r="C2009" s="7" t="s">
        <v>1145</v>
      </c>
      <c r="D2009" s="7" t="s">
        <v>23</v>
      </c>
      <c r="E2009" s="7" t="s">
        <v>338</v>
      </c>
      <c r="F2009" s="7" t="s">
        <v>16</v>
      </c>
      <c r="G2009" s="7" t="s">
        <v>17</v>
      </c>
      <c r="H2009" s="7">
        <v>2</v>
      </c>
      <c r="I2009" s="2">
        <v>415.35</v>
      </c>
      <c r="J2009" s="2">
        <f>Tabla2[[#This Row],[Quantity]]*I2009</f>
        <v>830.7</v>
      </c>
      <c r="K2009" s="6">
        <f>MONTH(Tabla2[[#This Row],[OrderDate]])</f>
        <v>12</v>
      </c>
      <c r="L2009" s="6">
        <f>YEAR(Tabla2[[#This Row],[OrderDate]])</f>
        <v>2024</v>
      </c>
      <c r="M2009" s="7" t="s">
        <v>840</v>
      </c>
      <c r="N2009" s="7" t="s">
        <v>19</v>
      </c>
    </row>
    <row r="2010" spans="1:14" x14ac:dyDescent="0.35">
      <c r="A2010" s="7" t="s">
        <v>3340</v>
      </c>
      <c r="B2010" s="7" t="s">
        <v>93</v>
      </c>
      <c r="C2010" s="7" t="s">
        <v>94</v>
      </c>
      <c r="D2010" s="7" t="s">
        <v>40</v>
      </c>
      <c r="E2010" s="7" t="s">
        <v>120</v>
      </c>
      <c r="F2010" s="7" t="s">
        <v>16</v>
      </c>
      <c r="G2010" s="7" t="s">
        <v>17</v>
      </c>
      <c r="H2010" s="7">
        <v>5</v>
      </c>
      <c r="I2010" s="2">
        <v>1336.34</v>
      </c>
      <c r="J2010" s="2">
        <f>Tabla2[[#This Row],[Quantity]]*I2010</f>
        <v>6681.7</v>
      </c>
      <c r="K2010" s="6">
        <f>MONTH(Tabla2[[#This Row],[OrderDate]])</f>
        <v>3</v>
      </c>
      <c r="L2010" s="6">
        <f>YEAR(Tabla2[[#This Row],[OrderDate]])</f>
        <v>2026</v>
      </c>
      <c r="M2010" s="7" t="s">
        <v>3341</v>
      </c>
      <c r="N2010" s="7" t="s">
        <v>19</v>
      </c>
    </row>
    <row r="2011" spans="1:14" x14ac:dyDescent="0.35">
      <c r="A2011" s="7" t="s">
        <v>3342</v>
      </c>
      <c r="B2011" s="7" t="s">
        <v>128</v>
      </c>
      <c r="C2011" s="7" t="s">
        <v>129</v>
      </c>
      <c r="D2011" s="7" t="s">
        <v>67</v>
      </c>
      <c r="E2011" s="7" t="s">
        <v>115</v>
      </c>
      <c r="F2011" s="7" t="s">
        <v>42</v>
      </c>
      <c r="G2011" s="7" t="s">
        <v>225</v>
      </c>
      <c r="H2011" s="7">
        <v>4</v>
      </c>
      <c r="I2011" s="2">
        <v>906.38</v>
      </c>
      <c r="J2011" s="2">
        <f>Tabla2[[#This Row],[Quantity]]*I2011</f>
        <v>3625.52</v>
      </c>
      <c r="K2011" s="6">
        <f>MONTH(Tabla2[[#This Row],[OrderDate]])</f>
        <v>3</v>
      </c>
      <c r="L2011" s="6">
        <f>YEAR(Tabla2[[#This Row],[OrderDate]])</f>
        <v>2025</v>
      </c>
      <c r="M2011" s="7" t="s">
        <v>279</v>
      </c>
      <c r="N2011" s="7" t="s">
        <v>19</v>
      </c>
    </row>
    <row r="2012" spans="1:14" x14ac:dyDescent="0.35">
      <c r="A2012" s="7" t="s">
        <v>3343</v>
      </c>
      <c r="B2012" s="7" t="s">
        <v>1024</v>
      </c>
      <c r="C2012" s="7" t="s">
        <v>1025</v>
      </c>
      <c r="D2012" s="7" t="s">
        <v>32</v>
      </c>
      <c r="E2012" s="7" t="s">
        <v>61</v>
      </c>
      <c r="F2012" s="7" t="s">
        <v>25</v>
      </c>
      <c r="G2012" s="7" t="s">
        <v>62</v>
      </c>
      <c r="H2012" s="7">
        <v>2</v>
      </c>
      <c r="I2012" s="2">
        <v>202</v>
      </c>
      <c r="J2012" s="2">
        <f>Tabla2[[#This Row],[Quantity]]*I2012</f>
        <v>404</v>
      </c>
      <c r="K2012" s="6">
        <f>MONTH(Tabla2[[#This Row],[OrderDate]])</f>
        <v>12</v>
      </c>
      <c r="L2012" s="6">
        <f>YEAR(Tabla2[[#This Row],[OrderDate]])</f>
        <v>2025</v>
      </c>
      <c r="M2012" s="7" t="s">
        <v>3344</v>
      </c>
      <c r="N2012" s="7" t="s">
        <v>91</v>
      </c>
    </row>
    <row r="2013" spans="1:14" x14ac:dyDescent="0.35">
      <c r="A2013" s="7" t="s">
        <v>3345</v>
      </c>
      <c r="B2013" s="7" t="s">
        <v>159</v>
      </c>
      <c r="C2013" s="7" t="s">
        <v>160</v>
      </c>
      <c r="D2013" s="7" t="s">
        <v>14</v>
      </c>
      <c r="E2013" s="7" t="s">
        <v>95</v>
      </c>
      <c r="F2013" s="7" t="s">
        <v>42</v>
      </c>
      <c r="G2013" s="7" t="s">
        <v>80</v>
      </c>
      <c r="H2013" s="7">
        <v>3</v>
      </c>
      <c r="I2013" s="2">
        <v>65.06</v>
      </c>
      <c r="J2013" s="2">
        <f>Tabla2[[#This Row],[Quantity]]*I2013</f>
        <v>195.18</v>
      </c>
      <c r="K2013" s="6">
        <f>MONTH(Tabla2[[#This Row],[OrderDate]])</f>
        <v>4</v>
      </c>
      <c r="L2013" s="6">
        <f>YEAR(Tabla2[[#This Row],[OrderDate]])</f>
        <v>2025</v>
      </c>
      <c r="M2013" s="7" t="s">
        <v>3346</v>
      </c>
      <c r="N2013" s="7" t="s">
        <v>19</v>
      </c>
    </row>
    <row r="2014" spans="1:14" x14ac:dyDescent="0.35">
      <c r="A2014" s="7" t="s">
        <v>3347</v>
      </c>
      <c r="B2014" s="7" t="s">
        <v>392</v>
      </c>
      <c r="C2014" s="7" t="s">
        <v>393</v>
      </c>
      <c r="D2014" s="7" t="s">
        <v>32</v>
      </c>
      <c r="E2014" s="7" t="s">
        <v>203</v>
      </c>
      <c r="F2014" s="7" t="s">
        <v>42</v>
      </c>
      <c r="G2014" s="7" t="s">
        <v>43</v>
      </c>
      <c r="H2014" s="7">
        <v>1</v>
      </c>
      <c r="I2014" s="2">
        <v>224.69</v>
      </c>
      <c r="J2014" s="2">
        <f>Tabla2[[#This Row],[Quantity]]*I2014</f>
        <v>224.69</v>
      </c>
      <c r="K2014" s="6">
        <f>MONTH(Tabla2[[#This Row],[OrderDate]])</f>
        <v>6</v>
      </c>
      <c r="L2014" s="6">
        <f>YEAR(Tabla2[[#This Row],[OrderDate]])</f>
        <v>2025</v>
      </c>
      <c r="M2014" s="7" t="s">
        <v>1898</v>
      </c>
      <c r="N2014" s="7" t="s">
        <v>36</v>
      </c>
    </row>
    <row r="2015" spans="1:14" x14ac:dyDescent="0.35">
      <c r="A2015" s="7" t="s">
        <v>3348</v>
      </c>
      <c r="B2015" s="7" t="s">
        <v>574</v>
      </c>
      <c r="C2015" s="7" t="s">
        <v>575</v>
      </c>
      <c r="D2015" s="7" t="s">
        <v>23</v>
      </c>
      <c r="E2015" s="7" t="s">
        <v>338</v>
      </c>
      <c r="F2015" s="7" t="s">
        <v>25</v>
      </c>
      <c r="G2015" s="7" t="s">
        <v>74</v>
      </c>
      <c r="H2015" s="7">
        <v>2</v>
      </c>
      <c r="I2015" s="2">
        <v>736.76</v>
      </c>
      <c r="J2015" s="2">
        <f>Tabla2[[#This Row],[Quantity]]*I2015</f>
        <v>1473.52</v>
      </c>
      <c r="K2015" s="6">
        <f>MONTH(Tabla2[[#This Row],[OrderDate]])</f>
        <v>10</v>
      </c>
      <c r="L2015" s="6">
        <f>YEAR(Tabla2[[#This Row],[OrderDate]])</f>
        <v>2024</v>
      </c>
      <c r="M2015" s="7" t="s">
        <v>2276</v>
      </c>
      <c r="N2015" s="7" t="s">
        <v>19</v>
      </c>
    </row>
    <row r="2016" spans="1:14" x14ac:dyDescent="0.35">
      <c r="A2016" s="7" t="s">
        <v>3349</v>
      </c>
      <c r="B2016" s="7" t="s">
        <v>1662</v>
      </c>
      <c r="C2016" s="7" t="s">
        <v>1663</v>
      </c>
      <c r="D2016" s="7" t="s">
        <v>40</v>
      </c>
      <c r="E2016" s="7" t="s">
        <v>41</v>
      </c>
      <c r="F2016" s="7" t="s">
        <v>25</v>
      </c>
      <c r="G2016" s="7" t="s">
        <v>62</v>
      </c>
      <c r="H2016" s="7">
        <v>4</v>
      </c>
      <c r="I2016" s="2">
        <v>747.41</v>
      </c>
      <c r="J2016" s="2">
        <f>Tabla2[[#This Row],[Quantity]]*I2016</f>
        <v>2989.64</v>
      </c>
      <c r="K2016" s="6">
        <f>MONTH(Tabla2[[#This Row],[OrderDate]])</f>
        <v>5</v>
      </c>
      <c r="L2016" s="6">
        <f>YEAR(Tabla2[[#This Row],[OrderDate]])</f>
        <v>2025</v>
      </c>
      <c r="M2016" s="7" t="s">
        <v>2142</v>
      </c>
      <c r="N2016" s="7" t="s">
        <v>45</v>
      </c>
    </row>
    <row r="2017" spans="1:14" x14ac:dyDescent="0.35">
      <c r="A2017" s="7" t="s">
        <v>3350</v>
      </c>
      <c r="B2017" s="7" t="s">
        <v>189</v>
      </c>
      <c r="C2017" s="7" t="s">
        <v>190</v>
      </c>
      <c r="D2017" s="7" t="s">
        <v>23</v>
      </c>
      <c r="E2017" s="7" t="s">
        <v>338</v>
      </c>
      <c r="F2017" s="7" t="s">
        <v>42</v>
      </c>
      <c r="G2017" s="7" t="s">
        <v>43</v>
      </c>
      <c r="H2017" s="7">
        <v>3</v>
      </c>
      <c r="I2017" s="2">
        <v>1388.19</v>
      </c>
      <c r="J2017" s="2">
        <f>Tabla2[[#This Row],[Quantity]]*I2017</f>
        <v>4164.57</v>
      </c>
      <c r="K2017" s="6">
        <f>MONTH(Tabla2[[#This Row],[OrderDate]])</f>
        <v>12</v>
      </c>
      <c r="L2017" s="6">
        <f>YEAR(Tabla2[[#This Row],[OrderDate]])</f>
        <v>2024</v>
      </c>
      <c r="M2017" s="7" t="s">
        <v>472</v>
      </c>
      <c r="N2017" s="7" t="s">
        <v>45</v>
      </c>
    </row>
    <row r="2018" spans="1:14" x14ac:dyDescent="0.35">
      <c r="A2018" s="7" t="s">
        <v>3351</v>
      </c>
      <c r="B2018" s="7" t="s">
        <v>1828</v>
      </c>
      <c r="C2018" s="7" t="s">
        <v>1829</v>
      </c>
      <c r="D2018" s="7" t="s">
        <v>23</v>
      </c>
      <c r="E2018" s="7" t="s">
        <v>49</v>
      </c>
      <c r="F2018" s="7" t="s">
        <v>50</v>
      </c>
      <c r="G2018" s="7" t="s">
        <v>170</v>
      </c>
      <c r="H2018" s="7">
        <v>4</v>
      </c>
      <c r="I2018" s="2">
        <v>1306.75</v>
      </c>
      <c r="J2018" s="2">
        <f>Tabla2[[#This Row],[Quantity]]*I2018</f>
        <v>5227</v>
      </c>
      <c r="K2018" s="6">
        <f>MONTH(Tabla2[[#This Row],[OrderDate]])</f>
        <v>9</v>
      </c>
      <c r="L2018" s="6">
        <f>YEAR(Tabla2[[#This Row],[OrderDate]])</f>
        <v>2025</v>
      </c>
      <c r="M2018" s="7" t="s">
        <v>1032</v>
      </c>
      <c r="N2018" s="7" t="s">
        <v>28</v>
      </c>
    </row>
    <row r="2019" spans="1:14" x14ac:dyDescent="0.35">
      <c r="A2019" s="7" t="s">
        <v>3352</v>
      </c>
      <c r="B2019" s="7" t="s">
        <v>384</v>
      </c>
      <c r="C2019" s="7" t="s">
        <v>385</v>
      </c>
      <c r="D2019" s="7" t="s">
        <v>14</v>
      </c>
      <c r="E2019" s="7" t="s">
        <v>95</v>
      </c>
      <c r="F2019" s="7" t="s">
        <v>42</v>
      </c>
      <c r="G2019" s="7" t="s">
        <v>89</v>
      </c>
      <c r="H2019" s="7">
        <v>2</v>
      </c>
      <c r="I2019" s="2">
        <v>5.45</v>
      </c>
      <c r="J2019" s="2">
        <f>Tabla2[[#This Row],[Quantity]]*I2019</f>
        <v>10.9</v>
      </c>
      <c r="K2019" s="6">
        <f>MONTH(Tabla2[[#This Row],[OrderDate]])</f>
        <v>4</v>
      </c>
      <c r="L2019" s="6">
        <f>YEAR(Tabla2[[#This Row],[OrderDate]])</f>
        <v>2024</v>
      </c>
      <c r="M2019" s="7" t="s">
        <v>2108</v>
      </c>
      <c r="N2019" s="7" t="s">
        <v>19</v>
      </c>
    </row>
    <row r="2020" spans="1:14" x14ac:dyDescent="0.35">
      <c r="A2020" s="7" t="s">
        <v>3353</v>
      </c>
      <c r="B2020" s="7" t="s">
        <v>1149</v>
      </c>
      <c r="C2020" s="7" t="s">
        <v>1150</v>
      </c>
      <c r="D2020" s="7" t="s">
        <v>40</v>
      </c>
      <c r="E2020" s="7" t="s">
        <v>79</v>
      </c>
      <c r="F2020" s="7" t="s">
        <v>16</v>
      </c>
      <c r="G2020" s="7" t="s">
        <v>230</v>
      </c>
      <c r="H2020" s="7">
        <v>4</v>
      </c>
      <c r="I2020" s="2">
        <v>1322.01</v>
      </c>
      <c r="J2020" s="2">
        <f>Tabla2[[#This Row],[Quantity]]*I2020</f>
        <v>5288.04</v>
      </c>
      <c r="K2020" s="6">
        <f>MONTH(Tabla2[[#This Row],[OrderDate]])</f>
        <v>8</v>
      </c>
      <c r="L2020" s="6">
        <f>YEAR(Tabla2[[#This Row],[OrderDate]])</f>
        <v>2025</v>
      </c>
      <c r="M2020" s="7" t="s">
        <v>1737</v>
      </c>
      <c r="N2020" s="7" t="s">
        <v>45</v>
      </c>
    </row>
    <row r="2021" spans="1:14" x14ac:dyDescent="0.35">
      <c r="A2021" s="7" t="s">
        <v>3354</v>
      </c>
      <c r="B2021" s="7" t="s">
        <v>922</v>
      </c>
      <c r="C2021" s="7" t="s">
        <v>923</v>
      </c>
      <c r="D2021" s="7" t="s">
        <v>67</v>
      </c>
      <c r="E2021" s="7" t="s">
        <v>68</v>
      </c>
      <c r="F2021" s="7" t="s">
        <v>16</v>
      </c>
      <c r="G2021" s="7" t="s">
        <v>230</v>
      </c>
      <c r="H2021" s="7">
        <v>4</v>
      </c>
      <c r="I2021" s="2">
        <v>796.63</v>
      </c>
      <c r="J2021" s="2">
        <f>Tabla2[[#This Row],[Quantity]]*I2021</f>
        <v>3186.52</v>
      </c>
      <c r="K2021" s="6">
        <f>MONTH(Tabla2[[#This Row],[OrderDate]])</f>
        <v>4</v>
      </c>
      <c r="L2021" s="6">
        <f>YEAR(Tabla2[[#This Row],[OrderDate]])</f>
        <v>2024</v>
      </c>
      <c r="M2021" s="7" t="s">
        <v>773</v>
      </c>
      <c r="N2021" s="7" t="s">
        <v>19</v>
      </c>
    </row>
    <row r="2022" spans="1:14" x14ac:dyDescent="0.35">
      <c r="A2022" s="7" t="s">
        <v>3355</v>
      </c>
      <c r="B2022" s="7" t="s">
        <v>1179</v>
      </c>
      <c r="C2022" s="7" t="s">
        <v>1180</v>
      </c>
      <c r="D2022" s="7" t="s">
        <v>40</v>
      </c>
      <c r="E2022" s="7" t="s">
        <v>120</v>
      </c>
      <c r="F2022" s="7" t="s">
        <v>50</v>
      </c>
      <c r="G2022" s="7" t="s">
        <v>69</v>
      </c>
      <c r="H2022" s="7">
        <v>2</v>
      </c>
      <c r="I2022" s="2">
        <v>276.58999999999997</v>
      </c>
      <c r="J2022" s="2">
        <f>Tabla2[[#This Row],[Quantity]]*I2022</f>
        <v>553.17999999999995</v>
      </c>
      <c r="K2022" s="6">
        <f>MONTH(Tabla2[[#This Row],[OrderDate]])</f>
        <v>2</v>
      </c>
      <c r="L2022" s="6">
        <f>YEAR(Tabla2[[#This Row],[OrderDate]])</f>
        <v>2026</v>
      </c>
      <c r="M2022" s="7" t="s">
        <v>3356</v>
      </c>
      <c r="N2022" s="7" t="s">
        <v>45</v>
      </c>
    </row>
    <row r="2023" spans="1:14" x14ac:dyDescent="0.35">
      <c r="A2023" s="7" t="s">
        <v>3357</v>
      </c>
      <c r="B2023" s="7" t="s">
        <v>260</v>
      </c>
      <c r="C2023" s="7" t="s">
        <v>261</v>
      </c>
      <c r="D2023" s="7" t="s">
        <v>23</v>
      </c>
      <c r="E2023" s="7" t="s">
        <v>49</v>
      </c>
      <c r="F2023" s="7" t="s">
        <v>25</v>
      </c>
      <c r="G2023" s="7" t="s">
        <v>26</v>
      </c>
      <c r="H2023" s="7">
        <v>2</v>
      </c>
      <c r="I2023" s="2">
        <v>735.27</v>
      </c>
      <c r="J2023" s="2">
        <f>Tabla2[[#This Row],[Quantity]]*I2023</f>
        <v>1470.54</v>
      </c>
      <c r="K2023" s="6">
        <f>MONTH(Tabla2[[#This Row],[OrderDate]])</f>
        <v>8</v>
      </c>
      <c r="L2023" s="6">
        <f>YEAR(Tabla2[[#This Row],[OrderDate]])</f>
        <v>2025</v>
      </c>
      <c r="M2023" s="7" t="s">
        <v>3286</v>
      </c>
      <c r="N2023" s="7" t="s">
        <v>91</v>
      </c>
    </row>
    <row r="2024" spans="1:14" x14ac:dyDescent="0.35">
      <c r="A2024" s="7" t="s">
        <v>3358</v>
      </c>
      <c r="B2024" s="7" t="s">
        <v>960</v>
      </c>
      <c r="C2024" s="7" t="s">
        <v>961</v>
      </c>
      <c r="D2024" s="7" t="s">
        <v>23</v>
      </c>
      <c r="E2024" s="7" t="s">
        <v>24</v>
      </c>
      <c r="F2024" s="7" t="s">
        <v>42</v>
      </c>
      <c r="G2024" s="7" t="s">
        <v>225</v>
      </c>
      <c r="H2024" s="7">
        <v>1</v>
      </c>
      <c r="I2024" s="2">
        <v>464.66</v>
      </c>
      <c r="J2024" s="2">
        <f>Tabla2[[#This Row],[Quantity]]*I2024</f>
        <v>464.66</v>
      </c>
      <c r="K2024" s="6">
        <f>MONTH(Tabla2[[#This Row],[OrderDate]])</f>
        <v>2</v>
      </c>
      <c r="L2024" s="6">
        <f>YEAR(Tabla2[[#This Row],[OrderDate]])</f>
        <v>2026</v>
      </c>
      <c r="M2024" s="7" t="s">
        <v>35</v>
      </c>
      <c r="N2024" s="7" t="s">
        <v>19</v>
      </c>
    </row>
    <row r="2025" spans="1:14" x14ac:dyDescent="0.35">
      <c r="A2025" s="7" t="s">
        <v>3359</v>
      </c>
      <c r="B2025" s="7" t="s">
        <v>832</v>
      </c>
      <c r="C2025" s="7" t="s">
        <v>833</v>
      </c>
      <c r="D2025" s="7" t="s">
        <v>14</v>
      </c>
      <c r="E2025" s="7" t="s">
        <v>95</v>
      </c>
      <c r="F2025" s="7" t="s">
        <v>25</v>
      </c>
      <c r="G2025" s="7" t="s">
        <v>26</v>
      </c>
      <c r="H2025" s="7">
        <v>4</v>
      </c>
      <c r="I2025" s="2">
        <v>785.14</v>
      </c>
      <c r="J2025" s="2">
        <f>Tabla2[[#This Row],[Quantity]]*I2025</f>
        <v>3140.56</v>
      </c>
      <c r="K2025" s="6">
        <f>MONTH(Tabla2[[#This Row],[OrderDate]])</f>
        <v>8</v>
      </c>
      <c r="L2025" s="6">
        <f>YEAR(Tabla2[[#This Row],[OrderDate]])</f>
        <v>2024</v>
      </c>
      <c r="M2025" s="7" t="s">
        <v>822</v>
      </c>
      <c r="N2025" s="7" t="s">
        <v>45</v>
      </c>
    </row>
    <row r="2026" spans="1:14" x14ac:dyDescent="0.35">
      <c r="A2026" s="7" t="s">
        <v>3360</v>
      </c>
      <c r="B2026" s="7" t="s">
        <v>303</v>
      </c>
      <c r="C2026" s="7" t="s">
        <v>304</v>
      </c>
      <c r="D2026" s="7" t="s">
        <v>23</v>
      </c>
      <c r="E2026" s="7" t="s">
        <v>49</v>
      </c>
      <c r="F2026" s="7" t="s">
        <v>25</v>
      </c>
      <c r="G2026" s="7" t="s">
        <v>139</v>
      </c>
      <c r="H2026" s="7">
        <v>5</v>
      </c>
      <c r="I2026" s="2">
        <v>1200.78</v>
      </c>
      <c r="J2026" s="2">
        <f>Tabla2[[#This Row],[Quantity]]*I2026</f>
        <v>6003.9</v>
      </c>
      <c r="K2026" s="6">
        <f>MONTH(Tabla2[[#This Row],[OrderDate]])</f>
        <v>8</v>
      </c>
      <c r="L2026" s="6">
        <f>YEAR(Tabla2[[#This Row],[OrderDate]])</f>
        <v>2025</v>
      </c>
      <c r="M2026" s="7" t="s">
        <v>238</v>
      </c>
      <c r="N2026" s="7" t="s">
        <v>36</v>
      </c>
    </row>
    <row r="2027" spans="1:14" x14ac:dyDescent="0.35">
      <c r="A2027" s="7" t="s">
        <v>3361</v>
      </c>
      <c r="B2027" s="7" t="s">
        <v>355</v>
      </c>
      <c r="C2027" s="7" t="s">
        <v>356</v>
      </c>
      <c r="D2027" s="7" t="s">
        <v>32</v>
      </c>
      <c r="E2027" s="7" t="s">
        <v>203</v>
      </c>
      <c r="F2027" s="7" t="s">
        <v>101</v>
      </c>
      <c r="G2027" s="7" t="s">
        <v>165</v>
      </c>
      <c r="H2027" s="7">
        <v>4</v>
      </c>
      <c r="I2027" s="2">
        <v>306.56</v>
      </c>
      <c r="J2027" s="2">
        <f>Tabla2[[#This Row],[Quantity]]*I2027</f>
        <v>1226.24</v>
      </c>
      <c r="K2027" s="6">
        <f>MONTH(Tabla2[[#This Row],[OrderDate]])</f>
        <v>10</v>
      </c>
      <c r="L2027" s="6">
        <f>YEAR(Tabla2[[#This Row],[OrderDate]])</f>
        <v>2024</v>
      </c>
      <c r="M2027" s="7" t="s">
        <v>400</v>
      </c>
      <c r="N2027" s="7" t="s">
        <v>45</v>
      </c>
    </row>
    <row r="2028" spans="1:14" x14ac:dyDescent="0.35">
      <c r="A2028" s="7" t="s">
        <v>3362</v>
      </c>
      <c r="B2028" s="7" t="s">
        <v>1079</v>
      </c>
      <c r="C2028" s="7" t="s">
        <v>1080</v>
      </c>
      <c r="D2028" s="7" t="s">
        <v>23</v>
      </c>
      <c r="E2028" s="7" t="s">
        <v>49</v>
      </c>
      <c r="F2028" s="7" t="s">
        <v>25</v>
      </c>
      <c r="G2028" s="7" t="s">
        <v>34</v>
      </c>
      <c r="H2028" s="7">
        <v>2</v>
      </c>
      <c r="I2028" s="2">
        <v>468.89</v>
      </c>
      <c r="J2028" s="2">
        <f>Tabla2[[#This Row],[Quantity]]*I2028</f>
        <v>937.78</v>
      </c>
      <c r="K2028" s="6">
        <f>MONTH(Tabla2[[#This Row],[OrderDate]])</f>
        <v>4</v>
      </c>
      <c r="L2028" s="6">
        <f>YEAR(Tabla2[[#This Row],[OrderDate]])</f>
        <v>2024</v>
      </c>
      <c r="M2028" s="7" t="s">
        <v>327</v>
      </c>
      <c r="N2028" s="7" t="s">
        <v>91</v>
      </c>
    </row>
    <row r="2029" spans="1:14" x14ac:dyDescent="0.35">
      <c r="A2029" s="7" t="s">
        <v>3363</v>
      </c>
      <c r="B2029" s="7" t="s">
        <v>1024</v>
      </c>
      <c r="C2029" s="7" t="s">
        <v>1025</v>
      </c>
      <c r="D2029" s="7" t="s">
        <v>14</v>
      </c>
      <c r="E2029" s="7" t="s">
        <v>15</v>
      </c>
      <c r="F2029" s="7" t="s">
        <v>101</v>
      </c>
      <c r="G2029" s="7" t="s">
        <v>237</v>
      </c>
      <c r="H2029" s="7">
        <v>1</v>
      </c>
      <c r="I2029" s="2">
        <v>1454.45</v>
      </c>
      <c r="J2029" s="2">
        <f>Tabla2[[#This Row],[Quantity]]*I2029</f>
        <v>1454.45</v>
      </c>
      <c r="K2029" s="6">
        <f>MONTH(Tabla2[[#This Row],[OrderDate]])</f>
        <v>4</v>
      </c>
      <c r="L2029" s="6">
        <f>YEAR(Tabla2[[#This Row],[OrderDate]])</f>
        <v>2024</v>
      </c>
      <c r="M2029" s="7" t="s">
        <v>2060</v>
      </c>
      <c r="N2029" s="7" t="s">
        <v>19</v>
      </c>
    </row>
    <row r="2030" spans="1:14" x14ac:dyDescent="0.35">
      <c r="A2030" s="7" t="s">
        <v>3364</v>
      </c>
      <c r="B2030" s="7" t="s">
        <v>1046</v>
      </c>
      <c r="C2030" s="7" t="s">
        <v>1047</v>
      </c>
      <c r="D2030" s="7" t="s">
        <v>32</v>
      </c>
      <c r="E2030" s="7" t="s">
        <v>61</v>
      </c>
      <c r="F2030" s="7" t="s">
        <v>50</v>
      </c>
      <c r="G2030" s="7" t="s">
        <v>170</v>
      </c>
      <c r="H2030" s="7">
        <v>5</v>
      </c>
      <c r="I2030" s="2">
        <v>879.48</v>
      </c>
      <c r="J2030" s="2">
        <f>Tabla2[[#This Row],[Quantity]]*I2030</f>
        <v>4397.3999999999996</v>
      </c>
      <c r="K2030" s="6">
        <f>MONTH(Tabla2[[#This Row],[OrderDate]])</f>
        <v>1</v>
      </c>
      <c r="L2030" s="6">
        <f>YEAR(Tabla2[[#This Row],[OrderDate]])</f>
        <v>2026</v>
      </c>
      <c r="M2030" s="7" t="s">
        <v>1014</v>
      </c>
      <c r="N2030" s="7" t="s">
        <v>36</v>
      </c>
    </row>
    <row r="2031" spans="1:14" x14ac:dyDescent="0.35">
      <c r="A2031" s="7" t="s">
        <v>3365</v>
      </c>
      <c r="B2031" s="7" t="s">
        <v>47</v>
      </c>
      <c r="C2031" s="7" t="s">
        <v>48</v>
      </c>
      <c r="D2031" s="7" t="s">
        <v>40</v>
      </c>
      <c r="E2031" s="7" t="s">
        <v>120</v>
      </c>
      <c r="F2031" s="7" t="s">
        <v>50</v>
      </c>
      <c r="G2031" s="7" t="s">
        <v>170</v>
      </c>
      <c r="H2031" s="7">
        <v>3</v>
      </c>
      <c r="I2031" s="2">
        <v>1006.99</v>
      </c>
      <c r="J2031" s="2">
        <f>Tabla2[[#This Row],[Quantity]]*I2031</f>
        <v>3020.9700000000003</v>
      </c>
      <c r="K2031" s="6">
        <f>MONTH(Tabla2[[#This Row],[OrderDate]])</f>
        <v>2</v>
      </c>
      <c r="L2031" s="6">
        <f>YEAR(Tabla2[[#This Row],[OrderDate]])</f>
        <v>2025</v>
      </c>
      <c r="M2031" s="7" t="s">
        <v>2831</v>
      </c>
      <c r="N2031" s="7" t="s">
        <v>36</v>
      </c>
    </row>
    <row r="2032" spans="1:14" x14ac:dyDescent="0.35">
      <c r="A2032" s="7" t="s">
        <v>3366</v>
      </c>
      <c r="B2032" s="7" t="s">
        <v>1523</v>
      </c>
      <c r="C2032" s="7" t="s">
        <v>1524</v>
      </c>
      <c r="D2032" s="7" t="s">
        <v>32</v>
      </c>
      <c r="E2032" s="7" t="s">
        <v>61</v>
      </c>
      <c r="F2032" s="7" t="s">
        <v>50</v>
      </c>
      <c r="G2032" s="7" t="s">
        <v>56</v>
      </c>
      <c r="H2032" s="7">
        <v>3</v>
      </c>
      <c r="I2032" s="2">
        <v>12.81</v>
      </c>
      <c r="J2032" s="2">
        <f>Tabla2[[#This Row],[Quantity]]*I2032</f>
        <v>38.43</v>
      </c>
      <c r="K2032" s="6">
        <f>MONTH(Tabla2[[#This Row],[OrderDate]])</f>
        <v>4</v>
      </c>
      <c r="L2032" s="6">
        <f>YEAR(Tabla2[[#This Row],[OrderDate]])</f>
        <v>2024</v>
      </c>
      <c r="M2032" s="7" t="s">
        <v>1585</v>
      </c>
      <c r="N2032" s="7" t="s">
        <v>91</v>
      </c>
    </row>
    <row r="2033" spans="1:14" x14ac:dyDescent="0.35">
      <c r="A2033" s="7" t="s">
        <v>3367</v>
      </c>
      <c r="B2033" s="7" t="s">
        <v>355</v>
      </c>
      <c r="C2033" s="7" t="s">
        <v>356</v>
      </c>
      <c r="D2033" s="7" t="s">
        <v>23</v>
      </c>
      <c r="E2033" s="7" t="s">
        <v>338</v>
      </c>
      <c r="F2033" s="7" t="s">
        <v>42</v>
      </c>
      <c r="G2033" s="7" t="s">
        <v>43</v>
      </c>
      <c r="H2033" s="7">
        <v>2</v>
      </c>
      <c r="I2033" s="2">
        <v>18.79</v>
      </c>
      <c r="J2033" s="2">
        <f>Tabla2[[#This Row],[Quantity]]*I2033</f>
        <v>37.58</v>
      </c>
      <c r="K2033" s="6">
        <f>MONTH(Tabla2[[#This Row],[OrderDate]])</f>
        <v>8</v>
      </c>
      <c r="L2033" s="6">
        <f>YEAR(Tabla2[[#This Row],[OrderDate]])</f>
        <v>2024</v>
      </c>
      <c r="M2033" s="7" t="s">
        <v>1069</v>
      </c>
      <c r="N2033" s="7" t="s">
        <v>45</v>
      </c>
    </row>
    <row r="2034" spans="1:14" x14ac:dyDescent="0.35">
      <c r="A2034" s="7" t="s">
        <v>3368</v>
      </c>
      <c r="B2034" s="7" t="s">
        <v>1196</v>
      </c>
      <c r="C2034" s="7" t="s">
        <v>1197</v>
      </c>
      <c r="D2034" s="7" t="s">
        <v>23</v>
      </c>
      <c r="E2034" s="7" t="s">
        <v>49</v>
      </c>
      <c r="F2034" s="7" t="s">
        <v>101</v>
      </c>
      <c r="G2034" s="7" t="s">
        <v>165</v>
      </c>
      <c r="H2034" s="7">
        <v>1</v>
      </c>
      <c r="I2034" s="2">
        <v>185.02</v>
      </c>
      <c r="J2034" s="2">
        <f>Tabla2[[#This Row],[Quantity]]*I2034</f>
        <v>185.02</v>
      </c>
      <c r="K2034" s="6">
        <f>MONTH(Tabla2[[#This Row],[OrderDate]])</f>
        <v>5</v>
      </c>
      <c r="L2034" s="6">
        <f>YEAR(Tabla2[[#This Row],[OrderDate]])</f>
        <v>2025</v>
      </c>
      <c r="M2034" s="7" t="s">
        <v>250</v>
      </c>
      <c r="N2034" s="7" t="s">
        <v>19</v>
      </c>
    </row>
    <row r="2035" spans="1:14" x14ac:dyDescent="0.35">
      <c r="A2035" s="7" t="s">
        <v>3369</v>
      </c>
      <c r="B2035" s="7" t="s">
        <v>105</v>
      </c>
      <c r="C2035" s="7" t="s">
        <v>106</v>
      </c>
      <c r="D2035" s="7" t="s">
        <v>67</v>
      </c>
      <c r="E2035" s="7" t="s">
        <v>68</v>
      </c>
      <c r="F2035" s="7" t="s">
        <v>101</v>
      </c>
      <c r="G2035" s="7" t="s">
        <v>102</v>
      </c>
      <c r="H2035" s="7">
        <v>3</v>
      </c>
      <c r="I2035" s="2">
        <v>113.81</v>
      </c>
      <c r="J2035" s="2">
        <f>Tabla2[[#This Row],[Quantity]]*I2035</f>
        <v>341.43</v>
      </c>
      <c r="K2035" s="6">
        <f>MONTH(Tabla2[[#This Row],[OrderDate]])</f>
        <v>8</v>
      </c>
      <c r="L2035" s="6">
        <f>YEAR(Tabla2[[#This Row],[OrderDate]])</f>
        <v>2025</v>
      </c>
      <c r="M2035" s="7" t="s">
        <v>1737</v>
      </c>
      <c r="N2035" s="7" t="s">
        <v>91</v>
      </c>
    </row>
    <row r="2036" spans="1:14" x14ac:dyDescent="0.35">
      <c r="A2036" s="7" t="s">
        <v>3370</v>
      </c>
      <c r="B2036" s="7" t="s">
        <v>574</v>
      </c>
      <c r="C2036" s="7" t="s">
        <v>575</v>
      </c>
      <c r="D2036" s="7" t="s">
        <v>67</v>
      </c>
      <c r="E2036" s="7" t="s">
        <v>68</v>
      </c>
      <c r="F2036" s="7" t="s">
        <v>50</v>
      </c>
      <c r="G2036" s="7" t="s">
        <v>56</v>
      </c>
      <c r="H2036" s="7">
        <v>2</v>
      </c>
      <c r="I2036" s="2">
        <v>1317.7</v>
      </c>
      <c r="J2036" s="2">
        <f>Tabla2[[#This Row],[Quantity]]*I2036</f>
        <v>2635.4</v>
      </c>
      <c r="K2036" s="6">
        <f>MONTH(Tabla2[[#This Row],[OrderDate]])</f>
        <v>12</v>
      </c>
      <c r="L2036" s="6">
        <f>YEAR(Tabla2[[#This Row],[OrderDate]])</f>
        <v>2024</v>
      </c>
      <c r="M2036" s="7" t="s">
        <v>398</v>
      </c>
      <c r="N2036" s="7" t="s">
        <v>36</v>
      </c>
    </row>
    <row r="2037" spans="1:14" x14ac:dyDescent="0.35">
      <c r="A2037" s="7" t="s">
        <v>3371</v>
      </c>
      <c r="B2037" s="7" t="s">
        <v>113</v>
      </c>
      <c r="C2037" s="7" t="s">
        <v>114</v>
      </c>
      <c r="D2037" s="7" t="s">
        <v>40</v>
      </c>
      <c r="E2037" s="7" t="s">
        <v>120</v>
      </c>
      <c r="F2037" s="7" t="s">
        <v>101</v>
      </c>
      <c r="G2037" s="7" t="s">
        <v>102</v>
      </c>
      <c r="H2037" s="7">
        <v>3</v>
      </c>
      <c r="I2037" s="2">
        <v>994.35</v>
      </c>
      <c r="J2037" s="2">
        <f>Tabla2[[#This Row],[Quantity]]*I2037</f>
        <v>2983.05</v>
      </c>
      <c r="K2037" s="6">
        <f>MONTH(Tabla2[[#This Row],[OrderDate]])</f>
        <v>8</v>
      </c>
      <c r="L2037" s="6">
        <f>YEAR(Tabla2[[#This Row],[OrderDate]])</f>
        <v>2025</v>
      </c>
      <c r="M2037" s="7" t="s">
        <v>1350</v>
      </c>
      <c r="N2037" s="7" t="s">
        <v>45</v>
      </c>
    </row>
    <row r="2038" spans="1:14" x14ac:dyDescent="0.35">
      <c r="A2038" s="7" t="s">
        <v>3372</v>
      </c>
      <c r="B2038" s="7" t="s">
        <v>173</v>
      </c>
      <c r="C2038" s="7" t="s">
        <v>174</v>
      </c>
      <c r="D2038" s="7" t="s">
        <v>67</v>
      </c>
      <c r="E2038" s="7" t="s">
        <v>130</v>
      </c>
      <c r="F2038" s="7" t="s">
        <v>16</v>
      </c>
      <c r="G2038" s="7" t="s">
        <v>177</v>
      </c>
      <c r="H2038" s="7">
        <v>4</v>
      </c>
      <c r="I2038" s="2">
        <v>416.09</v>
      </c>
      <c r="J2038" s="2">
        <f>Tabla2[[#This Row],[Quantity]]*I2038</f>
        <v>1664.36</v>
      </c>
      <c r="K2038" s="6">
        <f>MONTH(Tabla2[[#This Row],[OrderDate]])</f>
        <v>11</v>
      </c>
      <c r="L2038" s="6">
        <f>YEAR(Tabla2[[#This Row],[OrderDate]])</f>
        <v>2024</v>
      </c>
      <c r="M2038" s="7" t="s">
        <v>1805</v>
      </c>
      <c r="N2038" s="7" t="s">
        <v>36</v>
      </c>
    </row>
    <row r="2039" spans="1:14" x14ac:dyDescent="0.35">
      <c r="A2039" s="7" t="s">
        <v>3373</v>
      </c>
      <c r="B2039" s="7" t="s">
        <v>72</v>
      </c>
      <c r="C2039" s="7" t="s">
        <v>73</v>
      </c>
      <c r="D2039" s="7" t="s">
        <v>23</v>
      </c>
      <c r="E2039" s="7" t="s">
        <v>24</v>
      </c>
      <c r="F2039" s="7" t="s">
        <v>42</v>
      </c>
      <c r="G2039" s="7" t="s">
        <v>43</v>
      </c>
      <c r="H2039" s="7">
        <v>4</v>
      </c>
      <c r="I2039" s="2">
        <v>405.91</v>
      </c>
      <c r="J2039" s="2">
        <f>Tabla2[[#This Row],[Quantity]]*I2039</f>
        <v>1623.64</v>
      </c>
      <c r="K2039" s="6">
        <f>MONTH(Tabla2[[#This Row],[OrderDate]])</f>
        <v>1</v>
      </c>
      <c r="L2039" s="6">
        <f>YEAR(Tabla2[[#This Row],[OrderDate]])</f>
        <v>2024</v>
      </c>
      <c r="M2039" s="7" t="s">
        <v>2911</v>
      </c>
      <c r="N2039" s="7" t="s">
        <v>28</v>
      </c>
    </row>
    <row r="2040" spans="1:14" x14ac:dyDescent="0.35">
      <c r="A2040" s="7" t="s">
        <v>3374</v>
      </c>
      <c r="B2040" s="7" t="s">
        <v>602</v>
      </c>
      <c r="C2040" s="7" t="s">
        <v>603</v>
      </c>
      <c r="D2040" s="7" t="s">
        <v>40</v>
      </c>
      <c r="E2040" s="7" t="s">
        <v>120</v>
      </c>
      <c r="F2040" s="7" t="s">
        <v>16</v>
      </c>
      <c r="G2040" s="7" t="s">
        <v>182</v>
      </c>
      <c r="H2040" s="7">
        <v>4</v>
      </c>
      <c r="I2040" s="2">
        <v>977.81</v>
      </c>
      <c r="J2040" s="2">
        <f>Tabla2[[#This Row],[Quantity]]*I2040</f>
        <v>3911.24</v>
      </c>
      <c r="K2040" s="6">
        <f>MONTH(Tabla2[[#This Row],[OrderDate]])</f>
        <v>3</v>
      </c>
      <c r="L2040" s="6">
        <f>YEAR(Tabla2[[#This Row],[OrderDate]])</f>
        <v>2025</v>
      </c>
      <c r="M2040" s="7" t="s">
        <v>660</v>
      </c>
      <c r="N2040" s="7" t="s">
        <v>45</v>
      </c>
    </row>
    <row r="2041" spans="1:14" x14ac:dyDescent="0.35">
      <c r="A2041" s="7" t="s">
        <v>3375</v>
      </c>
      <c r="B2041" s="7" t="s">
        <v>658</v>
      </c>
      <c r="C2041" s="7" t="s">
        <v>659</v>
      </c>
      <c r="D2041" s="7" t="s">
        <v>23</v>
      </c>
      <c r="E2041" s="7" t="s">
        <v>49</v>
      </c>
      <c r="F2041" s="7" t="s">
        <v>16</v>
      </c>
      <c r="G2041" s="7" t="s">
        <v>182</v>
      </c>
      <c r="H2041" s="7">
        <v>5</v>
      </c>
      <c r="I2041" s="2">
        <v>1198.57</v>
      </c>
      <c r="J2041" s="2">
        <f>Tabla2[[#This Row],[Quantity]]*I2041</f>
        <v>5992.8499999999995</v>
      </c>
      <c r="K2041" s="6">
        <f>MONTH(Tabla2[[#This Row],[OrderDate]])</f>
        <v>9</v>
      </c>
      <c r="L2041" s="6">
        <f>YEAR(Tabla2[[#This Row],[OrderDate]])</f>
        <v>2024</v>
      </c>
      <c r="M2041" s="7" t="s">
        <v>2648</v>
      </c>
      <c r="N2041" s="7" t="s">
        <v>45</v>
      </c>
    </row>
    <row r="2042" spans="1:14" x14ac:dyDescent="0.35">
      <c r="A2042" s="7" t="s">
        <v>3376</v>
      </c>
      <c r="B2042" s="7" t="s">
        <v>214</v>
      </c>
      <c r="C2042" s="7" t="s">
        <v>215</v>
      </c>
      <c r="D2042" s="7" t="s">
        <v>40</v>
      </c>
      <c r="E2042" s="7" t="s">
        <v>120</v>
      </c>
      <c r="F2042" s="7" t="s">
        <v>42</v>
      </c>
      <c r="G2042" s="7" t="s">
        <v>43</v>
      </c>
      <c r="H2042" s="7">
        <v>3</v>
      </c>
      <c r="I2042" s="2">
        <v>223.01</v>
      </c>
      <c r="J2042" s="2">
        <f>Tabla2[[#This Row],[Quantity]]*I2042</f>
        <v>669.03</v>
      </c>
      <c r="K2042" s="6">
        <f>MONTH(Tabla2[[#This Row],[OrderDate]])</f>
        <v>2</v>
      </c>
      <c r="L2042" s="6">
        <f>YEAR(Tabla2[[#This Row],[OrderDate]])</f>
        <v>2026</v>
      </c>
      <c r="M2042" s="7" t="s">
        <v>1629</v>
      </c>
      <c r="N2042" s="7" t="s">
        <v>36</v>
      </c>
    </row>
    <row r="2043" spans="1:14" x14ac:dyDescent="0.35">
      <c r="A2043" s="7" t="s">
        <v>3377</v>
      </c>
      <c r="B2043" s="7" t="s">
        <v>402</v>
      </c>
      <c r="C2043" s="7" t="s">
        <v>403</v>
      </c>
      <c r="D2043" s="7" t="s">
        <v>32</v>
      </c>
      <c r="E2043" s="7" t="s">
        <v>203</v>
      </c>
      <c r="F2043" s="7" t="s">
        <v>25</v>
      </c>
      <c r="G2043" s="7" t="s">
        <v>62</v>
      </c>
      <c r="H2043" s="7">
        <v>5</v>
      </c>
      <c r="I2043" s="2">
        <v>747.83</v>
      </c>
      <c r="J2043" s="2">
        <f>Tabla2[[#This Row],[Quantity]]*I2043</f>
        <v>3739.15</v>
      </c>
      <c r="K2043" s="6">
        <f>MONTH(Tabla2[[#This Row],[OrderDate]])</f>
        <v>8</v>
      </c>
      <c r="L2043" s="6">
        <f>YEAR(Tabla2[[#This Row],[OrderDate]])</f>
        <v>2024</v>
      </c>
      <c r="M2043" s="7" t="s">
        <v>2887</v>
      </c>
      <c r="N2043" s="7" t="s">
        <v>19</v>
      </c>
    </row>
    <row r="2044" spans="1:14" x14ac:dyDescent="0.35">
      <c r="A2044" s="7" t="s">
        <v>3378</v>
      </c>
      <c r="B2044" s="7" t="s">
        <v>832</v>
      </c>
      <c r="C2044" s="7" t="s">
        <v>833</v>
      </c>
      <c r="D2044" s="7" t="s">
        <v>40</v>
      </c>
      <c r="E2044" s="7" t="s">
        <v>79</v>
      </c>
      <c r="F2044" s="7" t="s">
        <v>50</v>
      </c>
      <c r="G2044" s="7" t="s">
        <v>56</v>
      </c>
      <c r="H2044" s="7">
        <v>1</v>
      </c>
      <c r="I2044" s="2">
        <v>1000.14</v>
      </c>
      <c r="J2044" s="2">
        <f>Tabla2[[#This Row],[Quantity]]*I2044</f>
        <v>1000.14</v>
      </c>
      <c r="K2044" s="6">
        <f>MONTH(Tabla2[[#This Row],[OrderDate]])</f>
        <v>4</v>
      </c>
      <c r="L2044" s="6">
        <f>YEAR(Tabla2[[#This Row],[OrderDate]])</f>
        <v>2025</v>
      </c>
      <c r="M2044" s="7" t="s">
        <v>3097</v>
      </c>
      <c r="N2044" s="7" t="s">
        <v>91</v>
      </c>
    </row>
    <row r="2045" spans="1:14" x14ac:dyDescent="0.35">
      <c r="A2045" s="7" t="s">
        <v>3379</v>
      </c>
      <c r="B2045" s="7" t="s">
        <v>1856</v>
      </c>
      <c r="C2045" s="7" t="s">
        <v>1857</v>
      </c>
      <c r="D2045" s="7" t="s">
        <v>67</v>
      </c>
      <c r="E2045" s="7" t="s">
        <v>115</v>
      </c>
      <c r="F2045" s="7" t="s">
        <v>42</v>
      </c>
      <c r="G2045" s="7" t="s">
        <v>225</v>
      </c>
      <c r="H2045" s="7">
        <v>2</v>
      </c>
      <c r="I2045" s="2">
        <v>1059.5899999999999</v>
      </c>
      <c r="J2045" s="2">
        <f>Tabla2[[#This Row],[Quantity]]*I2045</f>
        <v>2119.1799999999998</v>
      </c>
      <c r="K2045" s="6">
        <f>MONTH(Tabla2[[#This Row],[OrderDate]])</f>
        <v>12</v>
      </c>
      <c r="L2045" s="6">
        <f>YEAR(Tabla2[[#This Row],[OrderDate]])</f>
        <v>2024</v>
      </c>
      <c r="M2045" s="7" t="s">
        <v>697</v>
      </c>
      <c r="N2045" s="7" t="s">
        <v>91</v>
      </c>
    </row>
    <row r="2046" spans="1:14" x14ac:dyDescent="0.35">
      <c r="A2046" s="7" t="s">
        <v>3380</v>
      </c>
      <c r="B2046" s="7" t="s">
        <v>742</v>
      </c>
      <c r="C2046" s="7" t="s">
        <v>743</v>
      </c>
      <c r="D2046" s="7" t="s">
        <v>23</v>
      </c>
      <c r="E2046" s="7" t="s">
        <v>49</v>
      </c>
      <c r="F2046" s="7" t="s">
        <v>42</v>
      </c>
      <c r="G2046" s="7" t="s">
        <v>225</v>
      </c>
      <c r="H2046" s="7">
        <v>5</v>
      </c>
      <c r="I2046" s="2">
        <v>751.25</v>
      </c>
      <c r="J2046" s="2">
        <f>Tabla2[[#This Row],[Quantity]]*I2046</f>
        <v>3756.25</v>
      </c>
      <c r="K2046" s="6">
        <f>MONTH(Tabla2[[#This Row],[OrderDate]])</f>
        <v>1</v>
      </c>
      <c r="L2046" s="6">
        <f>YEAR(Tabla2[[#This Row],[OrderDate]])</f>
        <v>2025</v>
      </c>
      <c r="M2046" s="7" t="s">
        <v>1809</v>
      </c>
      <c r="N2046" s="7" t="s">
        <v>36</v>
      </c>
    </row>
    <row r="2047" spans="1:14" x14ac:dyDescent="0.35">
      <c r="A2047" s="7" t="s">
        <v>3381</v>
      </c>
      <c r="B2047" s="7" t="s">
        <v>146</v>
      </c>
      <c r="C2047" s="7" t="s">
        <v>147</v>
      </c>
      <c r="D2047" s="7" t="s">
        <v>67</v>
      </c>
      <c r="E2047" s="7" t="s">
        <v>130</v>
      </c>
      <c r="F2047" s="7" t="s">
        <v>25</v>
      </c>
      <c r="G2047" s="7" t="s">
        <v>34</v>
      </c>
      <c r="H2047" s="7">
        <v>3</v>
      </c>
      <c r="I2047" s="2">
        <v>114.68</v>
      </c>
      <c r="J2047" s="2">
        <f>Tabla2[[#This Row],[Quantity]]*I2047</f>
        <v>344.04</v>
      </c>
      <c r="K2047" s="6">
        <f>MONTH(Tabla2[[#This Row],[OrderDate]])</f>
        <v>11</v>
      </c>
      <c r="L2047" s="6">
        <f>YEAR(Tabla2[[#This Row],[OrderDate]])</f>
        <v>2025</v>
      </c>
      <c r="M2047" s="7" t="s">
        <v>3382</v>
      </c>
      <c r="N2047" s="7" t="s">
        <v>45</v>
      </c>
    </row>
    <row r="2048" spans="1:14" x14ac:dyDescent="0.35">
      <c r="A2048" s="7" t="s">
        <v>3383</v>
      </c>
      <c r="B2048" s="7" t="s">
        <v>77</v>
      </c>
      <c r="C2048" s="7" t="s">
        <v>78</v>
      </c>
      <c r="D2048" s="7" t="s">
        <v>23</v>
      </c>
      <c r="E2048" s="7" t="s">
        <v>24</v>
      </c>
      <c r="F2048" s="7" t="s">
        <v>101</v>
      </c>
      <c r="G2048" s="7" t="s">
        <v>373</v>
      </c>
      <c r="H2048" s="7">
        <v>2</v>
      </c>
      <c r="I2048" s="2">
        <v>1014.88</v>
      </c>
      <c r="J2048" s="2">
        <f>Tabla2[[#This Row],[Quantity]]*I2048</f>
        <v>2029.76</v>
      </c>
      <c r="K2048" s="6">
        <f>MONTH(Tabla2[[#This Row],[OrderDate]])</f>
        <v>2</v>
      </c>
      <c r="L2048" s="6">
        <f>YEAR(Tabla2[[#This Row],[OrderDate]])</f>
        <v>2024</v>
      </c>
      <c r="M2048" s="7" t="s">
        <v>1022</v>
      </c>
      <c r="N2048" s="7" t="s">
        <v>28</v>
      </c>
    </row>
    <row r="2049" spans="1:14" x14ac:dyDescent="0.35">
      <c r="A2049" s="7" t="s">
        <v>3384</v>
      </c>
      <c r="B2049" s="7" t="s">
        <v>173</v>
      </c>
      <c r="C2049" s="7" t="s">
        <v>174</v>
      </c>
      <c r="D2049" s="7" t="s">
        <v>67</v>
      </c>
      <c r="E2049" s="7" t="s">
        <v>68</v>
      </c>
      <c r="F2049" s="7" t="s">
        <v>25</v>
      </c>
      <c r="G2049" s="7" t="s">
        <v>139</v>
      </c>
      <c r="H2049" s="7">
        <v>4</v>
      </c>
      <c r="I2049" s="2">
        <v>188.96</v>
      </c>
      <c r="J2049" s="2">
        <f>Tabla2[[#This Row],[Quantity]]*I2049</f>
        <v>755.84</v>
      </c>
      <c r="K2049" s="6">
        <f>MONTH(Tabla2[[#This Row],[OrderDate]])</f>
        <v>6</v>
      </c>
      <c r="L2049" s="6">
        <f>YEAR(Tabla2[[#This Row],[OrderDate]])</f>
        <v>2025</v>
      </c>
      <c r="M2049" s="7" t="s">
        <v>1929</v>
      </c>
      <c r="N2049" s="7" t="s">
        <v>91</v>
      </c>
    </row>
    <row r="2050" spans="1:14" x14ac:dyDescent="0.35">
      <c r="A2050" s="7" t="s">
        <v>3385</v>
      </c>
      <c r="B2050" s="7" t="s">
        <v>1354</v>
      </c>
      <c r="C2050" s="7" t="s">
        <v>1355</v>
      </c>
      <c r="D2050" s="7" t="s">
        <v>32</v>
      </c>
      <c r="E2050" s="7" t="s">
        <v>33</v>
      </c>
      <c r="F2050" s="7" t="s">
        <v>50</v>
      </c>
      <c r="G2050" s="7" t="s">
        <v>56</v>
      </c>
      <c r="H2050" s="7">
        <v>2</v>
      </c>
      <c r="I2050" s="2">
        <v>1055.3900000000001</v>
      </c>
      <c r="J2050" s="2">
        <f>Tabla2[[#This Row],[Quantity]]*I2050</f>
        <v>2110.7800000000002</v>
      </c>
      <c r="K2050" s="6">
        <f>MONTH(Tabla2[[#This Row],[OrderDate]])</f>
        <v>9</v>
      </c>
      <c r="L2050" s="6">
        <f>YEAR(Tabla2[[#This Row],[OrderDate]])</f>
        <v>2025</v>
      </c>
      <c r="M2050" s="7" t="s">
        <v>2285</v>
      </c>
      <c r="N2050" s="7" t="s">
        <v>91</v>
      </c>
    </row>
    <row r="2051" spans="1:14" x14ac:dyDescent="0.35">
      <c r="A2051" s="7" t="s">
        <v>3386</v>
      </c>
      <c r="B2051" s="7" t="s">
        <v>273</v>
      </c>
      <c r="C2051" s="7" t="s">
        <v>274</v>
      </c>
      <c r="D2051" s="7" t="s">
        <v>14</v>
      </c>
      <c r="E2051" s="7" t="s">
        <v>266</v>
      </c>
      <c r="F2051" s="7" t="s">
        <v>16</v>
      </c>
      <c r="G2051" s="7" t="s">
        <v>177</v>
      </c>
      <c r="H2051" s="7">
        <v>1</v>
      </c>
      <c r="I2051" s="2">
        <v>347.04</v>
      </c>
      <c r="J2051" s="2">
        <f>Tabla2[[#This Row],[Quantity]]*I2051</f>
        <v>347.04</v>
      </c>
      <c r="K2051" s="6">
        <f>MONTH(Tabla2[[#This Row],[OrderDate]])</f>
        <v>10</v>
      </c>
      <c r="L2051" s="6">
        <f>YEAR(Tabla2[[#This Row],[OrderDate]])</f>
        <v>2024</v>
      </c>
      <c r="M2051" s="7" t="s">
        <v>1256</v>
      </c>
      <c r="N2051" s="7" t="s">
        <v>91</v>
      </c>
    </row>
    <row r="2052" spans="1:14" x14ac:dyDescent="0.35">
      <c r="A2052" s="7" t="s">
        <v>3387</v>
      </c>
      <c r="B2052" s="7" t="s">
        <v>1159</v>
      </c>
      <c r="C2052" s="7" t="s">
        <v>1160</v>
      </c>
      <c r="D2052" s="7" t="s">
        <v>32</v>
      </c>
      <c r="E2052" s="7" t="s">
        <v>61</v>
      </c>
      <c r="F2052" s="7" t="s">
        <v>16</v>
      </c>
      <c r="G2052" s="7" t="s">
        <v>148</v>
      </c>
      <c r="H2052" s="7">
        <v>5</v>
      </c>
      <c r="I2052" s="2">
        <v>1199.67</v>
      </c>
      <c r="J2052" s="2">
        <f>Tabla2[[#This Row],[Quantity]]*I2052</f>
        <v>5998.35</v>
      </c>
      <c r="K2052" s="6">
        <f>MONTH(Tabla2[[#This Row],[OrderDate]])</f>
        <v>9</v>
      </c>
      <c r="L2052" s="6">
        <f>YEAR(Tabla2[[#This Row],[OrderDate]])</f>
        <v>2025</v>
      </c>
      <c r="M2052" s="7" t="s">
        <v>701</v>
      </c>
      <c r="N2052" s="7" t="s">
        <v>45</v>
      </c>
    </row>
    <row r="2053" spans="1:14" x14ac:dyDescent="0.35">
      <c r="A2053" s="7" t="s">
        <v>3388</v>
      </c>
      <c r="B2053" s="7" t="s">
        <v>1005</v>
      </c>
      <c r="C2053" s="7" t="s">
        <v>1006</v>
      </c>
      <c r="D2053" s="7" t="s">
        <v>40</v>
      </c>
      <c r="E2053" s="7" t="s">
        <v>79</v>
      </c>
      <c r="F2053" s="7" t="s">
        <v>101</v>
      </c>
      <c r="G2053" s="7" t="s">
        <v>165</v>
      </c>
      <c r="H2053" s="7">
        <v>5</v>
      </c>
      <c r="I2053" s="2">
        <v>244.84</v>
      </c>
      <c r="J2053" s="2">
        <f>Tabla2[[#This Row],[Quantity]]*I2053</f>
        <v>1224.2</v>
      </c>
      <c r="K2053" s="6">
        <f>MONTH(Tabla2[[#This Row],[OrderDate]])</f>
        <v>10</v>
      </c>
      <c r="L2053" s="6">
        <f>YEAR(Tabla2[[#This Row],[OrderDate]])</f>
        <v>2025</v>
      </c>
      <c r="M2053" s="7" t="s">
        <v>488</v>
      </c>
      <c r="N2053" s="7" t="s">
        <v>28</v>
      </c>
    </row>
    <row r="2054" spans="1:14" x14ac:dyDescent="0.35">
      <c r="A2054" s="7" t="s">
        <v>3389</v>
      </c>
      <c r="B2054" s="7" t="s">
        <v>853</v>
      </c>
      <c r="C2054" s="7" t="s">
        <v>854</v>
      </c>
      <c r="D2054" s="7" t="s">
        <v>32</v>
      </c>
      <c r="E2054" s="7" t="s">
        <v>61</v>
      </c>
      <c r="F2054" s="7" t="s">
        <v>42</v>
      </c>
      <c r="G2054" s="7" t="s">
        <v>89</v>
      </c>
      <c r="H2054" s="7">
        <v>4</v>
      </c>
      <c r="I2054" s="2">
        <v>417.52</v>
      </c>
      <c r="J2054" s="2">
        <f>Tabla2[[#This Row],[Quantity]]*I2054</f>
        <v>1670.08</v>
      </c>
      <c r="K2054" s="6">
        <f>MONTH(Tabla2[[#This Row],[OrderDate]])</f>
        <v>2</v>
      </c>
      <c r="L2054" s="6">
        <f>YEAR(Tabla2[[#This Row],[OrderDate]])</f>
        <v>2024</v>
      </c>
      <c r="M2054" s="7" t="s">
        <v>52</v>
      </c>
      <c r="N2054" s="7" t="s">
        <v>36</v>
      </c>
    </row>
    <row r="2055" spans="1:14" x14ac:dyDescent="0.35">
      <c r="A2055" s="7" t="s">
        <v>3390</v>
      </c>
      <c r="B2055" s="7" t="s">
        <v>904</v>
      </c>
      <c r="C2055" s="7" t="s">
        <v>905</v>
      </c>
      <c r="D2055" s="7" t="s">
        <v>23</v>
      </c>
      <c r="E2055" s="7" t="s">
        <v>338</v>
      </c>
      <c r="F2055" s="7" t="s">
        <v>25</v>
      </c>
      <c r="G2055" s="7" t="s">
        <v>62</v>
      </c>
      <c r="H2055" s="7">
        <v>2</v>
      </c>
      <c r="I2055" s="2">
        <v>774.27</v>
      </c>
      <c r="J2055" s="2">
        <f>Tabla2[[#This Row],[Quantity]]*I2055</f>
        <v>1548.54</v>
      </c>
      <c r="K2055" s="6">
        <f>MONTH(Tabla2[[#This Row],[OrderDate]])</f>
        <v>2</v>
      </c>
      <c r="L2055" s="6">
        <f>YEAR(Tabla2[[#This Row],[OrderDate]])</f>
        <v>2026</v>
      </c>
      <c r="M2055" s="7" t="s">
        <v>1600</v>
      </c>
      <c r="N2055" s="7" t="s">
        <v>36</v>
      </c>
    </row>
    <row r="2056" spans="1:14" x14ac:dyDescent="0.35">
      <c r="A2056" s="7" t="s">
        <v>3391</v>
      </c>
      <c r="B2056" s="7" t="s">
        <v>842</v>
      </c>
      <c r="C2056" s="7" t="s">
        <v>843</v>
      </c>
      <c r="D2056" s="7" t="s">
        <v>67</v>
      </c>
      <c r="E2056" s="7" t="s">
        <v>115</v>
      </c>
      <c r="F2056" s="7" t="s">
        <v>42</v>
      </c>
      <c r="G2056" s="7" t="s">
        <v>225</v>
      </c>
      <c r="H2056" s="7">
        <v>4</v>
      </c>
      <c r="I2056" s="2">
        <v>1217.8699999999999</v>
      </c>
      <c r="J2056" s="2">
        <f>Tabla2[[#This Row],[Quantity]]*I2056</f>
        <v>4871.4799999999996</v>
      </c>
      <c r="K2056" s="6">
        <f>MONTH(Tabla2[[#This Row],[OrderDate]])</f>
        <v>12</v>
      </c>
      <c r="L2056" s="6">
        <f>YEAR(Tabla2[[#This Row],[OrderDate]])</f>
        <v>2024</v>
      </c>
      <c r="M2056" s="7" t="s">
        <v>3248</v>
      </c>
      <c r="N2056" s="7" t="s">
        <v>28</v>
      </c>
    </row>
    <row r="2057" spans="1:14" x14ac:dyDescent="0.35">
      <c r="A2057" s="7" t="s">
        <v>3392</v>
      </c>
      <c r="B2057" s="7" t="s">
        <v>146</v>
      </c>
      <c r="C2057" s="7" t="s">
        <v>147</v>
      </c>
      <c r="D2057" s="7" t="s">
        <v>40</v>
      </c>
      <c r="E2057" s="7" t="s">
        <v>79</v>
      </c>
      <c r="F2057" s="7" t="s">
        <v>16</v>
      </c>
      <c r="G2057" s="7" t="s">
        <v>182</v>
      </c>
      <c r="H2057" s="7">
        <v>1</v>
      </c>
      <c r="I2057" s="2">
        <v>720.47</v>
      </c>
      <c r="J2057" s="2">
        <f>Tabla2[[#This Row],[Quantity]]*I2057</f>
        <v>720.47</v>
      </c>
      <c r="K2057" s="6">
        <f>MONTH(Tabla2[[#This Row],[OrderDate]])</f>
        <v>3</v>
      </c>
      <c r="L2057" s="6">
        <f>YEAR(Tabla2[[#This Row],[OrderDate]])</f>
        <v>2026</v>
      </c>
      <c r="M2057" s="7" t="s">
        <v>2673</v>
      </c>
      <c r="N2057" s="7" t="s">
        <v>36</v>
      </c>
    </row>
    <row r="2058" spans="1:14" x14ac:dyDescent="0.35">
      <c r="A2058" s="7" t="s">
        <v>3393</v>
      </c>
      <c r="B2058" s="7" t="s">
        <v>252</v>
      </c>
      <c r="C2058" s="7" t="s">
        <v>253</v>
      </c>
      <c r="D2058" s="7" t="s">
        <v>23</v>
      </c>
      <c r="E2058" s="7" t="s">
        <v>24</v>
      </c>
      <c r="F2058" s="7" t="s">
        <v>25</v>
      </c>
      <c r="G2058" s="7" t="s">
        <v>34</v>
      </c>
      <c r="H2058" s="7">
        <v>3</v>
      </c>
      <c r="I2058" s="2">
        <v>1023.87</v>
      </c>
      <c r="J2058" s="2">
        <f>Tabla2[[#This Row],[Quantity]]*I2058</f>
        <v>3071.61</v>
      </c>
      <c r="K2058" s="6">
        <f>MONTH(Tabla2[[#This Row],[OrderDate]])</f>
        <v>7</v>
      </c>
      <c r="L2058" s="6">
        <f>YEAR(Tabla2[[#This Row],[OrderDate]])</f>
        <v>2025</v>
      </c>
      <c r="M2058" s="7" t="s">
        <v>262</v>
      </c>
      <c r="N2058" s="7" t="s">
        <v>45</v>
      </c>
    </row>
    <row r="2059" spans="1:14" x14ac:dyDescent="0.35">
      <c r="A2059" s="7" t="s">
        <v>3394</v>
      </c>
      <c r="B2059" s="7" t="s">
        <v>1203</v>
      </c>
      <c r="C2059" s="7" t="s">
        <v>1204</v>
      </c>
      <c r="D2059" s="7" t="s">
        <v>23</v>
      </c>
      <c r="E2059" s="7" t="s">
        <v>24</v>
      </c>
      <c r="F2059" s="7" t="s">
        <v>42</v>
      </c>
      <c r="G2059" s="7" t="s">
        <v>43</v>
      </c>
      <c r="H2059" s="7">
        <v>4</v>
      </c>
      <c r="I2059" s="2">
        <v>547.05999999999995</v>
      </c>
      <c r="J2059" s="2">
        <f>Tabla2[[#This Row],[Quantity]]*I2059</f>
        <v>2188.2399999999998</v>
      </c>
      <c r="K2059" s="6">
        <f>MONTH(Tabla2[[#This Row],[OrderDate]])</f>
        <v>7</v>
      </c>
      <c r="L2059" s="6">
        <f>YEAR(Tabla2[[#This Row],[OrderDate]])</f>
        <v>2025</v>
      </c>
      <c r="M2059" s="7" t="s">
        <v>1970</v>
      </c>
      <c r="N2059" s="7" t="s">
        <v>28</v>
      </c>
    </row>
    <row r="2060" spans="1:14" x14ac:dyDescent="0.35">
      <c r="A2060" s="7" t="s">
        <v>3395</v>
      </c>
      <c r="B2060" s="7" t="s">
        <v>376</v>
      </c>
      <c r="C2060" s="7" t="s">
        <v>377</v>
      </c>
      <c r="D2060" s="7" t="s">
        <v>14</v>
      </c>
      <c r="E2060" s="7" t="s">
        <v>266</v>
      </c>
      <c r="F2060" s="7" t="s">
        <v>42</v>
      </c>
      <c r="G2060" s="7" t="s">
        <v>225</v>
      </c>
      <c r="H2060" s="7">
        <v>1</v>
      </c>
      <c r="I2060" s="2">
        <v>602.41</v>
      </c>
      <c r="J2060" s="2">
        <f>Tabla2[[#This Row],[Quantity]]*I2060</f>
        <v>602.41</v>
      </c>
      <c r="K2060" s="6">
        <f>MONTH(Tabla2[[#This Row],[OrderDate]])</f>
        <v>4</v>
      </c>
      <c r="L2060" s="6">
        <f>YEAR(Tabla2[[#This Row],[OrderDate]])</f>
        <v>2025</v>
      </c>
      <c r="M2060" s="7" t="s">
        <v>1217</v>
      </c>
      <c r="N2060" s="7" t="s">
        <v>19</v>
      </c>
    </row>
    <row r="2061" spans="1:14" x14ac:dyDescent="0.35">
      <c r="A2061" s="7" t="s">
        <v>3396</v>
      </c>
      <c r="B2061" s="7" t="s">
        <v>594</v>
      </c>
      <c r="C2061" s="7" t="s">
        <v>595</v>
      </c>
      <c r="D2061" s="7" t="s">
        <v>40</v>
      </c>
      <c r="E2061" s="7" t="s">
        <v>79</v>
      </c>
      <c r="F2061" s="7" t="s">
        <v>16</v>
      </c>
      <c r="G2061" s="7" t="s">
        <v>17</v>
      </c>
      <c r="H2061" s="7">
        <v>2</v>
      </c>
      <c r="I2061" s="2">
        <v>209.43</v>
      </c>
      <c r="J2061" s="2">
        <f>Tabla2[[#This Row],[Quantity]]*I2061</f>
        <v>418.86</v>
      </c>
      <c r="K2061" s="6">
        <f>MONTH(Tabla2[[#This Row],[OrderDate]])</f>
        <v>9</v>
      </c>
      <c r="L2061" s="6">
        <f>YEAR(Tabla2[[#This Row],[OrderDate]])</f>
        <v>2025</v>
      </c>
      <c r="M2061" s="7" t="s">
        <v>2285</v>
      </c>
      <c r="N2061" s="7" t="s">
        <v>19</v>
      </c>
    </row>
    <row r="2062" spans="1:14" x14ac:dyDescent="0.35">
      <c r="A2062" s="7" t="s">
        <v>3397</v>
      </c>
      <c r="B2062" s="7" t="s">
        <v>1464</v>
      </c>
      <c r="C2062" s="7" t="s">
        <v>1465</v>
      </c>
      <c r="D2062" s="7" t="s">
        <v>40</v>
      </c>
      <c r="E2062" s="7" t="s">
        <v>79</v>
      </c>
      <c r="F2062" s="7" t="s">
        <v>50</v>
      </c>
      <c r="G2062" s="7" t="s">
        <v>216</v>
      </c>
      <c r="H2062" s="7">
        <v>2</v>
      </c>
      <c r="I2062" s="2">
        <v>1485.17</v>
      </c>
      <c r="J2062" s="2">
        <f>Tabla2[[#This Row],[Quantity]]*I2062</f>
        <v>2970.34</v>
      </c>
      <c r="K2062" s="6">
        <f>MONTH(Tabla2[[#This Row],[OrderDate]])</f>
        <v>3</v>
      </c>
      <c r="L2062" s="6">
        <f>YEAR(Tabla2[[#This Row],[OrderDate]])</f>
        <v>2026</v>
      </c>
      <c r="M2062" s="7" t="s">
        <v>3398</v>
      </c>
      <c r="N2062" s="7" t="s">
        <v>91</v>
      </c>
    </row>
    <row r="2063" spans="1:14" x14ac:dyDescent="0.35">
      <c r="A2063" s="7" t="s">
        <v>3399</v>
      </c>
      <c r="B2063" s="7" t="s">
        <v>54</v>
      </c>
      <c r="C2063" s="7" t="s">
        <v>55</v>
      </c>
      <c r="D2063" s="7" t="s">
        <v>32</v>
      </c>
      <c r="E2063" s="7" t="s">
        <v>203</v>
      </c>
      <c r="F2063" s="7" t="s">
        <v>101</v>
      </c>
      <c r="G2063" s="7" t="s">
        <v>165</v>
      </c>
      <c r="H2063" s="7">
        <v>5</v>
      </c>
      <c r="I2063" s="2">
        <v>202.92</v>
      </c>
      <c r="J2063" s="2">
        <f>Tabla2[[#This Row],[Quantity]]*I2063</f>
        <v>1014.5999999999999</v>
      </c>
      <c r="K2063" s="6">
        <f>MONTH(Tabla2[[#This Row],[OrderDate]])</f>
        <v>12</v>
      </c>
      <c r="L2063" s="6">
        <f>YEAR(Tabla2[[#This Row],[OrderDate]])</f>
        <v>2025</v>
      </c>
      <c r="M2063" s="7" t="s">
        <v>2405</v>
      </c>
      <c r="N2063" s="7" t="s">
        <v>28</v>
      </c>
    </row>
    <row r="2064" spans="1:14" x14ac:dyDescent="0.35">
      <c r="A2064" s="7" t="s">
        <v>3400</v>
      </c>
      <c r="B2064" s="7" t="s">
        <v>827</v>
      </c>
      <c r="C2064" s="7" t="s">
        <v>828</v>
      </c>
      <c r="D2064" s="7" t="s">
        <v>23</v>
      </c>
      <c r="E2064" s="7" t="s">
        <v>338</v>
      </c>
      <c r="F2064" s="7" t="s">
        <v>50</v>
      </c>
      <c r="G2064" s="7" t="s">
        <v>216</v>
      </c>
      <c r="H2064" s="7">
        <v>3</v>
      </c>
      <c r="I2064" s="2">
        <v>25.56</v>
      </c>
      <c r="J2064" s="2">
        <f>Tabla2[[#This Row],[Quantity]]*I2064</f>
        <v>76.679999999999993</v>
      </c>
      <c r="K2064" s="6">
        <f>MONTH(Tabla2[[#This Row],[OrderDate]])</f>
        <v>4</v>
      </c>
      <c r="L2064" s="6">
        <f>YEAR(Tabla2[[#This Row],[OrderDate]])</f>
        <v>2025</v>
      </c>
      <c r="M2064" s="7" t="s">
        <v>3401</v>
      </c>
      <c r="N2064" s="7" t="s">
        <v>45</v>
      </c>
    </row>
    <row r="2065" spans="1:14" x14ac:dyDescent="0.35">
      <c r="A2065" s="7" t="s">
        <v>3402</v>
      </c>
      <c r="B2065" s="7" t="s">
        <v>727</v>
      </c>
      <c r="C2065" s="7" t="s">
        <v>728</v>
      </c>
      <c r="D2065" s="7" t="s">
        <v>32</v>
      </c>
      <c r="E2065" s="7" t="s">
        <v>33</v>
      </c>
      <c r="F2065" s="7" t="s">
        <v>16</v>
      </c>
      <c r="G2065" s="7" t="s">
        <v>177</v>
      </c>
      <c r="H2065" s="7">
        <v>4</v>
      </c>
      <c r="I2065" s="2">
        <v>763.92</v>
      </c>
      <c r="J2065" s="2">
        <f>Tabla2[[#This Row],[Quantity]]*I2065</f>
        <v>3055.68</v>
      </c>
      <c r="K2065" s="6">
        <f>MONTH(Tabla2[[#This Row],[OrderDate]])</f>
        <v>1</v>
      </c>
      <c r="L2065" s="6">
        <f>YEAR(Tabla2[[#This Row],[OrderDate]])</f>
        <v>2024</v>
      </c>
      <c r="M2065" s="7" t="s">
        <v>1297</v>
      </c>
      <c r="N2065" s="7" t="s">
        <v>45</v>
      </c>
    </row>
    <row r="2066" spans="1:14" x14ac:dyDescent="0.35">
      <c r="A2066" s="7" t="s">
        <v>3403</v>
      </c>
      <c r="B2066" s="7" t="s">
        <v>727</v>
      </c>
      <c r="C2066" s="7" t="s">
        <v>728</v>
      </c>
      <c r="D2066" s="7" t="s">
        <v>67</v>
      </c>
      <c r="E2066" s="7" t="s">
        <v>115</v>
      </c>
      <c r="F2066" s="7" t="s">
        <v>42</v>
      </c>
      <c r="G2066" s="7" t="s">
        <v>80</v>
      </c>
      <c r="H2066" s="7">
        <v>4</v>
      </c>
      <c r="I2066" s="2">
        <v>199.58</v>
      </c>
      <c r="J2066" s="2">
        <f>Tabla2[[#This Row],[Quantity]]*I2066</f>
        <v>798.32</v>
      </c>
      <c r="K2066" s="6">
        <f>MONTH(Tabla2[[#This Row],[OrderDate]])</f>
        <v>1</v>
      </c>
      <c r="L2066" s="6">
        <f>YEAR(Tabla2[[#This Row],[OrderDate]])</f>
        <v>2024</v>
      </c>
      <c r="M2066" s="7" t="s">
        <v>1297</v>
      </c>
      <c r="N2066" s="7" t="s">
        <v>91</v>
      </c>
    </row>
    <row r="2067" spans="1:14" x14ac:dyDescent="0.35">
      <c r="A2067" s="7" t="s">
        <v>3404</v>
      </c>
      <c r="B2067" s="7" t="s">
        <v>801</v>
      </c>
      <c r="C2067" s="7" t="s">
        <v>802</v>
      </c>
      <c r="D2067" s="7" t="s">
        <v>32</v>
      </c>
      <c r="E2067" s="7" t="s">
        <v>203</v>
      </c>
      <c r="F2067" s="7" t="s">
        <v>101</v>
      </c>
      <c r="G2067" s="7" t="s">
        <v>373</v>
      </c>
      <c r="H2067" s="7">
        <v>1</v>
      </c>
      <c r="I2067" s="2">
        <v>1302.07</v>
      </c>
      <c r="J2067" s="2">
        <f>Tabla2[[#This Row],[Quantity]]*I2067</f>
        <v>1302.07</v>
      </c>
      <c r="K2067" s="6">
        <f>MONTH(Tabla2[[#This Row],[OrderDate]])</f>
        <v>1</v>
      </c>
      <c r="L2067" s="6">
        <f>YEAR(Tabla2[[#This Row],[OrderDate]])</f>
        <v>2024</v>
      </c>
      <c r="M2067" s="7" t="s">
        <v>468</v>
      </c>
      <c r="N2067" s="7" t="s">
        <v>91</v>
      </c>
    </row>
    <row r="2068" spans="1:14" x14ac:dyDescent="0.35">
      <c r="A2068" s="7" t="s">
        <v>3405</v>
      </c>
      <c r="B2068" s="7" t="s">
        <v>443</v>
      </c>
      <c r="C2068" s="7" t="s">
        <v>444</v>
      </c>
      <c r="D2068" s="7" t="s">
        <v>32</v>
      </c>
      <c r="E2068" s="7" t="s">
        <v>61</v>
      </c>
      <c r="F2068" s="7" t="s">
        <v>50</v>
      </c>
      <c r="G2068" s="7" t="s">
        <v>56</v>
      </c>
      <c r="H2068" s="7">
        <v>4</v>
      </c>
      <c r="I2068" s="2">
        <v>1000.6</v>
      </c>
      <c r="J2068" s="2">
        <f>Tabla2[[#This Row],[Quantity]]*I2068</f>
        <v>4002.4</v>
      </c>
      <c r="K2068" s="6">
        <f>MONTH(Tabla2[[#This Row],[OrderDate]])</f>
        <v>2</v>
      </c>
      <c r="L2068" s="6">
        <f>YEAR(Tabla2[[#This Row],[OrderDate]])</f>
        <v>2025</v>
      </c>
      <c r="M2068" s="7" t="s">
        <v>2831</v>
      </c>
      <c r="N2068" s="7" t="s">
        <v>19</v>
      </c>
    </row>
    <row r="2069" spans="1:14" x14ac:dyDescent="0.35">
      <c r="A2069" s="7" t="s">
        <v>3406</v>
      </c>
      <c r="B2069" s="7" t="s">
        <v>105</v>
      </c>
      <c r="C2069" s="7" t="s">
        <v>106</v>
      </c>
      <c r="D2069" s="7" t="s">
        <v>14</v>
      </c>
      <c r="E2069" s="7" t="s">
        <v>15</v>
      </c>
      <c r="F2069" s="7" t="s">
        <v>16</v>
      </c>
      <c r="G2069" s="7" t="s">
        <v>148</v>
      </c>
      <c r="H2069" s="7">
        <v>4</v>
      </c>
      <c r="I2069" s="2">
        <v>827.11</v>
      </c>
      <c r="J2069" s="2">
        <f>Tabla2[[#This Row],[Quantity]]*I2069</f>
        <v>3308.44</v>
      </c>
      <c r="K2069" s="6">
        <f>MONTH(Tabla2[[#This Row],[OrderDate]])</f>
        <v>2</v>
      </c>
      <c r="L2069" s="6">
        <f>YEAR(Tabla2[[#This Row],[OrderDate]])</f>
        <v>2024</v>
      </c>
      <c r="M2069" s="7" t="s">
        <v>1837</v>
      </c>
      <c r="N2069" s="7" t="s">
        <v>36</v>
      </c>
    </row>
    <row r="2070" spans="1:14" x14ac:dyDescent="0.35">
      <c r="A2070" s="7" t="s">
        <v>3407</v>
      </c>
      <c r="B2070" s="7" t="s">
        <v>380</v>
      </c>
      <c r="C2070" s="7" t="s">
        <v>381</v>
      </c>
      <c r="D2070" s="7" t="s">
        <v>67</v>
      </c>
      <c r="E2070" s="7" t="s">
        <v>68</v>
      </c>
      <c r="F2070" s="7" t="s">
        <v>42</v>
      </c>
      <c r="G2070" s="7" t="s">
        <v>170</v>
      </c>
      <c r="H2070" s="7">
        <v>3</v>
      </c>
      <c r="I2070" s="2">
        <v>1258.92</v>
      </c>
      <c r="J2070" s="2">
        <f>Tabla2[[#This Row],[Quantity]]*I2070</f>
        <v>3776.76</v>
      </c>
      <c r="K2070" s="6">
        <f>MONTH(Tabla2[[#This Row],[OrderDate]])</f>
        <v>9</v>
      </c>
      <c r="L2070" s="6">
        <f>YEAR(Tabla2[[#This Row],[OrderDate]])</f>
        <v>2024</v>
      </c>
      <c r="M2070" s="7" t="s">
        <v>2648</v>
      </c>
      <c r="N2070" s="7" t="s">
        <v>91</v>
      </c>
    </row>
    <row r="2071" spans="1:14" x14ac:dyDescent="0.35">
      <c r="A2071" s="7" t="s">
        <v>3408</v>
      </c>
      <c r="B2071" s="7" t="s">
        <v>860</v>
      </c>
      <c r="C2071" s="7" t="s">
        <v>861</v>
      </c>
      <c r="D2071" s="7" t="s">
        <v>40</v>
      </c>
      <c r="E2071" s="7" t="s">
        <v>79</v>
      </c>
      <c r="F2071" s="7" t="s">
        <v>101</v>
      </c>
      <c r="G2071" s="7" t="s">
        <v>373</v>
      </c>
      <c r="H2071" s="7">
        <v>5</v>
      </c>
      <c r="I2071" s="2">
        <v>248.83</v>
      </c>
      <c r="J2071" s="2">
        <f>Tabla2[[#This Row],[Quantity]]*I2071</f>
        <v>1244.1500000000001</v>
      </c>
      <c r="K2071" s="6">
        <f>MONTH(Tabla2[[#This Row],[OrderDate]])</f>
        <v>7</v>
      </c>
      <c r="L2071" s="6">
        <f>YEAR(Tabla2[[#This Row],[OrderDate]])</f>
        <v>2024</v>
      </c>
      <c r="M2071" s="7" t="s">
        <v>1596</v>
      </c>
      <c r="N2071" s="7" t="s">
        <v>28</v>
      </c>
    </row>
    <row r="2072" spans="1:14" x14ac:dyDescent="0.35">
      <c r="A2072" s="7" t="s">
        <v>3409</v>
      </c>
      <c r="B2072" s="7" t="s">
        <v>500</v>
      </c>
      <c r="C2072" s="7" t="s">
        <v>501</v>
      </c>
      <c r="D2072" s="7" t="s">
        <v>32</v>
      </c>
      <c r="E2072" s="7" t="s">
        <v>61</v>
      </c>
      <c r="F2072" s="7" t="s">
        <v>25</v>
      </c>
      <c r="G2072" s="7" t="s">
        <v>74</v>
      </c>
      <c r="H2072" s="7">
        <v>2</v>
      </c>
      <c r="I2072" s="2">
        <v>874.49</v>
      </c>
      <c r="J2072" s="2">
        <f>Tabla2[[#This Row],[Quantity]]*I2072</f>
        <v>1748.98</v>
      </c>
      <c r="K2072" s="6">
        <f>MONTH(Tabla2[[#This Row],[OrderDate]])</f>
        <v>9</v>
      </c>
      <c r="L2072" s="6">
        <f>YEAR(Tabla2[[#This Row],[OrderDate]])</f>
        <v>2025</v>
      </c>
      <c r="M2072" s="7" t="s">
        <v>1112</v>
      </c>
      <c r="N2072" s="7" t="s">
        <v>28</v>
      </c>
    </row>
    <row r="2073" spans="1:14" x14ac:dyDescent="0.35">
      <c r="A2073" s="7" t="s">
        <v>3410</v>
      </c>
      <c r="B2073" s="7" t="s">
        <v>235</v>
      </c>
      <c r="C2073" s="7" t="s">
        <v>236</v>
      </c>
      <c r="D2073" s="7" t="s">
        <v>32</v>
      </c>
      <c r="E2073" s="7" t="s">
        <v>33</v>
      </c>
      <c r="F2073" s="7" t="s">
        <v>42</v>
      </c>
      <c r="G2073" s="7" t="s">
        <v>89</v>
      </c>
      <c r="H2073" s="7">
        <v>3</v>
      </c>
      <c r="I2073" s="2">
        <v>180.79</v>
      </c>
      <c r="J2073" s="2">
        <f>Tabla2[[#This Row],[Quantity]]*I2073</f>
        <v>542.37</v>
      </c>
      <c r="K2073" s="6">
        <f>MONTH(Tabla2[[#This Row],[OrderDate]])</f>
        <v>3</v>
      </c>
      <c r="L2073" s="6">
        <f>YEAR(Tabla2[[#This Row],[OrderDate]])</f>
        <v>2024</v>
      </c>
      <c r="M2073" s="7" t="s">
        <v>807</v>
      </c>
      <c r="N2073" s="7" t="s">
        <v>45</v>
      </c>
    </row>
    <row r="2074" spans="1:14" x14ac:dyDescent="0.35">
      <c r="A2074" s="7" t="s">
        <v>3411</v>
      </c>
      <c r="B2074" s="7" t="s">
        <v>133</v>
      </c>
      <c r="C2074" s="7" t="s">
        <v>134</v>
      </c>
      <c r="D2074" s="7" t="s">
        <v>23</v>
      </c>
      <c r="E2074" s="7" t="s">
        <v>49</v>
      </c>
      <c r="F2074" s="7" t="s">
        <v>101</v>
      </c>
      <c r="G2074" s="7" t="s">
        <v>373</v>
      </c>
      <c r="H2074" s="7">
        <v>1</v>
      </c>
      <c r="I2074" s="2">
        <v>554.33000000000004</v>
      </c>
      <c r="J2074" s="2">
        <f>Tabla2[[#This Row],[Quantity]]*I2074</f>
        <v>554.33000000000004</v>
      </c>
      <c r="K2074" s="6">
        <f>MONTH(Tabla2[[#This Row],[OrderDate]])</f>
        <v>2</v>
      </c>
      <c r="L2074" s="6">
        <f>YEAR(Tabla2[[#This Row],[OrderDate]])</f>
        <v>2025</v>
      </c>
      <c r="M2074" s="7" t="s">
        <v>2057</v>
      </c>
      <c r="N2074" s="7" t="s">
        <v>45</v>
      </c>
    </row>
    <row r="2075" spans="1:14" x14ac:dyDescent="0.35">
      <c r="A2075" s="7" t="s">
        <v>3412</v>
      </c>
      <c r="B2075" s="7" t="s">
        <v>248</v>
      </c>
      <c r="C2075" s="7" t="s">
        <v>249</v>
      </c>
      <c r="D2075" s="7" t="s">
        <v>32</v>
      </c>
      <c r="E2075" s="7" t="s">
        <v>61</v>
      </c>
      <c r="F2075" s="7" t="s">
        <v>42</v>
      </c>
      <c r="G2075" s="7" t="s">
        <v>225</v>
      </c>
      <c r="H2075" s="7">
        <v>2</v>
      </c>
      <c r="I2075" s="2">
        <v>344.08</v>
      </c>
      <c r="J2075" s="2">
        <f>Tabla2[[#This Row],[Quantity]]*I2075</f>
        <v>688.16</v>
      </c>
      <c r="K2075" s="6">
        <f>MONTH(Tabla2[[#This Row],[OrderDate]])</f>
        <v>5</v>
      </c>
      <c r="L2075" s="6">
        <f>YEAR(Tabla2[[#This Row],[OrderDate]])</f>
        <v>2025</v>
      </c>
      <c r="M2075" s="7" t="s">
        <v>2340</v>
      </c>
      <c r="N2075" s="7" t="s">
        <v>19</v>
      </c>
    </row>
    <row r="2076" spans="1:14" x14ac:dyDescent="0.35">
      <c r="A2076" s="7" t="s">
        <v>3413</v>
      </c>
      <c r="B2076" s="7" t="s">
        <v>574</v>
      </c>
      <c r="C2076" s="7" t="s">
        <v>575</v>
      </c>
      <c r="D2076" s="7" t="s">
        <v>32</v>
      </c>
      <c r="E2076" s="7" t="s">
        <v>203</v>
      </c>
      <c r="F2076" s="7" t="s">
        <v>16</v>
      </c>
      <c r="G2076" s="7" t="s">
        <v>182</v>
      </c>
      <c r="H2076" s="7">
        <v>3</v>
      </c>
      <c r="I2076" s="2">
        <v>303.16000000000003</v>
      </c>
      <c r="J2076" s="2">
        <f>Tabla2[[#This Row],[Quantity]]*I2076</f>
        <v>909.48</v>
      </c>
      <c r="K2076" s="6">
        <f>MONTH(Tabla2[[#This Row],[OrderDate]])</f>
        <v>7</v>
      </c>
      <c r="L2076" s="6">
        <f>YEAR(Tabla2[[#This Row],[OrderDate]])</f>
        <v>2025</v>
      </c>
      <c r="M2076" s="7" t="s">
        <v>1054</v>
      </c>
      <c r="N2076" s="7" t="s">
        <v>45</v>
      </c>
    </row>
    <row r="2077" spans="1:14" x14ac:dyDescent="0.35">
      <c r="A2077" s="7" t="s">
        <v>3414</v>
      </c>
      <c r="B2077" s="7" t="s">
        <v>206</v>
      </c>
      <c r="C2077" s="7" t="s">
        <v>207</v>
      </c>
      <c r="D2077" s="7" t="s">
        <v>14</v>
      </c>
      <c r="E2077" s="7" t="s">
        <v>15</v>
      </c>
      <c r="F2077" s="7" t="s">
        <v>50</v>
      </c>
      <c r="G2077" s="7" t="s">
        <v>69</v>
      </c>
      <c r="H2077" s="7">
        <v>3</v>
      </c>
      <c r="I2077" s="2">
        <v>1355.76</v>
      </c>
      <c r="J2077" s="2">
        <f>Tabla2[[#This Row],[Quantity]]*I2077</f>
        <v>4067.2799999999997</v>
      </c>
      <c r="K2077" s="6">
        <f>MONTH(Tabla2[[#This Row],[OrderDate]])</f>
        <v>8</v>
      </c>
      <c r="L2077" s="6">
        <f>YEAR(Tabla2[[#This Row],[OrderDate]])</f>
        <v>2025</v>
      </c>
      <c r="M2077" s="7" t="s">
        <v>940</v>
      </c>
      <c r="N2077" s="7" t="s">
        <v>19</v>
      </c>
    </row>
    <row r="2078" spans="1:14" x14ac:dyDescent="0.35">
      <c r="A2078" s="7" t="s">
        <v>3415</v>
      </c>
      <c r="B2078" s="7" t="s">
        <v>827</v>
      </c>
      <c r="C2078" s="7" t="s">
        <v>828</v>
      </c>
      <c r="D2078" s="7" t="s">
        <v>14</v>
      </c>
      <c r="E2078" s="7" t="s">
        <v>95</v>
      </c>
      <c r="F2078" s="7" t="s">
        <v>25</v>
      </c>
      <c r="G2078" s="7" t="s">
        <v>26</v>
      </c>
      <c r="H2078" s="7">
        <v>5</v>
      </c>
      <c r="I2078" s="2">
        <v>1151.3699999999999</v>
      </c>
      <c r="J2078" s="2">
        <f>Tabla2[[#This Row],[Quantity]]*I2078</f>
        <v>5756.8499999999995</v>
      </c>
      <c r="K2078" s="6">
        <f>MONTH(Tabla2[[#This Row],[OrderDate]])</f>
        <v>12</v>
      </c>
      <c r="L2078" s="6">
        <f>YEAR(Tabla2[[#This Row],[OrderDate]])</f>
        <v>2025</v>
      </c>
      <c r="M2078" s="7" t="s">
        <v>3416</v>
      </c>
      <c r="N2078" s="7" t="s">
        <v>28</v>
      </c>
    </row>
    <row r="2079" spans="1:14" x14ac:dyDescent="0.35">
      <c r="A2079" s="7" t="s">
        <v>3417</v>
      </c>
      <c r="B2079" s="7" t="s">
        <v>901</v>
      </c>
      <c r="C2079" s="7" t="s">
        <v>902</v>
      </c>
      <c r="D2079" s="7" t="s">
        <v>40</v>
      </c>
      <c r="E2079" s="7" t="s">
        <v>79</v>
      </c>
      <c r="F2079" s="7" t="s">
        <v>25</v>
      </c>
      <c r="G2079" s="7" t="s">
        <v>74</v>
      </c>
      <c r="H2079" s="7">
        <v>3</v>
      </c>
      <c r="I2079" s="2">
        <v>843.13</v>
      </c>
      <c r="J2079" s="2">
        <f>Tabla2[[#This Row],[Quantity]]*I2079</f>
        <v>2529.39</v>
      </c>
      <c r="K2079" s="6">
        <f>MONTH(Tabla2[[#This Row],[OrderDate]])</f>
        <v>11</v>
      </c>
      <c r="L2079" s="6">
        <f>YEAR(Tabla2[[#This Row],[OrderDate]])</f>
        <v>2025</v>
      </c>
      <c r="M2079" s="7" t="s">
        <v>713</v>
      </c>
      <c r="N2079" s="7" t="s">
        <v>45</v>
      </c>
    </row>
    <row r="2080" spans="1:14" x14ac:dyDescent="0.35">
      <c r="A2080" s="7" t="s">
        <v>3418</v>
      </c>
      <c r="B2080" s="7" t="s">
        <v>481</v>
      </c>
      <c r="C2080" s="7" t="s">
        <v>482</v>
      </c>
      <c r="D2080" s="7" t="s">
        <v>67</v>
      </c>
      <c r="E2080" s="7" t="s">
        <v>130</v>
      </c>
      <c r="F2080" s="7" t="s">
        <v>50</v>
      </c>
      <c r="G2080" s="7" t="s">
        <v>51</v>
      </c>
      <c r="H2080" s="7">
        <v>4</v>
      </c>
      <c r="I2080" s="2">
        <v>643.29</v>
      </c>
      <c r="J2080" s="2">
        <f>Tabla2[[#This Row],[Quantity]]*I2080</f>
        <v>2573.16</v>
      </c>
      <c r="K2080" s="6">
        <f>MONTH(Tabla2[[#This Row],[OrderDate]])</f>
        <v>2</v>
      </c>
      <c r="L2080" s="6">
        <f>YEAR(Tabla2[[#This Row],[OrderDate]])</f>
        <v>2024</v>
      </c>
      <c r="M2080" s="7" t="s">
        <v>528</v>
      </c>
      <c r="N2080" s="7" t="s">
        <v>45</v>
      </c>
    </row>
    <row r="2081" spans="1:14" x14ac:dyDescent="0.35">
      <c r="A2081" s="7" t="s">
        <v>3419</v>
      </c>
      <c r="B2081" s="7" t="s">
        <v>759</v>
      </c>
      <c r="C2081" s="7" t="s">
        <v>760</v>
      </c>
      <c r="D2081" s="7" t="s">
        <v>23</v>
      </c>
      <c r="E2081" s="7" t="s">
        <v>49</v>
      </c>
      <c r="F2081" s="7" t="s">
        <v>42</v>
      </c>
      <c r="G2081" s="7" t="s">
        <v>170</v>
      </c>
      <c r="H2081" s="7">
        <v>1</v>
      </c>
      <c r="I2081" s="2">
        <v>714.81</v>
      </c>
      <c r="J2081" s="2">
        <f>Tabla2[[#This Row],[Quantity]]*I2081</f>
        <v>714.81</v>
      </c>
      <c r="K2081" s="6">
        <f>MONTH(Tabla2[[#This Row],[OrderDate]])</f>
        <v>10</v>
      </c>
      <c r="L2081" s="6">
        <f>YEAR(Tabla2[[#This Row],[OrderDate]])</f>
        <v>2024</v>
      </c>
      <c r="M2081" s="7" t="s">
        <v>1256</v>
      </c>
      <c r="N2081" s="7" t="s">
        <v>36</v>
      </c>
    </row>
    <row r="2082" spans="1:14" x14ac:dyDescent="0.35">
      <c r="A2082" s="7" t="s">
        <v>3420</v>
      </c>
      <c r="B2082" s="7" t="s">
        <v>690</v>
      </c>
      <c r="C2082" s="7" t="s">
        <v>691</v>
      </c>
      <c r="D2082" s="7" t="s">
        <v>67</v>
      </c>
      <c r="E2082" s="7" t="s">
        <v>115</v>
      </c>
      <c r="F2082" s="7" t="s">
        <v>25</v>
      </c>
      <c r="G2082" s="7" t="s">
        <v>62</v>
      </c>
      <c r="H2082" s="7">
        <v>3</v>
      </c>
      <c r="I2082" s="2">
        <v>81.84</v>
      </c>
      <c r="J2082" s="2">
        <f>Tabla2[[#This Row],[Quantity]]*I2082</f>
        <v>245.52</v>
      </c>
      <c r="K2082" s="6">
        <f>MONTH(Tabla2[[#This Row],[OrderDate]])</f>
        <v>4</v>
      </c>
      <c r="L2082" s="6">
        <f>YEAR(Tabla2[[#This Row],[OrderDate]])</f>
        <v>2024</v>
      </c>
      <c r="M2082" s="7" t="s">
        <v>2540</v>
      </c>
      <c r="N2082" s="7" t="s">
        <v>91</v>
      </c>
    </row>
    <row r="2083" spans="1:14" x14ac:dyDescent="0.35">
      <c r="A2083" s="7" t="s">
        <v>3421</v>
      </c>
      <c r="B2083" s="7" t="s">
        <v>496</v>
      </c>
      <c r="C2083" s="7" t="s">
        <v>497</v>
      </c>
      <c r="D2083" s="7" t="s">
        <v>14</v>
      </c>
      <c r="E2083" s="7" t="s">
        <v>15</v>
      </c>
      <c r="F2083" s="7" t="s">
        <v>42</v>
      </c>
      <c r="G2083" s="7" t="s">
        <v>43</v>
      </c>
      <c r="H2083" s="7">
        <v>5</v>
      </c>
      <c r="I2083" s="2">
        <v>1273.18</v>
      </c>
      <c r="J2083" s="2">
        <f>Tabla2[[#This Row],[Quantity]]*I2083</f>
        <v>6365.9000000000005</v>
      </c>
      <c r="K2083" s="6">
        <f>MONTH(Tabla2[[#This Row],[OrderDate]])</f>
        <v>2</v>
      </c>
      <c r="L2083" s="6">
        <f>YEAR(Tabla2[[#This Row],[OrderDate]])</f>
        <v>2025</v>
      </c>
      <c r="M2083" s="7" t="s">
        <v>2057</v>
      </c>
      <c r="N2083" s="7" t="s">
        <v>36</v>
      </c>
    </row>
    <row r="2084" spans="1:14" x14ac:dyDescent="0.35">
      <c r="A2084" s="7" t="s">
        <v>3422</v>
      </c>
      <c r="B2084" s="7" t="s">
        <v>307</v>
      </c>
      <c r="C2084" s="7" t="s">
        <v>308</v>
      </c>
      <c r="D2084" s="7" t="s">
        <v>32</v>
      </c>
      <c r="E2084" s="7" t="s">
        <v>33</v>
      </c>
      <c r="F2084" s="7" t="s">
        <v>25</v>
      </c>
      <c r="G2084" s="7" t="s">
        <v>62</v>
      </c>
      <c r="H2084" s="7">
        <v>4</v>
      </c>
      <c r="I2084" s="2">
        <v>1159.8</v>
      </c>
      <c r="J2084" s="2">
        <f>Tabla2[[#This Row],[Quantity]]*I2084</f>
        <v>4639.2</v>
      </c>
      <c r="K2084" s="6">
        <f>MONTH(Tabla2[[#This Row],[OrderDate]])</f>
        <v>12</v>
      </c>
      <c r="L2084" s="6">
        <f>YEAR(Tabla2[[#This Row],[OrderDate]])</f>
        <v>2024</v>
      </c>
      <c r="M2084" s="7" t="s">
        <v>1470</v>
      </c>
      <c r="N2084" s="7" t="s">
        <v>19</v>
      </c>
    </row>
    <row r="2085" spans="1:14" x14ac:dyDescent="0.35">
      <c r="A2085" s="7" t="s">
        <v>3423</v>
      </c>
      <c r="B2085" s="7" t="s">
        <v>633</v>
      </c>
      <c r="C2085" s="7" t="s">
        <v>634</v>
      </c>
      <c r="D2085" s="7" t="s">
        <v>32</v>
      </c>
      <c r="E2085" s="7" t="s">
        <v>203</v>
      </c>
      <c r="F2085" s="7" t="s">
        <v>16</v>
      </c>
      <c r="G2085" s="7" t="s">
        <v>17</v>
      </c>
      <c r="H2085" s="7">
        <v>2</v>
      </c>
      <c r="I2085" s="2">
        <v>1089.6300000000001</v>
      </c>
      <c r="J2085" s="2">
        <f>Tabla2[[#This Row],[Quantity]]*I2085</f>
        <v>2179.2600000000002</v>
      </c>
      <c r="K2085" s="6">
        <f>MONTH(Tabla2[[#This Row],[OrderDate]])</f>
        <v>9</v>
      </c>
      <c r="L2085" s="6">
        <f>YEAR(Tabla2[[#This Row],[OrderDate]])</f>
        <v>2024</v>
      </c>
      <c r="M2085" s="7" t="s">
        <v>2648</v>
      </c>
      <c r="N2085" s="7" t="s">
        <v>28</v>
      </c>
    </row>
    <row r="2086" spans="1:14" x14ac:dyDescent="0.35">
      <c r="A2086" s="7" t="s">
        <v>3424</v>
      </c>
      <c r="B2086" s="7" t="s">
        <v>868</v>
      </c>
      <c r="C2086" s="7" t="s">
        <v>869</v>
      </c>
      <c r="D2086" s="7" t="s">
        <v>14</v>
      </c>
      <c r="E2086" s="7" t="s">
        <v>100</v>
      </c>
      <c r="F2086" s="7" t="s">
        <v>101</v>
      </c>
      <c r="G2086" s="7" t="s">
        <v>373</v>
      </c>
      <c r="H2086" s="7">
        <v>4</v>
      </c>
      <c r="I2086" s="2">
        <v>18.829999999999998</v>
      </c>
      <c r="J2086" s="2">
        <f>Tabla2[[#This Row],[Quantity]]*I2086</f>
        <v>75.319999999999993</v>
      </c>
      <c r="K2086" s="6">
        <f>MONTH(Tabla2[[#This Row],[OrderDate]])</f>
        <v>2</v>
      </c>
      <c r="L2086" s="6">
        <f>YEAR(Tabla2[[#This Row],[OrderDate]])</f>
        <v>2025</v>
      </c>
      <c r="M2086" s="7" t="s">
        <v>3425</v>
      </c>
      <c r="N2086" s="7" t="s">
        <v>28</v>
      </c>
    </row>
    <row r="2087" spans="1:14" x14ac:dyDescent="0.35">
      <c r="A2087" s="7" t="s">
        <v>3426</v>
      </c>
      <c r="B2087" s="7" t="s">
        <v>521</v>
      </c>
      <c r="C2087" s="7" t="s">
        <v>522</v>
      </c>
      <c r="D2087" s="7" t="s">
        <v>14</v>
      </c>
      <c r="E2087" s="7" t="s">
        <v>266</v>
      </c>
      <c r="F2087" s="7" t="s">
        <v>50</v>
      </c>
      <c r="G2087" s="7" t="s">
        <v>69</v>
      </c>
      <c r="H2087" s="7">
        <v>5</v>
      </c>
      <c r="I2087" s="2">
        <v>318.83</v>
      </c>
      <c r="J2087" s="2">
        <f>Tabla2[[#This Row],[Quantity]]*I2087</f>
        <v>1594.1499999999999</v>
      </c>
      <c r="K2087" s="6">
        <f>MONTH(Tabla2[[#This Row],[OrderDate]])</f>
        <v>11</v>
      </c>
      <c r="L2087" s="6">
        <f>YEAR(Tabla2[[#This Row],[OrderDate]])</f>
        <v>2025</v>
      </c>
      <c r="M2087" s="7" t="s">
        <v>1026</v>
      </c>
      <c r="N2087" s="7" t="s">
        <v>91</v>
      </c>
    </row>
    <row r="2088" spans="1:14" x14ac:dyDescent="0.35">
      <c r="A2088" s="7" t="s">
        <v>3427</v>
      </c>
      <c r="B2088" s="7" t="s">
        <v>910</v>
      </c>
      <c r="C2088" s="7" t="s">
        <v>911</v>
      </c>
      <c r="D2088" s="7" t="s">
        <v>32</v>
      </c>
      <c r="E2088" s="7" t="s">
        <v>33</v>
      </c>
      <c r="F2088" s="7" t="s">
        <v>101</v>
      </c>
      <c r="G2088" s="7" t="s">
        <v>649</v>
      </c>
      <c r="H2088" s="7">
        <v>1</v>
      </c>
      <c r="I2088" s="2">
        <v>769.32</v>
      </c>
      <c r="J2088" s="2">
        <f>Tabla2[[#This Row],[Quantity]]*I2088</f>
        <v>769.32</v>
      </c>
      <c r="K2088" s="6">
        <f>MONTH(Tabla2[[#This Row],[OrderDate]])</f>
        <v>3</v>
      </c>
      <c r="L2088" s="6">
        <f>YEAR(Tabla2[[#This Row],[OrderDate]])</f>
        <v>2026</v>
      </c>
      <c r="M2088" s="7" t="s">
        <v>2673</v>
      </c>
      <c r="N2088" s="7" t="s">
        <v>28</v>
      </c>
    </row>
    <row r="2089" spans="1:14" x14ac:dyDescent="0.35">
      <c r="A2089" s="7" t="s">
        <v>3428</v>
      </c>
      <c r="B2089" s="7" t="s">
        <v>842</v>
      </c>
      <c r="C2089" s="7" t="s">
        <v>843</v>
      </c>
      <c r="D2089" s="7" t="s">
        <v>40</v>
      </c>
      <c r="E2089" s="7" t="s">
        <v>79</v>
      </c>
      <c r="F2089" s="7" t="s">
        <v>42</v>
      </c>
      <c r="G2089" s="7" t="s">
        <v>89</v>
      </c>
      <c r="H2089" s="7">
        <v>2</v>
      </c>
      <c r="I2089" s="2">
        <v>1318.98</v>
      </c>
      <c r="J2089" s="2">
        <f>Tabla2[[#This Row],[Quantity]]*I2089</f>
        <v>2637.96</v>
      </c>
      <c r="K2089" s="6">
        <f>MONTH(Tabla2[[#This Row],[OrderDate]])</f>
        <v>5</v>
      </c>
      <c r="L2089" s="6">
        <f>YEAR(Tabla2[[#This Row],[OrderDate]])</f>
        <v>2024</v>
      </c>
      <c r="M2089" s="7" t="s">
        <v>1542</v>
      </c>
      <c r="N2089" s="7" t="s">
        <v>45</v>
      </c>
    </row>
    <row r="2090" spans="1:14" x14ac:dyDescent="0.35">
      <c r="A2090" s="7" t="s">
        <v>3429</v>
      </c>
      <c r="B2090" s="7" t="s">
        <v>1496</v>
      </c>
      <c r="C2090" s="7" t="s">
        <v>1497</v>
      </c>
      <c r="D2090" s="7" t="s">
        <v>23</v>
      </c>
      <c r="E2090" s="7" t="s">
        <v>338</v>
      </c>
      <c r="F2090" s="7" t="s">
        <v>16</v>
      </c>
      <c r="G2090" s="7" t="s">
        <v>177</v>
      </c>
      <c r="H2090" s="7">
        <v>5</v>
      </c>
      <c r="I2090" s="2">
        <v>578.72</v>
      </c>
      <c r="J2090" s="2">
        <f>Tabla2[[#This Row],[Quantity]]*I2090</f>
        <v>2893.6000000000004</v>
      </c>
      <c r="K2090" s="6">
        <f>MONTH(Tabla2[[#This Row],[OrderDate]])</f>
        <v>9</v>
      </c>
      <c r="L2090" s="6">
        <f>YEAR(Tabla2[[#This Row],[OrderDate]])</f>
        <v>2024</v>
      </c>
      <c r="M2090" s="7" t="s">
        <v>2167</v>
      </c>
      <c r="N2090" s="7" t="s">
        <v>91</v>
      </c>
    </row>
    <row r="2091" spans="1:14" x14ac:dyDescent="0.35">
      <c r="A2091" s="7" t="s">
        <v>3430</v>
      </c>
      <c r="B2091" s="7" t="s">
        <v>856</v>
      </c>
      <c r="C2091" s="7" t="s">
        <v>857</v>
      </c>
      <c r="D2091" s="7" t="s">
        <v>40</v>
      </c>
      <c r="E2091" s="7" t="s">
        <v>79</v>
      </c>
      <c r="F2091" s="7" t="s">
        <v>16</v>
      </c>
      <c r="G2091" s="7" t="s">
        <v>182</v>
      </c>
      <c r="H2091" s="7">
        <v>3</v>
      </c>
      <c r="I2091" s="2">
        <v>907.96</v>
      </c>
      <c r="J2091" s="2">
        <f>Tabla2[[#This Row],[Quantity]]*I2091</f>
        <v>2723.88</v>
      </c>
      <c r="K2091" s="6">
        <f>MONTH(Tabla2[[#This Row],[OrderDate]])</f>
        <v>4</v>
      </c>
      <c r="L2091" s="6">
        <f>YEAR(Tabla2[[#This Row],[OrderDate]])</f>
        <v>2024</v>
      </c>
      <c r="M2091" s="7" t="s">
        <v>2232</v>
      </c>
      <c r="N2091" s="7" t="s">
        <v>36</v>
      </c>
    </row>
    <row r="2092" spans="1:14" x14ac:dyDescent="0.35">
      <c r="A2092" s="7" t="s">
        <v>3431</v>
      </c>
      <c r="B2092" s="7" t="s">
        <v>65</v>
      </c>
      <c r="C2092" s="7" t="s">
        <v>66</v>
      </c>
      <c r="D2092" s="7" t="s">
        <v>67</v>
      </c>
      <c r="E2092" s="7" t="s">
        <v>68</v>
      </c>
      <c r="F2092" s="7" t="s">
        <v>42</v>
      </c>
      <c r="G2092" s="7" t="s">
        <v>225</v>
      </c>
      <c r="H2092" s="7">
        <v>4</v>
      </c>
      <c r="I2092" s="2">
        <v>64.73</v>
      </c>
      <c r="J2092" s="2">
        <f>Tabla2[[#This Row],[Quantity]]*I2092</f>
        <v>258.92</v>
      </c>
      <c r="K2092" s="6">
        <f>MONTH(Tabla2[[#This Row],[OrderDate]])</f>
        <v>3</v>
      </c>
      <c r="L2092" s="6">
        <f>YEAR(Tabla2[[#This Row],[OrderDate]])</f>
        <v>2024</v>
      </c>
      <c r="M2092" s="7" t="s">
        <v>2065</v>
      </c>
      <c r="N2092" s="7" t="s">
        <v>45</v>
      </c>
    </row>
    <row r="2093" spans="1:14" x14ac:dyDescent="0.35">
      <c r="A2093" s="7" t="s">
        <v>3432</v>
      </c>
      <c r="B2093" s="7" t="s">
        <v>412</v>
      </c>
      <c r="C2093" s="7" t="s">
        <v>413</v>
      </c>
      <c r="D2093" s="7" t="s">
        <v>32</v>
      </c>
      <c r="E2093" s="7" t="s">
        <v>33</v>
      </c>
      <c r="F2093" s="7" t="s">
        <v>50</v>
      </c>
      <c r="G2093" s="7" t="s">
        <v>170</v>
      </c>
      <c r="H2093" s="7">
        <v>3</v>
      </c>
      <c r="I2093" s="2">
        <v>245.26</v>
      </c>
      <c r="J2093" s="2">
        <f>Tabla2[[#This Row],[Quantity]]*I2093</f>
        <v>735.78</v>
      </c>
      <c r="K2093" s="6">
        <f>MONTH(Tabla2[[#This Row],[OrderDate]])</f>
        <v>11</v>
      </c>
      <c r="L2093" s="6">
        <f>YEAR(Tabla2[[#This Row],[OrderDate]])</f>
        <v>2024</v>
      </c>
      <c r="M2093" s="7" t="s">
        <v>2930</v>
      </c>
      <c r="N2093" s="7" t="s">
        <v>36</v>
      </c>
    </row>
    <row r="2094" spans="1:14" x14ac:dyDescent="0.35">
      <c r="A2094" s="7" t="s">
        <v>3433</v>
      </c>
      <c r="B2094" s="7" t="s">
        <v>1419</v>
      </c>
      <c r="C2094" s="7" t="s">
        <v>1420</v>
      </c>
      <c r="D2094" s="7" t="s">
        <v>23</v>
      </c>
      <c r="E2094" s="7" t="s">
        <v>24</v>
      </c>
      <c r="F2094" s="7" t="s">
        <v>101</v>
      </c>
      <c r="G2094" s="7" t="s">
        <v>237</v>
      </c>
      <c r="H2094" s="7">
        <v>2</v>
      </c>
      <c r="I2094" s="2">
        <v>1292.05</v>
      </c>
      <c r="J2094" s="2">
        <f>Tabla2[[#This Row],[Quantity]]*I2094</f>
        <v>2584.1</v>
      </c>
      <c r="K2094" s="6">
        <f>MONTH(Tabla2[[#This Row],[OrderDate]])</f>
        <v>11</v>
      </c>
      <c r="L2094" s="6">
        <f>YEAR(Tabla2[[#This Row],[OrderDate]])</f>
        <v>2024</v>
      </c>
      <c r="M2094" s="7" t="s">
        <v>3434</v>
      </c>
      <c r="N2094" s="7" t="s">
        <v>36</v>
      </c>
    </row>
    <row r="2095" spans="1:14" x14ac:dyDescent="0.35">
      <c r="A2095" s="7" t="s">
        <v>3435</v>
      </c>
      <c r="B2095" s="7" t="s">
        <v>767</v>
      </c>
      <c r="C2095" s="7" t="s">
        <v>768</v>
      </c>
      <c r="D2095" s="7" t="s">
        <v>67</v>
      </c>
      <c r="E2095" s="7" t="s">
        <v>115</v>
      </c>
      <c r="F2095" s="7" t="s">
        <v>101</v>
      </c>
      <c r="G2095" s="7" t="s">
        <v>373</v>
      </c>
      <c r="H2095" s="7">
        <v>1</v>
      </c>
      <c r="I2095" s="2">
        <v>949.52</v>
      </c>
      <c r="J2095" s="2">
        <f>Tabla2[[#This Row],[Quantity]]*I2095</f>
        <v>949.52</v>
      </c>
      <c r="K2095" s="6">
        <f>MONTH(Tabla2[[#This Row],[OrderDate]])</f>
        <v>4</v>
      </c>
      <c r="L2095" s="6">
        <f>YEAR(Tabla2[[#This Row],[OrderDate]])</f>
        <v>2025</v>
      </c>
      <c r="M2095" s="7" t="s">
        <v>1635</v>
      </c>
      <c r="N2095" s="7" t="s">
        <v>28</v>
      </c>
    </row>
    <row r="2096" spans="1:14" x14ac:dyDescent="0.35">
      <c r="A2096" s="7" t="s">
        <v>3436</v>
      </c>
      <c r="B2096" s="7" t="s">
        <v>418</v>
      </c>
      <c r="C2096" s="7" t="s">
        <v>419</v>
      </c>
      <c r="D2096" s="7" t="s">
        <v>14</v>
      </c>
      <c r="E2096" s="7" t="s">
        <v>95</v>
      </c>
      <c r="F2096" s="7" t="s">
        <v>42</v>
      </c>
      <c r="G2096" s="7" t="s">
        <v>170</v>
      </c>
      <c r="H2096" s="7">
        <v>2</v>
      </c>
      <c r="I2096" s="2">
        <v>544.29</v>
      </c>
      <c r="J2096" s="2">
        <f>Tabla2[[#This Row],[Quantity]]*I2096</f>
        <v>1088.58</v>
      </c>
      <c r="K2096" s="6">
        <f>MONTH(Tabla2[[#This Row],[OrderDate]])</f>
        <v>6</v>
      </c>
      <c r="L2096" s="6">
        <f>YEAR(Tabla2[[#This Row],[OrderDate]])</f>
        <v>2025</v>
      </c>
      <c r="M2096" s="7" t="s">
        <v>1378</v>
      </c>
      <c r="N2096" s="7" t="s">
        <v>91</v>
      </c>
    </row>
    <row r="2097" spans="1:14" x14ac:dyDescent="0.35">
      <c r="A2097" s="7" t="s">
        <v>3437</v>
      </c>
      <c r="B2097" s="7" t="s">
        <v>605</v>
      </c>
      <c r="C2097" s="7" t="s">
        <v>606</v>
      </c>
      <c r="D2097" s="7" t="s">
        <v>14</v>
      </c>
      <c r="E2097" s="7" t="s">
        <v>15</v>
      </c>
      <c r="F2097" s="7" t="s">
        <v>42</v>
      </c>
      <c r="G2097" s="7" t="s">
        <v>89</v>
      </c>
      <c r="H2097" s="7">
        <v>3</v>
      </c>
      <c r="I2097" s="2">
        <v>1068.6600000000001</v>
      </c>
      <c r="J2097" s="2">
        <f>Tabla2[[#This Row],[Quantity]]*I2097</f>
        <v>3205.9800000000005</v>
      </c>
      <c r="K2097" s="6">
        <f>MONTH(Tabla2[[#This Row],[OrderDate]])</f>
        <v>8</v>
      </c>
      <c r="L2097" s="6">
        <f>YEAR(Tabla2[[#This Row],[OrderDate]])</f>
        <v>2024</v>
      </c>
      <c r="M2097" s="7" t="s">
        <v>1069</v>
      </c>
      <c r="N2097" s="7" t="s">
        <v>45</v>
      </c>
    </row>
    <row r="2098" spans="1:14" x14ac:dyDescent="0.35">
      <c r="A2098" s="7" t="s">
        <v>3438</v>
      </c>
      <c r="B2098" s="7" t="s">
        <v>611</v>
      </c>
      <c r="C2098" s="7" t="s">
        <v>612</v>
      </c>
      <c r="D2098" s="7" t="s">
        <v>32</v>
      </c>
      <c r="E2098" s="7" t="s">
        <v>203</v>
      </c>
      <c r="F2098" s="7" t="s">
        <v>42</v>
      </c>
      <c r="G2098" s="7" t="s">
        <v>225</v>
      </c>
      <c r="H2098" s="7">
        <v>3</v>
      </c>
      <c r="I2098" s="2">
        <v>980.47</v>
      </c>
      <c r="J2098" s="2">
        <f>Tabla2[[#This Row],[Quantity]]*I2098</f>
        <v>2941.41</v>
      </c>
      <c r="K2098" s="6">
        <f>MONTH(Tabla2[[#This Row],[OrderDate]])</f>
        <v>5</v>
      </c>
      <c r="L2098" s="6">
        <f>YEAR(Tabla2[[#This Row],[OrderDate]])</f>
        <v>2024</v>
      </c>
      <c r="M2098" s="7" t="s">
        <v>1803</v>
      </c>
      <c r="N2098" s="7" t="s">
        <v>19</v>
      </c>
    </row>
    <row r="2099" spans="1:14" x14ac:dyDescent="0.35">
      <c r="A2099" s="7" t="s">
        <v>3439</v>
      </c>
      <c r="B2099" s="7" t="s">
        <v>1523</v>
      </c>
      <c r="C2099" s="7" t="s">
        <v>1524</v>
      </c>
      <c r="D2099" s="7" t="s">
        <v>67</v>
      </c>
      <c r="E2099" s="7" t="s">
        <v>68</v>
      </c>
      <c r="F2099" s="7" t="s">
        <v>101</v>
      </c>
      <c r="G2099" s="7" t="s">
        <v>102</v>
      </c>
      <c r="H2099" s="7">
        <v>4</v>
      </c>
      <c r="I2099" s="2">
        <v>1311.87</v>
      </c>
      <c r="J2099" s="2">
        <f>Tabla2[[#This Row],[Quantity]]*I2099</f>
        <v>5247.48</v>
      </c>
      <c r="K2099" s="6">
        <f>MONTH(Tabla2[[#This Row],[OrderDate]])</f>
        <v>1</v>
      </c>
      <c r="L2099" s="6">
        <f>YEAR(Tabla2[[#This Row],[OrderDate]])</f>
        <v>2024</v>
      </c>
      <c r="M2099" s="7" t="s">
        <v>386</v>
      </c>
      <c r="N2099" s="7" t="s">
        <v>36</v>
      </c>
    </row>
    <row r="2100" spans="1:14" x14ac:dyDescent="0.35">
      <c r="A2100" s="7" t="s">
        <v>3440</v>
      </c>
      <c r="B2100" s="7" t="s">
        <v>142</v>
      </c>
      <c r="C2100" s="7" t="s">
        <v>143</v>
      </c>
      <c r="D2100" s="7" t="s">
        <v>32</v>
      </c>
      <c r="E2100" s="7" t="s">
        <v>33</v>
      </c>
      <c r="F2100" s="7" t="s">
        <v>16</v>
      </c>
      <c r="G2100" s="7" t="s">
        <v>230</v>
      </c>
      <c r="H2100" s="7">
        <v>1</v>
      </c>
      <c r="I2100" s="2">
        <v>1272.28</v>
      </c>
      <c r="J2100" s="2">
        <f>Tabla2[[#This Row],[Quantity]]*I2100</f>
        <v>1272.28</v>
      </c>
      <c r="K2100" s="6">
        <f>MONTH(Tabla2[[#This Row],[OrderDate]])</f>
        <v>11</v>
      </c>
      <c r="L2100" s="6">
        <f>YEAR(Tabla2[[#This Row],[OrderDate]])</f>
        <v>2025</v>
      </c>
      <c r="M2100" s="7" t="s">
        <v>3310</v>
      </c>
      <c r="N2100" s="7" t="s">
        <v>36</v>
      </c>
    </row>
    <row r="2101" spans="1:14" x14ac:dyDescent="0.35">
      <c r="A2101" s="7" t="s">
        <v>3441</v>
      </c>
      <c r="B2101" s="7" t="s">
        <v>454</v>
      </c>
      <c r="C2101" s="7" t="s">
        <v>455</v>
      </c>
      <c r="D2101" s="7" t="s">
        <v>23</v>
      </c>
      <c r="E2101" s="7" t="s">
        <v>338</v>
      </c>
      <c r="F2101" s="7" t="s">
        <v>42</v>
      </c>
      <c r="G2101" s="7" t="s">
        <v>170</v>
      </c>
      <c r="H2101" s="7">
        <v>5</v>
      </c>
      <c r="I2101" s="2">
        <v>617.53</v>
      </c>
      <c r="J2101" s="2">
        <f>Tabla2[[#This Row],[Quantity]]*I2101</f>
        <v>3087.6499999999996</v>
      </c>
      <c r="K2101" s="6">
        <f>MONTH(Tabla2[[#This Row],[OrderDate]])</f>
        <v>10</v>
      </c>
      <c r="L2101" s="6">
        <f>YEAR(Tabla2[[#This Row],[OrderDate]])</f>
        <v>2024</v>
      </c>
      <c r="M2101" s="7" t="s">
        <v>744</v>
      </c>
      <c r="N2101" s="7" t="s">
        <v>45</v>
      </c>
    </row>
    <row r="2102" spans="1:14" x14ac:dyDescent="0.35">
      <c r="A2102" s="7" t="s">
        <v>3442</v>
      </c>
      <c r="B2102" s="7" t="s">
        <v>785</v>
      </c>
      <c r="C2102" s="7" t="s">
        <v>786</v>
      </c>
      <c r="D2102" s="7" t="s">
        <v>14</v>
      </c>
      <c r="E2102" s="7" t="s">
        <v>100</v>
      </c>
      <c r="F2102" s="7" t="s">
        <v>42</v>
      </c>
      <c r="G2102" s="7" t="s">
        <v>80</v>
      </c>
      <c r="H2102" s="7">
        <v>3</v>
      </c>
      <c r="I2102" s="2">
        <v>431.5</v>
      </c>
      <c r="J2102" s="2">
        <f>Tabla2[[#This Row],[Quantity]]*I2102</f>
        <v>1294.5</v>
      </c>
      <c r="K2102" s="6">
        <f>MONTH(Tabla2[[#This Row],[OrderDate]])</f>
        <v>12</v>
      </c>
      <c r="L2102" s="6">
        <f>YEAR(Tabla2[[#This Row],[OrderDate]])</f>
        <v>2025</v>
      </c>
      <c r="M2102" s="7" t="s">
        <v>3416</v>
      </c>
      <c r="N2102" s="7" t="s">
        <v>36</v>
      </c>
    </row>
    <row r="2103" spans="1:14" x14ac:dyDescent="0.35">
      <c r="A2103" s="7" t="s">
        <v>3443</v>
      </c>
      <c r="B2103" s="7" t="s">
        <v>838</v>
      </c>
      <c r="C2103" s="7" t="s">
        <v>839</v>
      </c>
      <c r="D2103" s="7" t="s">
        <v>23</v>
      </c>
      <c r="E2103" s="7" t="s">
        <v>24</v>
      </c>
      <c r="F2103" s="7" t="s">
        <v>42</v>
      </c>
      <c r="G2103" s="7" t="s">
        <v>43</v>
      </c>
      <c r="H2103" s="7">
        <v>1</v>
      </c>
      <c r="I2103" s="2">
        <v>854.07</v>
      </c>
      <c r="J2103" s="2">
        <f>Tabla2[[#This Row],[Quantity]]*I2103</f>
        <v>854.07</v>
      </c>
      <c r="K2103" s="6">
        <f>MONTH(Tabla2[[#This Row],[OrderDate]])</f>
        <v>8</v>
      </c>
      <c r="L2103" s="6">
        <f>YEAR(Tabla2[[#This Row],[OrderDate]])</f>
        <v>2024</v>
      </c>
      <c r="M2103" s="7" t="s">
        <v>1069</v>
      </c>
      <c r="N2103" s="7" t="s">
        <v>36</v>
      </c>
    </row>
    <row r="2104" spans="1:14" x14ac:dyDescent="0.35">
      <c r="A2104" s="7" t="s">
        <v>3444</v>
      </c>
      <c r="B2104" s="7" t="s">
        <v>827</v>
      </c>
      <c r="C2104" s="7" t="s">
        <v>828</v>
      </c>
      <c r="D2104" s="7" t="s">
        <v>23</v>
      </c>
      <c r="E2104" s="7" t="s">
        <v>49</v>
      </c>
      <c r="F2104" s="7" t="s">
        <v>16</v>
      </c>
      <c r="G2104" s="7" t="s">
        <v>17</v>
      </c>
      <c r="H2104" s="7">
        <v>1</v>
      </c>
      <c r="I2104" s="2">
        <v>1019.29</v>
      </c>
      <c r="J2104" s="2">
        <f>Tabla2[[#This Row],[Quantity]]*I2104</f>
        <v>1019.29</v>
      </c>
      <c r="K2104" s="6">
        <f>MONTH(Tabla2[[#This Row],[OrderDate]])</f>
        <v>4</v>
      </c>
      <c r="L2104" s="6">
        <f>YEAR(Tabla2[[#This Row],[OrderDate]])</f>
        <v>2024</v>
      </c>
      <c r="M2104" s="7" t="s">
        <v>3289</v>
      </c>
      <c r="N2104" s="7" t="s">
        <v>28</v>
      </c>
    </row>
    <row r="2105" spans="1:14" x14ac:dyDescent="0.35">
      <c r="A2105" s="7" t="s">
        <v>3445</v>
      </c>
      <c r="B2105" s="7" t="s">
        <v>228</v>
      </c>
      <c r="C2105" s="7" t="s">
        <v>229</v>
      </c>
      <c r="D2105" s="7" t="s">
        <v>23</v>
      </c>
      <c r="E2105" s="7" t="s">
        <v>49</v>
      </c>
      <c r="F2105" s="7" t="s">
        <v>25</v>
      </c>
      <c r="G2105" s="7" t="s">
        <v>139</v>
      </c>
      <c r="H2105" s="7">
        <v>1</v>
      </c>
      <c r="I2105" s="2">
        <v>1265.8800000000001</v>
      </c>
      <c r="J2105" s="2">
        <f>Tabla2[[#This Row],[Quantity]]*I2105</f>
        <v>1265.8800000000001</v>
      </c>
      <c r="K2105" s="6">
        <f>MONTH(Tabla2[[#This Row],[OrderDate]])</f>
        <v>11</v>
      </c>
      <c r="L2105" s="6">
        <f>YEAR(Tabla2[[#This Row],[OrderDate]])</f>
        <v>2024</v>
      </c>
      <c r="M2105" s="7" t="s">
        <v>1512</v>
      </c>
      <c r="N2105" s="7" t="s">
        <v>19</v>
      </c>
    </row>
    <row r="2106" spans="1:14" x14ac:dyDescent="0.35">
      <c r="A2106" s="7" t="s">
        <v>3446</v>
      </c>
      <c r="B2106" s="7" t="s">
        <v>1707</v>
      </c>
      <c r="C2106" s="7" t="s">
        <v>1708</v>
      </c>
      <c r="D2106" s="7" t="s">
        <v>67</v>
      </c>
      <c r="E2106" s="7" t="s">
        <v>130</v>
      </c>
      <c r="F2106" s="7" t="s">
        <v>50</v>
      </c>
      <c r="G2106" s="7" t="s">
        <v>69</v>
      </c>
      <c r="H2106" s="7">
        <v>5</v>
      </c>
      <c r="I2106" s="2">
        <v>1040.71</v>
      </c>
      <c r="J2106" s="2">
        <f>Tabla2[[#This Row],[Quantity]]*I2106</f>
        <v>5203.55</v>
      </c>
      <c r="K2106" s="6">
        <f>MONTH(Tabla2[[#This Row],[OrderDate]])</f>
        <v>12</v>
      </c>
      <c r="L2106" s="6">
        <f>YEAR(Tabla2[[#This Row],[OrderDate]])</f>
        <v>2024</v>
      </c>
      <c r="M2106" s="7" t="s">
        <v>1919</v>
      </c>
      <c r="N2106" s="7" t="s">
        <v>19</v>
      </c>
    </row>
    <row r="2107" spans="1:14" x14ac:dyDescent="0.35">
      <c r="A2107" s="7" t="s">
        <v>3447</v>
      </c>
      <c r="B2107" s="7" t="s">
        <v>1707</v>
      </c>
      <c r="C2107" s="7" t="s">
        <v>1708</v>
      </c>
      <c r="D2107" s="7" t="s">
        <v>32</v>
      </c>
      <c r="E2107" s="7" t="s">
        <v>61</v>
      </c>
      <c r="F2107" s="7" t="s">
        <v>16</v>
      </c>
      <c r="G2107" s="7" t="s">
        <v>17</v>
      </c>
      <c r="H2107" s="7">
        <v>1</v>
      </c>
      <c r="I2107" s="2">
        <v>1060.58</v>
      </c>
      <c r="J2107" s="2">
        <f>Tabla2[[#This Row],[Quantity]]*I2107</f>
        <v>1060.58</v>
      </c>
      <c r="K2107" s="6">
        <f>MONTH(Tabla2[[#This Row],[OrderDate]])</f>
        <v>2</v>
      </c>
      <c r="L2107" s="6">
        <f>YEAR(Tabla2[[#This Row],[OrderDate]])</f>
        <v>2025</v>
      </c>
      <c r="M2107" s="7" t="s">
        <v>309</v>
      </c>
      <c r="N2107" s="7" t="s">
        <v>45</v>
      </c>
    </row>
    <row r="2108" spans="1:14" x14ac:dyDescent="0.35">
      <c r="A2108" s="7" t="s">
        <v>3448</v>
      </c>
      <c r="B2108" s="7" t="s">
        <v>763</v>
      </c>
      <c r="C2108" s="7" t="s">
        <v>764</v>
      </c>
      <c r="D2108" s="7" t="s">
        <v>67</v>
      </c>
      <c r="E2108" s="7" t="s">
        <v>115</v>
      </c>
      <c r="F2108" s="7" t="s">
        <v>50</v>
      </c>
      <c r="G2108" s="7" t="s">
        <v>216</v>
      </c>
      <c r="H2108" s="7">
        <v>4</v>
      </c>
      <c r="I2108" s="2">
        <v>248.63</v>
      </c>
      <c r="J2108" s="2">
        <f>Tabla2[[#This Row],[Quantity]]*I2108</f>
        <v>994.52</v>
      </c>
      <c r="K2108" s="6">
        <f>MONTH(Tabla2[[#This Row],[OrderDate]])</f>
        <v>3</v>
      </c>
      <c r="L2108" s="6">
        <f>YEAR(Tabla2[[#This Row],[OrderDate]])</f>
        <v>2024</v>
      </c>
      <c r="M2108" s="7" t="s">
        <v>807</v>
      </c>
      <c r="N2108" s="7" t="s">
        <v>91</v>
      </c>
    </row>
    <row r="2109" spans="1:14" x14ac:dyDescent="0.35">
      <c r="A2109" s="7" t="s">
        <v>3449</v>
      </c>
      <c r="B2109" s="7" t="s">
        <v>137</v>
      </c>
      <c r="C2109" s="7" t="s">
        <v>138</v>
      </c>
      <c r="D2109" s="7" t="s">
        <v>14</v>
      </c>
      <c r="E2109" s="7" t="s">
        <v>266</v>
      </c>
      <c r="F2109" s="7" t="s">
        <v>16</v>
      </c>
      <c r="G2109" s="7" t="s">
        <v>182</v>
      </c>
      <c r="H2109" s="7">
        <v>5</v>
      </c>
      <c r="I2109" s="2">
        <v>1334.25</v>
      </c>
      <c r="J2109" s="2">
        <f>Tabla2[[#This Row],[Quantity]]*I2109</f>
        <v>6671.25</v>
      </c>
      <c r="K2109" s="6">
        <f>MONTH(Tabla2[[#This Row],[OrderDate]])</f>
        <v>1</v>
      </c>
      <c r="L2109" s="6">
        <f>YEAR(Tabla2[[#This Row],[OrderDate]])</f>
        <v>2024</v>
      </c>
      <c r="M2109" s="7" t="s">
        <v>1995</v>
      </c>
      <c r="N2109" s="7" t="s">
        <v>19</v>
      </c>
    </row>
    <row r="2110" spans="1:14" x14ac:dyDescent="0.35">
      <c r="A2110" s="7" t="s">
        <v>3450</v>
      </c>
      <c r="B2110" s="7" t="s">
        <v>470</v>
      </c>
      <c r="C2110" s="7" t="s">
        <v>471</v>
      </c>
      <c r="D2110" s="7" t="s">
        <v>23</v>
      </c>
      <c r="E2110" s="7" t="s">
        <v>24</v>
      </c>
      <c r="F2110" s="7" t="s">
        <v>50</v>
      </c>
      <c r="G2110" s="7" t="s">
        <v>170</v>
      </c>
      <c r="H2110" s="7">
        <v>2</v>
      </c>
      <c r="I2110" s="2">
        <v>797.24</v>
      </c>
      <c r="J2110" s="2">
        <f>Tabla2[[#This Row],[Quantity]]*I2110</f>
        <v>1594.48</v>
      </c>
      <c r="K2110" s="6">
        <f>MONTH(Tabla2[[#This Row],[OrderDate]])</f>
        <v>4</v>
      </c>
      <c r="L2110" s="6">
        <f>YEAR(Tabla2[[#This Row],[OrderDate]])</f>
        <v>2025</v>
      </c>
      <c r="M2110" s="7" t="s">
        <v>3451</v>
      </c>
      <c r="N2110" s="7" t="s">
        <v>45</v>
      </c>
    </row>
    <row r="2111" spans="1:14" x14ac:dyDescent="0.35">
      <c r="A2111" s="7" t="s">
        <v>3452</v>
      </c>
      <c r="B2111" s="7" t="s">
        <v>77</v>
      </c>
      <c r="C2111" s="7" t="s">
        <v>78</v>
      </c>
      <c r="D2111" s="7" t="s">
        <v>40</v>
      </c>
      <c r="E2111" s="7" t="s">
        <v>79</v>
      </c>
      <c r="F2111" s="7" t="s">
        <v>50</v>
      </c>
      <c r="G2111" s="7" t="s">
        <v>170</v>
      </c>
      <c r="H2111" s="7">
        <v>5</v>
      </c>
      <c r="I2111" s="2">
        <v>389.52</v>
      </c>
      <c r="J2111" s="2">
        <f>Tabla2[[#This Row],[Quantity]]*I2111</f>
        <v>1947.6</v>
      </c>
      <c r="K2111" s="6">
        <f>MONTH(Tabla2[[#This Row],[OrderDate]])</f>
        <v>9</v>
      </c>
      <c r="L2111" s="6">
        <f>YEAR(Tabla2[[#This Row],[OrderDate]])</f>
        <v>2024</v>
      </c>
      <c r="M2111" s="7" t="s">
        <v>289</v>
      </c>
      <c r="N2111" s="7" t="s">
        <v>91</v>
      </c>
    </row>
    <row r="2112" spans="1:14" x14ac:dyDescent="0.35">
      <c r="A2112" s="7" t="s">
        <v>3453</v>
      </c>
      <c r="B2112" s="7" t="s">
        <v>652</v>
      </c>
      <c r="C2112" s="7" t="s">
        <v>653</v>
      </c>
      <c r="D2112" s="7" t="s">
        <v>23</v>
      </c>
      <c r="E2112" s="7" t="s">
        <v>338</v>
      </c>
      <c r="F2112" s="7" t="s">
        <v>42</v>
      </c>
      <c r="G2112" s="7" t="s">
        <v>170</v>
      </c>
      <c r="H2112" s="7">
        <v>2</v>
      </c>
      <c r="I2112" s="2">
        <v>894.45</v>
      </c>
      <c r="J2112" s="2">
        <f>Tabla2[[#This Row],[Quantity]]*I2112</f>
        <v>1788.9</v>
      </c>
      <c r="K2112" s="6">
        <f>MONTH(Tabla2[[#This Row],[OrderDate]])</f>
        <v>1</v>
      </c>
      <c r="L2112" s="6">
        <f>YEAR(Tabla2[[#This Row],[OrderDate]])</f>
        <v>2026</v>
      </c>
      <c r="M2112" s="7" t="s">
        <v>1446</v>
      </c>
      <c r="N2112" s="7" t="s">
        <v>36</v>
      </c>
    </row>
    <row r="2113" spans="1:14" x14ac:dyDescent="0.35">
      <c r="A2113" s="7" t="s">
        <v>3454</v>
      </c>
      <c r="B2113" s="7" t="s">
        <v>47</v>
      </c>
      <c r="C2113" s="7" t="s">
        <v>48</v>
      </c>
      <c r="D2113" s="7" t="s">
        <v>67</v>
      </c>
      <c r="E2113" s="7" t="s">
        <v>68</v>
      </c>
      <c r="F2113" s="7" t="s">
        <v>101</v>
      </c>
      <c r="G2113" s="7" t="s">
        <v>373</v>
      </c>
      <c r="H2113" s="7">
        <v>2</v>
      </c>
      <c r="I2113" s="2">
        <v>1416.14</v>
      </c>
      <c r="J2113" s="2">
        <f>Tabla2[[#This Row],[Quantity]]*I2113</f>
        <v>2832.28</v>
      </c>
      <c r="K2113" s="6">
        <f>MONTH(Tabla2[[#This Row],[OrderDate]])</f>
        <v>3</v>
      </c>
      <c r="L2113" s="6">
        <f>YEAR(Tabla2[[#This Row],[OrderDate]])</f>
        <v>2024</v>
      </c>
      <c r="M2113" s="7" t="s">
        <v>2532</v>
      </c>
      <c r="N2113" s="7" t="s">
        <v>36</v>
      </c>
    </row>
    <row r="2114" spans="1:14" x14ac:dyDescent="0.35">
      <c r="A2114" s="7" t="s">
        <v>3455</v>
      </c>
      <c r="B2114" s="7" t="s">
        <v>598</v>
      </c>
      <c r="C2114" s="7" t="s">
        <v>599</v>
      </c>
      <c r="D2114" s="7" t="s">
        <v>67</v>
      </c>
      <c r="E2114" s="7" t="s">
        <v>115</v>
      </c>
      <c r="F2114" s="7" t="s">
        <v>50</v>
      </c>
      <c r="G2114" s="7" t="s">
        <v>51</v>
      </c>
      <c r="H2114" s="7">
        <v>4</v>
      </c>
      <c r="I2114" s="2">
        <v>1184.8599999999999</v>
      </c>
      <c r="J2114" s="2">
        <f>Tabla2[[#This Row],[Quantity]]*I2114</f>
        <v>4739.4399999999996</v>
      </c>
      <c r="K2114" s="6">
        <f>MONTH(Tabla2[[#This Row],[OrderDate]])</f>
        <v>5</v>
      </c>
      <c r="L2114" s="6">
        <f>YEAR(Tabla2[[#This Row],[OrderDate]])</f>
        <v>2025</v>
      </c>
      <c r="M2114" s="7" t="s">
        <v>705</v>
      </c>
      <c r="N2114" s="7" t="s">
        <v>45</v>
      </c>
    </row>
    <row r="2115" spans="1:14" x14ac:dyDescent="0.35">
      <c r="A2115" s="7" t="s">
        <v>3456</v>
      </c>
      <c r="B2115" s="7" t="s">
        <v>1793</v>
      </c>
      <c r="C2115" s="7" t="s">
        <v>1794</v>
      </c>
      <c r="D2115" s="7" t="s">
        <v>40</v>
      </c>
      <c r="E2115" s="7" t="s">
        <v>120</v>
      </c>
      <c r="F2115" s="7" t="s">
        <v>50</v>
      </c>
      <c r="G2115" s="7" t="s">
        <v>69</v>
      </c>
      <c r="H2115" s="7">
        <v>4</v>
      </c>
      <c r="I2115" s="2">
        <v>780.33</v>
      </c>
      <c r="J2115" s="2">
        <f>Tabla2[[#This Row],[Quantity]]*I2115</f>
        <v>3121.32</v>
      </c>
      <c r="K2115" s="6">
        <f>MONTH(Tabla2[[#This Row],[OrderDate]])</f>
        <v>12</v>
      </c>
      <c r="L2115" s="6">
        <f>YEAR(Tabla2[[#This Row],[OrderDate]])</f>
        <v>2025</v>
      </c>
      <c r="M2115" s="7" t="s">
        <v>3457</v>
      </c>
      <c r="N2115" s="7" t="s">
        <v>91</v>
      </c>
    </row>
    <row r="2116" spans="1:14" x14ac:dyDescent="0.35">
      <c r="A2116" s="7" t="s">
        <v>3458</v>
      </c>
      <c r="B2116" s="7" t="s">
        <v>1354</v>
      </c>
      <c r="C2116" s="7" t="s">
        <v>1355</v>
      </c>
      <c r="D2116" s="7" t="s">
        <v>23</v>
      </c>
      <c r="E2116" s="7" t="s">
        <v>24</v>
      </c>
      <c r="F2116" s="7" t="s">
        <v>16</v>
      </c>
      <c r="G2116" s="7" t="s">
        <v>182</v>
      </c>
      <c r="H2116" s="7">
        <v>3</v>
      </c>
      <c r="I2116" s="2">
        <v>639.04999999999995</v>
      </c>
      <c r="J2116" s="2">
        <f>Tabla2[[#This Row],[Quantity]]*I2116</f>
        <v>1917.1499999999999</v>
      </c>
      <c r="K2116" s="6">
        <f>MONTH(Tabla2[[#This Row],[OrderDate]])</f>
        <v>3</v>
      </c>
      <c r="L2116" s="6">
        <f>YEAR(Tabla2[[#This Row],[OrderDate]])</f>
        <v>2026</v>
      </c>
      <c r="M2116" s="7" t="s">
        <v>456</v>
      </c>
      <c r="N2116" s="7" t="s">
        <v>19</v>
      </c>
    </row>
    <row r="2117" spans="1:14" x14ac:dyDescent="0.35">
      <c r="A2117" s="7" t="s">
        <v>3459</v>
      </c>
      <c r="B2117" s="7" t="s">
        <v>168</v>
      </c>
      <c r="C2117" s="7" t="s">
        <v>169</v>
      </c>
      <c r="D2117" s="7" t="s">
        <v>32</v>
      </c>
      <c r="E2117" s="7" t="s">
        <v>61</v>
      </c>
      <c r="F2117" s="7" t="s">
        <v>101</v>
      </c>
      <c r="G2117" s="7" t="s">
        <v>373</v>
      </c>
      <c r="H2117" s="7">
        <v>5</v>
      </c>
      <c r="I2117" s="2">
        <v>1306.4000000000001</v>
      </c>
      <c r="J2117" s="2">
        <f>Tabla2[[#This Row],[Quantity]]*I2117</f>
        <v>6532</v>
      </c>
      <c r="K2117" s="6">
        <f>MONTH(Tabla2[[#This Row],[OrderDate]])</f>
        <v>5</v>
      </c>
      <c r="L2117" s="6">
        <f>YEAR(Tabla2[[#This Row],[OrderDate]])</f>
        <v>2025</v>
      </c>
      <c r="M2117" s="7" t="s">
        <v>319</v>
      </c>
      <c r="N2117" s="7" t="s">
        <v>19</v>
      </c>
    </row>
    <row r="2118" spans="1:14" x14ac:dyDescent="0.35">
      <c r="A2118" s="7" t="s">
        <v>3460</v>
      </c>
      <c r="B2118" s="7" t="s">
        <v>260</v>
      </c>
      <c r="C2118" s="7" t="s">
        <v>261</v>
      </c>
      <c r="D2118" s="7" t="s">
        <v>32</v>
      </c>
      <c r="E2118" s="7" t="s">
        <v>61</v>
      </c>
      <c r="F2118" s="7" t="s">
        <v>25</v>
      </c>
      <c r="G2118" s="7" t="s">
        <v>62</v>
      </c>
      <c r="H2118" s="7">
        <v>2</v>
      </c>
      <c r="I2118" s="2">
        <v>781.92</v>
      </c>
      <c r="J2118" s="2">
        <f>Tabla2[[#This Row],[Quantity]]*I2118</f>
        <v>1563.84</v>
      </c>
      <c r="K2118" s="6">
        <f>MONTH(Tabla2[[#This Row],[OrderDate]])</f>
        <v>5</v>
      </c>
      <c r="L2118" s="6">
        <f>YEAR(Tabla2[[#This Row],[OrderDate]])</f>
        <v>2024</v>
      </c>
      <c r="M2118" s="7" t="s">
        <v>2613</v>
      </c>
      <c r="N2118" s="7" t="s">
        <v>19</v>
      </c>
    </row>
    <row r="2119" spans="1:14" x14ac:dyDescent="0.35">
      <c r="A2119" s="7" t="s">
        <v>3461</v>
      </c>
      <c r="B2119" s="7" t="s">
        <v>1128</v>
      </c>
      <c r="C2119" s="7" t="s">
        <v>1129</v>
      </c>
      <c r="D2119" s="7" t="s">
        <v>32</v>
      </c>
      <c r="E2119" s="7" t="s">
        <v>61</v>
      </c>
      <c r="F2119" s="7" t="s">
        <v>16</v>
      </c>
      <c r="G2119" s="7" t="s">
        <v>148</v>
      </c>
      <c r="H2119" s="7">
        <v>5</v>
      </c>
      <c r="I2119" s="2">
        <v>420.43</v>
      </c>
      <c r="J2119" s="2">
        <f>Tabla2[[#This Row],[Quantity]]*I2119</f>
        <v>2102.15</v>
      </c>
      <c r="K2119" s="6">
        <f>MONTH(Tabla2[[#This Row],[OrderDate]])</f>
        <v>6</v>
      </c>
      <c r="L2119" s="6">
        <f>YEAR(Tabla2[[#This Row],[OrderDate]])</f>
        <v>2024</v>
      </c>
      <c r="M2119" s="7" t="s">
        <v>1534</v>
      </c>
      <c r="N2119" s="7" t="s">
        <v>45</v>
      </c>
    </row>
    <row r="2120" spans="1:14" x14ac:dyDescent="0.35">
      <c r="A2120" s="7" t="s">
        <v>3462</v>
      </c>
      <c r="B2120" s="7" t="s">
        <v>618</v>
      </c>
      <c r="C2120" s="7" t="s">
        <v>619</v>
      </c>
      <c r="D2120" s="7" t="s">
        <v>67</v>
      </c>
      <c r="E2120" s="7" t="s">
        <v>115</v>
      </c>
      <c r="F2120" s="7" t="s">
        <v>50</v>
      </c>
      <c r="G2120" s="7" t="s">
        <v>170</v>
      </c>
      <c r="H2120" s="7">
        <v>4</v>
      </c>
      <c r="I2120" s="2">
        <v>1033.02</v>
      </c>
      <c r="J2120" s="2">
        <f>Tabla2[[#This Row],[Quantity]]*I2120</f>
        <v>4132.08</v>
      </c>
      <c r="K2120" s="6">
        <f>MONTH(Tabla2[[#This Row],[OrderDate]])</f>
        <v>6</v>
      </c>
      <c r="L2120" s="6">
        <f>YEAR(Tabla2[[#This Row],[OrderDate]])</f>
        <v>2024</v>
      </c>
      <c r="M2120" s="7" t="s">
        <v>2556</v>
      </c>
      <c r="N2120" s="7" t="s">
        <v>45</v>
      </c>
    </row>
    <row r="2121" spans="1:14" x14ac:dyDescent="0.35">
      <c r="A2121" s="7" t="s">
        <v>3463</v>
      </c>
      <c r="B2121" s="7" t="s">
        <v>711</v>
      </c>
      <c r="C2121" s="7" t="s">
        <v>712</v>
      </c>
      <c r="D2121" s="7" t="s">
        <v>40</v>
      </c>
      <c r="E2121" s="7" t="s">
        <v>79</v>
      </c>
      <c r="F2121" s="7" t="s">
        <v>42</v>
      </c>
      <c r="G2121" s="7" t="s">
        <v>89</v>
      </c>
      <c r="H2121" s="7">
        <v>5</v>
      </c>
      <c r="I2121" s="2">
        <v>749.26</v>
      </c>
      <c r="J2121" s="2">
        <f>Tabla2[[#This Row],[Quantity]]*I2121</f>
        <v>3746.3</v>
      </c>
      <c r="K2121" s="6">
        <f>MONTH(Tabla2[[#This Row],[OrderDate]])</f>
        <v>2</v>
      </c>
      <c r="L2121" s="6">
        <f>YEAR(Tabla2[[#This Row],[OrderDate]])</f>
        <v>2025</v>
      </c>
      <c r="M2121" s="7" t="s">
        <v>927</v>
      </c>
      <c r="N2121" s="7" t="s">
        <v>28</v>
      </c>
    </row>
    <row r="2122" spans="1:14" x14ac:dyDescent="0.35">
      <c r="A2122" s="7" t="s">
        <v>3464</v>
      </c>
      <c r="B2122" s="7" t="s">
        <v>355</v>
      </c>
      <c r="C2122" s="7" t="s">
        <v>356</v>
      </c>
      <c r="D2122" s="7" t="s">
        <v>23</v>
      </c>
      <c r="E2122" s="7" t="s">
        <v>49</v>
      </c>
      <c r="F2122" s="7" t="s">
        <v>16</v>
      </c>
      <c r="G2122" s="7" t="s">
        <v>177</v>
      </c>
      <c r="H2122" s="7">
        <v>4</v>
      </c>
      <c r="I2122" s="2">
        <v>239.16</v>
      </c>
      <c r="J2122" s="2">
        <f>Tabla2[[#This Row],[Quantity]]*I2122</f>
        <v>956.64</v>
      </c>
      <c r="K2122" s="6">
        <f>MONTH(Tabla2[[#This Row],[OrderDate]])</f>
        <v>4</v>
      </c>
      <c r="L2122" s="6">
        <f>YEAR(Tabla2[[#This Row],[OrderDate]])</f>
        <v>2024</v>
      </c>
      <c r="M2122" s="7" t="s">
        <v>3465</v>
      </c>
      <c r="N2122" s="7" t="s">
        <v>36</v>
      </c>
    </row>
    <row r="2123" spans="1:14" x14ac:dyDescent="0.35">
      <c r="A2123" s="7" t="s">
        <v>3466</v>
      </c>
      <c r="B2123" s="7" t="s">
        <v>281</v>
      </c>
      <c r="C2123" s="7" t="s">
        <v>282</v>
      </c>
      <c r="D2123" s="7" t="s">
        <v>67</v>
      </c>
      <c r="E2123" s="7" t="s">
        <v>130</v>
      </c>
      <c r="F2123" s="7" t="s">
        <v>25</v>
      </c>
      <c r="G2123" s="7" t="s">
        <v>74</v>
      </c>
      <c r="H2123" s="7">
        <v>4</v>
      </c>
      <c r="I2123" s="2">
        <v>248.37</v>
      </c>
      <c r="J2123" s="2">
        <f>Tabla2[[#This Row],[Quantity]]*I2123</f>
        <v>993.48</v>
      </c>
      <c r="K2123" s="6">
        <f>MONTH(Tabla2[[#This Row],[OrderDate]])</f>
        <v>9</v>
      </c>
      <c r="L2123" s="6">
        <f>YEAR(Tabla2[[#This Row],[OrderDate]])</f>
        <v>2024</v>
      </c>
      <c r="M2123" s="7" t="s">
        <v>1847</v>
      </c>
      <c r="N2123" s="7" t="s">
        <v>19</v>
      </c>
    </row>
    <row r="2124" spans="1:14" x14ac:dyDescent="0.35">
      <c r="A2124" s="7" t="s">
        <v>3467</v>
      </c>
      <c r="B2124" s="7" t="s">
        <v>109</v>
      </c>
      <c r="C2124" s="7" t="s">
        <v>110</v>
      </c>
      <c r="D2124" s="7" t="s">
        <v>23</v>
      </c>
      <c r="E2124" s="7" t="s">
        <v>24</v>
      </c>
      <c r="F2124" s="7" t="s">
        <v>25</v>
      </c>
      <c r="G2124" s="7" t="s">
        <v>139</v>
      </c>
      <c r="H2124" s="7">
        <v>4</v>
      </c>
      <c r="I2124" s="2">
        <v>1140.72</v>
      </c>
      <c r="J2124" s="2">
        <f>Tabla2[[#This Row],[Quantity]]*I2124</f>
        <v>4562.88</v>
      </c>
      <c r="K2124" s="6">
        <f>MONTH(Tabla2[[#This Row],[OrderDate]])</f>
        <v>3</v>
      </c>
      <c r="L2124" s="6">
        <f>YEAR(Tabla2[[#This Row],[OrderDate]])</f>
        <v>2024</v>
      </c>
      <c r="M2124" s="7" t="s">
        <v>1693</v>
      </c>
      <c r="N2124" s="7" t="s">
        <v>45</v>
      </c>
    </row>
    <row r="2125" spans="1:14" x14ac:dyDescent="0.35">
      <c r="A2125" s="7" t="s">
        <v>3468</v>
      </c>
      <c r="B2125" s="7" t="s">
        <v>605</v>
      </c>
      <c r="C2125" s="7" t="s">
        <v>606</v>
      </c>
      <c r="D2125" s="7" t="s">
        <v>32</v>
      </c>
      <c r="E2125" s="7" t="s">
        <v>203</v>
      </c>
      <c r="F2125" s="7" t="s">
        <v>50</v>
      </c>
      <c r="G2125" s="7" t="s">
        <v>216</v>
      </c>
      <c r="H2125" s="7">
        <v>2</v>
      </c>
      <c r="I2125" s="2">
        <v>255.71</v>
      </c>
      <c r="J2125" s="2">
        <f>Tabla2[[#This Row],[Quantity]]*I2125</f>
        <v>511.42</v>
      </c>
      <c r="K2125" s="6">
        <f>MONTH(Tabla2[[#This Row],[OrderDate]])</f>
        <v>10</v>
      </c>
      <c r="L2125" s="6">
        <f>YEAR(Tabla2[[#This Row],[OrderDate]])</f>
        <v>2024</v>
      </c>
      <c r="M2125" s="7" t="s">
        <v>645</v>
      </c>
      <c r="N2125" s="7" t="s">
        <v>91</v>
      </c>
    </row>
    <row r="2126" spans="1:14" x14ac:dyDescent="0.35">
      <c r="A2126" s="7" t="s">
        <v>3469</v>
      </c>
      <c r="B2126" s="7" t="s">
        <v>914</v>
      </c>
      <c r="C2126" s="7" t="s">
        <v>915</v>
      </c>
      <c r="D2126" s="7" t="s">
        <v>32</v>
      </c>
      <c r="E2126" s="7" t="s">
        <v>203</v>
      </c>
      <c r="F2126" s="7" t="s">
        <v>101</v>
      </c>
      <c r="G2126" s="7" t="s">
        <v>237</v>
      </c>
      <c r="H2126" s="7">
        <v>4</v>
      </c>
      <c r="I2126" s="2">
        <v>349.53</v>
      </c>
      <c r="J2126" s="2">
        <f>Tabla2[[#This Row],[Quantity]]*I2126</f>
        <v>1398.12</v>
      </c>
      <c r="K2126" s="6">
        <f>MONTH(Tabla2[[#This Row],[OrderDate]])</f>
        <v>10</v>
      </c>
      <c r="L2126" s="6">
        <f>YEAR(Tabla2[[#This Row],[OrderDate]])</f>
        <v>2024</v>
      </c>
      <c r="M2126" s="7" t="s">
        <v>954</v>
      </c>
      <c r="N2126" s="7" t="s">
        <v>19</v>
      </c>
    </row>
    <row r="2127" spans="1:14" x14ac:dyDescent="0.35">
      <c r="A2127" s="7" t="s">
        <v>3470</v>
      </c>
      <c r="B2127" s="7" t="s">
        <v>1005</v>
      </c>
      <c r="C2127" s="7" t="s">
        <v>1006</v>
      </c>
      <c r="D2127" s="7" t="s">
        <v>32</v>
      </c>
      <c r="E2127" s="7" t="s">
        <v>203</v>
      </c>
      <c r="F2127" s="7" t="s">
        <v>50</v>
      </c>
      <c r="G2127" s="7" t="s">
        <v>216</v>
      </c>
      <c r="H2127" s="7">
        <v>1</v>
      </c>
      <c r="I2127" s="2">
        <v>250.26</v>
      </c>
      <c r="J2127" s="2">
        <f>Tabla2[[#This Row],[Quantity]]*I2127</f>
        <v>250.26</v>
      </c>
      <c r="K2127" s="6">
        <f>MONTH(Tabla2[[#This Row],[OrderDate]])</f>
        <v>5</v>
      </c>
      <c r="L2127" s="6">
        <f>YEAR(Tabla2[[#This Row],[OrderDate]])</f>
        <v>2025</v>
      </c>
      <c r="M2127" s="7" t="s">
        <v>3471</v>
      </c>
      <c r="N2127" s="7" t="s">
        <v>28</v>
      </c>
    </row>
    <row r="2128" spans="1:14" x14ac:dyDescent="0.35">
      <c r="A2128" s="7" t="s">
        <v>3472</v>
      </c>
      <c r="B2128" s="7" t="s">
        <v>281</v>
      </c>
      <c r="C2128" s="7" t="s">
        <v>282</v>
      </c>
      <c r="D2128" s="7" t="s">
        <v>67</v>
      </c>
      <c r="E2128" s="7" t="s">
        <v>130</v>
      </c>
      <c r="F2128" s="7" t="s">
        <v>16</v>
      </c>
      <c r="G2128" s="7" t="s">
        <v>182</v>
      </c>
      <c r="H2128" s="7">
        <v>3</v>
      </c>
      <c r="I2128" s="2">
        <v>1215.53</v>
      </c>
      <c r="J2128" s="2">
        <f>Tabla2[[#This Row],[Quantity]]*I2128</f>
        <v>3646.59</v>
      </c>
      <c r="K2128" s="6">
        <f>MONTH(Tabla2[[#This Row],[OrderDate]])</f>
        <v>11</v>
      </c>
      <c r="L2128" s="6">
        <f>YEAR(Tabla2[[#This Row],[OrderDate]])</f>
        <v>2025</v>
      </c>
      <c r="M2128" s="7" t="s">
        <v>3473</v>
      </c>
      <c r="N2128" s="7" t="s">
        <v>91</v>
      </c>
    </row>
    <row r="2129" spans="1:14" x14ac:dyDescent="0.35">
      <c r="A2129" s="7" t="s">
        <v>3474</v>
      </c>
      <c r="B2129" s="7" t="s">
        <v>1532</v>
      </c>
      <c r="C2129" s="7" t="s">
        <v>1533</v>
      </c>
      <c r="D2129" s="7" t="s">
        <v>23</v>
      </c>
      <c r="E2129" s="7" t="s">
        <v>49</v>
      </c>
      <c r="F2129" s="7" t="s">
        <v>50</v>
      </c>
      <c r="G2129" s="7" t="s">
        <v>69</v>
      </c>
      <c r="H2129" s="7">
        <v>2</v>
      </c>
      <c r="I2129" s="2">
        <v>40.619999999999997</v>
      </c>
      <c r="J2129" s="2">
        <f>Tabla2[[#This Row],[Quantity]]*I2129</f>
        <v>81.239999999999995</v>
      </c>
      <c r="K2129" s="6">
        <f>MONTH(Tabla2[[#This Row],[OrderDate]])</f>
        <v>9</v>
      </c>
      <c r="L2129" s="6">
        <f>YEAR(Tabla2[[#This Row],[OrderDate]])</f>
        <v>2025</v>
      </c>
      <c r="M2129" s="7" t="s">
        <v>950</v>
      </c>
      <c r="N2129" s="7" t="s">
        <v>91</v>
      </c>
    </row>
    <row r="2130" spans="1:14" x14ac:dyDescent="0.35">
      <c r="A2130" s="7" t="s">
        <v>3475</v>
      </c>
      <c r="B2130" s="7" t="s">
        <v>450</v>
      </c>
      <c r="C2130" s="7" t="s">
        <v>451</v>
      </c>
      <c r="D2130" s="7" t="s">
        <v>23</v>
      </c>
      <c r="E2130" s="7" t="s">
        <v>24</v>
      </c>
      <c r="F2130" s="7" t="s">
        <v>25</v>
      </c>
      <c r="G2130" s="7" t="s">
        <v>139</v>
      </c>
      <c r="H2130" s="7">
        <v>4</v>
      </c>
      <c r="I2130" s="2">
        <v>408.13</v>
      </c>
      <c r="J2130" s="2">
        <f>Tabla2[[#This Row],[Quantity]]*I2130</f>
        <v>1632.52</v>
      </c>
      <c r="K2130" s="6">
        <f>MONTH(Tabla2[[#This Row],[OrderDate]])</f>
        <v>5</v>
      </c>
      <c r="L2130" s="6">
        <f>YEAR(Tabla2[[#This Row],[OrderDate]])</f>
        <v>2024</v>
      </c>
      <c r="M2130" s="7" t="s">
        <v>844</v>
      </c>
      <c r="N2130" s="7" t="s">
        <v>28</v>
      </c>
    </row>
    <row r="2131" spans="1:14" x14ac:dyDescent="0.35">
      <c r="A2131" s="7" t="s">
        <v>3476</v>
      </c>
      <c r="B2131" s="7" t="s">
        <v>1594</v>
      </c>
      <c r="C2131" s="7" t="s">
        <v>1595</v>
      </c>
      <c r="D2131" s="7" t="s">
        <v>40</v>
      </c>
      <c r="E2131" s="7" t="s">
        <v>120</v>
      </c>
      <c r="F2131" s="7" t="s">
        <v>42</v>
      </c>
      <c r="G2131" s="7" t="s">
        <v>80</v>
      </c>
      <c r="H2131" s="7">
        <v>2</v>
      </c>
      <c r="I2131" s="2">
        <v>1044.78</v>
      </c>
      <c r="J2131" s="2">
        <f>Tabla2[[#This Row],[Quantity]]*I2131</f>
        <v>2089.56</v>
      </c>
      <c r="K2131" s="6">
        <f>MONTH(Tabla2[[#This Row],[OrderDate]])</f>
        <v>9</v>
      </c>
      <c r="L2131" s="6">
        <f>YEAR(Tabla2[[#This Row],[OrderDate]])</f>
        <v>2025</v>
      </c>
      <c r="M2131" s="7" t="s">
        <v>1380</v>
      </c>
      <c r="N2131" s="7" t="s">
        <v>19</v>
      </c>
    </row>
    <row r="2132" spans="1:14" x14ac:dyDescent="0.35">
      <c r="A2132" s="7" t="s">
        <v>3477</v>
      </c>
      <c r="B2132" s="7" t="s">
        <v>1028</v>
      </c>
      <c r="C2132" s="7" t="s">
        <v>1029</v>
      </c>
      <c r="D2132" s="7" t="s">
        <v>23</v>
      </c>
      <c r="E2132" s="7" t="s">
        <v>338</v>
      </c>
      <c r="F2132" s="7" t="s">
        <v>16</v>
      </c>
      <c r="G2132" s="7" t="s">
        <v>230</v>
      </c>
      <c r="H2132" s="7">
        <v>4</v>
      </c>
      <c r="I2132" s="2">
        <v>92.46</v>
      </c>
      <c r="J2132" s="2">
        <f>Tabla2[[#This Row],[Quantity]]*I2132</f>
        <v>369.84</v>
      </c>
      <c r="K2132" s="6">
        <f>MONTH(Tabla2[[#This Row],[OrderDate]])</f>
        <v>12</v>
      </c>
      <c r="L2132" s="6">
        <f>YEAR(Tabla2[[#This Row],[OrderDate]])</f>
        <v>2025</v>
      </c>
      <c r="M2132" s="7" t="s">
        <v>131</v>
      </c>
      <c r="N2132" s="7" t="s">
        <v>28</v>
      </c>
    </row>
    <row r="2133" spans="1:14" x14ac:dyDescent="0.35">
      <c r="A2133" s="7" t="s">
        <v>3478</v>
      </c>
      <c r="B2133" s="7" t="s">
        <v>779</v>
      </c>
      <c r="C2133" s="7" t="s">
        <v>780</v>
      </c>
      <c r="D2133" s="7" t="s">
        <v>23</v>
      </c>
      <c r="E2133" s="7" t="s">
        <v>338</v>
      </c>
      <c r="F2133" s="7" t="s">
        <v>101</v>
      </c>
      <c r="G2133" s="7" t="s">
        <v>237</v>
      </c>
      <c r="H2133" s="7">
        <v>1</v>
      </c>
      <c r="I2133" s="2">
        <v>332.6</v>
      </c>
      <c r="J2133" s="2">
        <f>Tabla2[[#This Row],[Quantity]]*I2133</f>
        <v>332.6</v>
      </c>
      <c r="K2133" s="6">
        <f>MONTH(Tabla2[[#This Row],[OrderDate]])</f>
        <v>5</v>
      </c>
      <c r="L2133" s="6">
        <f>YEAR(Tabla2[[#This Row],[OrderDate]])</f>
        <v>2024</v>
      </c>
      <c r="M2133" s="7" t="s">
        <v>3479</v>
      </c>
      <c r="N2133" s="7" t="s">
        <v>28</v>
      </c>
    </row>
    <row r="2134" spans="1:14" x14ac:dyDescent="0.35">
      <c r="A2134" s="7" t="s">
        <v>3480</v>
      </c>
      <c r="B2134" s="7" t="s">
        <v>711</v>
      </c>
      <c r="C2134" s="7" t="s">
        <v>712</v>
      </c>
      <c r="D2134" s="7" t="s">
        <v>40</v>
      </c>
      <c r="E2134" s="7" t="s">
        <v>120</v>
      </c>
      <c r="F2134" s="7" t="s">
        <v>42</v>
      </c>
      <c r="G2134" s="7" t="s">
        <v>80</v>
      </c>
      <c r="H2134" s="7">
        <v>4</v>
      </c>
      <c r="I2134" s="2">
        <v>1263.45</v>
      </c>
      <c r="J2134" s="2">
        <f>Tabla2[[#This Row],[Quantity]]*I2134</f>
        <v>5053.8</v>
      </c>
      <c r="K2134" s="6">
        <f>MONTH(Tabla2[[#This Row],[OrderDate]])</f>
        <v>7</v>
      </c>
      <c r="L2134" s="6">
        <f>YEAR(Tabla2[[#This Row],[OrderDate]])</f>
        <v>2024</v>
      </c>
      <c r="M2134" s="7" t="s">
        <v>1775</v>
      </c>
      <c r="N2134" s="7" t="s">
        <v>19</v>
      </c>
    </row>
    <row r="2135" spans="1:14" x14ac:dyDescent="0.35">
      <c r="A2135" s="7" t="s">
        <v>3481</v>
      </c>
      <c r="B2135" s="7" t="s">
        <v>711</v>
      </c>
      <c r="C2135" s="7" t="s">
        <v>712</v>
      </c>
      <c r="D2135" s="7" t="s">
        <v>67</v>
      </c>
      <c r="E2135" s="7" t="s">
        <v>68</v>
      </c>
      <c r="F2135" s="7" t="s">
        <v>101</v>
      </c>
      <c r="G2135" s="7" t="s">
        <v>102</v>
      </c>
      <c r="H2135" s="7">
        <v>4</v>
      </c>
      <c r="I2135" s="2">
        <v>1441.12</v>
      </c>
      <c r="J2135" s="2">
        <f>Tabla2[[#This Row],[Quantity]]*I2135</f>
        <v>5764.48</v>
      </c>
      <c r="K2135" s="6">
        <f>MONTH(Tabla2[[#This Row],[OrderDate]])</f>
        <v>8</v>
      </c>
      <c r="L2135" s="6">
        <f>YEAR(Tabla2[[#This Row],[OrderDate]])</f>
        <v>2025</v>
      </c>
      <c r="M2135" s="7" t="s">
        <v>2116</v>
      </c>
      <c r="N2135" s="7" t="s">
        <v>28</v>
      </c>
    </row>
    <row r="2136" spans="1:14" x14ac:dyDescent="0.35">
      <c r="A2136" s="7" t="s">
        <v>3482</v>
      </c>
      <c r="B2136" s="7" t="s">
        <v>77</v>
      </c>
      <c r="C2136" s="7" t="s">
        <v>78</v>
      </c>
      <c r="D2136" s="7" t="s">
        <v>67</v>
      </c>
      <c r="E2136" s="7" t="s">
        <v>130</v>
      </c>
      <c r="F2136" s="7" t="s">
        <v>101</v>
      </c>
      <c r="G2136" s="7" t="s">
        <v>373</v>
      </c>
      <c r="H2136" s="7">
        <v>1</v>
      </c>
      <c r="I2136" s="2">
        <v>1317.1</v>
      </c>
      <c r="J2136" s="2">
        <f>Tabla2[[#This Row],[Quantity]]*I2136</f>
        <v>1317.1</v>
      </c>
      <c r="K2136" s="6">
        <f>MONTH(Tabla2[[#This Row],[OrderDate]])</f>
        <v>5</v>
      </c>
      <c r="L2136" s="6">
        <f>YEAR(Tabla2[[#This Row],[OrderDate]])</f>
        <v>2024</v>
      </c>
      <c r="M2136" s="7" t="s">
        <v>1984</v>
      </c>
      <c r="N2136" s="7" t="s">
        <v>19</v>
      </c>
    </row>
    <row r="2137" spans="1:14" x14ac:dyDescent="0.35">
      <c r="A2137" s="7" t="s">
        <v>3483</v>
      </c>
      <c r="B2137" s="7" t="s">
        <v>506</v>
      </c>
      <c r="C2137" s="7" t="s">
        <v>507</v>
      </c>
      <c r="D2137" s="7" t="s">
        <v>23</v>
      </c>
      <c r="E2137" s="7" t="s">
        <v>49</v>
      </c>
      <c r="F2137" s="7" t="s">
        <v>42</v>
      </c>
      <c r="G2137" s="7" t="s">
        <v>225</v>
      </c>
      <c r="H2137" s="7">
        <v>2</v>
      </c>
      <c r="I2137" s="2">
        <v>1448.78</v>
      </c>
      <c r="J2137" s="2">
        <f>Tabla2[[#This Row],[Quantity]]*I2137</f>
        <v>2897.56</v>
      </c>
      <c r="K2137" s="6">
        <f>MONTH(Tabla2[[#This Row],[OrderDate]])</f>
        <v>5</v>
      </c>
      <c r="L2137" s="6">
        <f>YEAR(Tabla2[[#This Row],[OrderDate]])</f>
        <v>2024</v>
      </c>
      <c r="M2137" s="7" t="s">
        <v>844</v>
      </c>
      <c r="N2137" s="7" t="s">
        <v>91</v>
      </c>
    </row>
    <row r="2138" spans="1:14" x14ac:dyDescent="0.35">
      <c r="A2138" s="7" t="s">
        <v>3484</v>
      </c>
      <c r="B2138" s="7" t="s">
        <v>1532</v>
      </c>
      <c r="C2138" s="7" t="s">
        <v>1533</v>
      </c>
      <c r="D2138" s="7" t="s">
        <v>40</v>
      </c>
      <c r="E2138" s="7" t="s">
        <v>120</v>
      </c>
      <c r="F2138" s="7" t="s">
        <v>42</v>
      </c>
      <c r="G2138" s="7" t="s">
        <v>170</v>
      </c>
      <c r="H2138" s="7">
        <v>2</v>
      </c>
      <c r="I2138" s="2">
        <v>1056.75</v>
      </c>
      <c r="J2138" s="2">
        <f>Tabla2[[#This Row],[Quantity]]*I2138</f>
        <v>2113.5</v>
      </c>
      <c r="K2138" s="6">
        <f>MONTH(Tabla2[[#This Row],[OrderDate]])</f>
        <v>4</v>
      </c>
      <c r="L2138" s="6">
        <f>YEAR(Tabla2[[#This Row],[OrderDate]])</f>
        <v>2024</v>
      </c>
      <c r="M2138" s="7" t="s">
        <v>773</v>
      </c>
      <c r="N2138" s="7" t="s">
        <v>19</v>
      </c>
    </row>
    <row r="2139" spans="1:14" x14ac:dyDescent="0.35">
      <c r="A2139" s="7" t="s">
        <v>3485</v>
      </c>
      <c r="B2139" s="7" t="s">
        <v>311</v>
      </c>
      <c r="C2139" s="7" t="s">
        <v>312</v>
      </c>
      <c r="D2139" s="7" t="s">
        <v>32</v>
      </c>
      <c r="E2139" s="7" t="s">
        <v>33</v>
      </c>
      <c r="F2139" s="7" t="s">
        <v>25</v>
      </c>
      <c r="G2139" s="7" t="s">
        <v>62</v>
      </c>
      <c r="H2139" s="7">
        <v>2</v>
      </c>
      <c r="I2139" s="2">
        <v>226.04</v>
      </c>
      <c r="J2139" s="2">
        <f>Tabla2[[#This Row],[Quantity]]*I2139</f>
        <v>452.08</v>
      </c>
      <c r="K2139" s="6">
        <f>MONTH(Tabla2[[#This Row],[OrderDate]])</f>
        <v>1</v>
      </c>
      <c r="L2139" s="6">
        <f>YEAR(Tabla2[[#This Row],[OrderDate]])</f>
        <v>2025</v>
      </c>
      <c r="M2139" s="7" t="s">
        <v>3486</v>
      </c>
      <c r="N2139" s="7" t="s">
        <v>28</v>
      </c>
    </row>
    <row r="2140" spans="1:14" x14ac:dyDescent="0.35">
      <c r="A2140" s="7" t="s">
        <v>3487</v>
      </c>
      <c r="B2140" s="7" t="s">
        <v>180</v>
      </c>
      <c r="C2140" s="7" t="s">
        <v>181</v>
      </c>
      <c r="D2140" s="7" t="s">
        <v>67</v>
      </c>
      <c r="E2140" s="7" t="s">
        <v>115</v>
      </c>
      <c r="F2140" s="7" t="s">
        <v>16</v>
      </c>
      <c r="G2140" s="7" t="s">
        <v>182</v>
      </c>
      <c r="H2140" s="7">
        <v>3</v>
      </c>
      <c r="I2140" s="2">
        <v>1454.77</v>
      </c>
      <c r="J2140" s="2">
        <f>Tabla2[[#This Row],[Quantity]]*I2140</f>
        <v>4364.3099999999995</v>
      </c>
      <c r="K2140" s="6">
        <f>MONTH(Tabla2[[#This Row],[OrderDate]])</f>
        <v>4</v>
      </c>
      <c r="L2140" s="6">
        <f>YEAR(Tabla2[[#This Row],[OrderDate]])</f>
        <v>2024</v>
      </c>
      <c r="M2140" s="7" t="s">
        <v>2850</v>
      </c>
      <c r="N2140" s="7" t="s">
        <v>91</v>
      </c>
    </row>
    <row r="2141" spans="1:14" x14ac:dyDescent="0.35">
      <c r="A2141" s="7" t="s">
        <v>3488</v>
      </c>
      <c r="B2141" s="7" t="s">
        <v>562</v>
      </c>
      <c r="C2141" s="7" t="s">
        <v>563</v>
      </c>
      <c r="D2141" s="7" t="s">
        <v>23</v>
      </c>
      <c r="E2141" s="7" t="s">
        <v>49</v>
      </c>
      <c r="F2141" s="7" t="s">
        <v>50</v>
      </c>
      <c r="G2141" s="7" t="s">
        <v>69</v>
      </c>
      <c r="H2141" s="7">
        <v>4</v>
      </c>
      <c r="I2141" s="2">
        <v>783.19</v>
      </c>
      <c r="J2141" s="2">
        <f>Tabla2[[#This Row],[Quantity]]*I2141</f>
        <v>3132.76</v>
      </c>
      <c r="K2141" s="6">
        <f>MONTH(Tabla2[[#This Row],[OrderDate]])</f>
        <v>1</v>
      </c>
      <c r="L2141" s="6">
        <f>YEAR(Tabla2[[#This Row],[OrderDate]])</f>
        <v>2024</v>
      </c>
      <c r="M2141" s="7" t="s">
        <v>3200</v>
      </c>
      <c r="N2141" s="7" t="s">
        <v>19</v>
      </c>
    </row>
    <row r="2142" spans="1:14" x14ac:dyDescent="0.35">
      <c r="A2142" s="7" t="s">
        <v>3489</v>
      </c>
      <c r="B2142" s="7" t="s">
        <v>548</v>
      </c>
      <c r="C2142" s="7" t="s">
        <v>549</v>
      </c>
      <c r="D2142" s="7" t="s">
        <v>32</v>
      </c>
      <c r="E2142" s="7" t="s">
        <v>33</v>
      </c>
      <c r="F2142" s="7" t="s">
        <v>16</v>
      </c>
      <c r="G2142" s="7" t="s">
        <v>17</v>
      </c>
      <c r="H2142" s="7">
        <v>3</v>
      </c>
      <c r="I2142" s="2">
        <v>317.41000000000003</v>
      </c>
      <c r="J2142" s="2">
        <f>Tabla2[[#This Row],[Quantity]]*I2142</f>
        <v>952.23</v>
      </c>
      <c r="K2142" s="6">
        <f>MONTH(Tabla2[[#This Row],[OrderDate]])</f>
        <v>6</v>
      </c>
      <c r="L2142" s="6">
        <f>YEAR(Tabla2[[#This Row],[OrderDate]])</f>
        <v>2024</v>
      </c>
      <c r="M2142" s="7" t="s">
        <v>361</v>
      </c>
      <c r="N2142" s="7" t="s">
        <v>28</v>
      </c>
    </row>
    <row r="2143" spans="1:14" x14ac:dyDescent="0.35">
      <c r="A2143" s="7" t="s">
        <v>3490</v>
      </c>
      <c r="B2143" s="7" t="s">
        <v>1278</v>
      </c>
      <c r="C2143" s="7" t="s">
        <v>1279</v>
      </c>
      <c r="D2143" s="7" t="s">
        <v>32</v>
      </c>
      <c r="E2143" s="7" t="s">
        <v>33</v>
      </c>
      <c r="F2143" s="7" t="s">
        <v>42</v>
      </c>
      <c r="G2143" s="7" t="s">
        <v>89</v>
      </c>
      <c r="H2143" s="7">
        <v>1</v>
      </c>
      <c r="I2143" s="2">
        <v>1004.37</v>
      </c>
      <c r="J2143" s="2">
        <f>Tabla2[[#This Row],[Quantity]]*I2143</f>
        <v>1004.37</v>
      </c>
      <c r="K2143" s="6">
        <f>MONTH(Tabla2[[#This Row],[OrderDate]])</f>
        <v>7</v>
      </c>
      <c r="L2143" s="6">
        <f>YEAR(Tabla2[[#This Row],[OrderDate]])</f>
        <v>2024</v>
      </c>
      <c r="M2143" s="7" t="s">
        <v>1052</v>
      </c>
      <c r="N2143" s="7" t="s">
        <v>28</v>
      </c>
    </row>
    <row r="2144" spans="1:14" x14ac:dyDescent="0.35">
      <c r="A2144" s="7" t="s">
        <v>3491</v>
      </c>
      <c r="B2144" s="7" t="s">
        <v>832</v>
      </c>
      <c r="C2144" s="7" t="s">
        <v>833</v>
      </c>
      <c r="D2144" s="7" t="s">
        <v>23</v>
      </c>
      <c r="E2144" s="7" t="s">
        <v>338</v>
      </c>
      <c r="F2144" s="7" t="s">
        <v>16</v>
      </c>
      <c r="G2144" s="7" t="s">
        <v>182</v>
      </c>
      <c r="H2144" s="7">
        <v>5</v>
      </c>
      <c r="I2144" s="2">
        <v>1178.6300000000001</v>
      </c>
      <c r="J2144" s="2">
        <f>Tabla2[[#This Row],[Quantity]]*I2144</f>
        <v>5893.1500000000005</v>
      </c>
      <c r="K2144" s="6">
        <f>MONTH(Tabla2[[#This Row],[OrderDate]])</f>
        <v>12</v>
      </c>
      <c r="L2144" s="6">
        <f>YEAR(Tabla2[[#This Row],[OrderDate]])</f>
        <v>2024</v>
      </c>
      <c r="M2144" s="7" t="s">
        <v>2046</v>
      </c>
      <c r="N2144" s="7" t="s">
        <v>28</v>
      </c>
    </row>
    <row r="2145" spans="1:14" x14ac:dyDescent="0.35">
      <c r="A2145" s="7" t="s">
        <v>3492</v>
      </c>
      <c r="B2145" s="7" t="s">
        <v>922</v>
      </c>
      <c r="C2145" s="7" t="s">
        <v>923</v>
      </c>
      <c r="D2145" s="7" t="s">
        <v>14</v>
      </c>
      <c r="E2145" s="7" t="s">
        <v>95</v>
      </c>
      <c r="F2145" s="7" t="s">
        <v>101</v>
      </c>
      <c r="G2145" s="7" t="s">
        <v>649</v>
      </c>
      <c r="H2145" s="7">
        <v>2</v>
      </c>
      <c r="I2145" s="2">
        <v>1375.65</v>
      </c>
      <c r="J2145" s="2">
        <f>Tabla2[[#This Row],[Quantity]]*I2145</f>
        <v>2751.3</v>
      </c>
      <c r="K2145" s="6">
        <f>MONTH(Tabla2[[#This Row],[OrderDate]])</f>
        <v>5</v>
      </c>
      <c r="L2145" s="6">
        <f>YEAR(Tabla2[[#This Row],[OrderDate]])</f>
        <v>2025</v>
      </c>
      <c r="M2145" s="7" t="s">
        <v>662</v>
      </c>
      <c r="N2145" s="7" t="s">
        <v>91</v>
      </c>
    </row>
    <row r="2146" spans="1:14" x14ac:dyDescent="0.35">
      <c r="A2146" s="7" t="s">
        <v>3493</v>
      </c>
      <c r="B2146" s="7" t="s">
        <v>817</v>
      </c>
      <c r="C2146" s="7" t="s">
        <v>818</v>
      </c>
      <c r="D2146" s="7" t="s">
        <v>67</v>
      </c>
      <c r="E2146" s="7" t="s">
        <v>130</v>
      </c>
      <c r="F2146" s="7" t="s">
        <v>16</v>
      </c>
      <c r="G2146" s="7" t="s">
        <v>182</v>
      </c>
      <c r="H2146" s="7">
        <v>2</v>
      </c>
      <c r="I2146" s="2">
        <v>239.33</v>
      </c>
      <c r="J2146" s="2">
        <f>Tabla2[[#This Row],[Quantity]]*I2146</f>
        <v>478.66</v>
      </c>
      <c r="K2146" s="6">
        <f>MONTH(Tabla2[[#This Row],[OrderDate]])</f>
        <v>9</v>
      </c>
      <c r="L2146" s="6">
        <f>YEAR(Tabla2[[#This Row],[OrderDate]])</f>
        <v>2024</v>
      </c>
      <c r="M2146" s="7" t="s">
        <v>635</v>
      </c>
      <c r="N2146" s="7" t="s">
        <v>36</v>
      </c>
    </row>
    <row r="2147" spans="1:14" x14ac:dyDescent="0.35">
      <c r="A2147" s="7" t="s">
        <v>3494</v>
      </c>
      <c r="B2147" s="7" t="s">
        <v>214</v>
      </c>
      <c r="C2147" s="7" t="s">
        <v>215</v>
      </c>
      <c r="D2147" s="7" t="s">
        <v>14</v>
      </c>
      <c r="E2147" s="7" t="s">
        <v>15</v>
      </c>
      <c r="F2147" s="7" t="s">
        <v>25</v>
      </c>
      <c r="G2147" s="7" t="s">
        <v>139</v>
      </c>
      <c r="H2147" s="7">
        <v>3</v>
      </c>
      <c r="I2147" s="2">
        <v>1304</v>
      </c>
      <c r="J2147" s="2">
        <f>Tabla2[[#This Row],[Quantity]]*I2147</f>
        <v>3912</v>
      </c>
      <c r="K2147" s="6">
        <f>MONTH(Tabla2[[#This Row],[OrderDate]])</f>
        <v>10</v>
      </c>
      <c r="L2147" s="6">
        <f>YEAR(Tabla2[[#This Row],[OrderDate]])</f>
        <v>2025</v>
      </c>
      <c r="M2147" s="7" t="s">
        <v>2631</v>
      </c>
      <c r="N2147" s="7" t="s">
        <v>19</v>
      </c>
    </row>
    <row r="2148" spans="1:14" x14ac:dyDescent="0.35">
      <c r="A2148" s="7" t="s">
        <v>3495</v>
      </c>
      <c r="B2148" s="7" t="s">
        <v>1278</v>
      </c>
      <c r="C2148" s="7" t="s">
        <v>1279</v>
      </c>
      <c r="D2148" s="7" t="s">
        <v>67</v>
      </c>
      <c r="E2148" s="7" t="s">
        <v>115</v>
      </c>
      <c r="F2148" s="7" t="s">
        <v>50</v>
      </c>
      <c r="G2148" s="7" t="s">
        <v>216</v>
      </c>
      <c r="H2148" s="7">
        <v>3</v>
      </c>
      <c r="I2148" s="2">
        <v>544.37</v>
      </c>
      <c r="J2148" s="2">
        <f>Tabla2[[#This Row],[Quantity]]*I2148</f>
        <v>1633.1100000000001</v>
      </c>
      <c r="K2148" s="6">
        <f>MONTH(Tabla2[[#This Row],[OrderDate]])</f>
        <v>9</v>
      </c>
      <c r="L2148" s="6">
        <f>YEAR(Tabla2[[#This Row],[OrderDate]])</f>
        <v>2025</v>
      </c>
      <c r="M2148" s="7" t="s">
        <v>2225</v>
      </c>
      <c r="N2148" s="7" t="s">
        <v>91</v>
      </c>
    </row>
    <row r="2149" spans="1:14" x14ac:dyDescent="0.35">
      <c r="A2149" s="7" t="s">
        <v>3496</v>
      </c>
      <c r="B2149" s="7" t="s">
        <v>446</v>
      </c>
      <c r="C2149" s="7" t="s">
        <v>447</v>
      </c>
      <c r="D2149" s="7" t="s">
        <v>40</v>
      </c>
      <c r="E2149" s="7" t="s">
        <v>41</v>
      </c>
      <c r="F2149" s="7" t="s">
        <v>16</v>
      </c>
      <c r="G2149" s="7" t="s">
        <v>230</v>
      </c>
      <c r="H2149" s="7">
        <v>3</v>
      </c>
      <c r="I2149" s="2">
        <v>486.29</v>
      </c>
      <c r="J2149" s="2">
        <f>Tabla2[[#This Row],[Quantity]]*I2149</f>
        <v>1458.8700000000001</v>
      </c>
      <c r="K2149" s="6">
        <f>MONTH(Tabla2[[#This Row],[OrderDate]])</f>
        <v>7</v>
      </c>
      <c r="L2149" s="6">
        <f>YEAR(Tabla2[[#This Row],[OrderDate]])</f>
        <v>2024</v>
      </c>
      <c r="M2149" s="7" t="s">
        <v>596</v>
      </c>
      <c r="N2149" s="7" t="s">
        <v>28</v>
      </c>
    </row>
    <row r="2150" spans="1:14" x14ac:dyDescent="0.35">
      <c r="A2150" s="7" t="s">
        <v>3497</v>
      </c>
      <c r="B2150" s="7" t="s">
        <v>240</v>
      </c>
      <c r="C2150" s="7" t="s">
        <v>241</v>
      </c>
      <c r="D2150" s="7" t="s">
        <v>32</v>
      </c>
      <c r="E2150" s="7" t="s">
        <v>33</v>
      </c>
      <c r="F2150" s="7" t="s">
        <v>50</v>
      </c>
      <c r="G2150" s="7" t="s">
        <v>216</v>
      </c>
      <c r="H2150" s="7">
        <v>3</v>
      </c>
      <c r="I2150" s="2">
        <v>26.96</v>
      </c>
      <c r="J2150" s="2">
        <f>Tabla2[[#This Row],[Quantity]]*I2150</f>
        <v>80.88</v>
      </c>
      <c r="K2150" s="6">
        <f>MONTH(Tabla2[[#This Row],[OrderDate]])</f>
        <v>1</v>
      </c>
      <c r="L2150" s="6">
        <f>YEAR(Tabla2[[#This Row],[OrderDate]])</f>
        <v>2024</v>
      </c>
      <c r="M2150" s="7" t="s">
        <v>502</v>
      </c>
      <c r="N2150" s="7" t="s">
        <v>28</v>
      </c>
    </row>
    <row r="2151" spans="1:14" x14ac:dyDescent="0.35">
      <c r="A2151" s="7" t="s">
        <v>3498</v>
      </c>
      <c r="B2151" s="7" t="s">
        <v>775</v>
      </c>
      <c r="C2151" s="7" t="s">
        <v>776</v>
      </c>
      <c r="D2151" s="7" t="s">
        <v>14</v>
      </c>
      <c r="E2151" s="7" t="s">
        <v>125</v>
      </c>
      <c r="F2151" s="7" t="s">
        <v>42</v>
      </c>
      <c r="G2151" s="7" t="s">
        <v>43</v>
      </c>
      <c r="H2151" s="7">
        <v>2</v>
      </c>
      <c r="I2151" s="2">
        <v>992</v>
      </c>
      <c r="J2151" s="2">
        <f>Tabla2[[#This Row],[Quantity]]*I2151</f>
        <v>1984</v>
      </c>
      <c r="K2151" s="6">
        <f>MONTH(Tabla2[[#This Row],[OrderDate]])</f>
        <v>6</v>
      </c>
      <c r="L2151" s="6">
        <f>YEAR(Tabla2[[#This Row],[OrderDate]])</f>
        <v>2025</v>
      </c>
      <c r="M2151" s="7" t="s">
        <v>1241</v>
      </c>
      <c r="N2151" s="7" t="s">
        <v>45</v>
      </c>
    </row>
    <row r="2152" spans="1:14" x14ac:dyDescent="0.35">
      <c r="A2152" s="7" t="s">
        <v>3499</v>
      </c>
      <c r="B2152" s="7" t="s">
        <v>552</v>
      </c>
      <c r="C2152" s="7" t="s">
        <v>553</v>
      </c>
      <c r="D2152" s="7" t="s">
        <v>14</v>
      </c>
      <c r="E2152" s="7" t="s">
        <v>266</v>
      </c>
      <c r="F2152" s="7" t="s">
        <v>25</v>
      </c>
      <c r="G2152" s="7" t="s">
        <v>74</v>
      </c>
      <c r="H2152" s="7">
        <v>1</v>
      </c>
      <c r="I2152" s="2">
        <v>380.5</v>
      </c>
      <c r="J2152" s="2">
        <f>Tabla2[[#This Row],[Quantity]]*I2152</f>
        <v>380.5</v>
      </c>
      <c r="K2152" s="6">
        <f>MONTH(Tabla2[[#This Row],[OrderDate]])</f>
        <v>7</v>
      </c>
      <c r="L2152" s="6">
        <f>YEAR(Tabla2[[#This Row],[OrderDate]])</f>
        <v>2024</v>
      </c>
      <c r="M2152" s="7" t="s">
        <v>2243</v>
      </c>
      <c r="N2152" s="7" t="s">
        <v>28</v>
      </c>
    </row>
    <row r="2153" spans="1:14" x14ac:dyDescent="0.35">
      <c r="A2153" s="7" t="s">
        <v>3500</v>
      </c>
      <c r="B2153" s="7" t="s">
        <v>163</v>
      </c>
      <c r="C2153" s="7" t="s">
        <v>164</v>
      </c>
      <c r="D2153" s="7" t="s">
        <v>23</v>
      </c>
      <c r="E2153" s="7" t="s">
        <v>24</v>
      </c>
      <c r="F2153" s="7" t="s">
        <v>25</v>
      </c>
      <c r="G2153" s="7" t="s">
        <v>34</v>
      </c>
      <c r="H2153" s="7">
        <v>1</v>
      </c>
      <c r="I2153" s="2">
        <v>975</v>
      </c>
      <c r="J2153" s="2">
        <f>Tabla2[[#This Row],[Quantity]]*I2153</f>
        <v>975</v>
      </c>
      <c r="K2153" s="6">
        <f>MONTH(Tabla2[[#This Row],[OrderDate]])</f>
        <v>3</v>
      </c>
      <c r="L2153" s="6">
        <f>YEAR(Tabla2[[#This Row],[OrderDate]])</f>
        <v>2025</v>
      </c>
      <c r="M2153" s="7" t="s">
        <v>1474</v>
      </c>
      <c r="N2153" s="7" t="s">
        <v>36</v>
      </c>
    </row>
    <row r="2154" spans="1:14" x14ac:dyDescent="0.35">
      <c r="A2154" s="7" t="s">
        <v>3501</v>
      </c>
      <c r="B2154" s="7" t="s">
        <v>443</v>
      </c>
      <c r="C2154" s="7" t="s">
        <v>444</v>
      </c>
      <c r="D2154" s="7" t="s">
        <v>32</v>
      </c>
      <c r="E2154" s="7" t="s">
        <v>203</v>
      </c>
      <c r="F2154" s="7" t="s">
        <v>16</v>
      </c>
      <c r="G2154" s="7" t="s">
        <v>177</v>
      </c>
      <c r="H2154" s="7">
        <v>4</v>
      </c>
      <c r="I2154" s="2">
        <v>83.47</v>
      </c>
      <c r="J2154" s="2">
        <f>Tabla2[[#This Row],[Quantity]]*I2154</f>
        <v>333.88</v>
      </c>
      <c r="K2154" s="6">
        <f>MONTH(Tabla2[[#This Row],[OrderDate]])</f>
        <v>1</v>
      </c>
      <c r="L2154" s="6">
        <f>YEAR(Tabla2[[#This Row],[OrderDate]])</f>
        <v>2025</v>
      </c>
      <c r="M2154" s="7" t="s">
        <v>1404</v>
      </c>
      <c r="N2154" s="7" t="s">
        <v>91</v>
      </c>
    </row>
    <row r="2155" spans="1:14" x14ac:dyDescent="0.35">
      <c r="A2155" s="7" t="s">
        <v>3502</v>
      </c>
      <c r="B2155" s="7" t="s">
        <v>611</v>
      </c>
      <c r="C2155" s="7" t="s">
        <v>612</v>
      </c>
      <c r="D2155" s="7" t="s">
        <v>32</v>
      </c>
      <c r="E2155" s="7" t="s">
        <v>33</v>
      </c>
      <c r="F2155" s="7" t="s">
        <v>42</v>
      </c>
      <c r="G2155" s="7" t="s">
        <v>80</v>
      </c>
      <c r="H2155" s="7">
        <v>1</v>
      </c>
      <c r="I2155" s="2">
        <v>1499.17</v>
      </c>
      <c r="J2155" s="2">
        <f>Tabla2[[#This Row],[Quantity]]*I2155</f>
        <v>1499.17</v>
      </c>
      <c r="K2155" s="6">
        <f>MONTH(Tabla2[[#This Row],[OrderDate]])</f>
        <v>10</v>
      </c>
      <c r="L2155" s="6">
        <f>YEAR(Tabla2[[#This Row],[OrderDate]])</f>
        <v>2024</v>
      </c>
      <c r="M2155" s="7" t="s">
        <v>2179</v>
      </c>
      <c r="N2155" s="7" t="s">
        <v>28</v>
      </c>
    </row>
    <row r="2156" spans="1:14" x14ac:dyDescent="0.35">
      <c r="A2156" s="7" t="s">
        <v>3503</v>
      </c>
      <c r="B2156" s="7" t="s">
        <v>544</v>
      </c>
      <c r="C2156" s="7" t="s">
        <v>545</v>
      </c>
      <c r="D2156" s="7" t="s">
        <v>32</v>
      </c>
      <c r="E2156" s="7" t="s">
        <v>33</v>
      </c>
      <c r="F2156" s="7" t="s">
        <v>50</v>
      </c>
      <c r="G2156" s="7" t="s">
        <v>170</v>
      </c>
      <c r="H2156" s="7">
        <v>4</v>
      </c>
      <c r="I2156" s="2">
        <v>1259.05</v>
      </c>
      <c r="J2156" s="2">
        <f>Tabla2[[#This Row],[Quantity]]*I2156</f>
        <v>5036.2</v>
      </c>
      <c r="K2156" s="6">
        <f>MONTH(Tabla2[[#This Row],[OrderDate]])</f>
        <v>4</v>
      </c>
      <c r="L2156" s="6">
        <f>YEAR(Tabla2[[#This Row],[OrderDate]])</f>
        <v>2024</v>
      </c>
      <c r="M2156" s="7" t="s">
        <v>3504</v>
      </c>
      <c r="N2156" s="7" t="s">
        <v>28</v>
      </c>
    </row>
    <row r="2157" spans="1:14" x14ac:dyDescent="0.35">
      <c r="A2157" s="7" t="s">
        <v>3505</v>
      </c>
      <c r="B2157" s="7" t="s">
        <v>1285</v>
      </c>
      <c r="C2157" s="7" t="s">
        <v>1286</v>
      </c>
      <c r="D2157" s="7" t="s">
        <v>32</v>
      </c>
      <c r="E2157" s="7" t="s">
        <v>61</v>
      </c>
      <c r="F2157" s="7" t="s">
        <v>16</v>
      </c>
      <c r="G2157" s="7" t="s">
        <v>182</v>
      </c>
      <c r="H2157" s="7">
        <v>2</v>
      </c>
      <c r="I2157" s="2">
        <v>516.98</v>
      </c>
      <c r="J2157" s="2">
        <f>Tabla2[[#This Row],[Quantity]]*I2157</f>
        <v>1033.96</v>
      </c>
      <c r="K2157" s="6">
        <f>MONTH(Tabla2[[#This Row],[OrderDate]])</f>
        <v>12</v>
      </c>
      <c r="L2157" s="6">
        <f>YEAR(Tabla2[[#This Row],[OrderDate]])</f>
        <v>2025</v>
      </c>
      <c r="M2157" s="7" t="s">
        <v>1228</v>
      </c>
      <c r="N2157" s="7" t="s">
        <v>91</v>
      </c>
    </row>
    <row r="2158" spans="1:14" x14ac:dyDescent="0.35">
      <c r="A2158" s="7" t="s">
        <v>3506</v>
      </c>
      <c r="B2158" s="7" t="s">
        <v>123</v>
      </c>
      <c r="C2158" s="7" t="s">
        <v>124</v>
      </c>
      <c r="D2158" s="7" t="s">
        <v>40</v>
      </c>
      <c r="E2158" s="7" t="s">
        <v>120</v>
      </c>
      <c r="F2158" s="7" t="s">
        <v>16</v>
      </c>
      <c r="G2158" s="7" t="s">
        <v>230</v>
      </c>
      <c r="H2158" s="7">
        <v>3</v>
      </c>
      <c r="I2158" s="2">
        <v>194.3</v>
      </c>
      <c r="J2158" s="2">
        <f>Tabla2[[#This Row],[Quantity]]*I2158</f>
        <v>582.90000000000009</v>
      </c>
      <c r="K2158" s="6">
        <f>MONTH(Tabla2[[#This Row],[OrderDate]])</f>
        <v>4</v>
      </c>
      <c r="L2158" s="6">
        <f>YEAR(Tabla2[[#This Row],[OrderDate]])</f>
        <v>2024</v>
      </c>
      <c r="M2158" s="7" t="s">
        <v>2327</v>
      </c>
      <c r="N2158" s="7" t="s">
        <v>19</v>
      </c>
    </row>
    <row r="2159" spans="1:14" x14ac:dyDescent="0.35">
      <c r="A2159" s="7" t="s">
        <v>3507</v>
      </c>
      <c r="B2159" s="7" t="s">
        <v>380</v>
      </c>
      <c r="C2159" s="7" t="s">
        <v>381</v>
      </c>
      <c r="D2159" s="7" t="s">
        <v>23</v>
      </c>
      <c r="E2159" s="7" t="s">
        <v>49</v>
      </c>
      <c r="F2159" s="7" t="s">
        <v>101</v>
      </c>
      <c r="G2159" s="7" t="s">
        <v>373</v>
      </c>
      <c r="H2159" s="7">
        <v>4</v>
      </c>
      <c r="I2159" s="2">
        <v>1032.18</v>
      </c>
      <c r="J2159" s="2">
        <f>Tabla2[[#This Row],[Quantity]]*I2159</f>
        <v>4128.72</v>
      </c>
      <c r="K2159" s="6">
        <f>MONTH(Tabla2[[#This Row],[OrderDate]])</f>
        <v>1</v>
      </c>
      <c r="L2159" s="6">
        <f>YEAR(Tabla2[[#This Row],[OrderDate]])</f>
        <v>2025</v>
      </c>
      <c r="M2159" s="7" t="s">
        <v>1603</v>
      </c>
      <c r="N2159" s="7" t="s">
        <v>36</v>
      </c>
    </row>
    <row r="2160" spans="1:14" x14ac:dyDescent="0.35">
      <c r="A2160" s="7" t="s">
        <v>3508</v>
      </c>
      <c r="B2160" s="7" t="s">
        <v>936</v>
      </c>
      <c r="C2160" s="7" t="s">
        <v>937</v>
      </c>
      <c r="D2160" s="7" t="s">
        <v>40</v>
      </c>
      <c r="E2160" s="7" t="s">
        <v>79</v>
      </c>
      <c r="F2160" s="7" t="s">
        <v>42</v>
      </c>
      <c r="G2160" s="7" t="s">
        <v>80</v>
      </c>
      <c r="H2160" s="7">
        <v>2</v>
      </c>
      <c r="I2160" s="2">
        <v>1243.9100000000001</v>
      </c>
      <c r="J2160" s="2">
        <f>Tabla2[[#This Row],[Quantity]]*I2160</f>
        <v>2487.8200000000002</v>
      </c>
      <c r="K2160" s="6">
        <f>MONTH(Tabla2[[#This Row],[OrderDate]])</f>
        <v>11</v>
      </c>
      <c r="L2160" s="6">
        <f>YEAR(Tabla2[[#This Row],[OrderDate]])</f>
        <v>2024</v>
      </c>
      <c r="M2160" s="7" t="s">
        <v>1805</v>
      </c>
      <c r="N2160" s="7" t="s">
        <v>19</v>
      </c>
    </row>
    <row r="2161" spans="1:14" x14ac:dyDescent="0.35">
      <c r="A2161" s="7" t="s">
        <v>3509</v>
      </c>
      <c r="B2161" s="7" t="s">
        <v>1340</v>
      </c>
      <c r="C2161" s="7" t="s">
        <v>1341</v>
      </c>
      <c r="D2161" s="7" t="s">
        <v>32</v>
      </c>
      <c r="E2161" s="7" t="s">
        <v>33</v>
      </c>
      <c r="F2161" s="7" t="s">
        <v>25</v>
      </c>
      <c r="G2161" s="7" t="s">
        <v>26</v>
      </c>
      <c r="H2161" s="7">
        <v>3</v>
      </c>
      <c r="I2161" s="2">
        <v>545.07000000000005</v>
      </c>
      <c r="J2161" s="2">
        <f>Tabla2[[#This Row],[Quantity]]*I2161</f>
        <v>1635.21</v>
      </c>
      <c r="K2161" s="6">
        <f>MONTH(Tabla2[[#This Row],[OrderDate]])</f>
        <v>4</v>
      </c>
      <c r="L2161" s="6">
        <f>YEAR(Tabla2[[#This Row],[OrderDate]])</f>
        <v>2025</v>
      </c>
      <c r="M2161" s="7" t="s">
        <v>1217</v>
      </c>
      <c r="N2161" s="7" t="s">
        <v>28</v>
      </c>
    </row>
    <row r="2162" spans="1:14" x14ac:dyDescent="0.35">
      <c r="A2162" s="7" t="s">
        <v>3510</v>
      </c>
      <c r="B2162" s="7" t="s">
        <v>348</v>
      </c>
      <c r="C2162" s="7" t="s">
        <v>349</v>
      </c>
      <c r="D2162" s="7" t="s">
        <v>14</v>
      </c>
      <c r="E2162" s="7" t="s">
        <v>266</v>
      </c>
      <c r="F2162" s="7" t="s">
        <v>25</v>
      </c>
      <c r="G2162" s="7" t="s">
        <v>62</v>
      </c>
      <c r="H2162" s="7">
        <v>5</v>
      </c>
      <c r="I2162" s="2">
        <v>613.97</v>
      </c>
      <c r="J2162" s="2">
        <f>Tabla2[[#This Row],[Quantity]]*I2162</f>
        <v>3069.8500000000004</v>
      </c>
      <c r="K2162" s="6">
        <f>MONTH(Tabla2[[#This Row],[OrderDate]])</f>
        <v>8</v>
      </c>
      <c r="L2162" s="6">
        <f>YEAR(Tabla2[[#This Row],[OrderDate]])</f>
        <v>2024</v>
      </c>
      <c r="M2162" s="7" t="s">
        <v>1974</v>
      </c>
      <c r="N2162" s="7" t="s">
        <v>91</v>
      </c>
    </row>
    <row r="2163" spans="1:14" x14ac:dyDescent="0.35">
      <c r="A2163" s="7" t="s">
        <v>3511</v>
      </c>
      <c r="B2163" s="7" t="s">
        <v>779</v>
      </c>
      <c r="C2163" s="7" t="s">
        <v>780</v>
      </c>
      <c r="D2163" s="7" t="s">
        <v>40</v>
      </c>
      <c r="E2163" s="7" t="s">
        <v>41</v>
      </c>
      <c r="F2163" s="7" t="s">
        <v>42</v>
      </c>
      <c r="G2163" s="7" t="s">
        <v>225</v>
      </c>
      <c r="H2163" s="7">
        <v>3</v>
      </c>
      <c r="I2163" s="2">
        <v>49.85</v>
      </c>
      <c r="J2163" s="2">
        <f>Tabla2[[#This Row],[Quantity]]*I2163</f>
        <v>149.55000000000001</v>
      </c>
      <c r="K2163" s="6">
        <f>MONTH(Tabla2[[#This Row],[OrderDate]])</f>
        <v>12</v>
      </c>
      <c r="L2163" s="6">
        <f>YEAR(Tabla2[[#This Row],[OrderDate]])</f>
        <v>2024</v>
      </c>
      <c r="M2163" s="7" t="s">
        <v>781</v>
      </c>
      <c r="N2163" s="7" t="s">
        <v>36</v>
      </c>
    </row>
    <row r="2164" spans="1:14" x14ac:dyDescent="0.35">
      <c r="A2164" s="7" t="s">
        <v>3512</v>
      </c>
      <c r="B2164" s="7" t="s">
        <v>1018</v>
      </c>
      <c r="C2164" s="7" t="s">
        <v>1019</v>
      </c>
      <c r="D2164" s="7" t="s">
        <v>32</v>
      </c>
      <c r="E2164" s="7" t="s">
        <v>33</v>
      </c>
      <c r="F2164" s="7" t="s">
        <v>16</v>
      </c>
      <c r="G2164" s="7" t="s">
        <v>230</v>
      </c>
      <c r="H2164" s="7">
        <v>1</v>
      </c>
      <c r="I2164" s="2">
        <v>185.3</v>
      </c>
      <c r="J2164" s="2">
        <f>Tabla2[[#This Row],[Quantity]]*I2164</f>
        <v>185.3</v>
      </c>
      <c r="K2164" s="6">
        <f>MONTH(Tabla2[[#This Row],[OrderDate]])</f>
        <v>10</v>
      </c>
      <c r="L2164" s="6">
        <f>YEAR(Tabla2[[#This Row],[OrderDate]])</f>
        <v>2024</v>
      </c>
      <c r="M2164" s="7" t="s">
        <v>400</v>
      </c>
      <c r="N2164" s="7" t="s">
        <v>36</v>
      </c>
    </row>
    <row r="2165" spans="1:14" x14ac:dyDescent="0.35">
      <c r="A2165" s="7" t="s">
        <v>3513</v>
      </c>
      <c r="B2165" s="7" t="s">
        <v>820</v>
      </c>
      <c r="C2165" s="7" t="s">
        <v>821</v>
      </c>
      <c r="D2165" s="7" t="s">
        <v>67</v>
      </c>
      <c r="E2165" s="7" t="s">
        <v>130</v>
      </c>
      <c r="F2165" s="7" t="s">
        <v>16</v>
      </c>
      <c r="G2165" s="7" t="s">
        <v>230</v>
      </c>
      <c r="H2165" s="7">
        <v>4</v>
      </c>
      <c r="I2165" s="2">
        <v>1324.79</v>
      </c>
      <c r="J2165" s="2">
        <f>Tabla2[[#This Row],[Quantity]]*I2165</f>
        <v>5299.16</v>
      </c>
      <c r="K2165" s="6">
        <f>MONTH(Tabla2[[#This Row],[OrderDate]])</f>
        <v>10</v>
      </c>
      <c r="L2165" s="6">
        <f>YEAR(Tabla2[[#This Row],[OrderDate]])</f>
        <v>2024</v>
      </c>
      <c r="M2165" s="7" t="s">
        <v>2111</v>
      </c>
      <c r="N2165" s="7" t="s">
        <v>45</v>
      </c>
    </row>
    <row r="2166" spans="1:14" x14ac:dyDescent="0.35">
      <c r="A2166" s="7" t="s">
        <v>3514</v>
      </c>
      <c r="B2166" s="7" t="s">
        <v>240</v>
      </c>
      <c r="C2166" s="7" t="s">
        <v>241</v>
      </c>
      <c r="D2166" s="7" t="s">
        <v>40</v>
      </c>
      <c r="E2166" s="7" t="s">
        <v>41</v>
      </c>
      <c r="F2166" s="7" t="s">
        <v>101</v>
      </c>
      <c r="G2166" s="7" t="s">
        <v>237</v>
      </c>
      <c r="H2166" s="7">
        <v>4</v>
      </c>
      <c r="I2166" s="2">
        <v>1024.74</v>
      </c>
      <c r="J2166" s="2">
        <f>Tabla2[[#This Row],[Quantity]]*I2166</f>
        <v>4098.96</v>
      </c>
      <c r="K2166" s="6">
        <f>MONTH(Tabla2[[#This Row],[OrderDate]])</f>
        <v>4</v>
      </c>
      <c r="L2166" s="6">
        <f>YEAR(Tabla2[[#This Row],[OrderDate]])</f>
        <v>2025</v>
      </c>
      <c r="M2166" s="7" t="s">
        <v>1397</v>
      </c>
      <c r="N2166" s="7" t="s">
        <v>45</v>
      </c>
    </row>
    <row r="2167" spans="1:14" x14ac:dyDescent="0.35">
      <c r="A2167" s="7" t="s">
        <v>3515</v>
      </c>
      <c r="B2167" s="7" t="s">
        <v>21</v>
      </c>
      <c r="C2167" s="7" t="s">
        <v>22</v>
      </c>
      <c r="D2167" s="7" t="s">
        <v>67</v>
      </c>
      <c r="E2167" s="7" t="s">
        <v>115</v>
      </c>
      <c r="F2167" s="7" t="s">
        <v>25</v>
      </c>
      <c r="G2167" s="7" t="s">
        <v>74</v>
      </c>
      <c r="H2167" s="7">
        <v>4</v>
      </c>
      <c r="I2167" s="2">
        <v>522.70000000000005</v>
      </c>
      <c r="J2167" s="2">
        <f>Tabla2[[#This Row],[Quantity]]*I2167</f>
        <v>2090.8000000000002</v>
      </c>
      <c r="K2167" s="6">
        <f>MONTH(Tabla2[[#This Row],[OrderDate]])</f>
        <v>2</v>
      </c>
      <c r="L2167" s="6">
        <f>YEAR(Tabla2[[#This Row],[OrderDate]])</f>
        <v>2025</v>
      </c>
      <c r="M2167" s="7" t="s">
        <v>103</v>
      </c>
      <c r="N2167" s="7" t="s">
        <v>91</v>
      </c>
    </row>
    <row r="2168" spans="1:14" x14ac:dyDescent="0.35">
      <c r="A2168" s="7" t="s">
        <v>3516</v>
      </c>
      <c r="B2168" s="7" t="s">
        <v>1137</v>
      </c>
      <c r="C2168" s="7" t="s">
        <v>1138</v>
      </c>
      <c r="D2168" s="7" t="s">
        <v>14</v>
      </c>
      <c r="E2168" s="7" t="s">
        <v>100</v>
      </c>
      <c r="F2168" s="7" t="s">
        <v>101</v>
      </c>
      <c r="G2168" s="7" t="s">
        <v>649</v>
      </c>
      <c r="H2168" s="7">
        <v>3</v>
      </c>
      <c r="I2168" s="2">
        <v>1460.14</v>
      </c>
      <c r="J2168" s="2">
        <f>Tabla2[[#This Row],[Quantity]]*I2168</f>
        <v>4380.42</v>
      </c>
      <c r="K2168" s="6">
        <f>MONTH(Tabla2[[#This Row],[OrderDate]])</f>
        <v>9</v>
      </c>
      <c r="L2168" s="6">
        <f>YEAR(Tabla2[[#This Row],[OrderDate]])</f>
        <v>2024</v>
      </c>
      <c r="M2168" s="7" t="s">
        <v>1847</v>
      </c>
      <c r="N2168" s="7" t="s">
        <v>28</v>
      </c>
    </row>
    <row r="2169" spans="1:14" x14ac:dyDescent="0.35">
      <c r="A2169" s="7" t="s">
        <v>3517</v>
      </c>
      <c r="B2169" s="7" t="s">
        <v>1428</v>
      </c>
      <c r="C2169" s="7" t="s">
        <v>1429</v>
      </c>
      <c r="D2169" s="7" t="s">
        <v>40</v>
      </c>
      <c r="E2169" s="7" t="s">
        <v>79</v>
      </c>
      <c r="F2169" s="7" t="s">
        <v>101</v>
      </c>
      <c r="G2169" s="7" t="s">
        <v>102</v>
      </c>
      <c r="H2169" s="7">
        <v>4</v>
      </c>
      <c r="I2169" s="2">
        <v>876.69</v>
      </c>
      <c r="J2169" s="2">
        <f>Tabla2[[#This Row],[Quantity]]*I2169</f>
        <v>3506.76</v>
      </c>
      <c r="K2169" s="6">
        <f>MONTH(Tabla2[[#This Row],[OrderDate]])</f>
        <v>10</v>
      </c>
      <c r="L2169" s="6">
        <f>YEAR(Tabla2[[#This Row],[OrderDate]])</f>
        <v>2024</v>
      </c>
      <c r="M2169" s="7" t="s">
        <v>1256</v>
      </c>
      <c r="N2169" s="7" t="s">
        <v>28</v>
      </c>
    </row>
    <row r="2170" spans="1:14" x14ac:dyDescent="0.35">
      <c r="A2170" s="7" t="s">
        <v>3518</v>
      </c>
      <c r="B2170" s="7" t="s">
        <v>801</v>
      </c>
      <c r="C2170" s="7" t="s">
        <v>802</v>
      </c>
      <c r="D2170" s="7" t="s">
        <v>40</v>
      </c>
      <c r="E2170" s="7" t="s">
        <v>120</v>
      </c>
      <c r="F2170" s="7" t="s">
        <v>25</v>
      </c>
      <c r="G2170" s="7" t="s">
        <v>62</v>
      </c>
      <c r="H2170" s="7">
        <v>1</v>
      </c>
      <c r="I2170" s="2">
        <v>310.83999999999997</v>
      </c>
      <c r="J2170" s="2">
        <f>Tabla2[[#This Row],[Quantity]]*I2170</f>
        <v>310.83999999999997</v>
      </c>
      <c r="K2170" s="6">
        <f>MONTH(Tabla2[[#This Row],[OrderDate]])</f>
        <v>2</v>
      </c>
      <c r="L2170" s="6">
        <f>YEAR(Tabla2[[#This Row],[OrderDate]])</f>
        <v>2026</v>
      </c>
      <c r="M2170" s="7" t="s">
        <v>2301</v>
      </c>
      <c r="N2170" s="7" t="s">
        <v>36</v>
      </c>
    </row>
    <row r="2171" spans="1:14" x14ac:dyDescent="0.35">
      <c r="A2171" s="7" t="s">
        <v>3519</v>
      </c>
      <c r="B2171" s="7" t="s">
        <v>252</v>
      </c>
      <c r="C2171" s="7" t="s">
        <v>253</v>
      </c>
      <c r="D2171" s="7" t="s">
        <v>32</v>
      </c>
      <c r="E2171" s="7" t="s">
        <v>203</v>
      </c>
      <c r="F2171" s="7" t="s">
        <v>101</v>
      </c>
      <c r="G2171" s="7" t="s">
        <v>102</v>
      </c>
      <c r="H2171" s="7">
        <v>1</v>
      </c>
      <c r="I2171" s="2">
        <v>158.83000000000001</v>
      </c>
      <c r="J2171" s="2">
        <f>Tabla2[[#This Row],[Quantity]]*I2171</f>
        <v>158.83000000000001</v>
      </c>
      <c r="K2171" s="6">
        <f>MONTH(Tabla2[[#This Row],[OrderDate]])</f>
        <v>5</v>
      </c>
      <c r="L2171" s="6">
        <f>YEAR(Tabla2[[#This Row],[OrderDate]])</f>
        <v>2025</v>
      </c>
      <c r="M2171" s="7" t="s">
        <v>250</v>
      </c>
      <c r="N2171" s="7" t="s">
        <v>45</v>
      </c>
    </row>
    <row r="2172" spans="1:14" x14ac:dyDescent="0.35">
      <c r="A2172" s="7" t="s">
        <v>3520</v>
      </c>
      <c r="B2172" s="7" t="s">
        <v>1516</v>
      </c>
      <c r="C2172" s="7" t="s">
        <v>1517</v>
      </c>
      <c r="D2172" s="7" t="s">
        <v>32</v>
      </c>
      <c r="E2172" s="7" t="s">
        <v>61</v>
      </c>
      <c r="F2172" s="7" t="s">
        <v>25</v>
      </c>
      <c r="G2172" s="7" t="s">
        <v>62</v>
      </c>
      <c r="H2172" s="7">
        <v>4</v>
      </c>
      <c r="I2172" s="2">
        <v>727.82</v>
      </c>
      <c r="J2172" s="2">
        <f>Tabla2[[#This Row],[Quantity]]*I2172</f>
        <v>2911.28</v>
      </c>
      <c r="K2172" s="6">
        <f>MONTH(Tabla2[[#This Row],[OrderDate]])</f>
        <v>7</v>
      </c>
      <c r="L2172" s="6">
        <f>YEAR(Tabla2[[#This Row],[OrderDate]])</f>
        <v>2025</v>
      </c>
      <c r="M2172" s="7" t="s">
        <v>1382</v>
      </c>
      <c r="N2172" s="7" t="s">
        <v>28</v>
      </c>
    </row>
    <row r="2173" spans="1:14" x14ac:dyDescent="0.35">
      <c r="A2173" s="7" t="s">
        <v>3521</v>
      </c>
      <c r="B2173" s="7" t="s">
        <v>299</v>
      </c>
      <c r="C2173" s="7" t="s">
        <v>300</v>
      </c>
      <c r="D2173" s="7" t="s">
        <v>40</v>
      </c>
      <c r="E2173" s="7" t="s">
        <v>79</v>
      </c>
      <c r="F2173" s="7" t="s">
        <v>50</v>
      </c>
      <c r="G2173" s="7" t="s">
        <v>51</v>
      </c>
      <c r="H2173" s="7">
        <v>4</v>
      </c>
      <c r="I2173" s="2">
        <v>1270.8900000000001</v>
      </c>
      <c r="J2173" s="2">
        <f>Tabla2[[#This Row],[Quantity]]*I2173</f>
        <v>5083.5600000000004</v>
      </c>
      <c r="K2173" s="6">
        <f>MONTH(Tabla2[[#This Row],[OrderDate]])</f>
        <v>7</v>
      </c>
      <c r="L2173" s="6">
        <f>YEAR(Tabla2[[#This Row],[OrderDate]])</f>
        <v>2025</v>
      </c>
      <c r="M2173" s="7" t="s">
        <v>783</v>
      </c>
      <c r="N2173" s="7" t="s">
        <v>91</v>
      </c>
    </row>
    <row r="2174" spans="1:14" x14ac:dyDescent="0.35">
      <c r="A2174" s="7" t="s">
        <v>3522</v>
      </c>
      <c r="B2174" s="7" t="s">
        <v>751</v>
      </c>
      <c r="C2174" s="7" t="s">
        <v>752</v>
      </c>
      <c r="D2174" s="7" t="s">
        <v>23</v>
      </c>
      <c r="E2174" s="7" t="s">
        <v>24</v>
      </c>
      <c r="F2174" s="7" t="s">
        <v>101</v>
      </c>
      <c r="G2174" s="7" t="s">
        <v>373</v>
      </c>
      <c r="H2174" s="7">
        <v>1</v>
      </c>
      <c r="I2174" s="2">
        <v>477.43</v>
      </c>
      <c r="J2174" s="2">
        <f>Tabla2[[#This Row],[Quantity]]*I2174</f>
        <v>477.43</v>
      </c>
      <c r="K2174" s="6">
        <f>MONTH(Tabla2[[#This Row],[OrderDate]])</f>
        <v>4</v>
      </c>
      <c r="L2174" s="6">
        <f>YEAR(Tabla2[[#This Row],[OrderDate]])</f>
        <v>2025</v>
      </c>
      <c r="M2174" s="7" t="s">
        <v>1635</v>
      </c>
      <c r="N2174" s="7" t="s">
        <v>91</v>
      </c>
    </row>
    <row r="2175" spans="1:14" x14ac:dyDescent="0.35">
      <c r="A2175" s="7" t="s">
        <v>3523</v>
      </c>
      <c r="B2175" s="7" t="s">
        <v>1153</v>
      </c>
      <c r="C2175" s="7" t="s">
        <v>1154</v>
      </c>
      <c r="D2175" s="7" t="s">
        <v>14</v>
      </c>
      <c r="E2175" s="7" t="s">
        <v>266</v>
      </c>
      <c r="F2175" s="7" t="s">
        <v>25</v>
      </c>
      <c r="G2175" s="7" t="s">
        <v>34</v>
      </c>
      <c r="H2175" s="7">
        <v>1</v>
      </c>
      <c r="I2175" s="2">
        <v>1453.62</v>
      </c>
      <c r="J2175" s="2">
        <f>Tabla2[[#This Row],[Quantity]]*I2175</f>
        <v>1453.62</v>
      </c>
      <c r="K2175" s="6">
        <f>MONTH(Tabla2[[#This Row],[OrderDate]])</f>
        <v>10</v>
      </c>
      <c r="L2175" s="6">
        <f>YEAR(Tabla2[[#This Row],[OrderDate]])</f>
        <v>2025</v>
      </c>
      <c r="M2175" s="7" t="s">
        <v>3524</v>
      </c>
      <c r="N2175" s="7" t="s">
        <v>19</v>
      </c>
    </row>
    <row r="2176" spans="1:14" x14ac:dyDescent="0.35">
      <c r="A2176" s="7" t="s">
        <v>3525</v>
      </c>
      <c r="B2176" s="7" t="s">
        <v>1066</v>
      </c>
      <c r="C2176" s="7" t="s">
        <v>1067</v>
      </c>
      <c r="D2176" s="7" t="s">
        <v>14</v>
      </c>
      <c r="E2176" s="7" t="s">
        <v>15</v>
      </c>
      <c r="F2176" s="7" t="s">
        <v>16</v>
      </c>
      <c r="G2176" s="7" t="s">
        <v>148</v>
      </c>
      <c r="H2176" s="7">
        <v>3</v>
      </c>
      <c r="I2176" s="2">
        <v>984.02</v>
      </c>
      <c r="J2176" s="2">
        <f>Tabla2[[#This Row],[Quantity]]*I2176</f>
        <v>2952.06</v>
      </c>
      <c r="K2176" s="6">
        <f>MONTH(Tabla2[[#This Row],[OrderDate]])</f>
        <v>9</v>
      </c>
      <c r="L2176" s="6">
        <f>YEAR(Tabla2[[#This Row],[OrderDate]])</f>
        <v>2024</v>
      </c>
      <c r="M2176" s="7" t="s">
        <v>2648</v>
      </c>
      <c r="N2176" s="7" t="s">
        <v>36</v>
      </c>
    </row>
    <row r="2177" spans="1:14" x14ac:dyDescent="0.35">
      <c r="A2177" s="7" t="s">
        <v>3526</v>
      </c>
      <c r="B2177" s="7" t="s">
        <v>1042</v>
      </c>
      <c r="C2177" s="7" t="s">
        <v>1043</v>
      </c>
      <c r="D2177" s="7" t="s">
        <v>40</v>
      </c>
      <c r="E2177" s="7" t="s">
        <v>79</v>
      </c>
      <c r="F2177" s="7" t="s">
        <v>16</v>
      </c>
      <c r="G2177" s="7" t="s">
        <v>17</v>
      </c>
      <c r="H2177" s="7">
        <v>5</v>
      </c>
      <c r="I2177" s="2">
        <v>447.2</v>
      </c>
      <c r="J2177" s="2">
        <f>Tabla2[[#This Row],[Quantity]]*I2177</f>
        <v>2236</v>
      </c>
      <c r="K2177" s="6">
        <f>MONTH(Tabla2[[#This Row],[OrderDate]])</f>
        <v>10</v>
      </c>
      <c r="L2177" s="6">
        <f>YEAR(Tabla2[[#This Row],[OrderDate]])</f>
        <v>2025</v>
      </c>
      <c r="M2177" s="7" t="s">
        <v>1098</v>
      </c>
      <c r="N2177" s="7" t="s">
        <v>19</v>
      </c>
    </row>
    <row r="2178" spans="1:14" x14ac:dyDescent="0.35">
      <c r="A2178" s="7" t="s">
        <v>3527</v>
      </c>
      <c r="B2178" s="7" t="s">
        <v>193</v>
      </c>
      <c r="C2178" s="7" t="s">
        <v>194</v>
      </c>
      <c r="D2178" s="7" t="s">
        <v>40</v>
      </c>
      <c r="E2178" s="7" t="s">
        <v>41</v>
      </c>
      <c r="F2178" s="7" t="s">
        <v>16</v>
      </c>
      <c r="G2178" s="7" t="s">
        <v>230</v>
      </c>
      <c r="H2178" s="7">
        <v>4</v>
      </c>
      <c r="I2178" s="2">
        <v>440.28</v>
      </c>
      <c r="J2178" s="2">
        <f>Tabla2[[#This Row],[Quantity]]*I2178</f>
        <v>1761.12</v>
      </c>
      <c r="K2178" s="6">
        <f>MONTH(Tabla2[[#This Row],[OrderDate]])</f>
        <v>4</v>
      </c>
      <c r="L2178" s="6">
        <f>YEAR(Tabla2[[#This Row],[OrderDate]])</f>
        <v>2025</v>
      </c>
      <c r="M2178" s="7" t="s">
        <v>1905</v>
      </c>
      <c r="N2178" s="7" t="s">
        <v>91</v>
      </c>
    </row>
    <row r="2179" spans="1:14" x14ac:dyDescent="0.35">
      <c r="A2179" s="7" t="s">
        <v>3528</v>
      </c>
      <c r="B2179" s="7" t="s">
        <v>901</v>
      </c>
      <c r="C2179" s="7" t="s">
        <v>902</v>
      </c>
      <c r="D2179" s="7" t="s">
        <v>67</v>
      </c>
      <c r="E2179" s="7" t="s">
        <v>115</v>
      </c>
      <c r="F2179" s="7" t="s">
        <v>101</v>
      </c>
      <c r="G2179" s="7" t="s">
        <v>237</v>
      </c>
      <c r="H2179" s="7">
        <v>5</v>
      </c>
      <c r="I2179" s="2">
        <v>1003.53</v>
      </c>
      <c r="J2179" s="2">
        <f>Tabla2[[#This Row],[Quantity]]*I2179</f>
        <v>5017.6499999999996</v>
      </c>
      <c r="K2179" s="6">
        <f>MONTH(Tabla2[[#This Row],[OrderDate]])</f>
        <v>8</v>
      </c>
      <c r="L2179" s="6">
        <f>YEAR(Tabla2[[#This Row],[OrderDate]])</f>
        <v>2025</v>
      </c>
      <c r="M2179" s="7" t="s">
        <v>1161</v>
      </c>
      <c r="N2179" s="7" t="s">
        <v>36</v>
      </c>
    </row>
    <row r="2180" spans="1:14" x14ac:dyDescent="0.35">
      <c r="A2180" s="7" t="s">
        <v>3529</v>
      </c>
      <c r="B2180" s="7" t="s">
        <v>429</v>
      </c>
      <c r="C2180" s="7" t="s">
        <v>430</v>
      </c>
      <c r="D2180" s="7" t="s">
        <v>40</v>
      </c>
      <c r="E2180" s="7" t="s">
        <v>120</v>
      </c>
      <c r="F2180" s="7" t="s">
        <v>101</v>
      </c>
      <c r="G2180" s="7" t="s">
        <v>649</v>
      </c>
      <c r="H2180" s="7">
        <v>5</v>
      </c>
      <c r="I2180" s="2">
        <v>401.73</v>
      </c>
      <c r="J2180" s="2">
        <f>Tabla2[[#This Row],[Quantity]]*I2180</f>
        <v>2008.65</v>
      </c>
      <c r="K2180" s="6">
        <f>MONTH(Tabla2[[#This Row],[OrderDate]])</f>
        <v>4</v>
      </c>
      <c r="L2180" s="6">
        <f>YEAR(Tabla2[[#This Row],[OrderDate]])</f>
        <v>2025</v>
      </c>
      <c r="M2180" s="7" t="s">
        <v>490</v>
      </c>
      <c r="N2180" s="7" t="s">
        <v>36</v>
      </c>
    </row>
    <row r="2181" spans="1:14" x14ac:dyDescent="0.35">
      <c r="A2181" s="7" t="s">
        <v>3530</v>
      </c>
      <c r="B2181" s="7" t="s">
        <v>201</v>
      </c>
      <c r="C2181" s="7" t="s">
        <v>202</v>
      </c>
      <c r="D2181" s="7" t="s">
        <v>32</v>
      </c>
      <c r="E2181" s="7" t="s">
        <v>61</v>
      </c>
      <c r="F2181" s="7" t="s">
        <v>101</v>
      </c>
      <c r="G2181" s="7" t="s">
        <v>165</v>
      </c>
      <c r="H2181" s="7">
        <v>3</v>
      </c>
      <c r="I2181" s="2">
        <v>1304.3699999999999</v>
      </c>
      <c r="J2181" s="2">
        <f>Tabla2[[#This Row],[Quantity]]*I2181</f>
        <v>3913.1099999999997</v>
      </c>
      <c r="K2181" s="6">
        <f>MONTH(Tabla2[[#This Row],[OrderDate]])</f>
        <v>12</v>
      </c>
      <c r="L2181" s="6">
        <f>YEAR(Tabla2[[#This Row],[OrderDate]])</f>
        <v>2024</v>
      </c>
      <c r="M2181" s="7" t="s">
        <v>3051</v>
      </c>
      <c r="N2181" s="7" t="s">
        <v>45</v>
      </c>
    </row>
    <row r="2182" spans="1:14" x14ac:dyDescent="0.35">
      <c r="A2182" s="7" t="s">
        <v>3531</v>
      </c>
      <c r="B2182" s="7" t="s">
        <v>1131</v>
      </c>
      <c r="C2182" s="7" t="s">
        <v>1132</v>
      </c>
      <c r="D2182" s="7" t="s">
        <v>40</v>
      </c>
      <c r="E2182" s="7" t="s">
        <v>41</v>
      </c>
      <c r="F2182" s="7" t="s">
        <v>16</v>
      </c>
      <c r="G2182" s="7" t="s">
        <v>177</v>
      </c>
      <c r="H2182" s="7">
        <v>5</v>
      </c>
      <c r="I2182" s="2">
        <v>1192.28</v>
      </c>
      <c r="J2182" s="2">
        <f>Tabla2[[#This Row],[Quantity]]*I2182</f>
        <v>5961.4</v>
      </c>
      <c r="K2182" s="6">
        <f>MONTH(Tabla2[[#This Row],[OrderDate]])</f>
        <v>10</v>
      </c>
      <c r="L2182" s="6">
        <f>YEAR(Tabla2[[#This Row],[OrderDate]])</f>
        <v>2025</v>
      </c>
      <c r="M2182" s="7" t="s">
        <v>1540</v>
      </c>
      <c r="N2182" s="7" t="s">
        <v>28</v>
      </c>
    </row>
    <row r="2183" spans="1:14" x14ac:dyDescent="0.35">
      <c r="A2183" s="7" t="s">
        <v>3532</v>
      </c>
      <c r="B2183" s="7" t="s">
        <v>1346</v>
      </c>
      <c r="C2183" s="7" t="s">
        <v>1347</v>
      </c>
      <c r="D2183" s="7" t="s">
        <v>40</v>
      </c>
      <c r="E2183" s="7" t="s">
        <v>79</v>
      </c>
      <c r="F2183" s="7" t="s">
        <v>16</v>
      </c>
      <c r="G2183" s="7" t="s">
        <v>177</v>
      </c>
      <c r="H2183" s="7">
        <v>2</v>
      </c>
      <c r="I2183" s="2">
        <v>946.03</v>
      </c>
      <c r="J2183" s="2">
        <f>Tabla2[[#This Row],[Quantity]]*I2183</f>
        <v>1892.06</v>
      </c>
      <c r="K2183" s="6">
        <f>MONTH(Tabla2[[#This Row],[OrderDate]])</f>
        <v>10</v>
      </c>
      <c r="L2183" s="6">
        <f>YEAR(Tabla2[[#This Row],[OrderDate]])</f>
        <v>2024</v>
      </c>
      <c r="M2183" s="7" t="s">
        <v>2140</v>
      </c>
      <c r="N2183" s="7" t="s">
        <v>91</v>
      </c>
    </row>
    <row r="2184" spans="1:14" x14ac:dyDescent="0.35">
      <c r="A2184" s="7" t="s">
        <v>3533</v>
      </c>
      <c r="B2184" s="7" t="s">
        <v>832</v>
      </c>
      <c r="C2184" s="7" t="s">
        <v>833</v>
      </c>
      <c r="D2184" s="7" t="s">
        <v>67</v>
      </c>
      <c r="E2184" s="7" t="s">
        <v>115</v>
      </c>
      <c r="F2184" s="7" t="s">
        <v>25</v>
      </c>
      <c r="G2184" s="7" t="s">
        <v>62</v>
      </c>
      <c r="H2184" s="7">
        <v>3</v>
      </c>
      <c r="I2184" s="2">
        <v>353.82</v>
      </c>
      <c r="J2184" s="2">
        <f>Tabla2[[#This Row],[Quantity]]*I2184</f>
        <v>1061.46</v>
      </c>
      <c r="K2184" s="6">
        <f>MONTH(Tabla2[[#This Row],[OrderDate]])</f>
        <v>8</v>
      </c>
      <c r="L2184" s="6">
        <f>YEAR(Tabla2[[#This Row],[OrderDate]])</f>
        <v>2025</v>
      </c>
      <c r="M2184" s="7" t="s">
        <v>1350</v>
      </c>
      <c r="N2184" s="7" t="s">
        <v>45</v>
      </c>
    </row>
    <row r="2185" spans="1:14" x14ac:dyDescent="0.35">
      <c r="A2185" s="7" t="s">
        <v>3534</v>
      </c>
      <c r="B2185" s="7" t="s">
        <v>287</v>
      </c>
      <c r="C2185" s="7" t="s">
        <v>288</v>
      </c>
      <c r="D2185" s="7" t="s">
        <v>40</v>
      </c>
      <c r="E2185" s="7" t="s">
        <v>79</v>
      </c>
      <c r="F2185" s="7" t="s">
        <v>101</v>
      </c>
      <c r="G2185" s="7" t="s">
        <v>373</v>
      </c>
      <c r="H2185" s="7">
        <v>2</v>
      </c>
      <c r="I2185" s="2">
        <v>334.8</v>
      </c>
      <c r="J2185" s="2">
        <f>Tabla2[[#This Row],[Quantity]]*I2185</f>
        <v>669.6</v>
      </c>
      <c r="K2185" s="6">
        <f>MONTH(Tabla2[[#This Row],[OrderDate]])</f>
        <v>10</v>
      </c>
      <c r="L2185" s="6">
        <f>YEAR(Tabla2[[#This Row],[OrderDate]])</f>
        <v>2024</v>
      </c>
      <c r="M2185" s="7" t="s">
        <v>954</v>
      </c>
      <c r="N2185" s="7" t="s">
        <v>45</v>
      </c>
    </row>
    <row r="2186" spans="1:14" x14ac:dyDescent="0.35">
      <c r="A2186" s="7" t="s">
        <v>3535</v>
      </c>
      <c r="B2186" s="7" t="s">
        <v>1149</v>
      </c>
      <c r="C2186" s="7" t="s">
        <v>1150</v>
      </c>
      <c r="D2186" s="7" t="s">
        <v>40</v>
      </c>
      <c r="E2186" s="7" t="s">
        <v>41</v>
      </c>
      <c r="F2186" s="7" t="s">
        <v>50</v>
      </c>
      <c r="G2186" s="7" t="s">
        <v>51</v>
      </c>
      <c r="H2186" s="7">
        <v>1</v>
      </c>
      <c r="I2186" s="2">
        <v>273.82</v>
      </c>
      <c r="J2186" s="2">
        <f>Tabla2[[#This Row],[Quantity]]*I2186</f>
        <v>273.82</v>
      </c>
      <c r="K2186" s="6">
        <f>MONTH(Tabla2[[#This Row],[OrderDate]])</f>
        <v>1</v>
      </c>
      <c r="L2186" s="6">
        <f>YEAR(Tabla2[[#This Row],[OrderDate]])</f>
        <v>2024</v>
      </c>
      <c r="M2186" s="7" t="s">
        <v>1841</v>
      </c>
      <c r="N2186" s="7" t="s">
        <v>19</v>
      </c>
    </row>
    <row r="2187" spans="1:14" x14ac:dyDescent="0.35">
      <c r="A2187" s="7" t="s">
        <v>3536</v>
      </c>
      <c r="B2187" s="7" t="s">
        <v>860</v>
      </c>
      <c r="C2187" s="7" t="s">
        <v>861</v>
      </c>
      <c r="D2187" s="7" t="s">
        <v>67</v>
      </c>
      <c r="E2187" s="7" t="s">
        <v>68</v>
      </c>
      <c r="F2187" s="7" t="s">
        <v>42</v>
      </c>
      <c r="G2187" s="7" t="s">
        <v>170</v>
      </c>
      <c r="H2187" s="7">
        <v>5</v>
      </c>
      <c r="I2187" s="2">
        <v>255.33</v>
      </c>
      <c r="J2187" s="2">
        <f>Tabla2[[#This Row],[Quantity]]*I2187</f>
        <v>1276.6500000000001</v>
      </c>
      <c r="K2187" s="6">
        <f>MONTH(Tabla2[[#This Row],[OrderDate]])</f>
        <v>4</v>
      </c>
      <c r="L2187" s="6">
        <f>YEAR(Tabla2[[#This Row],[OrderDate]])</f>
        <v>2025</v>
      </c>
      <c r="M2187" s="7" t="s">
        <v>2198</v>
      </c>
      <c r="N2187" s="7" t="s">
        <v>36</v>
      </c>
    </row>
    <row r="2188" spans="1:14" x14ac:dyDescent="0.35">
      <c r="A2188" s="7" t="s">
        <v>3537</v>
      </c>
      <c r="B2188" s="7" t="s">
        <v>1144</v>
      </c>
      <c r="C2188" s="7" t="s">
        <v>1145</v>
      </c>
      <c r="D2188" s="7" t="s">
        <v>67</v>
      </c>
      <c r="E2188" s="7" t="s">
        <v>68</v>
      </c>
      <c r="F2188" s="7" t="s">
        <v>50</v>
      </c>
      <c r="G2188" s="7" t="s">
        <v>56</v>
      </c>
      <c r="H2188" s="7">
        <v>5</v>
      </c>
      <c r="I2188" s="2">
        <v>499.81</v>
      </c>
      <c r="J2188" s="2">
        <f>Tabla2[[#This Row],[Quantity]]*I2188</f>
        <v>2499.0500000000002</v>
      </c>
      <c r="K2188" s="6">
        <f>MONTH(Tabla2[[#This Row],[OrderDate]])</f>
        <v>1</v>
      </c>
      <c r="L2188" s="6">
        <f>YEAR(Tabla2[[#This Row],[OrderDate]])</f>
        <v>2025</v>
      </c>
      <c r="M2188" s="7" t="s">
        <v>1949</v>
      </c>
      <c r="N2188" s="7" t="s">
        <v>91</v>
      </c>
    </row>
    <row r="2189" spans="1:14" x14ac:dyDescent="0.35">
      <c r="A2189" s="7" t="s">
        <v>3538</v>
      </c>
      <c r="B2189" s="7" t="s">
        <v>197</v>
      </c>
      <c r="C2189" s="7" t="s">
        <v>198</v>
      </c>
      <c r="D2189" s="7" t="s">
        <v>14</v>
      </c>
      <c r="E2189" s="7" t="s">
        <v>15</v>
      </c>
      <c r="F2189" s="7" t="s">
        <v>42</v>
      </c>
      <c r="G2189" s="7" t="s">
        <v>89</v>
      </c>
      <c r="H2189" s="7">
        <v>4</v>
      </c>
      <c r="I2189" s="2">
        <v>1003.21</v>
      </c>
      <c r="J2189" s="2">
        <f>Tabla2[[#This Row],[Quantity]]*I2189</f>
        <v>4012.84</v>
      </c>
      <c r="K2189" s="6">
        <f>MONTH(Tabla2[[#This Row],[OrderDate]])</f>
        <v>8</v>
      </c>
      <c r="L2189" s="6">
        <f>YEAR(Tabla2[[#This Row],[OrderDate]])</f>
        <v>2025</v>
      </c>
      <c r="M2189" s="7" t="s">
        <v>1737</v>
      </c>
      <c r="N2189" s="7" t="s">
        <v>19</v>
      </c>
    </row>
    <row r="2190" spans="1:14" x14ac:dyDescent="0.35">
      <c r="A2190" s="7" t="s">
        <v>3539</v>
      </c>
      <c r="B2190" s="7" t="s">
        <v>260</v>
      </c>
      <c r="C2190" s="7" t="s">
        <v>261</v>
      </c>
      <c r="D2190" s="7" t="s">
        <v>14</v>
      </c>
      <c r="E2190" s="7" t="s">
        <v>100</v>
      </c>
      <c r="F2190" s="7" t="s">
        <v>42</v>
      </c>
      <c r="G2190" s="7" t="s">
        <v>225</v>
      </c>
      <c r="H2190" s="7">
        <v>3</v>
      </c>
      <c r="I2190" s="2">
        <v>734.3</v>
      </c>
      <c r="J2190" s="2">
        <f>Tabla2[[#This Row],[Quantity]]*I2190</f>
        <v>2202.8999999999996</v>
      </c>
      <c r="K2190" s="6">
        <f>MONTH(Tabla2[[#This Row],[OrderDate]])</f>
        <v>12</v>
      </c>
      <c r="L2190" s="6">
        <f>YEAR(Tabla2[[#This Row],[OrderDate]])</f>
        <v>2024</v>
      </c>
      <c r="M2190" s="7" t="s">
        <v>840</v>
      </c>
      <c r="N2190" s="7" t="s">
        <v>19</v>
      </c>
    </row>
    <row r="2191" spans="1:14" x14ac:dyDescent="0.35">
      <c r="A2191" s="7" t="s">
        <v>3540</v>
      </c>
      <c r="B2191" s="7" t="s">
        <v>771</v>
      </c>
      <c r="C2191" s="7" t="s">
        <v>772</v>
      </c>
      <c r="D2191" s="7" t="s">
        <v>67</v>
      </c>
      <c r="E2191" s="7" t="s">
        <v>68</v>
      </c>
      <c r="F2191" s="7" t="s">
        <v>16</v>
      </c>
      <c r="G2191" s="7" t="s">
        <v>148</v>
      </c>
      <c r="H2191" s="7">
        <v>1</v>
      </c>
      <c r="I2191" s="2">
        <v>727.24</v>
      </c>
      <c r="J2191" s="2">
        <f>Tabla2[[#This Row],[Quantity]]*I2191</f>
        <v>727.24</v>
      </c>
      <c r="K2191" s="6">
        <f>MONTH(Tabla2[[#This Row],[OrderDate]])</f>
        <v>2</v>
      </c>
      <c r="L2191" s="6">
        <f>YEAR(Tabla2[[#This Row],[OrderDate]])</f>
        <v>2026</v>
      </c>
      <c r="M2191" s="7" t="s">
        <v>2439</v>
      </c>
      <c r="N2191" s="7" t="s">
        <v>91</v>
      </c>
    </row>
    <row r="2192" spans="1:14" x14ac:dyDescent="0.35">
      <c r="A2192" s="7" t="s">
        <v>3541</v>
      </c>
      <c r="B2192" s="7" t="s">
        <v>500</v>
      </c>
      <c r="C2192" s="7" t="s">
        <v>501</v>
      </c>
      <c r="D2192" s="7" t="s">
        <v>67</v>
      </c>
      <c r="E2192" s="7" t="s">
        <v>130</v>
      </c>
      <c r="F2192" s="7" t="s">
        <v>25</v>
      </c>
      <c r="G2192" s="7" t="s">
        <v>26</v>
      </c>
      <c r="H2192" s="7">
        <v>3</v>
      </c>
      <c r="I2192" s="2">
        <v>880.84</v>
      </c>
      <c r="J2192" s="2">
        <f>Tabla2[[#This Row],[Quantity]]*I2192</f>
        <v>2642.52</v>
      </c>
      <c r="K2192" s="6">
        <f>MONTH(Tabla2[[#This Row],[OrderDate]])</f>
        <v>9</v>
      </c>
      <c r="L2192" s="6">
        <f>YEAR(Tabla2[[#This Row],[OrderDate]])</f>
        <v>2024</v>
      </c>
      <c r="M2192" s="7" t="s">
        <v>2992</v>
      </c>
      <c r="N2192" s="7" t="s">
        <v>19</v>
      </c>
    </row>
    <row r="2193" spans="1:14" x14ac:dyDescent="0.35">
      <c r="A2193" s="7" t="s">
        <v>3542</v>
      </c>
      <c r="B2193" s="7" t="s">
        <v>363</v>
      </c>
      <c r="C2193" s="7" t="s">
        <v>364</v>
      </c>
      <c r="D2193" s="7" t="s">
        <v>32</v>
      </c>
      <c r="E2193" s="7" t="s">
        <v>203</v>
      </c>
      <c r="F2193" s="7" t="s">
        <v>101</v>
      </c>
      <c r="G2193" s="7" t="s">
        <v>165</v>
      </c>
      <c r="H2193" s="7">
        <v>1</v>
      </c>
      <c r="I2193" s="2">
        <v>1392.53</v>
      </c>
      <c r="J2193" s="2">
        <f>Tabla2[[#This Row],[Quantity]]*I2193</f>
        <v>1392.53</v>
      </c>
      <c r="K2193" s="6">
        <f>MONTH(Tabla2[[#This Row],[OrderDate]])</f>
        <v>1</v>
      </c>
      <c r="L2193" s="6">
        <f>YEAR(Tabla2[[#This Row],[OrderDate]])</f>
        <v>2026</v>
      </c>
      <c r="M2193" s="7" t="s">
        <v>620</v>
      </c>
      <c r="N2193" s="7" t="s">
        <v>36</v>
      </c>
    </row>
    <row r="2194" spans="1:14" x14ac:dyDescent="0.35">
      <c r="A2194" s="7" t="s">
        <v>3543</v>
      </c>
      <c r="B2194" s="7" t="s">
        <v>652</v>
      </c>
      <c r="C2194" s="7" t="s">
        <v>653</v>
      </c>
      <c r="D2194" s="7" t="s">
        <v>23</v>
      </c>
      <c r="E2194" s="7" t="s">
        <v>49</v>
      </c>
      <c r="F2194" s="7" t="s">
        <v>25</v>
      </c>
      <c r="G2194" s="7" t="s">
        <v>34</v>
      </c>
      <c r="H2194" s="7">
        <v>4</v>
      </c>
      <c r="I2194" s="2">
        <v>600.15</v>
      </c>
      <c r="J2194" s="2">
        <f>Tabla2[[#This Row],[Quantity]]*I2194</f>
        <v>2400.6</v>
      </c>
      <c r="K2194" s="6">
        <f>MONTH(Tabla2[[#This Row],[OrderDate]])</f>
        <v>2</v>
      </c>
      <c r="L2194" s="6">
        <f>YEAR(Tabla2[[#This Row],[OrderDate]])</f>
        <v>2024</v>
      </c>
      <c r="M2194" s="7" t="s">
        <v>894</v>
      </c>
      <c r="N2194" s="7" t="s">
        <v>28</v>
      </c>
    </row>
    <row r="2195" spans="1:14" x14ac:dyDescent="0.35">
      <c r="A2195" s="7" t="s">
        <v>3544</v>
      </c>
      <c r="B2195" s="7" t="s">
        <v>791</v>
      </c>
      <c r="C2195" s="7" t="s">
        <v>792</v>
      </c>
      <c r="D2195" s="7" t="s">
        <v>32</v>
      </c>
      <c r="E2195" s="7" t="s">
        <v>61</v>
      </c>
      <c r="F2195" s="7" t="s">
        <v>42</v>
      </c>
      <c r="G2195" s="7" t="s">
        <v>43</v>
      </c>
      <c r="H2195" s="7">
        <v>5</v>
      </c>
      <c r="I2195" s="2">
        <v>156.6</v>
      </c>
      <c r="J2195" s="2">
        <f>Tabla2[[#This Row],[Quantity]]*I2195</f>
        <v>783</v>
      </c>
      <c r="K2195" s="6">
        <f>MONTH(Tabla2[[#This Row],[OrderDate]])</f>
        <v>7</v>
      </c>
      <c r="L2195" s="6">
        <f>YEAR(Tabla2[[#This Row],[OrderDate]])</f>
        <v>2024</v>
      </c>
      <c r="M2195" s="7" t="s">
        <v>2243</v>
      </c>
      <c r="N2195" s="7" t="s">
        <v>19</v>
      </c>
    </row>
    <row r="2196" spans="1:14" x14ac:dyDescent="0.35">
      <c r="A2196" s="7" t="s">
        <v>3545</v>
      </c>
      <c r="B2196" s="7" t="s">
        <v>568</v>
      </c>
      <c r="C2196" s="7" t="s">
        <v>569</v>
      </c>
      <c r="D2196" s="7" t="s">
        <v>67</v>
      </c>
      <c r="E2196" s="7" t="s">
        <v>115</v>
      </c>
      <c r="F2196" s="7" t="s">
        <v>42</v>
      </c>
      <c r="G2196" s="7" t="s">
        <v>225</v>
      </c>
      <c r="H2196" s="7">
        <v>2</v>
      </c>
      <c r="I2196" s="2">
        <v>1384.97</v>
      </c>
      <c r="J2196" s="2">
        <f>Tabla2[[#This Row],[Quantity]]*I2196</f>
        <v>2769.94</v>
      </c>
      <c r="K2196" s="6">
        <f>MONTH(Tabla2[[#This Row],[OrderDate]])</f>
        <v>4</v>
      </c>
      <c r="L2196" s="6">
        <f>YEAR(Tabla2[[#This Row],[OrderDate]])</f>
        <v>2024</v>
      </c>
      <c r="M2196" s="7" t="s">
        <v>226</v>
      </c>
      <c r="N2196" s="7" t="s">
        <v>19</v>
      </c>
    </row>
    <row r="2197" spans="1:14" x14ac:dyDescent="0.35">
      <c r="A2197" s="7" t="s">
        <v>3546</v>
      </c>
      <c r="B2197" s="7" t="s">
        <v>1510</v>
      </c>
      <c r="C2197" s="7" t="s">
        <v>1511</v>
      </c>
      <c r="D2197" s="7" t="s">
        <v>23</v>
      </c>
      <c r="E2197" s="7" t="s">
        <v>338</v>
      </c>
      <c r="F2197" s="7" t="s">
        <v>101</v>
      </c>
      <c r="G2197" s="7" t="s">
        <v>165</v>
      </c>
      <c r="H2197" s="7">
        <v>5</v>
      </c>
      <c r="I2197" s="2">
        <v>123.56</v>
      </c>
      <c r="J2197" s="2">
        <f>Tabla2[[#This Row],[Quantity]]*I2197</f>
        <v>617.79999999999995</v>
      </c>
      <c r="K2197" s="6">
        <f>MONTH(Tabla2[[#This Row],[OrderDate]])</f>
        <v>6</v>
      </c>
      <c r="L2197" s="6">
        <f>YEAR(Tabla2[[#This Row],[OrderDate]])</f>
        <v>2025</v>
      </c>
      <c r="M2197" s="7" t="s">
        <v>1987</v>
      </c>
      <c r="N2197" s="7" t="s">
        <v>28</v>
      </c>
    </row>
    <row r="2198" spans="1:14" x14ac:dyDescent="0.35">
      <c r="A2198" s="7" t="s">
        <v>3547</v>
      </c>
      <c r="B2198" s="7" t="s">
        <v>388</v>
      </c>
      <c r="C2198" s="7" t="s">
        <v>389</v>
      </c>
      <c r="D2198" s="7" t="s">
        <v>23</v>
      </c>
      <c r="E2198" s="7" t="s">
        <v>338</v>
      </c>
      <c r="F2198" s="7" t="s">
        <v>42</v>
      </c>
      <c r="G2198" s="7" t="s">
        <v>89</v>
      </c>
      <c r="H2198" s="7">
        <v>2</v>
      </c>
      <c r="I2198" s="2">
        <v>144.97999999999999</v>
      </c>
      <c r="J2198" s="2">
        <f>Tabla2[[#This Row],[Quantity]]*I2198</f>
        <v>289.95999999999998</v>
      </c>
      <c r="K2198" s="6">
        <f>MONTH(Tabla2[[#This Row],[OrderDate]])</f>
        <v>2</v>
      </c>
      <c r="L2198" s="6">
        <f>YEAR(Tabla2[[#This Row],[OrderDate]])</f>
        <v>2026</v>
      </c>
      <c r="M2198" s="7" t="s">
        <v>647</v>
      </c>
      <c r="N2198" s="7" t="s">
        <v>91</v>
      </c>
    </row>
    <row r="2199" spans="1:14" x14ac:dyDescent="0.35">
      <c r="A2199" s="7" t="s">
        <v>3548</v>
      </c>
      <c r="B2199" s="7" t="s">
        <v>123</v>
      </c>
      <c r="C2199" s="7" t="s">
        <v>124</v>
      </c>
      <c r="D2199" s="7" t="s">
        <v>14</v>
      </c>
      <c r="E2199" s="7" t="s">
        <v>125</v>
      </c>
      <c r="F2199" s="7" t="s">
        <v>50</v>
      </c>
      <c r="G2199" s="7" t="s">
        <v>69</v>
      </c>
      <c r="H2199" s="7">
        <v>4</v>
      </c>
      <c r="I2199" s="2">
        <v>725.95</v>
      </c>
      <c r="J2199" s="2">
        <f>Tabla2[[#This Row],[Quantity]]*I2199</f>
        <v>2903.8</v>
      </c>
      <c r="K2199" s="6">
        <f>MONTH(Tabla2[[#This Row],[OrderDate]])</f>
        <v>7</v>
      </c>
      <c r="L2199" s="6">
        <f>YEAR(Tabla2[[#This Row],[OrderDate]])</f>
        <v>2024</v>
      </c>
      <c r="M2199" s="7" t="s">
        <v>1165</v>
      </c>
      <c r="N2199" s="7" t="s">
        <v>36</v>
      </c>
    </row>
    <row r="2200" spans="1:14" x14ac:dyDescent="0.35">
      <c r="A2200" s="7" t="s">
        <v>3549</v>
      </c>
      <c r="B2200" s="7" t="s">
        <v>936</v>
      </c>
      <c r="C2200" s="7" t="s">
        <v>937</v>
      </c>
      <c r="D2200" s="7" t="s">
        <v>23</v>
      </c>
      <c r="E2200" s="7" t="s">
        <v>338</v>
      </c>
      <c r="F2200" s="7" t="s">
        <v>42</v>
      </c>
      <c r="G2200" s="7" t="s">
        <v>89</v>
      </c>
      <c r="H2200" s="7">
        <v>3</v>
      </c>
      <c r="I2200" s="2">
        <v>118.42</v>
      </c>
      <c r="J2200" s="2">
        <f>Tabla2[[#This Row],[Quantity]]*I2200</f>
        <v>355.26</v>
      </c>
      <c r="K2200" s="6">
        <f>MONTH(Tabla2[[#This Row],[OrderDate]])</f>
        <v>7</v>
      </c>
      <c r="L2200" s="6">
        <f>YEAR(Tabla2[[#This Row],[OrderDate]])</f>
        <v>2025</v>
      </c>
      <c r="M2200" s="7" t="s">
        <v>486</v>
      </c>
      <c r="N2200" s="7" t="s">
        <v>28</v>
      </c>
    </row>
    <row r="2201" spans="1:14" x14ac:dyDescent="0.35">
      <c r="A2201" s="7" t="s">
        <v>3550</v>
      </c>
      <c r="B2201" s="7" t="s">
        <v>159</v>
      </c>
      <c r="C2201" s="7" t="s">
        <v>160</v>
      </c>
      <c r="D2201" s="7" t="s">
        <v>32</v>
      </c>
      <c r="E2201" s="7" t="s">
        <v>33</v>
      </c>
      <c r="F2201" s="7" t="s">
        <v>50</v>
      </c>
      <c r="G2201" s="7" t="s">
        <v>56</v>
      </c>
      <c r="H2201" s="7">
        <v>5</v>
      </c>
      <c r="I2201" s="2">
        <v>495.43</v>
      </c>
      <c r="J2201" s="2">
        <f>Tabla2[[#This Row],[Quantity]]*I2201</f>
        <v>2477.15</v>
      </c>
      <c r="K2201" s="6">
        <f>MONTH(Tabla2[[#This Row],[OrderDate]])</f>
        <v>11</v>
      </c>
      <c r="L2201" s="6">
        <f>YEAR(Tabla2[[#This Row],[OrderDate]])</f>
        <v>2025</v>
      </c>
      <c r="M2201" s="7" t="s">
        <v>2304</v>
      </c>
      <c r="N2201" s="7" t="s">
        <v>28</v>
      </c>
    </row>
    <row r="2202" spans="1:14" x14ac:dyDescent="0.35">
      <c r="A2202" s="7" t="s">
        <v>3551</v>
      </c>
      <c r="B2202" s="7" t="s">
        <v>240</v>
      </c>
      <c r="C2202" s="7" t="s">
        <v>241</v>
      </c>
      <c r="D2202" s="7" t="s">
        <v>23</v>
      </c>
      <c r="E2202" s="7" t="s">
        <v>338</v>
      </c>
      <c r="F2202" s="7" t="s">
        <v>25</v>
      </c>
      <c r="G2202" s="7" t="s">
        <v>74</v>
      </c>
      <c r="H2202" s="7">
        <v>1</v>
      </c>
      <c r="I2202" s="2">
        <v>624.54999999999995</v>
      </c>
      <c r="J2202" s="2">
        <f>Tabla2[[#This Row],[Quantity]]*I2202</f>
        <v>624.54999999999995</v>
      </c>
      <c r="K2202" s="6">
        <f>MONTH(Tabla2[[#This Row],[OrderDate]])</f>
        <v>9</v>
      </c>
      <c r="L2202" s="6">
        <f>YEAR(Tabla2[[#This Row],[OrderDate]])</f>
        <v>2025</v>
      </c>
      <c r="M2202" s="7" t="s">
        <v>2588</v>
      </c>
      <c r="N2202" s="7" t="s">
        <v>91</v>
      </c>
    </row>
    <row r="2203" spans="1:14" x14ac:dyDescent="0.35">
      <c r="A2203" s="7" t="s">
        <v>3552</v>
      </c>
      <c r="B2203" s="7" t="s">
        <v>264</v>
      </c>
      <c r="C2203" s="7" t="s">
        <v>265</v>
      </c>
      <c r="D2203" s="7" t="s">
        <v>23</v>
      </c>
      <c r="E2203" s="7" t="s">
        <v>24</v>
      </c>
      <c r="F2203" s="7" t="s">
        <v>101</v>
      </c>
      <c r="G2203" s="7" t="s">
        <v>237</v>
      </c>
      <c r="H2203" s="7">
        <v>3</v>
      </c>
      <c r="I2203" s="2">
        <v>267.89</v>
      </c>
      <c r="J2203" s="2">
        <f>Tabla2[[#This Row],[Quantity]]*I2203</f>
        <v>803.67</v>
      </c>
      <c r="K2203" s="6">
        <f>MONTH(Tabla2[[#This Row],[OrderDate]])</f>
        <v>11</v>
      </c>
      <c r="L2203" s="6">
        <f>YEAR(Tabla2[[#This Row],[OrderDate]])</f>
        <v>2025</v>
      </c>
      <c r="M2203" s="7" t="s">
        <v>1781</v>
      </c>
      <c r="N2203" s="7" t="s">
        <v>19</v>
      </c>
    </row>
    <row r="2204" spans="1:14" x14ac:dyDescent="0.35">
      <c r="A2204" s="7" t="s">
        <v>3553</v>
      </c>
      <c r="B2204" s="7" t="s">
        <v>1153</v>
      </c>
      <c r="C2204" s="7" t="s">
        <v>1154</v>
      </c>
      <c r="D2204" s="7" t="s">
        <v>67</v>
      </c>
      <c r="E2204" s="7" t="s">
        <v>68</v>
      </c>
      <c r="F2204" s="7" t="s">
        <v>42</v>
      </c>
      <c r="G2204" s="7" t="s">
        <v>43</v>
      </c>
      <c r="H2204" s="7">
        <v>1</v>
      </c>
      <c r="I2204" s="2">
        <v>681.34</v>
      </c>
      <c r="J2204" s="2">
        <f>Tabla2[[#This Row],[Quantity]]*I2204</f>
        <v>681.34</v>
      </c>
      <c r="K2204" s="6">
        <f>MONTH(Tabla2[[#This Row],[OrderDate]])</f>
        <v>6</v>
      </c>
      <c r="L2204" s="6">
        <f>YEAR(Tabla2[[#This Row],[OrderDate]])</f>
        <v>2024</v>
      </c>
      <c r="M2204" s="7" t="s">
        <v>90</v>
      </c>
      <c r="N2204" s="7" t="s">
        <v>36</v>
      </c>
    </row>
    <row r="2205" spans="1:14" x14ac:dyDescent="0.35">
      <c r="A2205" s="7" t="s">
        <v>3554</v>
      </c>
      <c r="B2205" s="7" t="s">
        <v>474</v>
      </c>
      <c r="C2205" s="7" t="s">
        <v>475</v>
      </c>
      <c r="D2205" s="7" t="s">
        <v>23</v>
      </c>
      <c r="E2205" s="7" t="s">
        <v>24</v>
      </c>
      <c r="F2205" s="7" t="s">
        <v>25</v>
      </c>
      <c r="G2205" s="7" t="s">
        <v>34</v>
      </c>
      <c r="H2205" s="7">
        <v>2</v>
      </c>
      <c r="I2205" s="2">
        <v>527.05999999999995</v>
      </c>
      <c r="J2205" s="2">
        <f>Tabla2[[#This Row],[Quantity]]*I2205</f>
        <v>1054.1199999999999</v>
      </c>
      <c r="K2205" s="6">
        <f>MONTH(Tabla2[[#This Row],[OrderDate]])</f>
        <v>7</v>
      </c>
      <c r="L2205" s="6">
        <f>YEAR(Tabla2[[#This Row],[OrderDate]])</f>
        <v>2024</v>
      </c>
      <c r="M2205" s="7" t="s">
        <v>420</v>
      </c>
      <c r="N2205" s="7" t="s">
        <v>36</v>
      </c>
    </row>
    <row r="2206" spans="1:14" x14ac:dyDescent="0.35">
      <c r="A2206" s="7" t="s">
        <v>3555</v>
      </c>
      <c r="B2206" s="7" t="s">
        <v>240</v>
      </c>
      <c r="C2206" s="7" t="s">
        <v>241</v>
      </c>
      <c r="D2206" s="7" t="s">
        <v>23</v>
      </c>
      <c r="E2206" s="7" t="s">
        <v>338</v>
      </c>
      <c r="F2206" s="7" t="s">
        <v>50</v>
      </c>
      <c r="G2206" s="7" t="s">
        <v>216</v>
      </c>
      <c r="H2206" s="7">
        <v>1</v>
      </c>
      <c r="I2206" s="2">
        <v>280.08999999999997</v>
      </c>
      <c r="J2206" s="2">
        <f>Tabla2[[#This Row],[Quantity]]*I2206</f>
        <v>280.08999999999997</v>
      </c>
      <c r="K2206" s="6">
        <f>MONTH(Tabla2[[#This Row],[OrderDate]])</f>
        <v>5</v>
      </c>
      <c r="L2206" s="6">
        <f>YEAR(Tabla2[[#This Row],[OrderDate]])</f>
        <v>2024</v>
      </c>
      <c r="M2206" s="7" t="s">
        <v>1984</v>
      </c>
      <c r="N2206" s="7" t="s">
        <v>91</v>
      </c>
    </row>
    <row r="2207" spans="1:14" x14ac:dyDescent="0.35">
      <c r="A2207" s="7" t="s">
        <v>3556</v>
      </c>
      <c r="B2207" s="7" t="s">
        <v>341</v>
      </c>
      <c r="C2207" s="7" t="s">
        <v>342</v>
      </c>
      <c r="D2207" s="7" t="s">
        <v>40</v>
      </c>
      <c r="E2207" s="7" t="s">
        <v>79</v>
      </c>
      <c r="F2207" s="7" t="s">
        <v>50</v>
      </c>
      <c r="G2207" s="7" t="s">
        <v>216</v>
      </c>
      <c r="H2207" s="7">
        <v>2</v>
      </c>
      <c r="I2207" s="2">
        <v>123.05</v>
      </c>
      <c r="J2207" s="2">
        <f>Tabla2[[#This Row],[Quantity]]*I2207</f>
        <v>246.1</v>
      </c>
      <c r="K2207" s="6">
        <f>MONTH(Tabla2[[#This Row],[OrderDate]])</f>
        <v>5</v>
      </c>
      <c r="L2207" s="6">
        <f>YEAR(Tabla2[[#This Row],[OrderDate]])</f>
        <v>2025</v>
      </c>
      <c r="M2207" s="7" t="s">
        <v>483</v>
      </c>
      <c r="N2207" s="7" t="s">
        <v>91</v>
      </c>
    </row>
    <row r="2208" spans="1:14" x14ac:dyDescent="0.35">
      <c r="A2208" s="7" t="s">
        <v>3557</v>
      </c>
      <c r="B2208" s="7" t="s">
        <v>779</v>
      </c>
      <c r="C2208" s="7" t="s">
        <v>780</v>
      </c>
      <c r="D2208" s="7" t="s">
        <v>14</v>
      </c>
      <c r="E2208" s="7" t="s">
        <v>15</v>
      </c>
      <c r="F2208" s="7" t="s">
        <v>42</v>
      </c>
      <c r="G2208" s="7" t="s">
        <v>89</v>
      </c>
      <c r="H2208" s="7">
        <v>5</v>
      </c>
      <c r="I2208" s="2">
        <v>1273.42</v>
      </c>
      <c r="J2208" s="2">
        <f>Tabla2[[#This Row],[Quantity]]*I2208</f>
        <v>6367.1</v>
      </c>
      <c r="K2208" s="6">
        <f>MONTH(Tabla2[[#This Row],[OrderDate]])</f>
        <v>4</v>
      </c>
      <c r="L2208" s="6">
        <f>YEAR(Tabla2[[#This Row],[OrderDate]])</f>
        <v>2025</v>
      </c>
      <c r="M2208" s="7" t="s">
        <v>490</v>
      </c>
      <c r="N2208" s="7" t="s">
        <v>28</v>
      </c>
    </row>
    <row r="2209" spans="1:14" x14ac:dyDescent="0.35">
      <c r="A2209" s="7" t="s">
        <v>3558</v>
      </c>
      <c r="B2209" s="7" t="s">
        <v>128</v>
      </c>
      <c r="C2209" s="7" t="s">
        <v>129</v>
      </c>
      <c r="D2209" s="7" t="s">
        <v>23</v>
      </c>
      <c r="E2209" s="7" t="s">
        <v>338</v>
      </c>
      <c r="F2209" s="7" t="s">
        <v>42</v>
      </c>
      <c r="G2209" s="7" t="s">
        <v>89</v>
      </c>
      <c r="H2209" s="7">
        <v>3</v>
      </c>
      <c r="I2209" s="2">
        <v>47.1</v>
      </c>
      <c r="J2209" s="2">
        <f>Tabla2[[#This Row],[Quantity]]*I2209</f>
        <v>141.30000000000001</v>
      </c>
      <c r="K2209" s="6">
        <f>MONTH(Tabla2[[#This Row],[OrderDate]])</f>
        <v>2</v>
      </c>
      <c r="L2209" s="6">
        <f>YEAR(Tabla2[[#This Row],[OrderDate]])</f>
        <v>2026</v>
      </c>
      <c r="M2209" s="7" t="s">
        <v>647</v>
      </c>
      <c r="N2209" s="7" t="s">
        <v>45</v>
      </c>
    </row>
    <row r="2210" spans="1:14" x14ac:dyDescent="0.35">
      <c r="A2210" s="7" t="s">
        <v>3559</v>
      </c>
      <c r="B2210" s="7" t="s">
        <v>960</v>
      </c>
      <c r="C2210" s="7" t="s">
        <v>961</v>
      </c>
      <c r="D2210" s="7" t="s">
        <v>32</v>
      </c>
      <c r="E2210" s="7" t="s">
        <v>33</v>
      </c>
      <c r="F2210" s="7" t="s">
        <v>42</v>
      </c>
      <c r="G2210" s="7" t="s">
        <v>225</v>
      </c>
      <c r="H2210" s="7">
        <v>3</v>
      </c>
      <c r="I2210" s="2">
        <v>146.29</v>
      </c>
      <c r="J2210" s="2">
        <f>Tabla2[[#This Row],[Quantity]]*I2210</f>
        <v>438.87</v>
      </c>
      <c r="K2210" s="6">
        <f>MONTH(Tabla2[[#This Row],[OrderDate]])</f>
        <v>4</v>
      </c>
      <c r="L2210" s="6">
        <f>YEAR(Tabla2[[#This Row],[OrderDate]])</f>
        <v>2024</v>
      </c>
      <c r="M2210" s="7" t="s">
        <v>2108</v>
      </c>
      <c r="N2210" s="7" t="s">
        <v>28</v>
      </c>
    </row>
    <row r="2211" spans="1:14" x14ac:dyDescent="0.35">
      <c r="A2211" s="7" t="s">
        <v>3560</v>
      </c>
      <c r="B2211" s="7" t="s">
        <v>1828</v>
      </c>
      <c r="C2211" s="7" t="s">
        <v>1829</v>
      </c>
      <c r="D2211" s="7" t="s">
        <v>32</v>
      </c>
      <c r="E2211" s="7" t="s">
        <v>33</v>
      </c>
      <c r="F2211" s="7" t="s">
        <v>16</v>
      </c>
      <c r="G2211" s="7" t="s">
        <v>182</v>
      </c>
      <c r="H2211" s="7">
        <v>5</v>
      </c>
      <c r="I2211" s="2">
        <v>574.6</v>
      </c>
      <c r="J2211" s="2">
        <f>Tabla2[[#This Row],[Quantity]]*I2211</f>
        <v>2873</v>
      </c>
      <c r="K2211" s="6">
        <f>MONTH(Tabla2[[#This Row],[OrderDate]])</f>
        <v>2</v>
      </c>
      <c r="L2211" s="6">
        <f>YEAR(Tabla2[[#This Row],[OrderDate]])</f>
        <v>2026</v>
      </c>
      <c r="M2211" s="7" t="s">
        <v>1367</v>
      </c>
      <c r="N2211" s="7" t="s">
        <v>45</v>
      </c>
    </row>
    <row r="2212" spans="1:14" x14ac:dyDescent="0.35">
      <c r="A2212" s="7" t="s">
        <v>3561</v>
      </c>
      <c r="B2212" s="7" t="s">
        <v>1260</v>
      </c>
      <c r="C2212" s="7" t="s">
        <v>1261</v>
      </c>
      <c r="D2212" s="7" t="s">
        <v>40</v>
      </c>
      <c r="E2212" s="7" t="s">
        <v>120</v>
      </c>
      <c r="F2212" s="7" t="s">
        <v>101</v>
      </c>
      <c r="G2212" s="7" t="s">
        <v>237</v>
      </c>
      <c r="H2212" s="7">
        <v>4</v>
      </c>
      <c r="I2212" s="2">
        <v>1484.63</v>
      </c>
      <c r="J2212" s="2">
        <f>Tabla2[[#This Row],[Quantity]]*I2212</f>
        <v>5938.52</v>
      </c>
      <c r="K2212" s="6">
        <f>MONTH(Tabla2[[#This Row],[OrderDate]])</f>
        <v>1</v>
      </c>
      <c r="L2212" s="6">
        <f>YEAR(Tabla2[[#This Row],[OrderDate]])</f>
        <v>2024</v>
      </c>
      <c r="M2212" s="7" t="s">
        <v>1841</v>
      </c>
      <c r="N2212" s="7" t="s">
        <v>28</v>
      </c>
    </row>
    <row r="2213" spans="1:14" x14ac:dyDescent="0.35">
      <c r="A2213" s="7" t="s">
        <v>3562</v>
      </c>
      <c r="B2213" s="7" t="s">
        <v>155</v>
      </c>
      <c r="C2213" s="7" t="s">
        <v>156</v>
      </c>
      <c r="D2213" s="7" t="s">
        <v>23</v>
      </c>
      <c r="E2213" s="7" t="s">
        <v>24</v>
      </c>
      <c r="F2213" s="7" t="s">
        <v>101</v>
      </c>
      <c r="G2213" s="7" t="s">
        <v>165</v>
      </c>
      <c r="H2213" s="7">
        <v>2</v>
      </c>
      <c r="I2213" s="2">
        <v>903.39</v>
      </c>
      <c r="J2213" s="2">
        <f>Tabla2[[#This Row],[Quantity]]*I2213</f>
        <v>1806.78</v>
      </c>
      <c r="K2213" s="6">
        <f>MONTH(Tabla2[[#This Row],[OrderDate]])</f>
        <v>3</v>
      </c>
      <c r="L2213" s="6">
        <f>YEAR(Tabla2[[#This Row],[OrderDate]])</f>
        <v>2025</v>
      </c>
      <c r="M2213" s="7" t="s">
        <v>761</v>
      </c>
      <c r="N2213" s="7" t="s">
        <v>28</v>
      </c>
    </row>
    <row r="2214" spans="1:14" x14ac:dyDescent="0.35">
      <c r="A2214" s="7" t="s">
        <v>3563</v>
      </c>
      <c r="B2214" s="7" t="s">
        <v>223</v>
      </c>
      <c r="C2214" s="7" t="s">
        <v>224</v>
      </c>
      <c r="D2214" s="7" t="s">
        <v>23</v>
      </c>
      <c r="E2214" s="7" t="s">
        <v>338</v>
      </c>
      <c r="F2214" s="7" t="s">
        <v>50</v>
      </c>
      <c r="G2214" s="7" t="s">
        <v>170</v>
      </c>
      <c r="H2214" s="7">
        <v>2</v>
      </c>
      <c r="I2214" s="2">
        <v>921.89</v>
      </c>
      <c r="J2214" s="2">
        <f>Tabla2[[#This Row],[Quantity]]*I2214</f>
        <v>1843.78</v>
      </c>
      <c r="K2214" s="6">
        <f>MONTH(Tabla2[[#This Row],[OrderDate]])</f>
        <v>1</v>
      </c>
      <c r="L2214" s="6">
        <f>YEAR(Tabla2[[#This Row],[OrderDate]])</f>
        <v>2025</v>
      </c>
      <c r="M2214" s="7" t="s">
        <v>2667</v>
      </c>
      <c r="N2214" s="7" t="s">
        <v>45</v>
      </c>
    </row>
    <row r="2215" spans="1:14" x14ac:dyDescent="0.35">
      <c r="A2215" s="7" t="s">
        <v>3564</v>
      </c>
      <c r="B2215" s="7" t="s">
        <v>910</v>
      </c>
      <c r="C2215" s="7" t="s">
        <v>911</v>
      </c>
      <c r="D2215" s="7" t="s">
        <v>14</v>
      </c>
      <c r="E2215" s="7" t="s">
        <v>15</v>
      </c>
      <c r="F2215" s="7" t="s">
        <v>101</v>
      </c>
      <c r="G2215" s="7" t="s">
        <v>165</v>
      </c>
      <c r="H2215" s="7">
        <v>3</v>
      </c>
      <c r="I2215" s="2">
        <v>1420.6</v>
      </c>
      <c r="J2215" s="2">
        <f>Tabla2[[#This Row],[Quantity]]*I2215</f>
        <v>4261.7999999999993</v>
      </c>
      <c r="K2215" s="6">
        <f>MONTH(Tabla2[[#This Row],[OrderDate]])</f>
        <v>2</v>
      </c>
      <c r="L2215" s="6">
        <f>YEAR(Tabla2[[#This Row],[OrderDate]])</f>
        <v>2025</v>
      </c>
      <c r="M2215" s="7" t="s">
        <v>777</v>
      </c>
      <c r="N2215" s="7" t="s">
        <v>45</v>
      </c>
    </row>
    <row r="2216" spans="1:14" x14ac:dyDescent="0.35">
      <c r="A2216" s="7" t="s">
        <v>3565</v>
      </c>
      <c r="B2216" s="7" t="s">
        <v>155</v>
      </c>
      <c r="C2216" s="7" t="s">
        <v>156</v>
      </c>
      <c r="D2216" s="7" t="s">
        <v>32</v>
      </c>
      <c r="E2216" s="7" t="s">
        <v>61</v>
      </c>
      <c r="F2216" s="7" t="s">
        <v>16</v>
      </c>
      <c r="G2216" s="7" t="s">
        <v>148</v>
      </c>
      <c r="H2216" s="7">
        <v>3</v>
      </c>
      <c r="I2216" s="2">
        <v>1276.8499999999999</v>
      </c>
      <c r="J2216" s="2">
        <f>Tabla2[[#This Row],[Quantity]]*I2216</f>
        <v>3830.5499999999997</v>
      </c>
      <c r="K2216" s="6">
        <f>MONTH(Tabla2[[#This Row],[OrderDate]])</f>
        <v>1</v>
      </c>
      <c r="L2216" s="6">
        <f>YEAR(Tabla2[[#This Row],[OrderDate]])</f>
        <v>2026</v>
      </c>
      <c r="M2216" s="7" t="s">
        <v>884</v>
      </c>
      <c r="N2216" s="7" t="s">
        <v>36</v>
      </c>
    </row>
    <row r="2217" spans="1:14" x14ac:dyDescent="0.35">
      <c r="A2217" s="7" t="s">
        <v>3566</v>
      </c>
      <c r="B2217" s="7" t="s">
        <v>532</v>
      </c>
      <c r="C2217" s="7" t="s">
        <v>533</v>
      </c>
      <c r="D2217" s="7" t="s">
        <v>32</v>
      </c>
      <c r="E2217" s="7" t="s">
        <v>61</v>
      </c>
      <c r="F2217" s="7" t="s">
        <v>101</v>
      </c>
      <c r="G2217" s="7" t="s">
        <v>373</v>
      </c>
      <c r="H2217" s="7">
        <v>3</v>
      </c>
      <c r="I2217" s="2">
        <v>1362.93</v>
      </c>
      <c r="J2217" s="2">
        <f>Tabla2[[#This Row],[Quantity]]*I2217</f>
        <v>4088.79</v>
      </c>
      <c r="K2217" s="6">
        <f>MONTH(Tabla2[[#This Row],[OrderDate]])</f>
        <v>4</v>
      </c>
      <c r="L2217" s="6">
        <f>YEAR(Tabla2[[#This Row],[OrderDate]])</f>
        <v>2025</v>
      </c>
      <c r="M2217" s="7" t="s">
        <v>1691</v>
      </c>
      <c r="N2217" s="7" t="s">
        <v>19</v>
      </c>
    </row>
    <row r="2218" spans="1:14" x14ac:dyDescent="0.35">
      <c r="A2218" s="7" t="s">
        <v>3567</v>
      </c>
      <c r="B2218" s="7" t="s">
        <v>931</v>
      </c>
      <c r="C2218" s="7" t="s">
        <v>932</v>
      </c>
      <c r="D2218" s="7" t="s">
        <v>23</v>
      </c>
      <c r="E2218" s="7" t="s">
        <v>24</v>
      </c>
      <c r="F2218" s="7" t="s">
        <v>16</v>
      </c>
      <c r="G2218" s="7" t="s">
        <v>230</v>
      </c>
      <c r="H2218" s="7">
        <v>3</v>
      </c>
      <c r="I2218" s="2">
        <v>286.51</v>
      </c>
      <c r="J2218" s="2">
        <f>Tabla2[[#This Row],[Quantity]]*I2218</f>
        <v>859.53</v>
      </c>
      <c r="K2218" s="6">
        <f>MONTH(Tabla2[[#This Row],[OrderDate]])</f>
        <v>11</v>
      </c>
      <c r="L2218" s="6">
        <f>YEAR(Tabla2[[#This Row],[OrderDate]])</f>
        <v>2024</v>
      </c>
      <c r="M2218" s="7" t="s">
        <v>81</v>
      </c>
      <c r="N2218" s="7" t="s">
        <v>19</v>
      </c>
    </row>
    <row r="2219" spans="1:14" x14ac:dyDescent="0.35">
      <c r="A2219" s="7" t="s">
        <v>3568</v>
      </c>
      <c r="B2219" s="7" t="s">
        <v>210</v>
      </c>
      <c r="C2219" s="7" t="s">
        <v>211</v>
      </c>
      <c r="D2219" s="7" t="s">
        <v>32</v>
      </c>
      <c r="E2219" s="7" t="s">
        <v>61</v>
      </c>
      <c r="F2219" s="7" t="s">
        <v>16</v>
      </c>
      <c r="G2219" s="7" t="s">
        <v>182</v>
      </c>
      <c r="H2219" s="7">
        <v>1</v>
      </c>
      <c r="I2219" s="2">
        <v>329.05</v>
      </c>
      <c r="J2219" s="2">
        <f>Tabla2[[#This Row],[Quantity]]*I2219</f>
        <v>329.05</v>
      </c>
      <c r="K2219" s="6">
        <f>MONTH(Tabla2[[#This Row],[OrderDate]])</f>
        <v>11</v>
      </c>
      <c r="L2219" s="6">
        <f>YEAR(Tabla2[[#This Row],[OrderDate]])</f>
        <v>2024</v>
      </c>
      <c r="M2219" s="7" t="s">
        <v>3569</v>
      </c>
      <c r="N2219" s="7" t="s">
        <v>45</v>
      </c>
    </row>
    <row r="2220" spans="1:14" x14ac:dyDescent="0.35">
      <c r="A2220" s="7" t="s">
        <v>3570</v>
      </c>
      <c r="B2220" s="7" t="s">
        <v>558</v>
      </c>
      <c r="C2220" s="7" t="s">
        <v>559</v>
      </c>
      <c r="D2220" s="7" t="s">
        <v>32</v>
      </c>
      <c r="E2220" s="7" t="s">
        <v>203</v>
      </c>
      <c r="F2220" s="7" t="s">
        <v>42</v>
      </c>
      <c r="G2220" s="7" t="s">
        <v>43</v>
      </c>
      <c r="H2220" s="7">
        <v>5</v>
      </c>
      <c r="I2220" s="2">
        <v>635.14</v>
      </c>
      <c r="J2220" s="2">
        <f>Tabla2[[#This Row],[Quantity]]*I2220</f>
        <v>3175.7</v>
      </c>
      <c r="K2220" s="6">
        <f>MONTH(Tabla2[[#This Row],[OrderDate]])</f>
        <v>4</v>
      </c>
      <c r="L2220" s="6">
        <f>YEAR(Tabla2[[#This Row],[OrderDate]])</f>
        <v>2025</v>
      </c>
      <c r="M2220" s="7" t="s">
        <v>3571</v>
      </c>
      <c r="N2220" s="7" t="s">
        <v>19</v>
      </c>
    </row>
    <row r="2221" spans="1:14" x14ac:dyDescent="0.35">
      <c r="A2221" s="7" t="s">
        <v>3572</v>
      </c>
      <c r="B2221" s="7" t="s">
        <v>1170</v>
      </c>
      <c r="C2221" s="7" t="s">
        <v>1171</v>
      </c>
      <c r="D2221" s="7" t="s">
        <v>40</v>
      </c>
      <c r="E2221" s="7" t="s">
        <v>120</v>
      </c>
      <c r="F2221" s="7" t="s">
        <v>25</v>
      </c>
      <c r="G2221" s="7" t="s">
        <v>34</v>
      </c>
      <c r="H2221" s="7">
        <v>4</v>
      </c>
      <c r="I2221" s="2">
        <v>94.91</v>
      </c>
      <c r="J2221" s="2">
        <f>Tabla2[[#This Row],[Quantity]]*I2221</f>
        <v>379.64</v>
      </c>
      <c r="K2221" s="6">
        <f>MONTH(Tabla2[[#This Row],[OrderDate]])</f>
        <v>12</v>
      </c>
      <c r="L2221" s="6">
        <f>YEAR(Tabla2[[#This Row],[OrderDate]])</f>
        <v>2024</v>
      </c>
      <c r="M2221" s="7" t="s">
        <v>781</v>
      </c>
      <c r="N2221" s="7" t="s">
        <v>45</v>
      </c>
    </row>
    <row r="2222" spans="1:14" x14ac:dyDescent="0.35">
      <c r="A2222" s="7" t="s">
        <v>3573</v>
      </c>
      <c r="B2222" s="7" t="s">
        <v>1042</v>
      </c>
      <c r="C2222" s="7" t="s">
        <v>1043</v>
      </c>
      <c r="D2222" s="7" t="s">
        <v>14</v>
      </c>
      <c r="E2222" s="7" t="s">
        <v>15</v>
      </c>
      <c r="F2222" s="7" t="s">
        <v>42</v>
      </c>
      <c r="G2222" s="7" t="s">
        <v>89</v>
      </c>
      <c r="H2222" s="7">
        <v>4</v>
      </c>
      <c r="I2222" s="2">
        <v>708.47</v>
      </c>
      <c r="J2222" s="2">
        <f>Tabla2[[#This Row],[Quantity]]*I2222</f>
        <v>2833.88</v>
      </c>
      <c r="K2222" s="6">
        <f>MONTH(Tabla2[[#This Row],[OrderDate]])</f>
        <v>3</v>
      </c>
      <c r="L2222" s="6">
        <f>YEAR(Tabla2[[#This Row],[OrderDate]])</f>
        <v>2026</v>
      </c>
      <c r="M2222" s="7" t="s">
        <v>2420</v>
      </c>
      <c r="N2222" s="7" t="s">
        <v>19</v>
      </c>
    </row>
    <row r="2223" spans="1:14" x14ac:dyDescent="0.35">
      <c r="A2223" s="7" t="s">
        <v>3574</v>
      </c>
      <c r="B2223" s="7" t="s">
        <v>98</v>
      </c>
      <c r="C2223" s="7" t="s">
        <v>99</v>
      </c>
      <c r="D2223" s="7" t="s">
        <v>23</v>
      </c>
      <c r="E2223" s="7" t="s">
        <v>49</v>
      </c>
      <c r="F2223" s="7" t="s">
        <v>16</v>
      </c>
      <c r="G2223" s="7" t="s">
        <v>148</v>
      </c>
      <c r="H2223" s="7">
        <v>1</v>
      </c>
      <c r="I2223" s="2">
        <v>1239.1500000000001</v>
      </c>
      <c r="J2223" s="2">
        <f>Tabla2[[#This Row],[Quantity]]*I2223</f>
        <v>1239.1500000000001</v>
      </c>
      <c r="K2223" s="6">
        <f>MONTH(Tabla2[[#This Row],[OrderDate]])</f>
        <v>9</v>
      </c>
      <c r="L2223" s="6">
        <f>YEAR(Tabla2[[#This Row],[OrderDate]])</f>
        <v>2025</v>
      </c>
      <c r="M2223" s="7" t="s">
        <v>153</v>
      </c>
      <c r="N2223" s="7" t="s">
        <v>19</v>
      </c>
    </row>
    <row r="2224" spans="1:14" x14ac:dyDescent="0.35">
      <c r="A2224" s="7" t="s">
        <v>3575</v>
      </c>
      <c r="B2224" s="7" t="s">
        <v>727</v>
      </c>
      <c r="C2224" s="7" t="s">
        <v>728</v>
      </c>
      <c r="D2224" s="7" t="s">
        <v>32</v>
      </c>
      <c r="E2224" s="7" t="s">
        <v>61</v>
      </c>
      <c r="F2224" s="7" t="s">
        <v>42</v>
      </c>
      <c r="G2224" s="7" t="s">
        <v>80</v>
      </c>
      <c r="H2224" s="7">
        <v>3</v>
      </c>
      <c r="I2224" s="2">
        <v>766.01</v>
      </c>
      <c r="J2224" s="2">
        <f>Tabla2[[#This Row],[Quantity]]*I2224</f>
        <v>2298.0299999999997</v>
      </c>
      <c r="K2224" s="6">
        <f>MONTH(Tabla2[[#This Row],[OrderDate]])</f>
        <v>5</v>
      </c>
      <c r="L2224" s="6">
        <f>YEAR(Tabla2[[#This Row],[OrderDate]])</f>
        <v>2024</v>
      </c>
      <c r="M2224" s="7" t="s">
        <v>2705</v>
      </c>
      <c r="N2224" s="7" t="s">
        <v>91</v>
      </c>
    </row>
    <row r="2225" spans="1:14" x14ac:dyDescent="0.35">
      <c r="A2225" s="7" t="s">
        <v>3576</v>
      </c>
      <c r="B2225" s="7" t="s">
        <v>797</v>
      </c>
      <c r="C2225" s="7" t="s">
        <v>798</v>
      </c>
      <c r="D2225" s="7" t="s">
        <v>40</v>
      </c>
      <c r="E2225" s="7" t="s">
        <v>41</v>
      </c>
      <c r="F2225" s="7" t="s">
        <v>25</v>
      </c>
      <c r="G2225" s="7" t="s">
        <v>74</v>
      </c>
      <c r="H2225" s="7">
        <v>4</v>
      </c>
      <c r="I2225" s="2">
        <v>612.23</v>
      </c>
      <c r="J2225" s="2">
        <f>Tabla2[[#This Row],[Quantity]]*I2225</f>
        <v>2448.92</v>
      </c>
      <c r="K2225" s="6">
        <f>MONTH(Tabla2[[#This Row],[OrderDate]])</f>
        <v>2</v>
      </c>
      <c r="L2225" s="6">
        <f>YEAR(Tabla2[[#This Row],[OrderDate]])</f>
        <v>2026</v>
      </c>
      <c r="M2225" s="7" t="s">
        <v>1062</v>
      </c>
      <c r="N2225" s="7" t="s">
        <v>19</v>
      </c>
    </row>
    <row r="2226" spans="1:14" x14ac:dyDescent="0.35">
      <c r="A2226" s="7" t="s">
        <v>3577</v>
      </c>
      <c r="B2226" s="7" t="s">
        <v>481</v>
      </c>
      <c r="C2226" s="7" t="s">
        <v>482</v>
      </c>
      <c r="D2226" s="7" t="s">
        <v>40</v>
      </c>
      <c r="E2226" s="7" t="s">
        <v>120</v>
      </c>
      <c r="F2226" s="7" t="s">
        <v>42</v>
      </c>
      <c r="G2226" s="7" t="s">
        <v>89</v>
      </c>
      <c r="H2226" s="7">
        <v>2</v>
      </c>
      <c r="I2226" s="2">
        <v>954.46</v>
      </c>
      <c r="J2226" s="2">
        <f>Tabla2[[#This Row],[Quantity]]*I2226</f>
        <v>1908.92</v>
      </c>
      <c r="K2226" s="6">
        <f>MONTH(Tabla2[[#This Row],[OrderDate]])</f>
        <v>12</v>
      </c>
      <c r="L2226" s="6">
        <f>YEAR(Tabla2[[#This Row],[OrderDate]])</f>
        <v>2024</v>
      </c>
      <c r="M2226" s="7" t="s">
        <v>1889</v>
      </c>
      <c r="N2226" s="7" t="s">
        <v>36</v>
      </c>
    </row>
    <row r="2227" spans="1:14" x14ac:dyDescent="0.35">
      <c r="A2227" s="7" t="s">
        <v>3578</v>
      </c>
      <c r="B2227" s="7" t="s">
        <v>1131</v>
      </c>
      <c r="C2227" s="7" t="s">
        <v>1132</v>
      </c>
      <c r="D2227" s="7" t="s">
        <v>40</v>
      </c>
      <c r="E2227" s="7" t="s">
        <v>79</v>
      </c>
      <c r="F2227" s="7" t="s">
        <v>101</v>
      </c>
      <c r="G2227" s="7" t="s">
        <v>165</v>
      </c>
      <c r="H2227" s="7">
        <v>5</v>
      </c>
      <c r="I2227" s="2">
        <v>78.98</v>
      </c>
      <c r="J2227" s="2">
        <f>Tabla2[[#This Row],[Quantity]]*I2227</f>
        <v>394.90000000000003</v>
      </c>
      <c r="K2227" s="6">
        <f>MONTH(Tabla2[[#This Row],[OrderDate]])</f>
        <v>5</v>
      </c>
      <c r="L2227" s="6">
        <f>YEAR(Tabla2[[#This Row],[OrderDate]])</f>
        <v>2024</v>
      </c>
      <c r="M2227" s="7" t="s">
        <v>2248</v>
      </c>
      <c r="N2227" s="7" t="s">
        <v>36</v>
      </c>
    </row>
    <row r="2228" spans="1:14" x14ac:dyDescent="0.35">
      <c r="A2228" s="7" t="s">
        <v>3579</v>
      </c>
      <c r="B2228" s="7" t="s">
        <v>30</v>
      </c>
      <c r="C2228" s="7" t="s">
        <v>31</v>
      </c>
      <c r="D2228" s="7" t="s">
        <v>32</v>
      </c>
      <c r="E2228" s="7" t="s">
        <v>61</v>
      </c>
      <c r="F2228" s="7" t="s">
        <v>16</v>
      </c>
      <c r="G2228" s="7" t="s">
        <v>177</v>
      </c>
      <c r="H2228" s="7">
        <v>4</v>
      </c>
      <c r="I2228" s="2">
        <v>1447.15</v>
      </c>
      <c r="J2228" s="2">
        <f>Tabla2[[#This Row],[Quantity]]*I2228</f>
        <v>5788.6</v>
      </c>
      <c r="K2228" s="6">
        <f>MONTH(Tabla2[[#This Row],[OrderDate]])</f>
        <v>7</v>
      </c>
      <c r="L2228" s="6">
        <f>YEAR(Tabla2[[#This Row],[OrderDate]])</f>
        <v>2025</v>
      </c>
      <c r="M2228" s="7" t="s">
        <v>1382</v>
      </c>
      <c r="N2228" s="7" t="s">
        <v>36</v>
      </c>
    </row>
    <row r="2229" spans="1:14" x14ac:dyDescent="0.35">
      <c r="A2229" s="7" t="s">
        <v>3580</v>
      </c>
      <c r="B2229" s="7" t="s">
        <v>287</v>
      </c>
      <c r="C2229" s="7" t="s">
        <v>288</v>
      </c>
      <c r="D2229" s="7" t="s">
        <v>23</v>
      </c>
      <c r="E2229" s="7" t="s">
        <v>338</v>
      </c>
      <c r="F2229" s="7" t="s">
        <v>25</v>
      </c>
      <c r="G2229" s="7" t="s">
        <v>74</v>
      </c>
      <c r="H2229" s="7">
        <v>4</v>
      </c>
      <c r="I2229" s="2">
        <v>320.73</v>
      </c>
      <c r="J2229" s="2">
        <f>Tabla2[[#This Row],[Quantity]]*I2229</f>
        <v>1282.92</v>
      </c>
      <c r="K2229" s="6">
        <f>MONTH(Tabla2[[#This Row],[OrderDate]])</f>
        <v>7</v>
      </c>
      <c r="L2229" s="6">
        <f>YEAR(Tabla2[[#This Row],[OrderDate]])</f>
        <v>2024</v>
      </c>
      <c r="M2229" s="7" t="s">
        <v>448</v>
      </c>
      <c r="N2229" s="7" t="s">
        <v>19</v>
      </c>
    </row>
    <row r="2230" spans="1:14" x14ac:dyDescent="0.35">
      <c r="A2230" s="7" t="s">
        <v>3581</v>
      </c>
      <c r="B2230" s="7" t="s">
        <v>518</v>
      </c>
      <c r="C2230" s="7" t="s">
        <v>519</v>
      </c>
      <c r="D2230" s="7" t="s">
        <v>14</v>
      </c>
      <c r="E2230" s="7" t="s">
        <v>266</v>
      </c>
      <c r="F2230" s="7" t="s">
        <v>42</v>
      </c>
      <c r="G2230" s="7" t="s">
        <v>43</v>
      </c>
      <c r="H2230" s="7">
        <v>4</v>
      </c>
      <c r="I2230" s="2">
        <v>81.22</v>
      </c>
      <c r="J2230" s="2">
        <f>Tabla2[[#This Row],[Quantity]]*I2230</f>
        <v>324.88</v>
      </c>
      <c r="K2230" s="6">
        <f>MONTH(Tabla2[[#This Row],[OrderDate]])</f>
        <v>10</v>
      </c>
      <c r="L2230" s="6">
        <f>YEAR(Tabla2[[#This Row],[OrderDate]])</f>
        <v>2025</v>
      </c>
      <c r="M2230" s="7" t="s">
        <v>3582</v>
      </c>
      <c r="N2230" s="7" t="s">
        <v>45</v>
      </c>
    </row>
    <row r="2231" spans="1:14" x14ac:dyDescent="0.35">
      <c r="A2231" s="7" t="s">
        <v>3583</v>
      </c>
      <c r="B2231" s="7" t="s">
        <v>922</v>
      </c>
      <c r="C2231" s="7" t="s">
        <v>923</v>
      </c>
      <c r="D2231" s="7" t="s">
        <v>67</v>
      </c>
      <c r="E2231" s="7" t="s">
        <v>130</v>
      </c>
      <c r="F2231" s="7" t="s">
        <v>16</v>
      </c>
      <c r="G2231" s="7" t="s">
        <v>182</v>
      </c>
      <c r="H2231" s="7">
        <v>4</v>
      </c>
      <c r="I2231" s="2">
        <v>873.27</v>
      </c>
      <c r="J2231" s="2">
        <f>Tabla2[[#This Row],[Quantity]]*I2231</f>
        <v>3493.08</v>
      </c>
      <c r="K2231" s="6">
        <f>MONTH(Tabla2[[#This Row],[OrderDate]])</f>
        <v>10</v>
      </c>
      <c r="L2231" s="6">
        <f>YEAR(Tabla2[[#This Row],[OrderDate]])</f>
        <v>2025</v>
      </c>
      <c r="M2231" s="7" t="s">
        <v>267</v>
      </c>
      <c r="N2231" s="7" t="s">
        <v>36</v>
      </c>
    </row>
    <row r="2232" spans="1:14" x14ac:dyDescent="0.35">
      <c r="A2232" s="7" t="s">
        <v>3584</v>
      </c>
      <c r="B2232" s="7" t="s">
        <v>574</v>
      </c>
      <c r="C2232" s="7" t="s">
        <v>575</v>
      </c>
      <c r="D2232" s="7" t="s">
        <v>40</v>
      </c>
      <c r="E2232" s="7" t="s">
        <v>41</v>
      </c>
      <c r="F2232" s="7" t="s">
        <v>101</v>
      </c>
      <c r="G2232" s="7" t="s">
        <v>373</v>
      </c>
      <c r="H2232" s="7">
        <v>1</v>
      </c>
      <c r="I2232" s="2">
        <v>71.52</v>
      </c>
      <c r="J2232" s="2">
        <f>Tabla2[[#This Row],[Quantity]]*I2232</f>
        <v>71.52</v>
      </c>
      <c r="K2232" s="6">
        <f>MONTH(Tabla2[[#This Row],[OrderDate]])</f>
        <v>11</v>
      </c>
      <c r="L2232" s="6">
        <f>YEAR(Tabla2[[#This Row],[OrderDate]])</f>
        <v>2025</v>
      </c>
      <c r="M2232" s="7" t="s">
        <v>3473</v>
      </c>
      <c r="N2232" s="7" t="s">
        <v>45</v>
      </c>
    </row>
    <row r="2233" spans="1:14" x14ac:dyDescent="0.35">
      <c r="A2233" s="7" t="s">
        <v>3585</v>
      </c>
      <c r="B2233" s="7" t="s">
        <v>629</v>
      </c>
      <c r="C2233" s="7" t="s">
        <v>630</v>
      </c>
      <c r="D2233" s="7" t="s">
        <v>14</v>
      </c>
      <c r="E2233" s="7" t="s">
        <v>100</v>
      </c>
      <c r="F2233" s="7" t="s">
        <v>42</v>
      </c>
      <c r="G2233" s="7" t="s">
        <v>80</v>
      </c>
      <c r="H2233" s="7">
        <v>2</v>
      </c>
      <c r="I2233" s="2">
        <v>270.23</v>
      </c>
      <c r="J2233" s="2">
        <f>Tabla2[[#This Row],[Quantity]]*I2233</f>
        <v>540.46</v>
      </c>
      <c r="K2233" s="6">
        <f>MONTH(Tabla2[[#This Row],[OrderDate]])</f>
        <v>10</v>
      </c>
      <c r="L2233" s="6">
        <f>YEAR(Tabla2[[#This Row],[OrderDate]])</f>
        <v>2025</v>
      </c>
      <c r="M2233" s="7" t="s">
        <v>2149</v>
      </c>
      <c r="N2233" s="7" t="s">
        <v>91</v>
      </c>
    </row>
    <row r="2234" spans="1:14" x14ac:dyDescent="0.35">
      <c r="A2234" s="7" t="s">
        <v>3586</v>
      </c>
      <c r="B2234" s="7" t="s">
        <v>273</v>
      </c>
      <c r="C2234" s="7" t="s">
        <v>274</v>
      </c>
      <c r="D2234" s="7" t="s">
        <v>32</v>
      </c>
      <c r="E2234" s="7" t="s">
        <v>61</v>
      </c>
      <c r="F2234" s="7" t="s">
        <v>42</v>
      </c>
      <c r="G2234" s="7" t="s">
        <v>89</v>
      </c>
      <c r="H2234" s="7">
        <v>1</v>
      </c>
      <c r="I2234" s="2">
        <v>25.43</v>
      </c>
      <c r="J2234" s="2">
        <f>Tabla2[[#This Row],[Quantity]]*I2234</f>
        <v>25.43</v>
      </c>
      <c r="K2234" s="6">
        <f>MONTH(Tabla2[[#This Row],[OrderDate]])</f>
        <v>4</v>
      </c>
      <c r="L2234" s="6">
        <f>YEAR(Tabla2[[#This Row],[OrderDate]])</f>
        <v>2024</v>
      </c>
      <c r="M2234" s="7" t="s">
        <v>2108</v>
      </c>
      <c r="N2234" s="7" t="s">
        <v>36</v>
      </c>
    </row>
    <row r="2235" spans="1:14" x14ac:dyDescent="0.35">
      <c r="A2235" s="7" t="s">
        <v>3587</v>
      </c>
      <c r="B2235" s="7" t="s">
        <v>345</v>
      </c>
      <c r="C2235" s="7" t="s">
        <v>346</v>
      </c>
      <c r="D2235" s="7" t="s">
        <v>40</v>
      </c>
      <c r="E2235" s="7" t="s">
        <v>120</v>
      </c>
      <c r="F2235" s="7" t="s">
        <v>25</v>
      </c>
      <c r="G2235" s="7" t="s">
        <v>26</v>
      </c>
      <c r="H2235" s="7">
        <v>5</v>
      </c>
      <c r="I2235" s="2">
        <v>257.89</v>
      </c>
      <c r="J2235" s="2">
        <f>Tabla2[[#This Row],[Quantity]]*I2235</f>
        <v>1289.4499999999998</v>
      </c>
      <c r="K2235" s="6">
        <f>MONTH(Tabla2[[#This Row],[OrderDate]])</f>
        <v>4</v>
      </c>
      <c r="L2235" s="6">
        <f>YEAR(Tabla2[[#This Row],[OrderDate]])</f>
        <v>2024</v>
      </c>
      <c r="M2235" s="7" t="s">
        <v>327</v>
      </c>
      <c r="N2235" s="7" t="s">
        <v>45</v>
      </c>
    </row>
    <row r="2236" spans="1:14" x14ac:dyDescent="0.35">
      <c r="A2236" s="7" t="s">
        <v>3588</v>
      </c>
      <c r="B2236" s="7" t="s">
        <v>797</v>
      </c>
      <c r="C2236" s="7" t="s">
        <v>798</v>
      </c>
      <c r="D2236" s="7" t="s">
        <v>32</v>
      </c>
      <c r="E2236" s="7" t="s">
        <v>203</v>
      </c>
      <c r="F2236" s="7" t="s">
        <v>42</v>
      </c>
      <c r="G2236" s="7" t="s">
        <v>170</v>
      </c>
      <c r="H2236" s="7">
        <v>5</v>
      </c>
      <c r="I2236" s="2">
        <v>707.14</v>
      </c>
      <c r="J2236" s="2">
        <f>Tabla2[[#This Row],[Quantity]]*I2236</f>
        <v>3535.7</v>
      </c>
      <c r="K2236" s="6">
        <f>MONTH(Tabla2[[#This Row],[OrderDate]])</f>
        <v>9</v>
      </c>
      <c r="L2236" s="6">
        <f>YEAR(Tabla2[[#This Row],[OrderDate]])</f>
        <v>2024</v>
      </c>
      <c r="M2236" s="7" t="s">
        <v>983</v>
      </c>
      <c r="N2236" s="7" t="s">
        <v>36</v>
      </c>
    </row>
    <row r="2237" spans="1:14" x14ac:dyDescent="0.35">
      <c r="A2237" s="7" t="s">
        <v>3589</v>
      </c>
      <c r="B2237" s="7" t="s">
        <v>558</v>
      </c>
      <c r="C2237" s="7" t="s">
        <v>559</v>
      </c>
      <c r="D2237" s="7" t="s">
        <v>23</v>
      </c>
      <c r="E2237" s="7" t="s">
        <v>338</v>
      </c>
      <c r="F2237" s="7" t="s">
        <v>16</v>
      </c>
      <c r="G2237" s="7" t="s">
        <v>182</v>
      </c>
      <c r="H2237" s="7">
        <v>1</v>
      </c>
      <c r="I2237" s="2">
        <v>473.05</v>
      </c>
      <c r="J2237" s="2">
        <f>Tabla2[[#This Row],[Quantity]]*I2237</f>
        <v>473.05</v>
      </c>
      <c r="K2237" s="6">
        <f>MONTH(Tabla2[[#This Row],[OrderDate]])</f>
        <v>1</v>
      </c>
      <c r="L2237" s="6">
        <f>YEAR(Tabla2[[#This Row],[OrderDate]])</f>
        <v>2025</v>
      </c>
      <c r="M2237" s="7" t="s">
        <v>1060</v>
      </c>
      <c r="N2237" s="7" t="s">
        <v>28</v>
      </c>
    </row>
    <row r="2238" spans="1:14" x14ac:dyDescent="0.35">
      <c r="A2238" s="7" t="s">
        <v>3590</v>
      </c>
      <c r="B2238" s="7" t="s">
        <v>918</v>
      </c>
      <c r="C2238" s="7" t="s">
        <v>919</v>
      </c>
      <c r="D2238" s="7" t="s">
        <v>40</v>
      </c>
      <c r="E2238" s="7" t="s">
        <v>120</v>
      </c>
      <c r="F2238" s="7" t="s">
        <v>25</v>
      </c>
      <c r="G2238" s="7" t="s">
        <v>26</v>
      </c>
      <c r="H2238" s="7">
        <v>4</v>
      </c>
      <c r="I2238" s="2">
        <v>1223.3800000000001</v>
      </c>
      <c r="J2238" s="2">
        <f>Tabla2[[#This Row],[Quantity]]*I2238</f>
        <v>4893.5200000000004</v>
      </c>
      <c r="K2238" s="6">
        <f>MONTH(Tabla2[[#This Row],[OrderDate]])</f>
        <v>5</v>
      </c>
      <c r="L2238" s="6">
        <f>YEAR(Tabla2[[#This Row],[OrderDate]])</f>
        <v>2024</v>
      </c>
      <c r="M2238" s="7" t="s">
        <v>844</v>
      </c>
      <c r="N2238" s="7" t="s">
        <v>36</v>
      </c>
    </row>
    <row r="2239" spans="1:14" x14ac:dyDescent="0.35">
      <c r="A2239" s="7" t="s">
        <v>3591</v>
      </c>
      <c r="B2239" s="7" t="s">
        <v>223</v>
      </c>
      <c r="C2239" s="7" t="s">
        <v>224</v>
      </c>
      <c r="D2239" s="7" t="s">
        <v>14</v>
      </c>
      <c r="E2239" s="7" t="s">
        <v>95</v>
      </c>
      <c r="F2239" s="7" t="s">
        <v>50</v>
      </c>
      <c r="G2239" s="7" t="s">
        <v>69</v>
      </c>
      <c r="H2239" s="7">
        <v>2</v>
      </c>
      <c r="I2239" s="2">
        <v>1493.93</v>
      </c>
      <c r="J2239" s="2">
        <f>Tabla2[[#This Row],[Quantity]]*I2239</f>
        <v>2987.86</v>
      </c>
      <c r="K2239" s="6">
        <f>MONTH(Tabla2[[#This Row],[OrderDate]])</f>
        <v>8</v>
      </c>
      <c r="L2239" s="6">
        <f>YEAR(Tabla2[[#This Row],[OrderDate]])</f>
        <v>2025</v>
      </c>
      <c r="M2239" s="7" t="s">
        <v>238</v>
      </c>
      <c r="N2239" s="7" t="s">
        <v>36</v>
      </c>
    </row>
    <row r="2240" spans="1:14" x14ac:dyDescent="0.35">
      <c r="A2240" s="7" t="s">
        <v>3592</v>
      </c>
      <c r="B2240" s="7" t="s">
        <v>443</v>
      </c>
      <c r="C2240" s="7" t="s">
        <v>444</v>
      </c>
      <c r="D2240" s="7" t="s">
        <v>14</v>
      </c>
      <c r="E2240" s="7" t="s">
        <v>266</v>
      </c>
      <c r="F2240" s="7" t="s">
        <v>16</v>
      </c>
      <c r="G2240" s="7" t="s">
        <v>230</v>
      </c>
      <c r="H2240" s="7">
        <v>4</v>
      </c>
      <c r="I2240" s="2">
        <v>1058.9000000000001</v>
      </c>
      <c r="J2240" s="2">
        <f>Tabla2[[#This Row],[Quantity]]*I2240</f>
        <v>4235.6000000000004</v>
      </c>
      <c r="K2240" s="6">
        <f>MONTH(Tabla2[[#This Row],[OrderDate]])</f>
        <v>5</v>
      </c>
      <c r="L2240" s="6">
        <f>YEAR(Tabla2[[#This Row],[OrderDate]])</f>
        <v>2025</v>
      </c>
      <c r="M2240" s="7" t="s">
        <v>1103</v>
      </c>
      <c r="N2240" s="7" t="s">
        <v>28</v>
      </c>
    </row>
    <row r="2241" spans="1:14" x14ac:dyDescent="0.35">
      <c r="A2241" s="7" t="s">
        <v>3593</v>
      </c>
      <c r="B2241" s="7" t="s">
        <v>568</v>
      </c>
      <c r="C2241" s="7" t="s">
        <v>569</v>
      </c>
      <c r="D2241" s="7" t="s">
        <v>40</v>
      </c>
      <c r="E2241" s="7" t="s">
        <v>120</v>
      </c>
      <c r="F2241" s="7" t="s">
        <v>25</v>
      </c>
      <c r="G2241" s="7" t="s">
        <v>74</v>
      </c>
      <c r="H2241" s="7">
        <v>2</v>
      </c>
      <c r="I2241" s="2">
        <v>380.42</v>
      </c>
      <c r="J2241" s="2">
        <f>Tabla2[[#This Row],[Quantity]]*I2241</f>
        <v>760.84</v>
      </c>
      <c r="K2241" s="6">
        <f>MONTH(Tabla2[[#This Row],[OrderDate]])</f>
        <v>1</v>
      </c>
      <c r="L2241" s="6">
        <f>YEAR(Tabla2[[#This Row],[OrderDate]])</f>
        <v>2024</v>
      </c>
      <c r="M2241" s="7" t="s">
        <v>3200</v>
      </c>
      <c r="N2241" s="7" t="s">
        <v>91</v>
      </c>
    </row>
    <row r="2242" spans="1:14" x14ac:dyDescent="0.35">
      <c r="A2242" s="7" t="s">
        <v>3594</v>
      </c>
      <c r="B2242" s="7" t="s">
        <v>384</v>
      </c>
      <c r="C2242" s="7" t="s">
        <v>385</v>
      </c>
      <c r="D2242" s="7" t="s">
        <v>23</v>
      </c>
      <c r="E2242" s="7" t="s">
        <v>24</v>
      </c>
      <c r="F2242" s="7" t="s">
        <v>50</v>
      </c>
      <c r="G2242" s="7" t="s">
        <v>56</v>
      </c>
      <c r="H2242" s="7">
        <v>5</v>
      </c>
      <c r="I2242" s="2">
        <v>1391.24</v>
      </c>
      <c r="J2242" s="2">
        <f>Tabla2[[#This Row],[Quantity]]*I2242</f>
        <v>6956.2</v>
      </c>
      <c r="K2242" s="6">
        <f>MONTH(Tabla2[[#This Row],[OrderDate]])</f>
        <v>6</v>
      </c>
      <c r="L2242" s="6">
        <f>YEAR(Tabla2[[#This Row],[OrderDate]])</f>
        <v>2025</v>
      </c>
      <c r="M2242" s="7" t="s">
        <v>1605</v>
      </c>
      <c r="N2242" s="7" t="s">
        <v>36</v>
      </c>
    </row>
    <row r="2243" spans="1:14" x14ac:dyDescent="0.35">
      <c r="A2243" s="7" t="s">
        <v>3595</v>
      </c>
      <c r="B2243" s="7" t="s">
        <v>325</v>
      </c>
      <c r="C2243" s="7" t="s">
        <v>326</v>
      </c>
      <c r="D2243" s="7" t="s">
        <v>40</v>
      </c>
      <c r="E2243" s="7" t="s">
        <v>79</v>
      </c>
      <c r="F2243" s="7" t="s">
        <v>25</v>
      </c>
      <c r="G2243" s="7" t="s">
        <v>34</v>
      </c>
      <c r="H2243" s="7">
        <v>2</v>
      </c>
      <c r="I2243" s="2">
        <v>796.7</v>
      </c>
      <c r="J2243" s="2">
        <f>Tabla2[[#This Row],[Quantity]]*I2243</f>
        <v>1593.4</v>
      </c>
      <c r="K2243" s="6">
        <f>MONTH(Tabla2[[#This Row],[OrderDate]])</f>
        <v>5</v>
      </c>
      <c r="L2243" s="6">
        <f>YEAR(Tabla2[[#This Row],[OrderDate]])</f>
        <v>2024</v>
      </c>
      <c r="M2243" s="7" t="s">
        <v>3596</v>
      </c>
      <c r="N2243" s="7" t="s">
        <v>36</v>
      </c>
    </row>
    <row r="2244" spans="1:14" x14ac:dyDescent="0.35">
      <c r="A2244" s="7" t="s">
        <v>3597</v>
      </c>
      <c r="B2244" s="7" t="s">
        <v>751</v>
      </c>
      <c r="C2244" s="7" t="s">
        <v>752</v>
      </c>
      <c r="D2244" s="7" t="s">
        <v>40</v>
      </c>
      <c r="E2244" s="7" t="s">
        <v>41</v>
      </c>
      <c r="F2244" s="7" t="s">
        <v>16</v>
      </c>
      <c r="G2244" s="7" t="s">
        <v>182</v>
      </c>
      <c r="H2244" s="7">
        <v>4</v>
      </c>
      <c r="I2244" s="2">
        <v>287.49</v>
      </c>
      <c r="J2244" s="2">
        <f>Tabla2[[#This Row],[Quantity]]*I2244</f>
        <v>1149.96</v>
      </c>
      <c r="K2244" s="6">
        <f>MONTH(Tabla2[[#This Row],[OrderDate]])</f>
        <v>5</v>
      </c>
      <c r="L2244" s="6">
        <f>YEAR(Tabla2[[#This Row],[OrderDate]])</f>
        <v>2025</v>
      </c>
      <c r="M2244" s="7" t="s">
        <v>813</v>
      </c>
      <c r="N2244" s="7" t="s">
        <v>19</v>
      </c>
    </row>
    <row r="2245" spans="1:14" x14ac:dyDescent="0.35">
      <c r="A2245" s="7" t="s">
        <v>3598</v>
      </c>
      <c r="B2245" s="7" t="s">
        <v>1662</v>
      </c>
      <c r="C2245" s="7" t="s">
        <v>1663</v>
      </c>
      <c r="D2245" s="7" t="s">
        <v>14</v>
      </c>
      <c r="E2245" s="7" t="s">
        <v>95</v>
      </c>
      <c r="F2245" s="7" t="s">
        <v>101</v>
      </c>
      <c r="G2245" s="7" t="s">
        <v>237</v>
      </c>
      <c r="H2245" s="7">
        <v>1</v>
      </c>
      <c r="I2245" s="2">
        <v>772.77</v>
      </c>
      <c r="J2245" s="2">
        <f>Tabla2[[#This Row],[Quantity]]*I2245</f>
        <v>772.77</v>
      </c>
      <c r="K2245" s="6">
        <f>MONTH(Tabla2[[#This Row],[OrderDate]])</f>
        <v>10</v>
      </c>
      <c r="L2245" s="6">
        <f>YEAR(Tabla2[[#This Row],[OrderDate]])</f>
        <v>2024</v>
      </c>
      <c r="M2245" s="7" t="s">
        <v>2276</v>
      </c>
      <c r="N2245" s="7" t="s">
        <v>19</v>
      </c>
    </row>
    <row r="2246" spans="1:14" x14ac:dyDescent="0.35">
      <c r="A2246" s="7" t="s">
        <v>3599</v>
      </c>
      <c r="B2246" s="7" t="s">
        <v>460</v>
      </c>
      <c r="C2246" s="7" t="s">
        <v>461</v>
      </c>
      <c r="D2246" s="7" t="s">
        <v>32</v>
      </c>
      <c r="E2246" s="7" t="s">
        <v>61</v>
      </c>
      <c r="F2246" s="7" t="s">
        <v>25</v>
      </c>
      <c r="G2246" s="7" t="s">
        <v>139</v>
      </c>
      <c r="H2246" s="7">
        <v>5</v>
      </c>
      <c r="I2246" s="2">
        <v>241.46</v>
      </c>
      <c r="J2246" s="2">
        <f>Tabla2[[#This Row],[Quantity]]*I2246</f>
        <v>1207.3</v>
      </c>
      <c r="K2246" s="6">
        <f>MONTH(Tabla2[[#This Row],[OrderDate]])</f>
        <v>12</v>
      </c>
      <c r="L2246" s="6">
        <f>YEAR(Tabla2[[#This Row],[OrderDate]])</f>
        <v>2025</v>
      </c>
      <c r="M2246" s="7" t="s">
        <v>1194</v>
      </c>
      <c r="N2246" s="7" t="s">
        <v>45</v>
      </c>
    </row>
    <row r="2247" spans="1:14" x14ac:dyDescent="0.35">
      <c r="A2247" s="7" t="s">
        <v>3600</v>
      </c>
      <c r="B2247" s="7" t="s">
        <v>681</v>
      </c>
      <c r="C2247" s="7" t="s">
        <v>682</v>
      </c>
      <c r="D2247" s="7" t="s">
        <v>40</v>
      </c>
      <c r="E2247" s="7" t="s">
        <v>120</v>
      </c>
      <c r="F2247" s="7" t="s">
        <v>25</v>
      </c>
      <c r="G2247" s="7" t="s">
        <v>26</v>
      </c>
      <c r="H2247" s="7">
        <v>3</v>
      </c>
      <c r="I2247" s="2">
        <v>1345.9</v>
      </c>
      <c r="J2247" s="2">
        <f>Tabla2[[#This Row],[Quantity]]*I2247</f>
        <v>4037.7000000000003</v>
      </c>
      <c r="K2247" s="6">
        <f>MONTH(Tabla2[[#This Row],[OrderDate]])</f>
        <v>3</v>
      </c>
      <c r="L2247" s="6">
        <f>YEAR(Tabla2[[#This Row],[OrderDate]])</f>
        <v>2026</v>
      </c>
      <c r="M2247" s="7" t="s">
        <v>1411</v>
      </c>
      <c r="N2247" s="7" t="s">
        <v>28</v>
      </c>
    </row>
    <row r="2248" spans="1:14" x14ac:dyDescent="0.35">
      <c r="A2248" s="7" t="s">
        <v>3601</v>
      </c>
      <c r="B2248" s="7" t="s">
        <v>159</v>
      </c>
      <c r="C2248" s="7" t="s">
        <v>160</v>
      </c>
      <c r="D2248" s="7" t="s">
        <v>32</v>
      </c>
      <c r="E2248" s="7" t="s">
        <v>203</v>
      </c>
      <c r="F2248" s="7" t="s">
        <v>16</v>
      </c>
      <c r="G2248" s="7" t="s">
        <v>148</v>
      </c>
      <c r="H2248" s="7">
        <v>1</v>
      </c>
      <c r="I2248" s="2">
        <v>1317.39</v>
      </c>
      <c r="J2248" s="2">
        <f>Tabla2[[#This Row],[Quantity]]*I2248</f>
        <v>1317.39</v>
      </c>
      <c r="K2248" s="6">
        <f>MONTH(Tabla2[[#This Row],[OrderDate]])</f>
        <v>2</v>
      </c>
      <c r="L2248" s="6">
        <f>YEAR(Tabla2[[#This Row],[OrderDate]])</f>
        <v>2025</v>
      </c>
      <c r="M2248" s="7" t="s">
        <v>2057</v>
      </c>
      <c r="N2248" s="7" t="s">
        <v>91</v>
      </c>
    </row>
    <row r="2249" spans="1:14" x14ac:dyDescent="0.35">
      <c r="A2249" s="7" t="s">
        <v>3602</v>
      </c>
      <c r="B2249" s="7" t="s">
        <v>1523</v>
      </c>
      <c r="C2249" s="7" t="s">
        <v>1524</v>
      </c>
      <c r="D2249" s="7" t="s">
        <v>32</v>
      </c>
      <c r="E2249" s="7" t="s">
        <v>61</v>
      </c>
      <c r="F2249" s="7" t="s">
        <v>16</v>
      </c>
      <c r="G2249" s="7" t="s">
        <v>148</v>
      </c>
      <c r="H2249" s="7">
        <v>3</v>
      </c>
      <c r="I2249" s="2">
        <v>931.17</v>
      </c>
      <c r="J2249" s="2">
        <f>Tabla2[[#This Row],[Quantity]]*I2249</f>
        <v>2793.5099999999998</v>
      </c>
      <c r="K2249" s="6">
        <f>MONTH(Tabla2[[#This Row],[OrderDate]])</f>
        <v>2</v>
      </c>
      <c r="L2249" s="6">
        <f>YEAR(Tabla2[[#This Row],[OrderDate]])</f>
        <v>2026</v>
      </c>
      <c r="M2249" s="7" t="s">
        <v>2131</v>
      </c>
      <c r="N2249" s="7" t="s">
        <v>91</v>
      </c>
    </row>
    <row r="2250" spans="1:14" x14ac:dyDescent="0.35">
      <c r="A2250" s="7" t="s">
        <v>3603</v>
      </c>
      <c r="B2250" s="7" t="s">
        <v>1516</v>
      </c>
      <c r="C2250" s="7" t="s">
        <v>1517</v>
      </c>
      <c r="D2250" s="7" t="s">
        <v>32</v>
      </c>
      <c r="E2250" s="7" t="s">
        <v>33</v>
      </c>
      <c r="F2250" s="7" t="s">
        <v>50</v>
      </c>
      <c r="G2250" s="7" t="s">
        <v>51</v>
      </c>
      <c r="H2250" s="7">
        <v>2</v>
      </c>
      <c r="I2250" s="2">
        <v>309.57</v>
      </c>
      <c r="J2250" s="2">
        <f>Tabla2[[#This Row],[Quantity]]*I2250</f>
        <v>619.14</v>
      </c>
      <c r="K2250" s="6">
        <f>MONTH(Tabla2[[#This Row],[OrderDate]])</f>
        <v>8</v>
      </c>
      <c r="L2250" s="6">
        <f>YEAR(Tabla2[[#This Row],[OrderDate]])</f>
        <v>2025</v>
      </c>
      <c r="M2250" s="7" t="s">
        <v>2116</v>
      </c>
      <c r="N2250" s="7" t="s">
        <v>36</v>
      </c>
    </row>
    <row r="2251" spans="1:14" x14ac:dyDescent="0.35">
      <c r="A2251" s="7" t="s">
        <v>3604</v>
      </c>
      <c r="B2251" s="7" t="s">
        <v>333</v>
      </c>
      <c r="C2251" s="7" t="s">
        <v>334</v>
      </c>
      <c r="D2251" s="7" t="s">
        <v>67</v>
      </c>
      <c r="E2251" s="7" t="s">
        <v>115</v>
      </c>
      <c r="F2251" s="7" t="s">
        <v>101</v>
      </c>
      <c r="G2251" s="7" t="s">
        <v>649</v>
      </c>
      <c r="H2251" s="7">
        <v>3</v>
      </c>
      <c r="I2251" s="2">
        <v>53.33</v>
      </c>
      <c r="J2251" s="2">
        <f>Tabla2[[#This Row],[Quantity]]*I2251</f>
        <v>159.99</v>
      </c>
      <c r="K2251" s="6">
        <f>MONTH(Tabla2[[#This Row],[OrderDate]])</f>
        <v>8</v>
      </c>
      <c r="L2251" s="6">
        <f>YEAR(Tabla2[[#This Row],[OrderDate]])</f>
        <v>2024</v>
      </c>
      <c r="M2251" s="7" t="s">
        <v>624</v>
      </c>
      <c r="N2251" s="7" t="s">
        <v>91</v>
      </c>
    </row>
    <row r="2252" spans="1:14" x14ac:dyDescent="0.35">
      <c r="A2252" s="7" t="s">
        <v>3605</v>
      </c>
      <c r="B2252" s="7" t="s">
        <v>1281</v>
      </c>
      <c r="C2252" s="7" t="s">
        <v>1282</v>
      </c>
      <c r="D2252" s="7" t="s">
        <v>67</v>
      </c>
      <c r="E2252" s="7" t="s">
        <v>130</v>
      </c>
      <c r="F2252" s="7" t="s">
        <v>25</v>
      </c>
      <c r="G2252" s="7" t="s">
        <v>139</v>
      </c>
      <c r="H2252" s="7">
        <v>1</v>
      </c>
      <c r="I2252" s="2">
        <v>837.53</v>
      </c>
      <c r="J2252" s="2">
        <f>Tabla2[[#This Row],[Quantity]]*I2252</f>
        <v>837.53</v>
      </c>
      <c r="K2252" s="6">
        <f>MONTH(Tabla2[[#This Row],[OrderDate]])</f>
        <v>2</v>
      </c>
      <c r="L2252" s="6">
        <f>YEAR(Tabla2[[#This Row],[OrderDate]])</f>
        <v>2024</v>
      </c>
      <c r="M2252" s="7" t="s">
        <v>2575</v>
      </c>
      <c r="N2252" s="7" t="s">
        <v>91</v>
      </c>
    </row>
    <row r="2253" spans="1:14" x14ac:dyDescent="0.35">
      <c r="A2253" s="7" t="s">
        <v>3606</v>
      </c>
      <c r="B2253" s="7" t="s">
        <v>47</v>
      </c>
      <c r="C2253" s="7" t="s">
        <v>48</v>
      </c>
      <c r="D2253" s="7" t="s">
        <v>23</v>
      </c>
      <c r="E2253" s="7" t="s">
        <v>24</v>
      </c>
      <c r="F2253" s="7" t="s">
        <v>50</v>
      </c>
      <c r="G2253" s="7" t="s">
        <v>216</v>
      </c>
      <c r="H2253" s="7">
        <v>4</v>
      </c>
      <c r="I2253" s="2">
        <v>1425.66</v>
      </c>
      <c r="J2253" s="2">
        <f>Tabla2[[#This Row],[Quantity]]*I2253</f>
        <v>5702.64</v>
      </c>
      <c r="K2253" s="6">
        <f>MONTH(Tabla2[[#This Row],[OrderDate]])</f>
        <v>12</v>
      </c>
      <c r="L2253" s="6">
        <f>YEAR(Tabla2[[#This Row],[OrderDate]])</f>
        <v>2024</v>
      </c>
      <c r="M2253" s="7" t="s">
        <v>2046</v>
      </c>
      <c r="N2253" s="7" t="s">
        <v>19</v>
      </c>
    </row>
    <row r="2254" spans="1:14" x14ac:dyDescent="0.35">
      <c r="A2254" s="7" t="s">
        <v>3607</v>
      </c>
      <c r="B2254" s="7" t="s">
        <v>1428</v>
      </c>
      <c r="C2254" s="7" t="s">
        <v>1429</v>
      </c>
      <c r="D2254" s="7" t="s">
        <v>32</v>
      </c>
      <c r="E2254" s="7" t="s">
        <v>61</v>
      </c>
      <c r="F2254" s="7" t="s">
        <v>16</v>
      </c>
      <c r="G2254" s="7" t="s">
        <v>177</v>
      </c>
      <c r="H2254" s="7">
        <v>5</v>
      </c>
      <c r="I2254" s="2">
        <v>921.65</v>
      </c>
      <c r="J2254" s="2">
        <f>Tabla2[[#This Row],[Quantity]]*I2254</f>
        <v>4608.25</v>
      </c>
      <c r="K2254" s="6">
        <f>MONTH(Tabla2[[#This Row],[OrderDate]])</f>
        <v>10</v>
      </c>
      <c r="L2254" s="6">
        <f>YEAR(Tabla2[[#This Row],[OrderDate]])</f>
        <v>2024</v>
      </c>
      <c r="M2254" s="7" t="s">
        <v>2565</v>
      </c>
      <c r="N2254" s="7" t="s">
        <v>91</v>
      </c>
    </row>
    <row r="2255" spans="1:14" x14ac:dyDescent="0.35">
      <c r="A2255" s="7" t="s">
        <v>3608</v>
      </c>
      <c r="B2255" s="7" t="s">
        <v>1354</v>
      </c>
      <c r="C2255" s="7" t="s">
        <v>1355</v>
      </c>
      <c r="D2255" s="7" t="s">
        <v>32</v>
      </c>
      <c r="E2255" s="7" t="s">
        <v>203</v>
      </c>
      <c r="F2255" s="7" t="s">
        <v>16</v>
      </c>
      <c r="G2255" s="7" t="s">
        <v>148</v>
      </c>
      <c r="H2255" s="7">
        <v>1</v>
      </c>
      <c r="I2255" s="2">
        <v>464.04</v>
      </c>
      <c r="J2255" s="2">
        <f>Tabla2[[#This Row],[Quantity]]*I2255</f>
        <v>464.04</v>
      </c>
      <c r="K2255" s="6">
        <f>MONTH(Tabla2[[#This Row],[OrderDate]])</f>
        <v>3</v>
      </c>
      <c r="L2255" s="6">
        <f>YEAR(Tabla2[[#This Row],[OrderDate]])</f>
        <v>2026</v>
      </c>
      <c r="M2255" s="7" t="s">
        <v>1483</v>
      </c>
      <c r="N2255" s="7" t="s">
        <v>28</v>
      </c>
    </row>
    <row r="2256" spans="1:14" x14ac:dyDescent="0.35">
      <c r="A2256" s="7" t="s">
        <v>3609</v>
      </c>
      <c r="B2256" s="7" t="s">
        <v>12</v>
      </c>
      <c r="C2256" s="7" t="s">
        <v>13</v>
      </c>
      <c r="D2256" s="7" t="s">
        <v>40</v>
      </c>
      <c r="E2256" s="7" t="s">
        <v>79</v>
      </c>
      <c r="F2256" s="7" t="s">
        <v>25</v>
      </c>
      <c r="G2256" s="7" t="s">
        <v>26</v>
      </c>
      <c r="H2256" s="7">
        <v>3</v>
      </c>
      <c r="I2256" s="2">
        <v>1013.35</v>
      </c>
      <c r="J2256" s="2">
        <f>Tabla2[[#This Row],[Quantity]]*I2256</f>
        <v>3040.05</v>
      </c>
      <c r="K2256" s="6">
        <f>MONTH(Tabla2[[#This Row],[OrderDate]])</f>
        <v>7</v>
      </c>
      <c r="L2256" s="6">
        <f>YEAR(Tabla2[[#This Row],[OrderDate]])</f>
        <v>2024</v>
      </c>
      <c r="M2256" s="7" t="s">
        <v>882</v>
      </c>
      <c r="N2256" s="7" t="s">
        <v>91</v>
      </c>
    </row>
    <row r="2257" spans="1:14" x14ac:dyDescent="0.35">
      <c r="A2257" s="7" t="s">
        <v>3610</v>
      </c>
      <c r="B2257" s="7" t="s">
        <v>287</v>
      </c>
      <c r="C2257" s="7" t="s">
        <v>288</v>
      </c>
      <c r="D2257" s="7" t="s">
        <v>67</v>
      </c>
      <c r="E2257" s="7" t="s">
        <v>115</v>
      </c>
      <c r="F2257" s="7" t="s">
        <v>16</v>
      </c>
      <c r="G2257" s="7" t="s">
        <v>148</v>
      </c>
      <c r="H2257" s="7">
        <v>1</v>
      </c>
      <c r="I2257" s="2">
        <v>809.52</v>
      </c>
      <c r="J2257" s="2">
        <f>Tabla2[[#This Row],[Quantity]]*I2257</f>
        <v>809.52</v>
      </c>
      <c r="K2257" s="6">
        <f>MONTH(Tabla2[[#This Row],[OrderDate]])</f>
        <v>11</v>
      </c>
      <c r="L2257" s="6">
        <f>YEAR(Tabla2[[#This Row],[OrderDate]])</f>
        <v>2025</v>
      </c>
      <c r="M2257" s="7" t="s">
        <v>3473</v>
      </c>
      <c r="N2257" s="7" t="s">
        <v>28</v>
      </c>
    </row>
    <row r="2258" spans="1:14" x14ac:dyDescent="0.35">
      <c r="A2258" s="7" t="s">
        <v>3611</v>
      </c>
      <c r="B2258" s="7" t="s">
        <v>418</v>
      </c>
      <c r="C2258" s="7" t="s">
        <v>419</v>
      </c>
      <c r="D2258" s="7" t="s">
        <v>32</v>
      </c>
      <c r="E2258" s="7" t="s">
        <v>61</v>
      </c>
      <c r="F2258" s="7" t="s">
        <v>25</v>
      </c>
      <c r="G2258" s="7" t="s">
        <v>74</v>
      </c>
      <c r="H2258" s="7">
        <v>1</v>
      </c>
      <c r="I2258" s="2">
        <v>574.91999999999996</v>
      </c>
      <c r="J2258" s="2">
        <f>Tabla2[[#This Row],[Quantity]]*I2258</f>
        <v>574.91999999999996</v>
      </c>
      <c r="K2258" s="6">
        <f>MONTH(Tabla2[[#This Row],[OrderDate]])</f>
        <v>6</v>
      </c>
      <c r="L2258" s="6">
        <f>YEAR(Tabla2[[#This Row],[OrderDate]])</f>
        <v>2024</v>
      </c>
      <c r="M2258" s="7" t="s">
        <v>1309</v>
      </c>
      <c r="N2258" s="7" t="s">
        <v>91</v>
      </c>
    </row>
    <row r="2259" spans="1:14" x14ac:dyDescent="0.35">
      <c r="A2259" s="7" t="s">
        <v>3612</v>
      </c>
      <c r="B2259" s="7" t="s">
        <v>1444</v>
      </c>
      <c r="C2259" s="7" t="s">
        <v>1445</v>
      </c>
      <c r="D2259" s="7" t="s">
        <v>32</v>
      </c>
      <c r="E2259" s="7" t="s">
        <v>203</v>
      </c>
      <c r="F2259" s="7" t="s">
        <v>50</v>
      </c>
      <c r="G2259" s="7" t="s">
        <v>69</v>
      </c>
      <c r="H2259" s="7">
        <v>2</v>
      </c>
      <c r="I2259" s="2">
        <v>501.41</v>
      </c>
      <c r="J2259" s="2">
        <f>Tabla2[[#This Row],[Quantity]]*I2259</f>
        <v>1002.82</v>
      </c>
      <c r="K2259" s="6">
        <f>MONTH(Tabla2[[#This Row],[OrderDate]])</f>
        <v>11</v>
      </c>
      <c r="L2259" s="6">
        <f>YEAR(Tabla2[[#This Row],[OrderDate]])</f>
        <v>2025</v>
      </c>
      <c r="M2259" s="7" t="s">
        <v>1914</v>
      </c>
      <c r="N2259" s="7" t="s">
        <v>36</v>
      </c>
    </row>
    <row r="2260" spans="1:14" x14ac:dyDescent="0.35">
      <c r="A2260" s="7" t="s">
        <v>3613</v>
      </c>
      <c r="B2260" s="7" t="s">
        <v>260</v>
      </c>
      <c r="C2260" s="7" t="s">
        <v>261</v>
      </c>
      <c r="D2260" s="7" t="s">
        <v>23</v>
      </c>
      <c r="E2260" s="7" t="s">
        <v>338</v>
      </c>
      <c r="F2260" s="7" t="s">
        <v>50</v>
      </c>
      <c r="G2260" s="7" t="s">
        <v>170</v>
      </c>
      <c r="H2260" s="7">
        <v>2</v>
      </c>
      <c r="I2260" s="2">
        <v>1331.81</v>
      </c>
      <c r="J2260" s="2">
        <f>Tabla2[[#This Row],[Quantity]]*I2260</f>
        <v>2663.62</v>
      </c>
      <c r="K2260" s="6">
        <f>MONTH(Tabla2[[#This Row],[OrderDate]])</f>
        <v>8</v>
      </c>
      <c r="L2260" s="6">
        <f>YEAR(Tabla2[[#This Row],[OrderDate]])</f>
        <v>2025</v>
      </c>
      <c r="M2260" s="7" t="s">
        <v>1344</v>
      </c>
      <c r="N2260" s="7" t="s">
        <v>45</v>
      </c>
    </row>
    <row r="2261" spans="1:14" x14ac:dyDescent="0.35">
      <c r="A2261" s="7" t="s">
        <v>3614</v>
      </c>
      <c r="B2261" s="7" t="s">
        <v>21</v>
      </c>
      <c r="C2261" s="7" t="s">
        <v>22</v>
      </c>
      <c r="D2261" s="7" t="s">
        <v>32</v>
      </c>
      <c r="E2261" s="7" t="s">
        <v>203</v>
      </c>
      <c r="F2261" s="7" t="s">
        <v>50</v>
      </c>
      <c r="G2261" s="7" t="s">
        <v>170</v>
      </c>
      <c r="H2261" s="7">
        <v>1</v>
      </c>
      <c r="I2261" s="2">
        <v>678.34</v>
      </c>
      <c r="J2261" s="2">
        <f>Tabla2[[#This Row],[Quantity]]*I2261</f>
        <v>678.34</v>
      </c>
      <c r="K2261" s="6">
        <f>MONTH(Tabla2[[#This Row],[OrderDate]])</f>
        <v>8</v>
      </c>
      <c r="L2261" s="6">
        <f>YEAR(Tabla2[[#This Row],[OrderDate]])</f>
        <v>2025</v>
      </c>
      <c r="M2261" s="7" t="s">
        <v>830</v>
      </c>
      <c r="N2261" s="7" t="s">
        <v>45</v>
      </c>
    </row>
    <row r="2262" spans="1:14" x14ac:dyDescent="0.35">
      <c r="A2262" s="7" t="s">
        <v>3615</v>
      </c>
      <c r="B2262" s="7" t="s">
        <v>21</v>
      </c>
      <c r="C2262" s="7" t="s">
        <v>22</v>
      </c>
      <c r="D2262" s="7" t="s">
        <v>32</v>
      </c>
      <c r="E2262" s="7" t="s">
        <v>61</v>
      </c>
      <c r="F2262" s="7" t="s">
        <v>50</v>
      </c>
      <c r="G2262" s="7" t="s">
        <v>51</v>
      </c>
      <c r="H2262" s="7">
        <v>4</v>
      </c>
      <c r="I2262" s="2">
        <v>439.91</v>
      </c>
      <c r="J2262" s="2">
        <f>Tabla2[[#This Row],[Quantity]]*I2262</f>
        <v>1759.64</v>
      </c>
      <c r="K2262" s="6">
        <f>MONTH(Tabla2[[#This Row],[OrderDate]])</f>
        <v>11</v>
      </c>
      <c r="L2262" s="6">
        <f>YEAR(Tabla2[[#This Row],[OrderDate]])</f>
        <v>2025</v>
      </c>
      <c r="M2262" s="7" t="s">
        <v>2641</v>
      </c>
      <c r="N2262" s="7" t="s">
        <v>91</v>
      </c>
    </row>
    <row r="2263" spans="1:14" x14ac:dyDescent="0.35">
      <c r="A2263" s="7" t="s">
        <v>3616</v>
      </c>
      <c r="B2263" s="7" t="s">
        <v>146</v>
      </c>
      <c r="C2263" s="7" t="s">
        <v>147</v>
      </c>
      <c r="D2263" s="7" t="s">
        <v>67</v>
      </c>
      <c r="E2263" s="7" t="s">
        <v>68</v>
      </c>
      <c r="F2263" s="7" t="s">
        <v>101</v>
      </c>
      <c r="G2263" s="7" t="s">
        <v>649</v>
      </c>
      <c r="H2263" s="7">
        <v>3</v>
      </c>
      <c r="I2263" s="2">
        <v>688.55</v>
      </c>
      <c r="J2263" s="2">
        <f>Tabla2[[#This Row],[Quantity]]*I2263</f>
        <v>2065.6499999999996</v>
      </c>
      <c r="K2263" s="6">
        <f>MONTH(Tabla2[[#This Row],[OrderDate]])</f>
        <v>3</v>
      </c>
      <c r="L2263" s="6">
        <f>YEAR(Tabla2[[#This Row],[OrderDate]])</f>
        <v>2024</v>
      </c>
      <c r="M2263" s="7" t="s">
        <v>1952</v>
      </c>
      <c r="N2263" s="7" t="s">
        <v>36</v>
      </c>
    </row>
    <row r="2264" spans="1:14" x14ac:dyDescent="0.35">
      <c r="A2264" s="7" t="s">
        <v>3617</v>
      </c>
      <c r="B2264" s="7" t="s">
        <v>832</v>
      </c>
      <c r="C2264" s="7" t="s">
        <v>833</v>
      </c>
      <c r="D2264" s="7" t="s">
        <v>40</v>
      </c>
      <c r="E2264" s="7" t="s">
        <v>79</v>
      </c>
      <c r="F2264" s="7" t="s">
        <v>42</v>
      </c>
      <c r="G2264" s="7" t="s">
        <v>80</v>
      </c>
      <c r="H2264" s="7">
        <v>2</v>
      </c>
      <c r="I2264" s="2">
        <v>1259.8699999999999</v>
      </c>
      <c r="J2264" s="2">
        <f>Tabla2[[#This Row],[Quantity]]*I2264</f>
        <v>2519.7399999999998</v>
      </c>
      <c r="K2264" s="6">
        <f>MONTH(Tabla2[[#This Row],[OrderDate]])</f>
        <v>7</v>
      </c>
      <c r="L2264" s="6">
        <f>YEAR(Tabla2[[#This Row],[OrderDate]])</f>
        <v>2025</v>
      </c>
      <c r="M2264" s="7" t="s">
        <v>1371</v>
      </c>
      <c r="N2264" s="7" t="s">
        <v>36</v>
      </c>
    </row>
    <row r="2265" spans="1:14" x14ac:dyDescent="0.35">
      <c r="A2265" s="7" t="s">
        <v>3618</v>
      </c>
      <c r="B2265" s="7" t="s">
        <v>47</v>
      </c>
      <c r="C2265" s="7" t="s">
        <v>48</v>
      </c>
      <c r="D2265" s="7" t="s">
        <v>67</v>
      </c>
      <c r="E2265" s="7" t="s">
        <v>68</v>
      </c>
      <c r="F2265" s="7" t="s">
        <v>50</v>
      </c>
      <c r="G2265" s="7" t="s">
        <v>216</v>
      </c>
      <c r="H2265" s="7">
        <v>1</v>
      </c>
      <c r="I2265" s="2">
        <v>522.1</v>
      </c>
      <c r="J2265" s="2">
        <f>Tabla2[[#This Row],[Quantity]]*I2265</f>
        <v>522.1</v>
      </c>
      <c r="K2265" s="6">
        <f>MONTH(Tabla2[[#This Row],[OrderDate]])</f>
        <v>11</v>
      </c>
      <c r="L2265" s="6">
        <f>YEAR(Tabla2[[#This Row],[OrderDate]])</f>
        <v>2024</v>
      </c>
      <c r="M2265" s="7" t="s">
        <v>1287</v>
      </c>
      <c r="N2265" s="7" t="s">
        <v>36</v>
      </c>
    </row>
    <row r="2266" spans="1:14" x14ac:dyDescent="0.35">
      <c r="A2266" s="7" t="s">
        <v>3619</v>
      </c>
      <c r="B2266" s="7" t="s">
        <v>363</v>
      </c>
      <c r="C2266" s="7" t="s">
        <v>364</v>
      </c>
      <c r="D2266" s="7" t="s">
        <v>23</v>
      </c>
      <c r="E2266" s="7" t="s">
        <v>338</v>
      </c>
      <c r="F2266" s="7" t="s">
        <v>42</v>
      </c>
      <c r="G2266" s="7" t="s">
        <v>43</v>
      </c>
      <c r="H2266" s="7">
        <v>1</v>
      </c>
      <c r="I2266" s="2">
        <v>731.55</v>
      </c>
      <c r="J2266" s="2">
        <f>Tabla2[[#This Row],[Quantity]]*I2266</f>
        <v>731.55</v>
      </c>
      <c r="K2266" s="6">
        <f>MONTH(Tabla2[[#This Row],[OrderDate]])</f>
        <v>12</v>
      </c>
      <c r="L2266" s="6">
        <f>YEAR(Tabla2[[#This Row],[OrderDate]])</f>
        <v>2024</v>
      </c>
      <c r="M2266" s="7" t="s">
        <v>697</v>
      </c>
      <c r="N2266" s="7" t="s">
        <v>36</v>
      </c>
    </row>
    <row r="2267" spans="1:14" x14ac:dyDescent="0.35">
      <c r="A2267" s="7" t="s">
        <v>3620</v>
      </c>
      <c r="B2267" s="7" t="s">
        <v>240</v>
      </c>
      <c r="C2267" s="7" t="s">
        <v>241</v>
      </c>
      <c r="D2267" s="7" t="s">
        <v>14</v>
      </c>
      <c r="E2267" s="7" t="s">
        <v>15</v>
      </c>
      <c r="F2267" s="7" t="s">
        <v>16</v>
      </c>
      <c r="G2267" s="7" t="s">
        <v>230</v>
      </c>
      <c r="H2267" s="7">
        <v>5</v>
      </c>
      <c r="I2267" s="2">
        <v>401.61</v>
      </c>
      <c r="J2267" s="2">
        <f>Tabla2[[#This Row],[Quantity]]*I2267</f>
        <v>2008.0500000000002</v>
      </c>
      <c r="K2267" s="6">
        <f>MONTH(Tabla2[[#This Row],[OrderDate]])</f>
        <v>12</v>
      </c>
      <c r="L2267" s="6">
        <f>YEAR(Tabla2[[#This Row],[OrderDate]])</f>
        <v>2024</v>
      </c>
      <c r="M2267" s="7" t="s">
        <v>472</v>
      </c>
      <c r="N2267" s="7" t="s">
        <v>28</v>
      </c>
    </row>
    <row r="2268" spans="1:14" x14ac:dyDescent="0.35">
      <c r="A2268" s="7" t="s">
        <v>3621</v>
      </c>
      <c r="B2268" s="7" t="s">
        <v>492</v>
      </c>
      <c r="C2268" s="7" t="s">
        <v>493</v>
      </c>
      <c r="D2268" s="7" t="s">
        <v>40</v>
      </c>
      <c r="E2268" s="7" t="s">
        <v>41</v>
      </c>
      <c r="F2268" s="7" t="s">
        <v>16</v>
      </c>
      <c r="G2268" s="7" t="s">
        <v>182</v>
      </c>
      <c r="H2268" s="7">
        <v>1</v>
      </c>
      <c r="I2268" s="2">
        <v>605.55999999999995</v>
      </c>
      <c r="J2268" s="2">
        <f>Tabla2[[#This Row],[Quantity]]*I2268</f>
        <v>605.55999999999995</v>
      </c>
      <c r="K2268" s="6">
        <f>MONTH(Tabla2[[#This Row],[OrderDate]])</f>
        <v>7</v>
      </c>
      <c r="L2268" s="6">
        <f>YEAR(Tabla2[[#This Row],[OrderDate]])</f>
        <v>2025</v>
      </c>
      <c r="M2268" s="7" t="s">
        <v>44</v>
      </c>
      <c r="N2268" s="7" t="s">
        <v>91</v>
      </c>
    </row>
    <row r="2269" spans="1:14" x14ac:dyDescent="0.35">
      <c r="A2269" s="7" t="s">
        <v>3622</v>
      </c>
      <c r="B2269" s="7" t="s">
        <v>1340</v>
      </c>
      <c r="C2269" s="7" t="s">
        <v>1341</v>
      </c>
      <c r="D2269" s="7" t="s">
        <v>32</v>
      </c>
      <c r="E2269" s="7" t="s">
        <v>203</v>
      </c>
      <c r="F2269" s="7" t="s">
        <v>25</v>
      </c>
      <c r="G2269" s="7" t="s">
        <v>139</v>
      </c>
      <c r="H2269" s="7">
        <v>2</v>
      </c>
      <c r="I2269" s="2">
        <v>50.38</v>
      </c>
      <c r="J2269" s="2">
        <f>Tabla2[[#This Row],[Quantity]]*I2269</f>
        <v>100.76</v>
      </c>
      <c r="K2269" s="6">
        <f>MONTH(Tabla2[[#This Row],[OrderDate]])</f>
        <v>1</v>
      </c>
      <c r="L2269" s="6">
        <f>YEAR(Tabla2[[#This Row],[OrderDate]])</f>
        <v>2025</v>
      </c>
      <c r="M2269" s="7" t="s">
        <v>876</v>
      </c>
      <c r="N2269" s="7" t="s">
        <v>19</v>
      </c>
    </row>
    <row r="2270" spans="1:14" x14ac:dyDescent="0.35">
      <c r="A2270" s="7" t="s">
        <v>3623</v>
      </c>
      <c r="B2270" s="7" t="s">
        <v>711</v>
      </c>
      <c r="C2270" s="7" t="s">
        <v>712</v>
      </c>
      <c r="D2270" s="7" t="s">
        <v>32</v>
      </c>
      <c r="E2270" s="7" t="s">
        <v>33</v>
      </c>
      <c r="F2270" s="7" t="s">
        <v>42</v>
      </c>
      <c r="G2270" s="7" t="s">
        <v>170</v>
      </c>
      <c r="H2270" s="7">
        <v>5</v>
      </c>
      <c r="I2270" s="2">
        <v>1171.6600000000001</v>
      </c>
      <c r="J2270" s="2">
        <f>Tabla2[[#This Row],[Quantity]]*I2270</f>
        <v>5858.3</v>
      </c>
      <c r="K2270" s="6">
        <f>MONTH(Tabla2[[#This Row],[OrderDate]])</f>
        <v>10</v>
      </c>
      <c r="L2270" s="6">
        <f>YEAR(Tabla2[[#This Row],[OrderDate]])</f>
        <v>2024</v>
      </c>
      <c r="M2270" s="7" t="s">
        <v>645</v>
      </c>
      <c r="N2270" s="7" t="s">
        <v>45</v>
      </c>
    </row>
    <row r="2271" spans="1:14" x14ac:dyDescent="0.35">
      <c r="A2271" s="7" t="s">
        <v>3624</v>
      </c>
      <c r="B2271" s="7" t="s">
        <v>59</v>
      </c>
      <c r="C2271" s="7" t="s">
        <v>60</v>
      </c>
      <c r="D2271" s="7" t="s">
        <v>40</v>
      </c>
      <c r="E2271" s="7" t="s">
        <v>79</v>
      </c>
      <c r="F2271" s="7" t="s">
        <v>42</v>
      </c>
      <c r="G2271" s="7" t="s">
        <v>43</v>
      </c>
      <c r="H2271" s="7">
        <v>2</v>
      </c>
      <c r="I2271" s="2">
        <v>692.25</v>
      </c>
      <c r="J2271" s="2">
        <f>Tabla2[[#This Row],[Quantity]]*I2271</f>
        <v>1384.5</v>
      </c>
      <c r="K2271" s="6">
        <f>MONTH(Tabla2[[#This Row],[OrderDate]])</f>
        <v>3</v>
      </c>
      <c r="L2271" s="6">
        <f>YEAR(Tabla2[[#This Row],[OrderDate]])</f>
        <v>2025</v>
      </c>
      <c r="M2271" s="7" t="s">
        <v>1393</v>
      </c>
      <c r="N2271" s="7" t="s">
        <v>36</v>
      </c>
    </row>
    <row r="2272" spans="1:14" x14ac:dyDescent="0.35">
      <c r="A2272" s="7" t="s">
        <v>3625</v>
      </c>
      <c r="B2272" s="7" t="s">
        <v>715</v>
      </c>
      <c r="C2272" s="7" t="s">
        <v>716</v>
      </c>
      <c r="D2272" s="7" t="s">
        <v>67</v>
      </c>
      <c r="E2272" s="7" t="s">
        <v>68</v>
      </c>
      <c r="F2272" s="7" t="s">
        <v>50</v>
      </c>
      <c r="G2272" s="7" t="s">
        <v>51</v>
      </c>
      <c r="H2272" s="7">
        <v>3</v>
      </c>
      <c r="I2272" s="2">
        <v>1449.97</v>
      </c>
      <c r="J2272" s="2">
        <f>Tabla2[[#This Row],[Quantity]]*I2272</f>
        <v>4349.91</v>
      </c>
      <c r="K2272" s="6">
        <f>MONTH(Tabla2[[#This Row],[OrderDate]])</f>
        <v>9</v>
      </c>
      <c r="L2272" s="6">
        <f>YEAR(Tabla2[[#This Row],[OrderDate]])</f>
        <v>2024</v>
      </c>
      <c r="M2272" s="7" t="s">
        <v>1413</v>
      </c>
      <c r="N2272" s="7" t="s">
        <v>91</v>
      </c>
    </row>
    <row r="2273" spans="1:14" x14ac:dyDescent="0.35">
      <c r="A2273" s="7" t="s">
        <v>3626</v>
      </c>
      <c r="B2273" s="7" t="s">
        <v>159</v>
      </c>
      <c r="C2273" s="7" t="s">
        <v>160</v>
      </c>
      <c r="D2273" s="7" t="s">
        <v>40</v>
      </c>
      <c r="E2273" s="7" t="s">
        <v>120</v>
      </c>
      <c r="F2273" s="7" t="s">
        <v>25</v>
      </c>
      <c r="G2273" s="7" t="s">
        <v>74</v>
      </c>
      <c r="H2273" s="7">
        <v>1</v>
      </c>
      <c r="I2273" s="2">
        <v>1303.8399999999999</v>
      </c>
      <c r="J2273" s="2">
        <f>Tabla2[[#This Row],[Quantity]]*I2273</f>
        <v>1303.8399999999999</v>
      </c>
      <c r="K2273" s="6">
        <f>MONTH(Tabla2[[#This Row],[OrderDate]])</f>
        <v>12</v>
      </c>
      <c r="L2273" s="6">
        <f>YEAR(Tabla2[[#This Row],[OrderDate]])</f>
        <v>2025</v>
      </c>
      <c r="M2273" s="7" t="s">
        <v>382</v>
      </c>
      <c r="N2273" s="7" t="s">
        <v>45</v>
      </c>
    </row>
    <row r="2274" spans="1:14" x14ac:dyDescent="0.35">
      <c r="A2274" s="7" t="s">
        <v>3627</v>
      </c>
      <c r="B2274" s="7" t="s">
        <v>611</v>
      </c>
      <c r="C2274" s="7" t="s">
        <v>612</v>
      </c>
      <c r="D2274" s="7" t="s">
        <v>32</v>
      </c>
      <c r="E2274" s="7" t="s">
        <v>203</v>
      </c>
      <c r="F2274" s="7" t="s">
        <v>16</v>
      </c>
      <c r="G2274" s="7" t="s">
        <v>17</v>
      </c>
      <c r="H2274" s="7">
        <v>4</v>
      </c>
      <c r="I2274" s="2">
        <v>279.81</v>
      </c>
      <c r="J2274" s="2">
        <f>Tabla2[[#This Row],[Quantity]]*I2274</f>
        <v>1119.24</v>
      </c>
      <c r="K2274" s="6">
        <f>MONTH(Tabla2[[#This Row],[OrderDate]])</f>
        <v>3</v>
      </c>
      <c r="L2274" s="6">
        <f>YEAR(Tabla2[[#This Row],[OrderDate]])</f>
        <v>2025</v>
      </c>
      <c r="M2274" s="7" t="s">
        <v>1474</v>
      </c>
      <c r="N2274" s="7" t="s">
        <v>19</v>
      </c>
    </row>
    <row r="2275" spans="1:14" x14ac:dyDescent="0.35">
      <c r="A2275" s="7" t="s">
        <v>3628</v>
      </c>
      <c r="B2275" s="7" t="s">
        <v>83</v>
      </c>
      <c r="C2275" s="7" t="s">
        <v>84</v>
      </c>
      <c r="D2275" s="7" t="s">
        <v>40</v>
      </c>
      <c r="E2275" s="7" t="s">
        <v>120</v>
      </c>
      <c r="F2275" s="7" t="s">
        <v>101</v>
      </c>
      <c r="G2275" s="7" t="s">
        <v>165</v>
      </c>
      <c r="H2275" s="7">
        <v>4</v>
      </c>
      <c r="I2275" s="2">
        <v>22.82</v>
      </c>
      <c r="J2275" s="2">
        <f>Tabla2[[#This Row],[Quantity]]*I2275</f>
        <v>91.28</v>
      </c>
      <c r="K2275" s="6">
        <f>MONTH(Tabla2[[#This Row],[OrderDate]])</f>
        <v>5</v>
      </c>
      <c r="L2275" s="6">
        <f>YEAR(Tabla2[[#This Row],[OrderDate]])</f>
        <v>2025</v>
      </c>
      <c r="M2275" s="7" t="s">
        <v>2578</v>
      </c>
      <c r="N2275" s="7" t="s">
        <v>45</v>
      </c>
    </row>
    <row r="2276" spans="1:14" x14ac:dyDescent="0.35">
      <c r="A2276" s="7" t="s">
        <v>3629</v>
      </c>
      <c r="B2276" s="7" t="s">
        <v>228</v>
      </c>
      <c r="C2276" s="7" t="s">
        <v>229</v>
      </c>
      <c r="D2276" s="7" t="s">
        <v>23</v>
      </c>
      <c r="E2276" s="7" t="s">
        <v>49</v>
      </c>
      <c r="F2276" s="7" t="s">
        <v>25</v>
      </c>
      <c r="G2276" s="7" t="s">
        <v>34</v>
      </c>
      <c r="H2276" s="7">
        <v>1</v>
      </c>
      <c r="I2276" s="2">
        <v>793.9</v>
      </c>
      <c r="J2276" s="2">
        <f>Tabla2[[#This Row],[Quantity]]*I2276</f>
        <v>793.9</v>
      </c>
      <c r="K2276" s="6">
        <f>MONTH(Tabla2[[#This Row],[OrderDate]])</f>
        <v>2</v>
      </c>
      <c r="L2276" s="6">
        <f>YEAR(Tabla2[[#This Row],[OrderDate]])</f>
        <v>2025</v>
      </c>
      <c r="M2276" s="7" t="s">
        <v>3425</v>
      </c>
      <c r="N2276" s="7" t="s">
        <v>36</v>
      </c>
    </row>
    <row r="2277" spans="1:14" x14ac:dyDescent="0.35">
      <c r="A2277" s="7" t="s">
        <v>3630</v>
      </c>
      <c r="B2277" s="7" t="s">
        <v>454</v>
      </c>
      <c r="C2277" s="7" t="s">
        <v>455</v>
      </c>
      <c r="D2277" s="7" t="s">
        <v>40</v>
      </c>
      <c r="E2277" s="7" t="s">
        <v>79</v>
      </c>
      <c r="F2277" s="7" t="s">
        <v>25</v>
      </c>
      <c r="G2277" s="7" t="s">
        <v>26</v>
      </c>
      <c r="H2277" s="7">
        <v>4</v>
      </c>
      <c r="I2277" s="2">
        <v>1380.37</v>
      </c>
      <c r="J2277" s="2">
        <f>Tabla2[[#This Row],[Quantity]]*I2277</f>
        <v>5521.48</v>
      </c>
      <c r="K2277" s="6">
        <f>MONTH(Tabla2[[#This Row],[OrderDate]])</f>
        <v>8</v>
      </c>
      <c r="L2277" s="6">
        <f>YEAR(Tabla2[[#This Row],[OrderDate]])</f>
        <v>2025</v>
      </c>
      <c r="M2277" s="7" t="s">
        <v>285</v>
      </c>
      <c r="N2277" s="7" t="s">
        <v>19</v>
      </c>
    </row>
    <row r="2278" spans="1:14" x14ac:dyDescent="0.35">
      <c r="A2278" s="7" t="s">
        <v>3631</v>
      </c>
      <c r="B2278" s="7" t="s">
        <v>936</v>
      </c>
      <c r="C2278" s="7" t="s">
        <v>937</v>
      </c>
      <c r="D2278" s="7" t="s">
        <v>67</v>
      </c>
      <c r="E2278" s="7" t="s">
        <v>115</v>
      </c>
      <c r="F2278" s="7" t="s">
        <v>16</v>
      </c>
      <c r="G2278" s="7" t="s">
        <v>182</v>
      </c>
      <c r="H2278" s="7">
        <v>1</v>
      </c>
      <c r="I2278" s="2">
        <v>518.17999999999995</v>
      </c>
      <c r="J2278" s="2">
        <f>Tabla2[[#This Row],[Quantity]]*I2278</f>
        <v>518.17999999999995</v>
      </c>
      <c r="K2278" s="6">
        <f>MONTH(Tabla2[[#This Row],[OrderDate]])</f>
        <v>6</v>
      </c>
      <c r="L2278" s="6">
        <f>YEAR(Tabla2[[#This Row],[OrderDate]])</f>
        <v>2024</v>
      </c>
      <c r="M2278" s="7" t="s">
        <v>2623</v>
      </c>
      <c r="N2278" s="7" t="s">
        <v>28</v>
      </c>
    </row>
    <row r="2279" spans="1:14" x14ac:dyDescent="0.35">
      <c r="A2279" s="7" t="s">
        <v>3632</v>
      </c>
      <c r="B2279" s="7" t="s">
        <v>311</v>
      </c>
      <c r="C2279" s="7" t="s">
        <v>312</v>
      </c>
      <c r="D2279" s="7" t="s">
        <v>40</v>
      </c>
      <c r="E2279" s="7" t="s">
        <v>120</v>
      </c>
      <c r="F2279" s="7" t="s">
        <v>101</v>
      </c>
      <c r="G2279" s="7" t="s">
        <v>237</v>
      </c>
      <c r="H2279" s="7">
        <v>2</v>
      </c>
      <c r="I2279" s="2">
        <v>510.52</v>
      </c>
      <c r="J2279" s="2">
        <f>Tabla2[[#This Row],[Quantity]]*I2279</f>
        <v>1021.04</v>
      </c>
      <c r="K2279" s="6">
        <f>MONTH(Tabla2[[#This Row],[OrderDate]])</f>
        <v>12</v>
      </c>
      <c r="L2279" s="6">
        <f>YEAR(Tabla2[[#This Row],[OrderDate]])</f>
        <v>2024</v>
      </c>
      <c r="M2279" s="7" t="s">
        <v>2695</v>
      </c>
      <c r="N2279" s="7" t="s">
        <v>19</v>
      </c>
    </row>
    <row r="2280" spans="1:14" x14ac:dyDescent="0.35">
      <c r="A2280" s="7" t="s">
        <v>3633</v>
      </c>
      <c r="B2280" s="7" t="s">
        <v>838</v>
      </c>
      <c r="C2280" s="7" t="s">
        <v>839</v>
      </c>
      <c r="D2280" s="7" t="s">
        <v>14</v>
      </c>
      <c r="E2280" s="7" t="s">
        <v>100</v>
      </c>
      <c r="F2280" s="7" t="s">
        <v>25</v>
      </c>
      <c r="G2280" s="7" t="s">
        <v>139</v>
      </c>
      <c r="H2280" s="7">
        <v>1</v>
      </c>
      <c r="I2280" s="2">
        <v>1328.65</v>
      </c>
      <c r="J2280" s="2">
        <f>Tabla2[[#This Row],[Quantity]]*I2280</f>
        <v>1328.65</v>
      </c>
      <c r="K2280" s="6">
        <f>MONTH(Tabla2[[#This Row],[OrderDate]])</f>
        <v>9</v>
      </c>
      <c r="L2280" s="6">
        <f>YEAR(Tabla2[[#This Row],[OrderDate]])</f>
        <v>2024</v>
      </c>
      <c r="M2280" s="7" t="s">
        <v>2648</v>
      </c>
      <c r="N2280" s="7" t="s">
        <v>91</v>
      </c>
    </row>
    <row r="2281" spans="1:14" x14ac:dyDescent="0.35">
      <c r="A2281" s="7" t="s">
        <v>3634</v>
      </c>
      <c r="B2281" s="7" t="s">
        <v>1226</v>
      </c>
      <c r="C2281" s="7" t="s">
        <v>1227</v>
      </c>
      <c r="D2281" s="7" t="s">
        <v>40</v>
      </c>
      <c r="E2281" s="7" t="s">
        <v>79</v>
      </c>
      <c r="F2281" s="7" t="s">
        <v>16</v>
      </c>
      <c r="G2281" s="7" t="s">
        <v>230</v>
      </c>
      <c r="H2281" s="7">
        <v>2</v>
      </c>
      <c r="I2281" s="2">
        <v>285.92</v>
      </c>
      <c r="J2281" s="2">
        <f>Tabla2[[#This Row],[Quantity]]*I2281</f>
        <v>571.84</v>
      </c>
      <c r="K2281" s="6">
        <f>MONTH(Tabla2[[#This Row],[OrderDate]])</f>
        <v>3</v>
      </c>
      <c r="L2281" s="6">
        <f>YEAR(Tabla2[[#This Row],[OrderDate]])</f>
        <v>2026</v>
      </c>
      <c r="M2281" s="7" t="s">
        <v>2437</v>
      </c>
      <c r="N2281" s="7" t="s">
        <v>28</v>
      </c>
    </row>
    <row r="2282" spans="1:14" x14ac:dyDescent="0.35">
      <c r="A2282" s="7" t="s">
        <v>3635</v>
      </c>
      <c r="B2282" s="7" t="s">
        <v>252</v>
      </c>
      <c r="C2282" s="7" t="s">
        <v>253</v>
      </c>
      <c r="D2282" s="7" t="s">
        <v>23</v>
      </c>
      <c r="E2282" s="7" t="s">
        <v>24</v>
      </c>
      <c r="F2282" s="7" t="s">
        <v>101</v>
      </c>
      <c r="G2282" s="7" t="s">
        <v>165</v>
      </c>
      <c r="H2282" s="7">
        <v>5</v>
      </c>
      <c r="I2282" s="2">
        <v>1220.75</v>
      </c>
      <c r="J2282" s="2">
        <f>Tabla2[[#This Row],[Quantity]]*I2282</f>
        <v>6103.75</v>
      </c>
      <c r="K2282" s="6">
        <f>MONTH(Tabla2[[#This Row],[OrderDate]])</f>
        <v>6</v>
      </c>
      <c r="L2282" s="6">
        <f>YEAR(Tabla2[[#This Row],[OrderDate]])</f>
        <v>2025</v>
      </c>
      <c r="M2282" s="7" t="s">
        <v>1450</v>
      </c>
      <c r="N2282" s="7" t="s">
        <v>36</v>
      </c>
    </row>
    <row r="2283" spans="1:14" x14ac:dyDescent="0.35">
      <c r="A2283" s="7" t="s">
        <v>3636</v>
      </c>
      <c r="B2283" s="7" t="s">
        <v>65</v>
      </c>
      <c r="C2283" s="7" t="s">
        <v>66</v>
      </c>
      <c r="D2283" s="7" t="s">
        <v>40</v>
      </c>
      <c r="E2283" s="7" t="s">
        <v>41</v>
      </c>
      <c r="F2283" s="7" t="s">
        <v>25</v>
      </c>
      <c r="G2283" s="7" t="s">
        <v>26</v>
      </c>
      <c r="H2283" s="7">
        <v>5</v>
      </c>
      <c r="I2283" s="2">
        <v>1033.27</v>
      </c>
      <c r="J2283" s="2">
        <f>Tabla2[[#This Row],[Quantity]]*I2283</f>
        <v>5166.3500000000004</v>
      </c>
      <c r="K2283" s="6">
        <f>MONTH(Tabla2[[#This Row],[OrderDate]])</f>
        <v>10</v>
      </c>
      <c r="L2283" s="6">
        <f>YEAR(Tabla2[[#This Row],[OrderDate]])</f>
        <v>2024</v>
      </c>
      <c r="M2283" s="7" t="s">
        <v>166</v>
      </c>
      <c r="N2283" s="7" t="s">
        <v>28</v>
      </c>
    </row>
    <row r="2284" spans="1:14" x14ac:dyDescent="0.35">
      <c r="A2284" s="7" t="s">
        <v>3637</v>
      </c>
      <c r="B2284" s="7" t="s">
        <v>1212</v>
      </c>
      <c r="C2284" s="7" t="s">
        <v>1213</v>
      </c>
      <c r="D2284" s="7" t="s">
        <v>40</v>
      </c>
      <c r="E2284" s="7" t="s">
        <v>120</v>
      </c>
      <c r="F2284" s="7" t="s">
        <v>42</v>
      </c>
      <c r="G2284" s="7" t="s">
        <v>225</v>
      </c>
      <c r="H2284" s="7">
        <v>3</v>
      </c>
      <c r="I2284" s="2">
        <v>716.35</v>
      </c>
      <c r="J2284" s="2">
        <f>Tabla2[[#This Row],[Quantity]]*I2284</f>
        <v>2149.0500000000002</v>
      </c>
      <c r="K2284" s="6">
        <f>MONTH(Tabla2[[#This Row],[OrderDate]])</f>
        <v>9</v>
      </c>
      <c r="L2284" s="6">
        <f>YEAR(Tabla2[[#This Row],[OrderDate]])</f>
        <v>2025</v>
      </c>
      <c r="M2284" s="7" t="s">
        <v>1544</v>
      </c>
      <c r="N2284" s="7" t="s">
        <v>28</v>
      </c>
    </row>
    <row r="2285" spans="1:14" x14ac:dyDescent="0.35">
      <c r="A2285" s="7" t="s">
        <v>3638</v>
      </c>
      <c r="B2285" s="7" t="s">
        <v>914</v>
      </c>
      <c r="C2285" s="7" t="s">
        <v>915</v>
      </c>
      <c r="D2285" s="7" t="s">
        <v>40</v>
      </c>
      <c r="E2285" s="7" t="s">
        <v>41</v>
      </c>
      <c r="F2285" s="7" t="s">
        <v>50</v>
      </c>
      <c r="G2285" s="7" t="s">
        <v>216</v>
      </c>
      <c r="H2285" s="7">
        <v>2</v>
      </c>
      <c r="I2285" s="2">
        <v>492.47</v>
      </c>
      <c r="J2285" s="2">
        <f>Tabla2[[#This Row],[Quantity]]*I2285</f>
        <v>984.94</v>
      </c>
      <c r="K2285" s="6">
        <f>MONTH(Tabla2[[#This Row],[OrderDate]])</f>
        <v>10</v>
      </c>
      <c r="L2285" s="6">
        <f>YEAR(Tabla2[[#This Row],[OrderDate]])</f>
        <v>2025</v>
      </c>
      <c r="M2285" s="7" t="s">
        <v>1098</v>
      </c>
      <c r="N2285" s="7" t="s">
        <v>19</v>
      </c>
    </row>
    <row r="2286" spans="1:14" x14ac:dyDescent="0.35">
      <c r="A2286" s="7" t="s">
        <v>3639</v>
      </c>
      <c r="B2286" s="7" t="s">
        <v>336</v>
      </c>
      <c r="C2286" s="7" t="s">
        <v>337</v>
      </c>
      <c r="D2286" s="7" t="s">
        <v>32</v>
      </c>
      <c r="E2286" s="7" t="s">
        <v>33</v>
      </c>
      <c r="F2286" s="7" t="s">
        <v>16</v>
      </c>
      <c r="G2286" s="7" t="s">
        <v>148</v>
      </c>
      <c r="H2286" s="7">
        <v>5</v>
      </c>
      <c r="I2286" s="2">
        <v>1005.97</v>
      </c>
      <c r="J2286" s="2">
        <f>Tabla2[[#This Row],[Quantity]]*I2286</f>
        <v>5029.8500000000004</v>
      </c>
      <c r="K2286" s="6">
        <f>MONTH(Tabla2[[#This Row],[OrderDate]])</f>
        <v>6</v>
      </c>
      <c r="L2286" s="6">
        <f>YEAR(Tabla2[[#This Row],[OrderDate]])</f>
        <v>2024</v>
      </c>
      <c r="M2286" s="7" t="s">
        <v>90</v>
      </c>
      <c r="N2286" s="7" t="s">
        <v>19</v>
      </c>
    </row>
    <row r="2287" spans="1:14" x14ac:dyDescent="0.35">
      <c r="A2287" s="7" t="s">
        <v>3640</v>
      </c>
      <c r="B2287" s="7" t="s">
        <v>594</v>
      </c>
      <c r="C2287" s="7" t="s">
        <v>595</v>
      </c>
      <c r="D2287" s="7" t="s">
        <v>23</v>
      </c>
      <c r="E2287" s="7" t="s">
        <v>49</v>
      </c>
      <c r="F2287" s="7" t="s">
        <v>42</v>
      </c>
      <c r="G2287" s="7" t="s">
        <v>80</v>
      </c>
      <c r="H2287" s="7">
        <v>3</v>
      </c>
      <c r="I2287" s="2">
        <v>1223.69</v>
      </c>
      <c r="J2287" s="2">
        <f>Tabla2[[#This Row],[Quantity]]*I2287</f>
        <v>3671.07</v>
      </c>
      <c r="K2287" s="6">
        <f>MONTH(Tabla2[[#This Row],[OrderDate]])</f>
        <v>7</v>
      </c>
      <c r="L2287" s="6">
        <f>YEAR(Tabla2[[#This Row],[OrderDate]])</f>
        <v>2025</v>
      </c>
      <c r="M2287" s="7" t="s">
        <v>2252</v>
      </c>
      <c r="N2287" s="7" t="s">
        <v>36</v>
      </c>
    </row>
    <row r="2288" spans="1:14" x14ac:dyDescent="0.35">
      <c r="A2288" s="7" t="s">
        <v>3641</v>
      </c>
      <c r="B2288" s="7" t="s">
        <v>1260</v>
      </c>
      <c r="C2288" s="7" t="s">
        <v>1261</v>
      </c>
      <c r="D2288" s="7" t="s">
        <v>32</v>
      </c>
      <c r="E2288" s="7" t="s">
        <v>33</v>
      </c>
      <c r="F2288" s="7" t="s">
        <v>101</v>
      </c>
      <c r="G2288" s="7" t="s">
        <v>373</v>
      </c>
      <c r="H2288" s="7">
        <v>5</v>
      </c>
      <c r="I2288" s="2">
        <v>370.32</v>
      </c>
      <c r="J2288" s="2">
        <f>Tabla2[[#This Row],[Quantity]]*I2288</f>
        <v>1851.6</v>
      </c>
      <c r="K2288" s="6">
        <f>MONTH(Tabla2[[#This Row],[OrderDate]])</f>
        <v>9</v>
      </c>
      <c r="L2288" s="6">
        <f>YEAR(Tabla2[[#This Row],[OrderDate]])</f>
        <v>2025</v>
      </c>
      <c r="M2288" s="7" t="s">
        <v>701</v>
      </c>
      <c r="N2288" s="7" t="s">
        <v>28</v>
      </c>
    </row>
    <row r="2289" spans="1:14" x14ac:dyDescent="0.35">
      <c r="A2289" s="7" t="s">
        <v>3642</v>
      </c>
      <c r="B2289" s="7" t="s">
        <v>586</v>
      </c>
      <c r="C2289" s="7" t="s">
        <v>587</v>
      </c>
      <c r="D2289" s="7" t="s">
        <v>23</v>
      </c>
      <c r="E2289" s="7" t="s">
        <v>49</v>
      </c>
      <c r="F2289" s="7" t="s">
        <v>42</v>
      </c>
      <c r="G2289" s="7" t="s">
        <v>225</v>
      </c>
      <c r="H2289" s="7">
        <v>5</v>
      </c>
      <c r="I2289" s="2">
        <v>1414.63</v>
      </c>
      <c r="J2289" s="2">
        <f>Tabla2[[#This Row],[Quantity]]*I2289</f>
        <v>7073.1500000000005</v>
      </c>
      <c r="K2289" s="6">
        <f>MONTH(Tabla2[[#This Row],[OrderDate]])</f>
        <v>5</v>
      </c>
      <c r="L2289" s="6">
        <f>YEAR(Tabla2[[#This Row],[OrderDate]])</f>
        <v>2024</v>
      </c>
      <c r="M2289" s="7" t="s">
        <v>3596</v>
      </c>
      <c r="N2289" s="7" t="s">
        <v>28</v>
      </c>
    </row>
    <row r="2290" spans="1:14" x14ac:dyDescent="0.35">
      <c r="A2290" s="7" t="s">
        <v>3643</v>
      </c>
      <c r="B2290" s="7" t="s">
        <v>325</v>
      </c>
      <c r="C2290" s="7" t="s">
        <v>326</v>
      </c>
      <c r="D2290" s="7" t="s">
        <v>23</v>
      </c>
      <c r="E2290" s="7" t="s">
        <v>24</v>
      </c>
      <c r="F2290" s="7" t="s">
        <v>101</v>
      </c>
      <c r="G2290" s="7" t="s">
        <v>237</v>
      </c>
      <c r="H2290" s="7">
        <v>3</v>
      </c>
      <c r="I2290" s="2">
        <v>1468.27</v>
      </c>
      <c r="J2290" s="2">
        <f>Tabla2[[#This Row],[Quantity]]*I2290</f>
        <v>4404.8099999999995</v>
      </c>
      <c r="K2290" s="6">
        <f>MONTH(Tabla2[[#This Row],[OrderDate]])</f>
        <v>1</v>
      </c>
      <c r="L2290" s="6">
        <f>YEAR(Tabla2[[#This Row],[OrderDate]])</f>
        <v>2024</v>
      </c>
      <c r="M2290" s="7" t="s">
        <v>462</v>
      </c>
      <c r="N2290" s="7" t="s">
        <v>45</v>
      </c>
    </row>
    <row r="2291" spans="1:14" x14ac:dyDescent="0.35">
      <c r="A2291" s="7" t="s">
        <v>3644</v>
      </c>
      <c r="B2291" s="7" t="s">
        <v>514</v>
      </c>
      <c r="C2291" s="7" t="s">
        <v>515</v>
      </c>
      <c r="D2291" s="7" t="s">
        <v>40</v>
      </c>
      <c r="E2291" s="7" t="s">
        <v>79</v>
      </c>
      <c r="F2291" s="7" t="s">
        <v>25</v>
      </c>
      <c r="G2291" s="7" t="s">
        <v>62</v>
      </c>
      <c r="H2291" s="7">
        <v>2</v>
      </c>
      <c r="I2291" s="2">
        <v>1322.49</v>
      </c>
      <c r="J2291" s="2">
        <f>Tabla2[[#This Row],[Quantity]]*I2291</f>
        <v>2644.98</v>
      </c>
      <c r="K2291" s="6">
        <f>MONTH(Tabla2[[#This Row],[OrderDate]])</f>
        <v>9</v>
      </c>
      <c r="L2291" s="6">
        <f>YEAR(Tabla2[[#This Row],[OrderDate]])</f>
        <v>2024</v>
      </c>
      <c r="M2291" s="7" t="s">
        <v>2755</v>
      </c>
      <c r="N2291" s="7" t="s">
        <v>19</v>
      </c>
    </row>
    <row r="2292" spans="1:14" x14ac:dyDescent="0.35">
      <c r="A2292" s="7" t="s">
        <v>3645</v>
      </c>
      <c r="B2292" s="7" t="s">
        <v>210</v>
      </c>
      <c r="C2292" s="7" t="s">
        <v>211</v>
      </c>
      <c r="D2292" s="7" t="s">
        <v>14</v>
      </c>
      <c r="E2292" s="7" t="s">
        <v>125</v>
      </c>
      <c r="F2292" s="7" t="s">
        <v>42</v>
      </c>
      <c r="G2292" s="7" t="s">
        <v>89</v>
      </c>
      <c r="H2292" s="7">
        <v>2</v>
      </c>
      <c r="I2292" s="2">
        <v>38.01</v>
      </c>
      <c r="J2292" s="2">
        <f>Tabla2[[#This Row],[Quantity]]*I2292</f>
        <v>76.02</v>
      </c>
      <c r="K2292" s="6">
        <f>MONTH(Tabla2[[#This Row],[OrderDate]])</f>
        <v>9</v>
      </c>
      <c r="L2292" s="6">
        <f>YEAR(Tabla2[[#This Row],[OrderDate]])</f>
        <v>2024</v>
      </c>
      <c r="M2292" s="7" t="s">
        <v>1083</v>
      </c>
      <c r="N2292" s="7" t="s">
        <v>45</v>
      </c>
    </row>
    <row r="2293" spans="1:14" x14ac:dyDescent="0.35">
      <c r="A2293" s="7" t="s">
        <v>3646</v>
      </c>
      <c r="B2293" s="7" t="s">
        <v>579</v>
      </c>
      <c r="C2293" s="7" t="s">
        <v>580</v>
      </c>
      <c r="D2293" s="7" t="s">
        <v>40</v>
      </c>
      <c r="E2293" s="7" t="s">
        <v>120</v>
      </c>
      <c r="F2293" s="7" t="s">
        <v>25</v>
      </c>
      <c r="G2293" s="7" t="s">
        <v>34</v>
      </c>
      <c r="H2293" s="7">
        <v>4</v>
      </c>
      <c r="I2293" s="2">
        <v>23.21</v>
      </c>
      <c r="J2293" s="2">
        <f>Tabla2[[#This Row],[Quantity]]*I2293</f>
        <v>92.84</v>
      </c>
      <c r="K2293" s="6">
        <f>MONTH(Tabla2[[#This Row],[OrderDate]])</f>
        <v>12</v>
      </c>
      <c r="L2293" s="6">
        <f>YEAR(Tabla2[[#This Row],[OrderDate]])</f>
        <v>2024</v>
      </c>
      <c r="M2293" s="7" t="s">
        <v>3647</v>
      </c>
      <c r="N2293" s="7" t="s">
        <v>91</v>
      </c>
    </row>
    <row r="2294" spans="1:14" x14ac:dyDescent="0.35">
      <c r="A2294" s="7" t="s">
        <v>3648</v>
      </c>
      <c r="B2294" s="7" t="s">
        <v>352</v>
      </c>
      <c r="C2294" s="7" t="s">
        <v>353</v>
      </c>
      <c r="D2294" s="7" t="s">
        <v>14</v>
      </c>
      <c r="E2294" s="7" t="s">
        <v>125</v>
      </c>
      <c r="F2294" s="7" t="s">
        <v>101</v>
      </c>
      <c r="G2294" s="7" t="s">
        <v>165</v>
      </c>
      <c r="H2294" s="7">
        <v>4</v>
      </c>
      <c r="I2294" s="2">
        <v>489.44</v>
      </c>
      <c r="J2294" s="2">
        <f>Tabla2[[#This Row],[Quantity]]*I2294</f>
        <v>1957.76</v>
      </c>
      <c r="K2294" s="6">
        <f>MONTH(Tabla2[[#This Row],[OrderDate]])</f>
        <v>12</v>
      </c>
      <c r="L2294" s="6">
        <f>YEAR(Tabla2[[#This Row],[OrderDate]])</f>
        <v>2024</v>
      </c>
      <c r="M2294" s="7" t="s">
        <v>1824</v>
      </c>
      <c r="N2294" s="7" t="s">
        <v>36</v>
      </c>
    </row>
    <row r="2295" spans="1:14" x14ac:dyDescent="0.35">
      <c r="A2295" s="7" t="s">
        <v>3649</v>
      </c>
      <c r="B2295" s="7" t="s">
        <v>492</v>
      </c>
      <c r="C2295" s="7" t="s">
        <v>493</v>
      </c>
      <c r="D2295" s="7" t="s">
        <v>32</v>
      </c>
      <c r="E2295" s="7" t="s">
        <v>203</v>
      </c>
      <c r="F2295" s="7" t="s">
        <v>101</v>
      </c>
      <c r="G2295" s="7" t="s">
        <v>165</v>
      </c>
      <c r="H2295" s="7">
        <v>5</v>
      </c>
      <c r="I2295" s="2">
        <v>59.45</v>
      </c>
      <c r="J2295" s="2">
        <f>Tabla2[[#This Row],[Quantity]]*I2295</f>
        <v>297.25</v>
      </c>
      <c r="K2295" s="6">
        <f>MONTH(Tabla2[[#This Row],[OrderDate]])</f>
        <v>5</v>
      </c>
      <c r="L2295" s="6">
        <f>YEAR(Tabla2[[#This Row],[OrderDate]])</f>
        <v>2025</v>
      </c>
      <c r="M2295" s="7" t="s">
        <v>2027</v>
      </c>
      <c r="N2295" s="7" t="s">
        <v>28</v>
      </c>
    </row>
    <row r="2296" spans="1:14" x14ac:dyDescent="0.35">
      <c r="A2296" s="7" t="s">
        <v>3650</v>
      </c>
      <c r="B2296" s="7" t="s">
        <v>1018</v>
      </c>
      <c r="C2296" s="7" t="s">
        <v>1019</v>
      </c>
      <c r="D2296" s="7" t="s">
        <v>23</v>
      </c>
      <c r="E2296" s="7" t="s">
        <v>49</v>
      </c>
      <c r="F2296" s="7" t="s">
        <v>101</v>
      </c>
      <c r="G2296" s="7" t="s">
        <v>165</v>
      </c>
      <c r="H2296" s="7">
        <v>5</v>
      </c>
      <c r="I2296" s="2">
        <v>548.79999999999995</v>
      </c>
      <c r="J2296" s="2">
        <f>Tabla2[[#This Row],[Quantity]]*I2296</f>
        <v>2744</v>
      </c>
      <c r="K2296" s="6">
        <f>MONTH(Tabla2[[#This Row],[OrderDate]])</f>
        <v>10</v>
      </c>
      <c r="L2296" s="6">
        <f>YEAR(Tabla2[[#This Row],[OrderDate]])</f>
        <v>2025</v>
      </c>
      <c r="M2296" s="7" t="s">
        <v>3524</v>
      </c>
      <c r="N2296" s="7" t="s">
        <v>19</v>
      </c>
    </row>
    <row r="2297" spans="1:14" x14ac:dyDescent="0.35">
      <c r="A2297" s="7" t="s">
        <v>3651</v>
      </c>
      <c r="B2297" s="7" t="s">
        <v>500</v>
      </c>
      <c r="C2297" s="7" t="s">
        <v>501</v>
      </c>
      <c r="D2297" s="7" t="s">
        <v>67</v>
      </c>
      <c r="E2297" s="7" t="s">
        <v>68</v>
      </c>
      <c r="F2297" s="7" t="s">
        <v>50</v>
      </c>
      <c r="G2297" s="7" t="s">
        <v>51</v>
      </c>
      <c r="H2297" s="7">
        <v>5</v>
      </c>
      <c r="I2297" s="2">
        <v>833.13</v>
      </c>
      <c r="J2297" s="2">
        <f>Tabla2[[#This Row],[Quantity]]*I2297</f>
        <v>4165.6499999999996</v>
      </c>
      <c r="K2297" s="6">
        <f>MONTH(Tabla2[[#This Row],[OrderDate]])</f>
        <v>1</v>
      </c>
      <c r="L2297" s="6">
        <f>YEAR(Tabla2[[#This Row],[OrderDate]])</f>
        <v>2026</v>
      </c>
      <c r="M2297" s="7" t="s">
        <v>433</v>
      </c>
      <c r="N2297" s="7" t="s">
        <v>91</v>
      </c>
    </row>
    <row r="2298" spans="1:14" x14ac:dyDescent="0.35">
      <c r="A2298" s="7" t="s">
        <v>3652</v>
      </c>
      <c r="B2298" s="7" t="s">
        <v>311</v>
      </c>
      <c r="C2298" s="7" t="s">
        <v>312</v>
      </c>
      <c r="D2298" s="7" t="s">
        <v>40</v>
      </c>
      <c r="E2298" s="7" t="s">
        <v>79</v>
      </c>
      <c r="F2298" s="7" t="s">
        <v>50</v>
      </c>
      <c r="G2298" s="7" t="s">
        <v>56</v>
      </c>
      <c r="H2298" s="7">
        <v>4</v>
      </c>
      <c r="I2298" s="2">
        <v>465.59</v>
      </c>
      <c r="J2298" s="2">
        <f>Tabla2[[#This Row],[Quantity]]*I2298</f>
        <v>1862.36</v>
      </c>
      <c r="K2298" s="6">
        <f>MONTH(Tabla2[[#This Row],[OrderDate]])</f>
        <v>5</v>
      </c>
      <c r="L2298" s="6">
        <f>YEAR(Tabla2[[#This Row],[OrderDate]])</f>
        <v>2024</v>
      </c>
      <c r="M2298" s="7" t="s">
        <v>1230</v>
      </c>
      <c r="N2298" s="7" t="s">
        <v>19</v>
      </c>
    </row>
    <row r="2299" spans="1:14" x14ac:dyDescent="0.35">
      <c r="A2299" s="7" t="s">
        <v>3653</v>
      </c>
      <c r="B2299" s="7" t="s">
        <v>936</v>
      </c>
      <c r="C2299" s="7" t="s">
        <v>937</v>
      </c>
      <c r="D2299" s="7" t="s">
        <v>40</v>
      </c>
      <c r="E2299" s="7" t="s">
        <v>120</v>
      </c>
      <c r="F2299" s="7" t="s">
        <v>42</v>
      </c>
      <c r="G2299" s="7" t="s">
        <v>89</v>
      </c>
      <c r="H2299" s="7">
        <v>1</v>
      </c>
      <c r="I2299" s="2">
        <v>40.869999999999997</v>
      </c>
      <c r="J2299" s="2">
        <f>Tabla2[[#This Row],[Quantity]]*I2299</f>
        <v>40.869999999999997</v>
      </c>
      <c r="K2299" s="6">
        <f>MONTH(Tabla2[[#This Row],[OrderDate]])</f>
        <v>3</v>
      </c>
      <c r="L2299" s="6">
        <f>YEAR(Tabla2[[#This Row],[OrderDate]])</f>
        <v>2024</v>
      </c>
      <c r="M2299" s="7" t="s">
        <v>2052</v>
      </c>
      <c r="N2299" s="7" t="s">
        <v>36</v>
      </c>
    </row>
    <row r="2300" spans="1:14" x14ac:dyDescent="0.35">
      <c r="A2300" s="7" t="s">
        <v>3654</v>
      </c>
      <c r="B2300" s="7" t="s">
        <v>605</v>
      </c>
      <c r="C2300" s="7" t="s">
        <v>606</v>
      </c>
      <c r="D2300" s="7" t="s">
        <v>67</v>
      </c>
      <c r="E2300" s="7" t="s">
        <v>130</v>
      </c>
      <c r="F2300" s="7" t="s">
        <v>42</v>
      </c>
      <c r="G2300" s="7" t="s">
        <v>170</v>
      </c>
      <c r="H2300" s="7">
        <v>4</v>
      </c>
      <c r="I2300" s="2">
        <v>33.18</v>
      </c>
      <c r="J2300" s="2">
        <f>Tabla2[[#This Row],[Quantity]]*I2300</f>
        <v>132.72</v>
      </c>
      <c r="K2300" s="6">
        <f>MONTH(Tabla2[[#This Row],[OrderDate]])</f>
        <v>1</v>
      </c>
      <c r="L2300" s="6">
        <f>YEAR(Tabla2[[#This Row],[OrderDate]])</f>
        <v>2026</v>
      </c>
      <c r="M2300" s="7" t="s">
        <v>920</v>
      </c>
      <c r="N2300" s="7" t="s">
        <v>91</v>
      </c>
    </row>
    <row r="2301" spans="1:14" x14ac:dyDescent="0.35">
      <c r="A2301" s="7" t="s">
        <v>3655</v>
      </c>
      <c r="B2301" s="7" t="s">
        <v>240</v>
      </c>
      <c r="C2301" s="7" t="s">
        <v>241</v>
      </c>
      <c r="D2301" s="7" t="s">
        <v>40</v>
      </c>
      <c r="E2301" s="7" t="s">
        <v>79</v>
      </c>
      <c r="F2301" s="7" t="s">
        <v>42</v>
      </c>
      <c r="G2301" s="7" t="s">
        <v>170</v>
      </c>
      <c r="H2301" s="7">
        <v>1</v>
      </c>
      <c r="I2301" s="2">
        <v>435.43</v>
      </c>
      <c r="J2301" s="2">
        <f>Tabla2[[#This Row],[Quantity]]*I2301</f>
        <v>435.43</v>
      </c>
      <c r="K2301" s="6">
        <f>MONTH(Tabla2[[#This Row],[OrderDate]])</f>
        <v>3</v>
      </c>
      <c r="L2301" s="6">
        <f>YEAR(Tabla2[[#This Row],[OrderDate]])</f>
        <v>2025</v>
      </c>
      <c r="M2301" s="7" t="s">
        <v>675</v>
      </c>
      <c r="N2301" s="7" t="s">
        <v>28</v>
      </c>
    </row>
    <row r="2302" spans="1:14" x14ac:dyDescent="0.35">
      <c r="A2302" s="7" t="s">
        <v>3656</v>
      </c>
      <c r="B2302" s="7" t="s">
        <v>481</v>
      </c>
      <c r="C2302" s="7" t="s">
        <v>482</v>
      </c>
      <c r="D2302" s="7" t="s">
        <v>14</v>
      </c>
      <c r="E2302" s="7" t="s">
        <v>15</v>
      </c>
      <c r="F2302" s="7" t="s">
        <v>101</v>
      </c>
      <c r="G2302" s="7" t="s">
        <v>237</v>
      </c>
      <c r="H2302" s="7">
        <v>2</v>
      </c>
      <c r="I2302" s="2">
        <v>1192.6600000000001</v>
      </c>
      <c r="J2302" s="2">
        <f>Tabla2[[#This Row],[Quantity]]*I2302</f>
        <v>2385.3200000000002</v>
      </c>
      <c r="K2302" s="6">
        <f>MONTH(Tabla2[[#This Row],[OrderDate]])</f>
        <v>4</v>
      </c>
      <c r="L2302" s="6">
        <f>YEAR(Tabla2[[#This Row],[OrderDate]])</f>
        <v>2024</v>
      </c>
      <c r="M2302" s="7" t="s">
        <v>862</v>
      </c>
      <c r="N2302" s="7" t="s">
        <v>36</v>
      </c>
    </row>
    <row r="2303" spans="1:14" x14ac:dyDescent="0.35">
      <c r="A2303" s="7" t="s">
        <v>3657</v>
      </c>
      <c r="B2303" s="7" t="s">
        <v>699</v>
      </c>
      <c r="C2303" s="7" t="s">
        <v>700</v>
      </c>
      <c r="D2303" s="7" t="s">
        <v>40</v>
      </c>
      <c r="E2303" s="7" t="s">
        <v>120</v>
      </c>
      <c r="F2303" s="7" t="s">
        <v>50</v>
      </c>
      <c r="G2303" s="7" t="s">
        <v>216</v>
      </c>
      <c r="H2303" s="7">
        <v>3</v>
      </c>
      <c r="I2303" s="2">
        <v>391.97</v>
      </c>
      <c r="J2303" s="2">
        <f>Tabla2[[#This Row],[Quantity]]*I2303</f>
        <v>1175.9100000000001</v>
      </c>
      <c r="K2303" s="6">
        <f>MONTH(Tabla2[[#This Row],[OrderDate]])</f>
        <v>7</v>
      </c>
      <c r="L2303" s="6">
        <f>YEAR(Tabla2[[#This Row],[OrderDate]])</f>
        <v>2025</v>
      </c>
      <c r="M2303" s="7" t="s">
        <v>888</v>
      </c>
      <c r="N2303" s="7" t="s">
        <v>91</v>
      </c>
    </row>
    <row r="2304" spans="1:14" x14ac:dyDescent="0.35">
      <c r="A2304" s="7" t="s">
        <v>3658</v>
      </c>
      <c r="B2304" s="7" t="s">
        <v>964</v>
      </c>
      <c r="C2304" s="7" t="s">
        <v>965</v>
      </c>
      <c r="D2304" s="7" t="s">
        <v>32</v>
      </c>
      <c r="E2304" s="7" t="s">
        <v>61</v>
      </c>
      <c r="F2304" s="7" t="s">
        <v>16</v>
      </c>
      <c r="G2304" s="7" t="s">
        <v>148</v>
      </c>
      <c r="H2304" s="7">
        <v>4</v>
      </c>
      <c r="I2304" s="2">
        <v>679.27</v>
      </c>
      <c r="J2304" s="2">
        <f>Tabla2[[#This Row],[Quantity]]*I2304</f>
        <v>2717.08</v>
      </c>
      <c r="K2304" s="6">
        <f>MONTH(Tabla2[[#This Row],[OrderDate]])</f>
        <v>1</v>
      </c>
      <c r="L2304" s="6">
        <f>YEAR(Tabla2[[#This Row],[OrderDate]])</f>
        <v>2025</v>
      </c>
      <c r="M2304" s="7" t="s">
        <v>431</v>
      </c>
      <c r="N2304" s="7" t="s">
        <v>19</v>
      </c>
    </row>
    <row r="2305" spans="1:14" x14ac:dyDescent="0.35">
      <c r="A2305" s="7" t="s">
        <v>3659</v>
      </c>
      <c r="B2305" s="7" t="s">
        <v>380</v>
      </c>
      <c r="C2305" s="7" t="s">
        <v>381</v>
      </c>
      <c r="D2305" s="7" t="s">
        <v>14</v>
      </c>
      <c r="E2305" s="7" t="s">
        <v>266</v>
      </c>
      <c r="F2305" s="7" t="s">
        <v>50</v>
      </c>
      <c r="G2305" s="7" t="s">
        <v>216</v>
      </c>
      <c r="H2305" s="7">
        <v>4</v>
      </c>
      <c r="I2305" s="2">
        <v>477.36</v>
      </c>
      <c r="J2305" s="2">
        <f>Tabla2[[#This Row],[Quantity]]*I2305</f>
        <v>1909.44</v>
      </c>
      <c r="K2305" s="6">
        <f>MONTH(Tabla2[[#This Row],[OrderDate]])</f>
        <v>6</v>
      </c>
      <c r="L2305" s="6">
        <f>YEAR(Tabla2[[#This Row],[OrderDate]])</f>
        <v>2025</v>
      </c>
      <c r="M2305" s="7" t="s">
        <v>416</v>
      </c>
      <c r="N2305" s="7" t="s">
        <v>91</v>
      </c>
    </row>
    <row r="2306" spans="1:14" x14ac:dyDescent="0.35">
      <c r="A2306" s="7" t="s">
        <v>3660</v>
      </c>
      <c r="B2306" s="7" t="s">
        <v>1101</v>
      </c>
      <c r="C2306" s="7" t="s">
        <v>1102</v>
      </c>
      <c r="D2306" s="7" t="s">
        <v>67</v>
      </c>
      <c r="E2306" s="7" t="s">
        <v>130</v>
      </c>
      <c r="F2306" s="7" t="s">
        <v>50</v>
      </c>
      <c r="G2306" s="7" t="s">
        <v>170</v>
      </c>
      <c r="H2306" s="7">
        <v>4</v>
      </c>
      <c r="I2306" s="2">
        <v>57.68</v>
      </c>
      <c r="J2306" s="2">
        <f>Tabla2[[#This Row],[Quantity]]*I2306</f>
        <v>230.72</v>
      </c>
      <c r="K2306" s="6">
        <f>MONTH(Tabla2[[#This Row],[OrderDate]])</f>
        <v>11</v>
      </c>
      <c r="L2306" s="6">
        <f>YEAR(Tabla2[[#This Row],[OrderDate]])</f>
        <v>2025</v>
      </c>
      <c r="M2306" s="7" t="s">
        <v>3155</v>
      </c>
      <c r="N2306" s="7" t="s">
        <v>36</v>
      </c>
    </row>
    <row r="2307" spans="1:14" x14ac:dyDescent="0.35">
      <c r="A2307" s="7" t="s">
        <v>3661</v>
      </c>
      <c r="B2307" s="7" t="s">
        <v>201</v>
      </c>
      <c r="C2307" s="7" t="s">
        <v>202</v>
      </c>
      <c r="D2307" s="7" t="s">
        <v>40</v>
      </c>
      <c r="E2307" s="7" t="s">
        <v>79</v>
      </c>
      <c r="F2307" s="7" t="s">
        <v>42</v>
      </c>
      <c r="G2307" s="7" t="s">
        <v>80</v>
      </c>
      <c r="H2307" s="7">
        <v>5</v>
      </c>
      <c r="I2307" s="2">
        <v>628.55999999999995</v>
      </c>
      <c r="J2307" s="2">
        <f>Tabla2[[#This Row],[Quantity]]*I2307</f>
        <v>3142.7999999999997</v>
      </c>
      <c r="K2307" s="6">
        <f>MONTH(Tabla2[[#This Row],[OrderDate]])</f>
        <v>11</v>
      </c>
      <c r="L2307" s="6">
        <f>YEAR(Tabla2[[#This Row],[OrderDate]])</f>
        <v>2025</v>
      </c>
      <c r="M2307" s="7" t="s">
        <v>1811</v>
      </c>
      <c r="N2307" s="7" t="s">
        <v>19</v>
      </c>
    </row>
    <row r="2308" spans="1:14" x14ac:dyDescent="0.35">
      <c r="A2308" s="7" t="s">
        <v>3662</v>
      </c>
      <c r="B2308" s="7" t="s">
        <v>1464</v>
      </c>
      <c r="C2308" s="7" t="s">
        <v>1465</v>
      </c>
      <c r="D2308" s="7" t="s">
        <v>40</v>
      </c>
      <c r="E2308" s="7" t="s">
        <v>120</v>
      </c>
      <c r="F2308" s="7" t="s">
        <v>101</v>
      </c>
      <c r="G2308" s="7" t="s">
        <v>102</v>
      </c>
      <c r="H2308" s="7">
        <v>1</v>
      </c>
      <c r="I2308" s="2">
        <v>171.15</v>
      </c>
      <c r="J2308" s="2">
        <f>Tabla2[[#This Row],[Quantity]]*I2308</f>
        <v>171.15</v>
      </c>
      <c r="K2308" s="6">
        <f>MONTH(Tabla2[[#This Row],[OrderDate]])</f>
        <v>3</v>
      </c>
      <c r="L2308" s="6">
        <f>YEAR(Tabla2[[#This Row],[OrderDate]])</f>
        <v>2026</v>
      </c>
      <c r="M2308" s="7" t="s">
        <v>456</v>
      </c>
      <c r="N2308" s="7" t="s">
        <v>45</v>
      </c>
    </row>
    <row r="2309" spans="1:14" x14ac:dyDescent="0.35">
      <c r="A2309" s="7" t="s">
        <v>3663</v>
      </c>
      <c r="B2309" s="7" t="s">
        <v>1167</v>
      </c>
      <c r="C2309" s="7" t="s">
        <v>1168</v>
      </c>
      <c r="D2309" s="7" t="s">
        <v>40</v>
      </c>
      <c r="E2309" s="7" t="s">
        <v>41</v>
      </c>
      <c r="F2309" s="7" t="s">
        <v>16</v>
      </c>
      <c r="G2309" s="7" t="s">
        <v>17</v>
      </c>
      <c r="H2309" s="7">
        <v>5</v>
      </c>
      <c r="I2309" s="2">
        <v>141.54</v>
      </c>
      <c r="J2309" s="2">
        <f>Tabla2[[#This Row],[Quantity]]*I2309</f>
        <v>707.69999999999993</v>
      </c>
      <c r="K2309" s="6">
        <f>MONTH(Tabla2[[#This Row],[OrderDate]])</f>
        <v>8</v>
      </c>
      <c r="L2309" s="6">
        <f>YEAR(Tabla2[[#This Row],[OrderDate]])</f>
        <v>2025</v>
      </c>
      <c r="M2309" s="7" t="s">
        <v>1350</v>
      </c>
      <c r="N2309" s="7" t="s">
        <v>45</v>
      </c>
    </row>
    <row r="2310" spans="1:14" x14ac:dyDescent="0.35">
      <c r="A2310" s="7" t="s">
        <v>3664</v>
      </c>
      <c r="B2310" s="7" t="s">
        <v>574</v>
      </c>
      <c r="C2310" s="7" t="s">
        <v>575</v>
      </c>
      <c r="D2310" s="7" t="s">
        <v>23</v>
      </c>
      <c r="E2310" s="7" t="s">
        <v>24</v>
      </c>
      <c r="F2310" s="7" t="s">
        <v>101</v>
      </c>
      <c r="G2310" s="7" t="s">
        <v>165</v>
      </c>
      <c r="H2310" s="7">
        <v>1</v>
      </c>
      <c r="I2310" s="2">
        <v>1281.76</v>
      </c>
      <c r="J2310" s="2">
        <f>Tabla2[[#This Row],[Quantity]]*I2310</f>
        <v>1281.76</v>
      </c>
      <c r="K2310" s="6">
        <f>MONTH(Tabla2[[#This Row],[OrderDate]])</f>
        <v>9</v>
      </c>
      <c r="L2310" s="6">
        <f>YEAR(Tabla2[[#This Row],[OrderDate]])</f>
        <v>2025</v>
      </c>
      <c r="M2310" s="7" t="s">
        <v>153</v>
      </c>
      <c r="N2310" s="7" t="s">
        <v>45</v>
      </c>
    </row>
    <row r="2311" spans="1:14" x14ac:dyDescent="0.35">
      <c r="A2311" s="7" t="s">
        <v>3665</v>
      </c>
      <c r="B2311" s="7" t="s">
        <v>426</v>
      </c>
      <c r="C2311" s="7" t="s">
        <v>427</v>
      </c>
      <c r="D2311" s="7" t="s">
        <v>40</v>
      </c>
      <c r="E2311" s="7" t="s">
        <v>79</v>
      </c>
      <c r="F2311" s="7" t="s">
        <v>50</v>
      </c>
      <c r="G2311" s="7" t="s">
        <v>51</v>
      </c>
      <c r="H2311" s="7">
        <v>4</v>
      </c>
      <c r="I2311" s="2">
        <v>1338.5</v>
      </c>
      <c r="J2311" s="2">
        <f>Tabla2[[#This Row],[Quantity]]*I2311</f>
        <v>5354</v>
      </c>
      <c r="K2311" s="6">
        <f>MONTH(Tabla2[[#This Row],[OrderDate]])</f>
        <v>4</v>
      </c>
      <c r="L2311" s="6">
        <f>YEAR(Tabla2[[#This Row],[OrderDate]])</f>
        <v>2025</v>
      </c>
      <c r="M2311" s="7" t="s">
        <v>516</v>
      </c>
      <c r="N2311" s="7" t="s">
        <v>19</v>
      </c>
    </row>
    <row r="2312" spans="1:14" x14ac:dyDescent="0.35">
      <c r="A2312" s="7" t="s">
        <v>3666</v>
      </c>
      <c r="B2312" s="7" t="s">
        <v>151</v>
      </c>
      <c r="C2312" s="7" t="s">
        <v>152</v>
      </c>
      <c r="D2312" s="7" t="s">
        <v>40</v>
      </c>
      <c r="E2312" s="7" t="s">
        <v>79</v>
      </c>
      <c r="F2312" s="7" t="s">
        <v>42</v>
      </c>
      <c r="G2312" s="7" t="s">
        <v>89</v>
      </c>
      <c r="H2312" s="7">
        <v>3</v>
      </c>
      <c r="I2312" s="2">
        <v>1360.66</v>
      </c>
      <c r="J2312" s="2">
        <f>Tabla2[[#This Row],[Quantity]]*I2312</f>
        <v>4081.9800000000005</v>
      </c>
      <c r="K2312" s="6">
        <f>MONTH(Tabla2[[#This Row],[OrderDate]])</f>
        <v>2</v>
      </c>
      <c r="L2312" s="6">
        <f>YEAR(Tabla2[[#This Row],[OrderDate]])</f>
        <v>2025</v>
      </c>
      <c r="M2312" s="7" t="s">
        <v>2098</v>
      </c>
      <c r="N2312" s="7" t="s">
        <v>28</v>
      </c>
    </row>
    <row r="2313" spans="1:14" x14ac:dyDescent="0.35">
      <c r="A2313" s="7" t="s">
        <v>3667</v>
      </c>
      <c r="B2313" s="7" t="s">
        <v>738</v>
      </c>
      <c r="C2313" s="7" t="s">
        <v>739</v>
      </c>
      <c r="D2313" s="7" t="s">
        <v>67</v>
      </c>
      <c r="E2313" s="7" t="s">
        <v>130</v>
      </c>
      <c r="F2313" s="7" t="s">
        <v>50</v>
      </c>
      <c r="G2313" s="7" t="s">
        <v>51</v>
      </c>
      <c r="H2313" s="7">
        <v>5</v>
      </c>
      <c r="I2313" s="2">
        <v>245.66</v>
      </c>
      <c r="J2313" s="2">
        <f>Tabla2[[#This Row],[Quantity]]*I2313</f>
        <v>1228.3</v>
      </c>
      <c r="K2313" s="6">
        <f>MONTH(Tabla2[[#This Row],[OrderDate]])</f>
        <v>3</v>
      </c>
      <c r="L2313" s="6">
        <f>YEAR(Tabla2[[#This Row],[OrderDate]])</f>
        <v>2026</v>
      </c>
      <c r="M2313" s="7" t="s">
        <v>441</v>
      </c>
      <c r="N2313" s="7" t="s">
        <v>36</v>
      </c>
    </row>
    <row r="2314" spans="1:14" x14ac:dyDescent="0.35">
      <c r="A2314" s="7" t="s">
        <v>3668</v>
      </c>
      <c r="B2314" s="7" t="s">
        <v>1131</v>
      </c>
      <c r="C2314" s="7" t="s">
        <v>1132</v>
      </c>
      <c r="D2314" s="7" t="s">
        <v>23</v>
      </c>
      <c r="E2314" s="7" t="s">
        <v>24</v>
      </c>
      <c r="F2314" s="7" t="s">
        <v>101</v>
      </c>
      <c r="G2314" s="7" t="s">
        <v>237</v>
      </c>
      <c r="H2314" s="7">
        <v>2</v>
      </c>
      <c r="I2314" s="2">
        <v>137.11000000000001</v>
      </c>
      <c r="J2314" s="2">
        <f>Tabla2[[#This Row],[Quantity]]*I2314</f>
        <v>274.22000000000003</v>
      </c>
      <c r="K2314" s="6">
        <f>MONTH(Tabla2[[#This Row],[OrderDate]])</f>
        <v>2</v>
      </c>
      <c r="L2314" s="6">
        <f>YEAR(Tabla2[[#This Row],[OrderDate]])</f>
        <v>2025</v>
      </c>
      <c r="M2314" s="7" t="s">
        <v>564</v>
      </c>
      <c r="N2314" s="7" t="s">
        <v>28</v>
      </c>
    </row>
    <row r="2315" spans="1:14" x14ac:dyDescent="0.35">
      <c r="A2315" s="7" t="s">
        <v>3669</v>
      </c>
      <c r="B2315" s="7" t="s">
        <v>359</v>
      </c>
      <c r="C2315" s="7" t="s">
        <v>360</v>
      </c>
      <c r="D2315" s="7" t="s">
        <v>14</v>
      </c>
      <c r="E2315" s="7" t="s">
        <v>125</v>
      </c>
      <c r="F2315" s="7" t="s">
        <v>16</v>
      </c>
      <c r="G2315" s="7" t="s">
        <v>182</v>
      </c>
      <c r="H2315" s="7">
        <v>4</v>
      </c>
      <c r="I2315" s="2">
        <v>914.32</v>
      </c>
      <c r="J2315" s="2">
        <f>Tabla2[[#This Row],[Quantity]]*I2315</f>
        <v>3657.28</v>
      </c>
      <c r="K2315" s="6">
        <f>MONTH(Tabla2[[#This Row],[OrderDate]])</f>
        <v>8</v>
      </c>
      <c r="L2315" s="6">
        <f>YEAR(Tabla2[[#This Row],[OrderDate]])</f>
        <v>2024</v>
      </c>
      <c r="M2315" s="7" t="s">
        <v>1860</v>
      </c>
      <c r="N2315" s="7" t="s">
        <v>36</v>
      </c>
    </row>
    <row r="2316" spans="1:14" x14ac:dyDescent="0.35">
      <c r="A2316" s="7" t="s">
        <v>3670</v>
      </c>
      <c r="B2316" s="7" t="s">
        <v>59</v>
      </c>
      <c r="C2316" s="7" t="s">
        <v>60</v>
      </c>
      <c r="D2316" s="7" t="s">
        <v>32</v>
      </c>
      <c r="E2316" s="7" t="s">
        <v>33</v>
      </c>
      <c r="F2316" s="7" t="s">
        <v>25</v>
      </c>
      <c r="G2316" s="7" t="s">
        <v>62</v>
      </c>
      <c r="H2316" s="7">
        <v>4</v>
      </c>
      <c r="I2316" s="2">
        <v>1095.0999999999999</v>
      </c>
      <c r="J2316" s="2">
        <f>Tabla2[[#This Row],[Quantity]]*I2316</f>
        <v>4380.3999999999996</v>
      </c>
      <c r="K2316" s="6">
        <f>MONTH(Tabla2[[#This Row],[OrderDate]])</f>
        <v>10</v>
      </c>
      <c r="L2316" s="6">
        <f>YEAR(Tabla2[[#This Row],[OrderDate]])</f>
        <v>2024</v>
      </c>
      <c r="M2316" s="7" t="s">
        <v>954</v>
      </c>
      <c r="N2316" s="7" t="s">
        <v>19</v>
      </c>
    </row>
    <row r="2317" spans="1:14" x14ac:dyDescent="0.35">
      <c r="A2317" s="7" t="s">
        <v>3671</v>
      </c>
      <c r="B2317" s="7" t="s">
        <v>355</v>
      </c>
      <c r="C2317" s="7" t="s">
        <v>356</v>
      </c>
      <c r="D2317" s="7" t="s">
        <v>14</v>
      </c>
      <c r="E2317" s="7" t="s">
        <v>266</v>
      </c>
      <c r="F2317" s="7" t="s">
        <v>42</v>
      </c>
      <c r="G2317" s="7" t="s">
        <v>43</v>
      </c>
      <c r="H2317" s="7">
        <v>3</v>
      </c>
      <c r="I2317" s="2">
        <v>867.55</v>
      </c>
      <c r="J2317" s="2">
        <f>Tabla2[[#This Row],[Quantity]]*I2317</f>
        <v>2602.6499999999996</v>
      </c>
      <c r="K2317" s="6">
        <f>MONTH(Tabla2[[#This Row],[OrderDate]])</f>
        <v>11</v>
      </c>
      <c r="L2317" s="6">
        <f>YEAR(Tabla2[[#This Row],[OrderDate]])</f>
        <v>2024</v>
      </c>
      <c r="M2317" s="7" t="s">
        <v>2930</v>
      </c>
      <c r="N2317" s="7" t="s">
        <v>19</v>
      </c>
    </row>
    <row r="2318" spans="1:14" x14ac:dyDescent="0.35">
      <c r="A2318" s="7" t="s">
        <v>3672</v>
      </c>
      <c r="B2318" s="7" t="s">
        <v>727</v>
      </c>
      <c r="C2318" s="7" t="s">
        <v>728</v>
      </c>
      <c r="D2318" s="7" t="s">
        <v>67</v>
      </c>
      <c r="E2318" s="7" t="s">
        <v>68</v>
      </c>
      <c r="F2318" s="7" t="s">
        <v>50</v>
      </c>
      <c r="G2318" s="7" t="s">
        <v>51</v>
      </c>
      <c r="H2318" s="7">
        <v>2</v>
      </c>
      <c r="I2318" s="2">
        <v>1408.53</v>
      </c>
      <c r="J2318" s="2">
        <f>Tabla2[[#This Row],[Quantity]]*I2318</f>
        <v>2817.06</v>
      </c>
      <c r="K2318" s="6">
        <f>MONTH(Tabla2[[#This Row],[OrderDate]])</f>
        <v>2</v>
      </c>
      <c r="L2318" s="6">
        <f>YEAR(Tabla2[[#This Row],[OrderDate]])</f>
        <v>2024</v>
      </c>
      <c r="M2318" s="7" t="s">
        <v>1022</v>
      </c>
      <c r="N2318" s="7" t="s">
        <v>28</v>
      </c>
    </row>
    <row r="2319" spans="1:14" x14ac:dyDescent="0.35">
      <c r="A2319" s="7" t="s">
        <v>3673</v>
      </c>
      <c r="B2319" s="7" t="s">
        <v>1226</v>
      </c>
      <c r="C2319" s="7" t="s">
        <v>1227</v>
      </c>
      <c r="D2319" s="7" t="s">
        <v>14</v>
      </c>
      <c r="E2319" s="7" t="s">
        <v>15</v>
      </c>
      <c r="F2319" s="7" t="s">
        <v>16</v>
      </c>
      <c r="G2319" s="7" t="s">
        <v>182</v>
      </c>
      <c r="H2319" s="7">
        <v>4</v>
      </c>
      <c r="I2319" s="2">
        <v>1299.25</v>
      </c>
      <c r="J2319" s="2">
        <f>Tabla2[[#This Row],[Quantity]]*I2319</f>
        <v>5197</v>
      </c>
      <c r="K2319" s="6">
        <f>MONTH(Tabla2[[#This Row],[OrderDate]])</f>
        <v>2</v>
      </c>
      <c r="L2319" s="6">
        <f>YEAR(Tabla2[[#This Row],[OrderDate]])</f>
        <v>2025</v>
      </c>
      <c r="M2319" s="7" t="s">
        <v>3674</v>
      </c>
      <c r="N2319" s="7" t="s">
        <v>19</v>
      </c>
    </row>
    <row r="2320" spans="1:14" x14ac:dyDescent="0.35">
      <c r="A2320" s="7" t="s">
        <v>3675</v>
      </c>
      <c r="B2320" s="7" t="s">
        <v>1196</v>
      </c>
      <c r="C2320" s="7" t="s">
        <v>1197</v>
      </c>
      <c r="D2320" s="7" t="s">
        <v>32</v>
      </c>
      <c r="E2320" s="7" t="s">
        <v>33</v>
      </c>
      <c r="F2320" s="7" t="s">
        <v>42</v>
      </c>
      <c r="G2320" s="7" t="s">
        <v>80</v>
      </c>
      <c r="H2320" s="7">
        <v>5</v>
      </c>
      <c r="I2320" s="2">
        <v>145.79</v>
      </c>
      <c r="J2320" s="2">
        <f>Tabla2[[#This Row],[Quantity]]*I2320</f>
        <v>728.94999999999993</v>
      </c>
      <c r="K2320" s="6">
        <f>MONTH(Tabla2[[#This Row],[OrderDate]])</f>
        <v>4</v>
      </c>
      <c r="L2320" s="6">
        <f>YEAR(Tabla2[[#This Row],[OrderDate]])</f>
        <v>2025</v>
      </c>
      <c r="M2320" s="7" t="s">
        <v>1900</v>
      </c>
      <c r="N2320" s="7" t="s">
        <v>19</v>
      </c>
    </row>
    <row r="2321" spans="1:14" x14ac:dyDescent="0.35">
      <c r="A2321" s="7" t="s">
        <v>3676</v>
      </c>
      <c r="B2321" s="7" t="s">
        <v>936</v>
      </c>
      <c r="C2321" s="7" t="s">
        <v>937</v>
      </c>
      <c r="D2321" s="7" t="s">
        <v>67</v>
      </c>
      <c r="E2321" s="7" t="s">
        <v>115</v>
      </c>
      <c r="F2321" s="7" t="s">
        <v>42</v>
      </c>
      <c r="G2321" s="7" t="s">
        <v>89</v>
      </c>
      <c r="H2321" s="7">
        <v>4</v>
      </c>
      <c r="I2321" s="2">
        <v>297.01</v>
      </c>
      <c r="J2321" s="2">
        <f>Tabla2[[#This Row],[Quantity]]*I2321</f>
        <v>1188.04</v>
      </c>
      <c r="K2321" s="6">
        <f>MONTH(Tabla2[[#This Row],[OrderDate]])</f>
        <v>2</v>
      </c>
      <c r="L2321" s="6">
        <f>YEAR(Tabla2[[#This Row],[OrderDate]])</f>
        <v>2025</v>
      </c>
      <c r="M2321" s="7" t="s">
        <v>1199</v>
      </c>
      <c r="N2321" s="7" t="s">
        <v>45</v>
      </c>
    </row>
    <row r="2322" spans="1:14" x14ac:dyDescent="0.35">
      <c r="A2322" s="7" t="s">
        <v>3677</v>
      </c>
      <c r="B2322" s="7" t="s">
        <v>142</v>
      </c>
      <c r="C2322" s="7" t="s">
        <v>143</v>
      </c>
      <c r="D2322" s="7" t="s">
        <v>23</v>
      </c>
      <c r="E2322" s="7" t="s">
        <v>49</v>
      </c>
      <c r="F2322" s="7" t="s">
        <v>25</v>
      </c>
      <c r="G2322" s="7" t="s">
        <v>74</v>
      </c>
      <c r="H2322" s="7">
        <v>2</v>
      </c>
      <c r="I2322" s="2">
        <v>635.5</v>
      </c>
      <c r="J2322" s="2">
        <f>Tabla2[[#This Row],[Quantity]]*I2322</f>
        <v>1271</v>
      </c>
      <c r="K2322" s="6">
        <f>MONTH(Tabla2[[#This Row],[OrderDate]])</f>
        <v>9</v>
      </c>
      <c r="L2322" s="6">
        <f>YEAR(Tabla2[[#This Row],[OrderDate]])</f>
        <v>2024</v>
      </c>
      <c r="M2322" s="7" t="s">
        <v>2377</v>
      </c>
      <c r="N2322" s="7" t="s">
        <v>91</v>
      </c>
    </row>
    <row r="2323" spans="1:14" x14ac:dyDescent="0.35">
      <c r="A2323" s="7" t="s">
        <v>3678</v>
      </c>
      <c r="B2323" s="7" t="s">
        <v>521</v>
      </c>
      <c r="C2323" s="7" t="s">
        <v>522</v>
      </c>
      <c r="D2323" s="7" t="s">
        <v>23</v>
      </c>
      <c r="E2323" s="7" t="s">
        <v>338</v>
      </c>
      <c r="F2323" s="7" t="s">
        <v>25</v>
      </c>
      <c r="G2323" s="7" t="s">
        <v>62</v>
      </c>
      <c r="H2323" s="7">
        <v>3</v>
      </c>
      <c r="I2323" s="2">
        <v>667.57</v>
      </c>
      <c r="J2323" s="2">
        <f>Tabla2[[#This Row],[Quantity]]*I2323</f>
        <v>2002.71</v>
      </c>
      <c r="K2323" s="6">
        <f>MONTH(Tabla2[[#This Row],[OrderDate]])</f>
        <v>5</v>
      </c>
      <c r="L2323" s="6">
        <f>YEAR(Tabla2[[#This Row],[OrderDate]])</f>
        <v>2024</v>
      </c>
      <c r="M2323" s="7" t="s">
        <v>2248</v>
      </c>
      <c r="N2323" s="7" t="s">
        <v>45</v>
      </c>
    </row>
    <row r="2324" spans="1:14" x14ac:dyDescent="0.35">
      <c r="A2324" s="7" t="s">
        <v>3679</v>
      </c>
      <c r="B2324" s="7" t="s">
        <v>303</v>
      </c>
      <c r="C2324" s="7" t="s">
        <v>304</v>
      </c>
      <c r="D2324" s="7" t="s">
        <v>23</v>
      </c>
      <c r="E2324" s="7" t="s">
        <v>49</v>
      </c>
      <c r="F2324" s="7" t="s">
        <v>25</v>
      </c>
      <c r="G2324" s="7" t="s">
        <v>74</v>
      </c>
      <c r="H2324" s="7">
        <v>5</v>
      </c>
      <c r="I2324" s="2">
        <v>169.1</v>
      </c>
      <c r="J2324" s="2">
        <f>Tabla2[[#This Row],[Quantity]]*I2324</f>
        <v>845.5</v>
      </c>
      <c r="K2324" s="6">
        <f>MONTH(Tabla2[[#This Row],[OrderDate]])</f>
        <v>12</v>
      </c>
      <c r="L2324" s="6">
        <f>YEAR(Tabla2[[#This Row],[OrderDate]])</f>
        <v>2025</v>
      </c>
      <c r="M2324" s="7" t="s">
        <v>2227</v>
      </c>
      <c r="N2324" s="7" t="s">
        <v>45</v>
      </c>
    </row>
    <row r="2325" spans="1:14" x14ac:dyDescent="0.35">
      <c r="A2325" s="7" t="s">
        <v>3680</v>
      </c>
      <c r="B2325" s="7" t="s">
        <v>779</v>
      </c>
      <c r="C2325" s="7" t="s">
        <v>780</v>
      </c>
      <c r="D2325" s="7" t="s">
        <v>14</v>
      </c>
      <c r="E2325" s="7" t="s">
        <v>125</v>
      </c>
      <c r="F2325" s="7" t="s">
        <v>42</v>
      </c>
      <c r="G2325" s="7" t="s">
        <v>225</v>
      </c>
      <c r="H2325" s="7">
        <v>4</v>
      </c>
      <c r="I2325" s="2">
        <v>1388.47</v>
      </c>
      <c r="J2325" s="2">
        <f>Tabla2[[#This Row],[Quantity]]*I2325</f>
        <v>5553.88</v>
      </c>
      <c r="K2325" s="6">
        <f>MONTH(Tabla2[[#This Row],[OrderDate]])</f>
        <v>9</v>
      </c>
      <c r="L2325" s="6">
        <f>YEAR(Tabla2[[#This Row],[OrderDate]])</f>
        <v>2024</v>
      </c>
      <c r="M2325" s="7" t="s">
        <v>1575</v>
      </c>
      <c r="N2325" s="7" t="s">
        <v>19</v>
      </c>
    </row>
    <row r="2326" spans="1:14" x14ac:dyDescent="0.35">
      <c r="A2326" s="7" t="s">
        <v>3681</v>
      </c>
      <c r="B2326" s="7" t="s">
        <v>904</v>
      </c>
      <c r="C2326" s="7" t="s">
        <v>905</v>
      </c>
      <c r="D2326" s="7" t="s">
        <v>14</v>
      </c>
      <c r="E2326" s="7" t="s">
        <v>266</v>
      </c>
      <c r="F2326" s="7" t="s">
        <v>16</v>
      </c>
      <c r="G2326" s="7" t="s">
        <v>230</v>
      </c>
      <c r="H2326" s="7">
        <v>4</v>
      </c>
      <c r="I2326" s="2">
        <v>414.44</v>
      </c>
      <c r="J2326" s="2">
        <f>Tabla2[[#This Row],[Quantity]]*I2326</f>
        <v>1657.76</v>
      </c>
      <c r="K2326" s="6">
        <f>MONTH(Tabla2[[#This Row],[OrderDate]])</f>
        <v>8</v>
      </c>
      <c r="L2326" s="6">
        <f>YEAR(Tabla2[[#This Row],[OrderDate]])</f>
        <v>2024</v>
      </c>
      <c r="M2326" s="7" t="s">
        <v>1564</v>
      </c>
      <c r="N2326" s="7" t="s">
        <v>36</v>
      </c>
    </row>
    <row r="2327" spans="1:14" x14ac:dyDescent="0.35">
      <c r="A2327" s="7" t="s">
        <v>3682</v>
      </c>
      <c r="B2327" s="7" t="s">
        <v>163</v>
      </c>
      <c r="C2327" s="7" t="s">
        <v>164</v>
      </c>
      <c r="D2327" s="7" t="s">
        <v>14</v>
      </c>
      <c r="E2327" s="7" t="s">
        <v>100</v>
      </c>
      <c r="F2327" s="7" t="s">
        <v>50</v>
      </c>
      <c r="G2327" s="7" t="s">
        <v>51</v>
      </c>
      <c r="H2327" s="7">
        <v>4</v>
      </c>
      <c r="I2327" s="2">
        <v>1217.46</v>
      </c>
      <c r="J2327" s="2">
        <f>Tabla2[[#This Row],[Quantity]]*I2327</f>
        <v>4869.84</v>
      </c>
      <c r="K2327" s="6">
        <f>MONTH(Tabla2[[#This Row],[OrderDate]])</f>
        <v>12</v>
      </c>
      <c r="L2327" s="6">
        <f>YEAR(Tabla2[[#This Row],[OrderDate]])</f>
        <v>2025</v>
      </c>
      <c r="M2327" s="7" t="s">
        <v>1770</v>
      </c>
      <c r="N2327" s="7" t="s">
        <v>45</v>
      </c>
    </row>
    <row r="2328" spans="1:14" x14ac:dyDescent="0.35">
      <c r="A2328" s="7" t="s">
        <v>3683</v>
      </c>
      <c r="B2328" s="7" t="s">
        <v>118</v>
      </c>
      <c r="C2328" s="7" t="s">
        <v>119</v>
      </c>
      <c r="D2328" s="7" t="s">
        <v>23</v>
      </c>
      <c r="E2328" s="7" t="s">
        <v>338</v>
      </c>
      <c r="F2328" s="7" t="s">
        <v>16</v>
      </c>
      <c r="G2328" s="7" t="s">
        <v>230</v>
      </c>
      <c r="H2328" s="7">
        <v>5</v>
      </c>
      <c r="I2328" s="2">
        <v>627.34</v>
      </c>
      <c r="J2328" s="2">
        <f>Tabla2[[#This Row],[Quantity]]*I2328</f>
        <v>3136.7000000000003</v>
      </c>
      <c r="K2328" s="6">
        <f>MONTH(Tabla2[[#This Row],[OrderDate]])</f>
        <v>11</v>
      </c>
      <c r="L2328" s="6">
        <f>YEAR(Tabla2[[#This Row],[OrderDate]])</f>
        <v>2025</v>
      </c>
      <c r="M2328" s="7" t="s">
        <v>2260</v>
      </c>
      <c r="N2328" s="7" t="s">
        <v>19</v>
      </c>
    </row>
    <row r="2329" spans="1:14" x14ac:dyDescent="0.35">
      <c r="A2329" s="7" t="s">
        <v>3684</v>
      </c>
      <c r="B2329" s="7" t="s">
        <v>137</v>
      </c>
      <c r="C2329" s="7" t="s">
        <v>138</v>
      </c>
      <c r="D2329" s="7" t="s">
        <v>14</v>
      </c>
      <c r="E2329" s="7" t="s">
        <v>15</v>
      </c>
      <c r="F2329" s="7" t="s">
        <v>25</v>
      </c>
      <c r="G2329" s="7" t="s">
        <v>139</v>
      </c>
      <c r="H2329" s="7">
        <v>1</v>
      </c>
      <c r="I2329" s="2">
        <v>803.96</v>
      </c>
      <c r="J2329" s="2">
        <f>Tabla2[[#This Row],[Quantity]]*I2329</f>
        <v>803.96</v>
      </c>
      <c r="K2329" s="6">
        <f>MONTH(Tabla2[[#This Row],[OrderDate]])</f>
        <v>4</v>
      </c>
      <c r="L2329" s="6">
        <f>YEAR(Tabla2[[#This Row],[OrderDate]])</f>
        <v>2025</v>
      </c>
      <c r="M2329" s="7" t="s">
        <v>490</v>
      </c>
      <c r="N2329" s="7" t="s">
        <v>45</v>
      </c>
    </row>
    <row r="2330" spans="1:14" x14ac:dyDescent="0.35">
      <c r="A2330" s="7" t="s">
        <v>3685</v>
      </c>
      <c r="B2330" s="7" t="s">
        <v>820</v>
      </c>
      <c r="C2330" s="7" t="s">
        <v>821</v>
      </c>
      <c r="D2330" s="7" t="s">
        <v>23</v>
      </c>
      <c r="E2330" s="7" t="s">
        <v>338</v>
      </c>
      <c r="F2330" s="7" t="s">
        <v>101</v>
      </c>
      <c r="G2330" s="7" t="s">
        <v>649</v>
      </c>
      <c r="H2330" s="7">
        <v>5</v>
      </c>
      <c r="I2330" s="2">
        <v>721.61</v>
      </c>
      <c r="J2330" s="2">
        <f>Tabla2[[#This Row],[Quantity]]*I2330</f>
        <v>3608.05</v>
      </c>
      <c r="K2330" s="6">
        <f>MONTH(Tabla2[[#This Row],[OrderDate]])</f>
        <v>2</v>
      </c>
      <c r="L2330" s="6">
        <f>YEAR(Tabla2[[#This Row],[OrderDate]])</f>
        <v>2026</v>
      </c>
      <c r="M2330" s="7" t="s">
        <v>1062</v>
      </c>
      <c r="N2330" s="7" t="s">
        <v>19</v>
      </c>
    </row>
    <row r="2331" spans="1:14" x14ac:dyDescent="0.35">
      <c r="A2331" s="7" t="s">
        <v>3686</v>
      </c>
      <c r="B2331" s="7" t="s">
        <v>348</v>
      </c>
      <c r="C2331" s="7" t="s">
        <v>349</v>
      </c>
      <c r="D2331" s="7" t="s">
        <v>32</v>
      </c>
      <c r="E2331" s="7" t="s">
        <v>33</v>
      </c>
      <c r="F2331" s="7" t="s">
        <v>16</v>
      </c>
      <c r="G2331" s="7" t="s">
        <v>177</v>
      </c>
      <c r="H2331" s="7">
        <v>4</v>
      </c>
      <c r="I2331" s="2">
        <v>279.22000000000003</v>
      </c>
      <c r="J2331" s="2">
        <f>Tabla2[[#This Row],[Quantity]]*I2331</f>
        <v>1116.8800000000001</v>
      </c>
      <c r="K2331" s="6">
        <f>MONTH(Tabla2[[#This Row],[OrderDate]])</f>
        <v>6</v>
      </c>
      <c r="L2331" s="6">
        <f>YEAR(Tabla2[[#This Row],[OrderDate]])</f>
        <v>2024</v>
      </c>
      <c r="M2331" s="7" t="s">
        <v>942</v>
      </c>
      <c r="N2331" s="7" t="s">
        <v>45</v>
      </c>
    </row>
    <row r="2332" spans="1:14" x14ac:dyDescent="0.35">
      <c r="A2332" s="7" t="s">
        <v>3687</v>
      </c>
      <c r="B2332" s="7" t="s">
        <v>269</v>
      </c>
      <c r="C2332" s="7" t="s">
        <v>270</v>
      </c>
      <c r="D2332" s="7" t="s">
        <v>67</v>
      </c>
      <c r="E2332" s="7" t="s">
        <v>115</v>
      </c>
      <c r="F2332" s="7" t="s">
        <v>25</v>
      </c>
      <c r="G2332" s="7" t="s">
        <v>139</v>
      </c>
      <c r="H2332" s="7">
        <v>4</v>
      </c>
      <c r="I2332" s="2">
        <v>1158.48</v>
      </c>
      <c r="J2332" s="2">
        <f>Tabla2[[#This Row],[Quantity]]*I2332</f>
        <v>4633.92</v>
      </c>
      <c r="K2332" s="6">
        <f>MONTH(Tabla2[[#This Row],[OrderDate]])</f>
        <v>7</v>
      </c>
      <c r="L2332" s="6">
        <f>YEAR(Tabla2[[#This Row],[OrderDate]])</f>
        <v>2025</v>
      </c>
      <c r="M2332" s="7" t="s">
        <v>2568</v>
      </c>
      <c r="N2332" s="7" t="s">
        <v>91</v>
      </c>
    </row>
    <row r="2333" spans="1:14" x14ac:dyDescent="0.35">
      <c r="A2333" s="7" t="s">
        <v>3688</v>
      </c>
      <c r="B2333" s="7" t="s">
        <v>146</v>
      </c>
      <c r="C2333" s="7" t="s">
        <v>147</v>
      </c>
      <c r="D2333" s="7" t="s">
        <v>23</v>
      </c>
      <c r="E2333" s="7" t="s">
        <v>338</v>
      </c>
      <c r="F2333" s="7" t="s">
        <v>42</v>
      </c>
      <c r="G2333" s="7" t="s">
        <v>89</v>
      </c>
      <c r="H2333" s="7">
        <v>5</v>
      </c>
      <c r="I2333" s="2">
        <v>884.64</v>
      </c>
      <c r="J2333" s="2">
        <f>Tabla2[[#This Row],[Quantity]]*I2333</f>
        <v>4423.2</v>
      </c>
      <c r="K2333" s="6">
        <f>MONTH(Tabla2[[#This Row],[OrderDate]])</f>
        <v>7</v>
      </c>
      <c r="L2333" s="6">
        <f>YEAR(Tabla2[[#This Row],[OrderDate]])</f>
        <v>2024</v>
      </c>
      <c r="M2333" s="7" t="s">
        <v>1558</v>
      </c>
      <c r="N2333" s="7" t="s">
        <v>45</v>
      </c>
    </row>
    <row r="2334" spans="1:14" x14ac:dyDescent="0.35">
      <c r="A2334" s="7" t="s">
        <v>3689</v>
      </c>
      <c r="B2334" s="7" t="s">
        <v>1137</v>
      </c>
      <c r="C2334" s="7" t="s">
        <v>1138</v>
      </c>
      <c r="D2334" s="7" t="s">
        <v>14</v>
      </c>
      <c r="E2334" s="7" t="s">
        <v>100</v>
      </c>
      <c r="F2334" s="7" t="s">
        <v>16</v>
      </c>
      <c r="G2334" s="7" t="s">
        <v>182</v>
      </c>
      <c r="H2334" s="7">
        <v>3</v>
      </c>
      <c r="I2334" s="2">
        <v>721.16</v>
      </c>
      <c r="J2334" s="2">
        <f>Tabla2[[#This Row],[Quantity]]*I2334</f>
        <v>2163.48</v>
      </c>
      <c r="K2334" s="6">
        <f>MONTH(Tabla2[[#This Row],[OrderDate]])</f>
        <v>2</v>
      </c>
      <c r="L2334" s="6">
        <f>YEAR(Tabla2[[#This Row],[OrderDate]])</f>
        <v>2026</v>
      </c>
      <c r="M2334" s="7" t="s">
        <v>2994</v>
      </c>
      <c r="N2334" s="7" t="s">
        <v>19</v>
      </c>
    </row>
    <row r="2335" spans="1:14" x14ac:dyDescent="0.35">
      <c r="A2335" s="7" t="s">
        <v>3690</v>
      </c>
      <c r="B2335" s="7" t="s">
        <v>901</v>
      </c>
      <c r="C2335" s="7" t="s">
        <v>902</v>
      </c>
      <c r="D2335" s="7" t="s">
        <v>14</v>
      </c>
      <c r="E2335" s="7" t="s">
        <v>266</v>
      </c>
      <c r="F2335" s="7" t="s">
        <v>16</v>
      </c>
      <c r="G2335" s="7" t="s">
        <v>177</v>
      </c>
      <c r="H2335" s="7">
        <v>2</v>
      </c>
      <c r="I2335" s="2">
        <v>838.88</v>
      </c>
      <c r="J2335" s="2">
        <f>Tabla2[[#This Row],[Quantity]]*I2335</f>
        <v>1677.76</v>
      </c>
      <c r="K2335" s="6">
        <f>MONTH(Tabla2[[#This Row],[OrderDate]])</f>
        <v>5</v>
      </c>
      <c r="L2335" s="6">
        <f>YEAR(Tabla2[[#This Row],[OrderDate]])</f>
        <v>2024</v>
      </c>
      <c r="M2335" s="7" t="s">
        <v>2248</v>
      </c>
      <c r="N2335" s="7" t="s">
        <v>28</v>
      </c>
    </row>
    <row r="2336" spans="1:14" x14ac:dyDescent="0.35">
      <c r="A2336" s="7" t="s">
        <v>3691</v>
      </c>
      <c r="B2336" s="7" t="s">
        <v>168</v>
      </c>
      <c r="C2336" s="7" t="s">
        <v>169</v>
      </c>
      <c r="D2336" s="7" t="s">
        <v>32</v>
      </c>
      <c r="E2336" s="7" t="s">
        <v>33</v>
      </c>
      <c r="F2336" s="7" t="s">
        <v>101</v>
      </c>
      <c r="G2336" s="7" t="s">
        <v>373</v>
      </c>
      <c r="H2336" s="7">
        <v>3</v>
      </c>
      <c r="I2336" s="2">
        <v>958.32</v>
      </c>
      <c r="J2336" s="2">
        <f>Tabla2[[#This Row],[Quantity]]*I2336</f>
        <v>2874.96</v>
      </c>
      <c r="K2336" s="6">
        <f>MONTH(Tabla2[[#This Row],[OrderDate]])</f>
        <v>1</v>
      </c>
      <c r="L2336" s="6">
        <f>YEAR(Tabla2[[#This Row],[OrderDate]])</f>
        <v>2024</v>
      </c>
      <c r="M2336" s="7" t="s">
        <v>1391</v>
      </c>
      <c r="N2336" s="7" t="s">
        <v>91</v>
      </c>
    </row>
    <row r="2337" spans="1:14" x14ac:dyDescent="0.35">
      <c r="A2337" s="7" t="s">
        <v>3692</v>
      </c>
      <c r="B2337" s="7" t="s">
        <v>1496</v>
      </c>
      <c r="C2337" s="7" t="s">
        <v>1497</v>
      </c>
      <c r="D2337" s="7" t="s">
        <v>14</v>
      </c>
      <c r="E2337" s="7" t="s">
        <v>95</v>
      </c>
      <c r="F2337" s="7" t="s">
        <v>16</v>
      </c>
      <c r="G2337" s="7" t="s">
        <v>148</v>
      </c>
      <c r="H2337" s="7">
        <v>4</v>
      </c>
      <c r="I2337" s="2">
        <v>1198.71</v>
      </c>
      <c r="J2337" s="2">
        <f>Tabla2[[#This Row],[Quantity]]*I2337</f>
        <v>4794.84</v>
      </c>
      <c r="K2337" s="6">
        <f>MONTH(Tabla2[[#This Row],[OrderDate]])</f>
        <v>9</v>
      </c>
      <c r="L2337" s="6">
        <f>YEAR(Tabla2[[#This Row],[OrderDate]])</f>
        <v>2024</v>
      </c>
      <c r="M2337" s="7" t="s">
        <v>1754</v>
      </c>
      <c r="N2337" s="7" t="s">
        <v>19</v>
      </c>
    </row>
    <row r="2338" spans="1:14" x14ac:dyDescent="0.35">
      <c r="A2338" s="7" t="s">
        <v>3693</v>
      </c>
      <c r="B2338" s="7" t="s">
        <v>2157</v>
      </c>
      <c r="C2338" s="7" t="s">
        <v>2158</v>
      </c>
      <c r="D2338" s="7" t="s">
        <v>67</v>
      </c>
      <c r="E2338" s="7" t="s">
        <v>115</v>
      </c>
      <c r="F2338" s="7" t="s">
        <v>25</v>
      </c>
      <c r="G2338" s="7" t="s">
        <v>26</v>
      </c>
      <c r="H2338" s="7">
        <v>5</v>
      </c>
      <c r="I2338" s="2">
        <v>560.21</v>
      </c>
      <c r="J2338" s="2">
        <f>Tabla2[[#This Row],[Quantity]]*I2338</f>
        <v>2801.05</v>
      </c>
      <c r="K2338" s="6">
        <f>MONTH(Tabla2[[#This Row],[OrderDate]])</f>
        <v>9</v>
      </c>
      <c r="L2338" s="6">
        <f>YEAR(Tabla2[[#This Row],[OrderDate]])</f>
        <v>2024</v>
      </c>
      <c r="M2338" s="7" t="s">
        <v>799</v>
      </c>
      <c r="N2338" s="7" t="s">
        <v>45</v>
      </c>
    </row>
    <row r="2339" spans="1:14" x14ac:dyDescent="0.35">
      <c r="A2339" s="7" t="s">
        <v>3694</v>
      </c>
      <c r="B2339" s="7" t="s">
        <v>1369</v>
      </c>
      <c r="C2339" s="7" t="s">
        <v>1370</v>
      </c>
      <c r="D2339" s="7" t="s">
        <v>23</v>
      </c>
      <c r="E2339" s="7" t="s">
        <v>24</v>
      </c>
      <c r="F2339" s="7" t="s">
        <v>16</v>
      </c>
      <c r="G2339" s="7" t="s">
        <v>230</v>
      </c>
      <c r="H2339" s="7">
        <v>1</v>
      </c>
      <c r="I2339" s="2">
        <v>910.02</v>
      </c>
      <c r="J2339" s="2">
        <f>Tabla2[[#This Row],[Quantity]]*I2339</f>
        <v>910.02</v>
      </c>
      <c r="K2339" s="6">
        <f>MONTH(Tabla2[[#This Row],[OrderDate]])</f>
        <v>2</v>
      </c>
      <c r="L2339" s="6">
        <f>YEAR(Tabla2[[#This Row],[OrderDate]])</f>
        <v>2026</v>
      </c>
      <c r="M2339" s="7" t="s">
        <v>3064</v>
      </c>
      <c r="N2339" s="7" t="s">
        <v>19</v>
      </c>
    </row>
    <row r="2340" spans="1:14" x14ac:dyDescent="0.35">
      <c r="A2340" s="7" t="s">
        <v>3695</v>
      </c>
      <c r="B2340" s="7" t="s">
        <v>658</v>
      </c>
      <c r="C2340" s="7" t="s">
        <v>659</v>
      </c>
      <c r="D2340" s="7" t="s">
        <v>23</v>
      </c>
      <c r="E2340" s="7" t="s">
        <v>24</v>
      </c>
      <c r="F2340" s="7" t="s">
        <v>50</v>
      </c>
      <c r="G2340" s="7" t="s">
        <v>170</v>
      </c>
      <c r="H2340" s="7">
        <v>1</v>
      </c>
      <c r="I2340" s="2">
        <v>1029.55</v>
      </c>
      <c r="J2340" s="2">
        <f>Tabla2[[#This Row],[Quantity]]*I2340</f>
        <v>1029.55</v>
      </c>
      <c r="K2340" s="6">
        <f>MONTH(Tabla2[[#This Row],[OrderDate]])</f>
        <v>1</v>
      </c>
      <c r="L2340" s="6">
        <f>YEAR(Tabla2[[#This Row],[OrderDate]])</f>
        <v>2026</v>
      </c>
      <c r="M2340" s="7" t="s">
        <v>995</v>
      </c>
      <c r="N2340" s="7" t="s">
        <v>36</v>
      </c>
    </row>
    <row r="2341" spans="1:14" x14ac:dyDescent="0.35">
      <c r="A2341" s="7" t="s">
        <v>3696</v>
      </c>
      <c r="B2341" s="7" t="s">
        <v>1532</v>
      </c>
      <c r="C2341" s="7" t="s">
        <v>1533</v>
      </c>
      <c r="D2341" s="7" t="s">
        <v>14</v>
      </c>
      <c r="E2341" s="7" t="s">
        <v>266</v>
      </c>
      <c r="F2341" s="7" t="s">
        <v>25</v>
      </c>
      <c r="G2341" s="7" t="s">
        <v>34</v>
      </c>
      <c r="H2341" s="7">
        <v>1</v>
      </c>
      <c r="I2341" s="2">
        <v>1430.63</v>
      </c>
      <c r="J2341" s="2">
        <f>Tabla2[[#This Row],[Quantity]]*I2341</f>
        <v>1430.63</v>
      </c>
      <c r="K2341" s="6">
        <f>MONTH(Tabla2[[#This Row],[OrderDate]])</f>
        <v>11</v>
      </c>
      <c r="L2341" s="6">
        <f>YEAR(Tabla2[[#This Row],[OrderDate]])</f>
        <v>2024</v>
      </c>
      <c r="M2341" s="7" t="s">
        <v>3697</v>
      </c>
      <c r="N2341" s="7" t="s">
        <v>45</v>
      </c>
    </row>
    <row r="2342" spans="1:14" x14ac:dyDescent="0.35">
      <c r="A2342" s="7" t="s">
        <v>3698</v>
      </c>
      <c r="B2342" s="7" t="s">
        <v>652</v>
      </c>
      <c r="C2342" s="7" t="s">
        <v>653</v>
      </c>
      <c r="D2342" s="7" t="s">
        <v>40</v>
      </c>
      <c r="E2342" s="7" t="s">
        <v>120</v>
      </c>
      <c r="F2342" s="7" t="s">
        <v>16</v>
      </c>
      <c r="G2342" s="7" t="s">
        <v>177</v>
      </c>
      <c r="H2342" s="7">
        <v>5</v>
      </c>
      <c r="I2342" s="2">
        <v>1012.23</v>
      </c>
      <c r="J2342" s="2">
        <f>Tabla2[[#This Row],[Quantity]]*I2342</f>
        <v>5061.1499999999996</v>
      </c>
      <c r="K2342" s="6">
        <f>MONTH(Tabla2[[#This Row],[OrderDate]])</f>
        <v>9</v>
      </c>
      <c r="L2342" s="6">
        <f>YEAR(Tabla2[[#This Row],[OrderDate]])</f>
        <v>2024</v>
      </c>
      <c r="M2342" s="7" t="s">
        <v>1413</v>
      </c>
      <c r="N2342" s="7" t="s">
        <v>36</v>
      </c>
    </row>
    <row r="2343" spans="1:14" x14ac:dyDescent="0.35">
      <c r="A2343" s="7" t="s">
        <v>3699</v>
      </c>
      <c r="B2343" s="7" t="s">
        <v>763</v>
      </c>
      <c r="C2343" s="7" t="s">
        <v>764</v>
      </c>
      <c r="D2343" s="7" t="s">
        <v>32</v>
      </c>
      <c r="E2343" s="7" t="s">
        <v>203</v>
      </c>
      <c r="F2343" s="7" t="s">
        <v>101</v>
      </c>
      <c r="G2343" s="7" t="s">
        <v>165</v>
      </c>
      <c r="H2343" s="7">
        <v>2</v>
      </c>
      <c r="I2343" s="2">
        <v>443.96</v>
      </c>
      <c r="J2343" s="2">
        <f>Tabla2[[#This Row],[Quantity]]*I2343</f>
        <v>887.92</v>
      </c>
      <c r="K2343" s="6">
        <f>MONTH(Tabla2[[#This Row],[OrderDate]])</f>
        <v>11</v>
      </c>
      <c r="L2343" s="6">
        <f>YEAR(Tabla2[[#This Row],[OrderDate]])</f>
        <v>2025</v>
      </c>
      <c r="M2343" s="7" t="s">
        <v>479</v>
      </c>
      <c r="N2343" s="7" t="s">
        <v>19</v>
      </c>
    </row>
    <row r="2344" spans="1:14" x14ac:dyDescent="0.35">
      <c r="A2344" s="7" t="s">
        <v>3700</v>
      </c>
      <c r="B2344" s="7" t="s">
        <v>506</v>
      </c>
      <c r="C2344" s="7" t="s">
        <v>507</v>
      </c>
      <c r="D2344" s="7" t="s">
        <v>23</v>
      </c>
      <c r="E2344" s="7" t="s">
        <v>24</v>
      </c>
      <c r="F2344" s="7" t="s">
        <v>50</v>
      </c>
      <c r="G2344" s="7" t="s">
        <v>170</v>
      </c>
      <c r="H2344" s="7">
        <v>1</v>
      </c>
      <c r="I2344" s="2">
        <v>601.42999999999995</v>
      </c>
      <c r="J2344" s="2">
        <f>Tabla2[[#This Row],[Quantity]]*I2344</f>
        <v>601.42999999999995</v>
      </c>
      <c r="K2344" s="6">
        <f>MONTH(Tabla2[[#This Row],[OrderDate]])</f>
        <v>10</v>
      </c>
      <c r="L2344" s="6">
        <f>YEAR(Tabla2[[#This Row],[OrderDate]])</f>
        <v>2025</v>
      </c>
      <c r="M2344" s="7" t="s">
        <v>1098</v>
      </c>
      <c r="N2344" s="7" t="s">
        <v>19</v>
      </c>
    </row>
    <row r="2345" spans="1:14" x14ac:dyDescent="0.35">
      <c r="A2345" s="7" t="s">
        <v>3701</v>
      </c>
      <c r="B2345" s="7" t="s">
        <v>406</v>
      </c>
      <c r="C2345" s="7" t="s">
        <v>407</v>
      </c>
      <c r="D2345" s="7" t="s">
        <v>14</v>
      </c>
      <c r="E2345" s="7" t="s">
        <v>266</v>
      </c>
      <c r="F2345" s="7" t="s">
        <v>42</v>
      </c>
      <c r="G2345" s="7" t="s">
        <v>89</v>
      </c>
      <c r="H2345" s="7">
        <v>3</v>
      </c>
      <c r="I2345" s="2">
        <v>207.72</v>
      </c>
      <c r="J2345" s="2">
        <f>Tabla2[[#This Row],[Quantity]]*I2345</f>
        <v>623.16</v>
      </c>
      <c r="K2345" s="6">
        <f>MONTH(Tabla2[[#This Row],[OrderDate]])</f>
        <v>1</v>
      </c>
      <c r="L2345" s="6">
        <f>YEAR(Tabla2[[#This Row],[OrderDate]])</f>
        <v>2026</v>
      </c>
      <c r="M2345" s="7" t="s">
        <v>884</v>
      </c>
      <c r="N2345" s="7" t="s">
        <v>91</v>
      </c>
    </row>
    <row r="2346" spans="1:14" x14ac:dyDescent="0.35">
      <c r="A2346" s="7" t="s">
        <v>3702</v>
      </c>
      <c r="B2346" s="7" t="s">
        <v>446</v>
      </c>
      <c r="C2346" s="7" t="s">
        <v>447</v>
      </c>
      <c r="D2346" s="7" t="s">
        <v>67</v>
      </c>
      <c r="E2346" s="7" t="s">
        <v>68</v>
      </c>
      <c r="F2346" s="7" t="s">
        <v>42</v>
      </c>
      <c r="G2346" s="7" t="s">
        <v>80</v>
      </c>
      <c r="H2346" s="7">
        <v>3</v>
      </c>
      <c r="I2346" s="2">
        <v>824.82</v>
      </c>
      <c r="J2346" s="2">
        <f>Tabla2[[#This Row],[Quantity]]*I2346</f>
        <v>2474.46</v>
      </c>
      <c r="K2346" s="6">
        <f>MONTH(Tabla2[[#This Row],[OrderDate]])</f>
        <v>10</v>
      </c>
      <c r="L2346" s="6">
        <f>YEAR(Tabla2[[#This Row],[OrderDate]])</f>
        <v>2025</v>
      </c>
      <c r="M2346" s="7" t="s">
        <v>1081</v>
      </c>
      <c r="N2346" s="7" t="s">
        <v>91</v>
      </c>
    </row>
    <row r="2347" spans="1:14" x14ac:dyDescent="0.35">
      <c r="A2347" s="7" t="s">
        <v>3703</v>
      </c>
      <c r="B2347" s="7" t="s">
        <v>2348</v>
      </c>
      <c r="C2347" s="7" t="s">
        <v>2349</v>
      </c>
      <c r="D2347" s="7" t="s">
        <v>67</v>
      </c>
      <c r="E2347" s="7" t="s">
        <v>68</v>
      </c>
      <c r="F2347" s="7" t="s">
        <v>25</v>
      </c>
      <c r="G2347" s="7" t="s">
        <v>139</v>
      </c>
      <c r="H2347" s="7">
        <v>1</v>
      </c>
      <c r="I2347" s="2">
        <v>6.2</v>
      </c>
      <c r="J2347" s="2">
        <f>Tabla2[[#This Row],[Quantity]]*I2347</f>
        <v>6.2</v>
      </c>
      <c r="K2347" s="6">
        <f>MONTH(Tabla2[[#This Row],[OrderDate]])</f>
        <v>11</v>
      </c>
      <c r="L2347" s="6">
        <f>YEAR(Tabla2[[#This Row],[OrderDate]])</f>
        <v>2024</v>
      </c>
      <c r="M2347" s="7" t="s">
        <v>2100</v>
      </c>
      <c r="N2347" s="7" t="s">
        <v>36</v>
      </c>
    </row>
    <row r="2348" spans="1:14" x14ac:dyDescent="0.35">
      <c r="A2348" s="7" t="s">
        <v>3704</v>
      </c>
      <c r="B2348" s="7" t="s">
        <v>1875</v>
      </c>
      <c r="C2348" s="7" t="s">
        <v>1876</v>
      </c>
      <c r="D2348" s="7" t="s">
        <v>32</v>
      </c>
      <c r="E2348" s="7" t="s">
        <v>33</v>
      </c>
      <c r="F2348" s="7" t="s">
        <v>50</v>
      </c>
      <c r="G2348" s="7" t="s">
        <v>51</v>
      </c>
      <c r="H2348" s="7">
        <v>4</v>
      </c>
      <c r="I2348" s="2">
        <v>186.16</v>
      </c>
      <c r="J2348" s="2">
        <f>Tabla2[[#This Row],[Quantity]]*I2348</f>
        <v>744.64</v>
      </c>
      <c r="K2348" s="6">
        <f>MONTH(Tabla2[[#This Row],[OrderDate]])</f>
        <v>3</v>
      </c>
      <c r="L2348" s="6">
        <f>YEAR(Tabla2[[#This Row],[OrderDate]])</f>
        <v>2026</v>
      </c>
      <c r="M2348" s="7" t="s">
        <v>1319</v>
      </c>
      <c r="N2348" s="7" t="s">
        <v>45</v>
      </c>
    </row>
    <row r="2349" spans="1:14" x14ac:dyDescent="0.35">
      <c r="A2349" s="7" t="s">
        <v>3705</v>
      </c>
      <c r="B2349" s="7" t="s">
        <v>2399</v>
      </c>
      <c r="C2349" s="7" t="s">
        <v>2400</v>
      </c>
      <c r="D2349" s="7" t="s">
        <v>40</v>
      </c>
      <c r="E2349" s="7" t="s">
        <v>120</v>
      </c>
      <c r="F2349" s="7" t="s">
        <v>16</v>
      </c>
      <c r="G2349" s="7" t="s">
        <v>182</v>
      </c>
      <c r="H2349" s="7">
        <v>3</v>
      </c>
      <c r="I2349" s="2">
        <v>11.01</v>
      </c>
      <c r="J2349" s="2">
        <f>Tabla2[[#This Row],[Quantity]]*I2349</f>
        <v>33.03</v>
      </c>
      <c r="K2349" s="6">
        <f>MONTH(Tabla2[[#This Row],[OrderDate]])</f>
        <v>5</v>
      </c>
      <c r="L2349" s="6">
        <f>YEAR(Tabla2[[#This Row],[OrderDate]])</f>
        <v>2024</v>
      </c>
      <c r="M2349" s="7" t="s">
        <v>1984</v>
      </c>
      <c r="N2349" s="7" t="s">
        <v>45</v>
      </c>
    </row>
    <row r="2350" spans="1:14" x14ac:dyDescent="0.35">
      <c r="A2350" s="7" t="s">
        <v>3706</v>
      </c>
      <c r="B2350" s="7" t="s">
        <v>47</v>
      </c>
      <c r="C2350" s="7" t="s">
        <v>48</v>
      </c>
      <c r="D2350" s="7" t="s">
        <v>40</v>
      </c>
      <c r="E2350" s="7" t="s">
        <v>79</v>
      </c>
      <c r="F2350" s="7" t="s">
        <v>42</v>
      </c>
      <c r="G2350" s="7" t="s">
        <v>225</v>
      </c>
      <c r="H2350" s="7">
        <v>1</v>
      </c>
      <c r="I2350" s="2">
        <v>353.82</v>
      </c>
      <c r="J2350" s="2">
        <f>Tabla2[[#This Row],[Quantity]]*I2350</f>
        <v>353.82</v>
      </c>
      <c r="K2350" s="6">
        <f>MONTH(Tabla2[[#This Row],[OrderDate]])</f>
        <v>2</v>
      </c>
      <c r="L2350" s="6">
        <f>YEAR(Tabla2[[#This Row],[OrderDate]])</f>
        <v>2024</v>
      </c>
      <c r="M2350" s="7" t="s">
        <v>1332</v>
      </c>
      <c r="N2350" s="7" t="s">
        <v>28</v>
      </c>
    </row>
    <row r="2351" spans="1:14" x14ac:dyDescent="0.35">
      <c r="A2351" s="7" t="s">
        <v>3707</v>
      </c>
      <c r="B2351" s="7" t="s">
        <v>133</v>
      </c>
      <c r="C2351" s="7" t="s">
        <v>134</v>
      </c>
      <c r="D2351" s="7" t="s">
        <v>23</v>
      </c>
      <c r="E2351" s="7" t="s">
        <v>49</v>
      </c>
      <c r="F2351" s="7" t="s">
        <v>101</v>
      </c>
      <c r="G2351" s="7" t="s">
        <v>237</v>
      </c>
      <c r="H2351" s="7">
        <v>5</v>
      </c>
      <c r="I2351" s="2">
        <v>1083.49</v>
      </c>
      <c r="J2351" s="2">
        <f>Tabla2[[#This Row],[Quantity]]*I2351</f>
        <v>5417.45</v>
      </c>
      <c r="K2351" s="6">
        <f>MONTH(Tabla2[[#This Row],[OrderDate]])</f>
        <v>7</v>
      </c>
      <c r="L2351" s="6">
        <f>YEAR(Tabla2[[#This Row],[OrderDate]])</f>
        <v>2024</v>
      </c>
      <c r="M2351" s="7" t="s">
        <v>1833</v>
      </c>
      <c r="N2351" s="7" t="s">
        <v>19</v>
      </c>
    </row>
    <row r="2352" spans="1:14" x14ac:dyDescent="0.35">
      <c r="A2352" s="7" t="s">
        <v>3708</v>
      </c>
      <c r="B2352" s="7" t="s">
        <v>133</v>
      </c>
      <c r="C2352" s="7" t="s">
        <v>134</v>
      </c>
      <c r="D2352" s="7" t="s">
        <v>32</v>
      </c>
      <c r="E2352" s="7" t="s">
        <v>61</v>
      </c>
      <c r="F2352" s="7" t="s">
        <v>16</v>
      </c>
      <c r="G2352" s="7" t="s">
        <v>17</v>
      </c>
      <c r="H2352" s="7">
        <v>3</v>
      </c>
      <c r="I2352" s="2">
        <v>652.05999999999995</v>
      </c>
      <c r="J2352" s="2">
        <f>Tabla2[[#This Row],[Quantity]]*I2352</f>
        <v>1956.1799999999998</v>
      </c>
      <c r="K2352" s="6">
        <f>MONTH(Tabla2[[#This Row],[OrderDate]])</f>
        <v>9</v>
      </c>
      <c r="L2352" s="6">
        <f>YEAR(Tabla2[[#This Row],[OrderDate]])</f>
        <v>2025</v>
      </c>
      <c r="M2352" s="7" t="s">
        <v>2294</v>
      </c>
      <c r="N2352" s="7" t="s">
        <v>91</v>
      </c>
    </row>
    <row r="2353" spans="1:14" x14ac:dyDescent="0.35">
      <c r="A2353" s="7" t="s">
        <v>3709</v>
      </c>
      <c r="B2353" s="7" t="s">
        <v>1312</v>
      </c>
      <c r="C2353" s="7" t="s">
        <v>1313</v>
      </c>
      <c r="D2353" s="7" t="s">
        <v>23</v>
      </c>
      <c r="E2353" s="7" t="s">
        <v>24</v>
      </c>
      <c r="F2353" s="7" t="s">
        <v>42</v>
      </c>
      <c r="G2353" s="7" t="s">
        <v>43</v>
      </c>
      <c r="H2353" s="7">
        <v>4</v>
      </c>
      <c r="I2353" s="2">
        <v>677.34</v>
      </c>
      <c r="J2353" s="2">
        <f>Tabla2[[#This Row],[Quantity]]*I2353</f>
        <v>2709.36</v>
      </c>
      <c r="K2353" s="6">
        <f>MONTH(Tabla2[[#This Row],[OrderDate]])</f>
        <v>1</v>
      </c>
      <c r="L2353" s="6">
        <f>YEAR(Tabla2[[#This Row],[OrderDate]])</f>
        <v>2025</v>
      </c>
      <c r="M2353" s="7" t="s">
        <v>431</v>
      </c>
      <c r="N2353" s="7" t="s">
        <v>19</v>
      </c>
    </row>
    <row r="2354" spans="1:14" x14ac:dyDescent="0.35">
      <c r="A2354" s="7" t="s">
        <v>3710</v>
      </c>
      <c r="B2354" s="7" t="s">
        <v>299</v>
      </c>
      <c r="C2354" s="7" t="s">
        <v>300</v>
      </c>
      <c r="D2354" s="7" t="s">
        <v>14</v>
      </c>
      <c r="E2354" s="7" t="s">
        <v>95</v>
      </c>
      <c r="F2354" s="7" t="s">
        <v>42</v>
      </c>
      <c r="G2354" s="7" t="s">
        <v>170</v>
      </c>
      <c r="H2354" s="7">
        <v>1</v>
      </c>
      <c r="I2354" s="2">
        <v>440.33</v>
      </c>
      <c r="J2354" s="2">
        <f>Tabla2[[#This Row],[Quantity]]*I2354</f>
        <v>440.33</v>
      </c>
      <c r="K2354" s="6">
        <f>MONTH(Tabla2[[#This Row],[OrderDate]])</f>
        <v>1</v>
      </c>
      <c r="L2354" s="6">
        <f>YEAR(Tabla2[[#This Row],[OrderDate]])</f>
        <v>2025</v>
      </c>
      <c r="M2354" s="7" t="s">
        <v>1873</v>
      </c>
      <c r="N2354" s="7" t="s">
        <v>36</v>
      </c>
    </row>
    <row r="2355" spans="1:14" x14ac:dyDescent="0.35">
      <c r="A2355" s="7" t="s">
        <v>3711</v>
      </c>
      <c r="B2355" s="7" t="s">
        <v>964</v>
      </c>
      <c r="C2355" s="7" t="s">
        <v>965</v>
      </c>
      <c r="D2355" s="7" t="s">
        <v>67</v>
      </c>
      <c r="E2355" s="7" t="s">
        <v>68</v>
      </c>
      <c r="F2355" s="7" t="s">
        <v>16</v>
      </c>
      <c r="G2355" s="7" t="s">
        <v>17</v>
      </c>
      <c r="H2355" s="7">
        <v>4</v>
      </c>
      <c r="I2355" s="2">
        <v>1293.03</v>
      </c>
      <c r="J2355" s="2">
        <f>Tabla2[[#This Row],[Quantity]]*I2355</f>
        <v>5172.12</v>
      </c>
      <c r="K2355" s="6">
        <f>MONTH(Tabla2[[#This Row],[OrderDate]])</f>
        <v>8</v>
      </c>
      <c r="L2355" s="6">
        <f>YEAR(Tabla2[[#This Row],[OrderDate]])</f>
        <v>2025</v>
      </c>
      <c r="M2355" s="7" t="s">
        <v>231</v>
      </c>
      <c r="N2355" s="7" t="s">
        <v>28</v>
      </c>
    </row>
    <row r="2356" spans="1:14" x14ac:dyDescent="0.35">
      <c r="A2356" s="7" t="s">
        <v>3712</v>
      </c>
      <c r="B2356" s="7" t="s">
        <v>590</v>
      </c>
      <c r="C2356" s="7" t="s">
        <v>591</v>
      </c>
      <c r="D2356" s="7" t="s">
        <v>23</v>
      </c>
      <c r="E2356" s="7" t="s">
        <v>24</v>
      </c>
      <c r="F2356" s="7" t="s">
        <v>25</v>
      </c>
      <c r="G2356" s="7" t="s">
        <v>139</v>
      </c>
      <c r="H2356" s="7">
        <v>3</v>
      </c>
      <c r="I2356" s="2">
        <v>1273.71</v>
      </c>
      <c r="J2356" s="2">
        <f>Tabla2[[#This Row],[Quantity]]*I2356</f>
        <v>3821.13</v>
      </c>
      <c r="K2356" s="6">
        <f>MONTH(Tabla2[[#This Row],[OrderDate]])</f>
        <v>3</v>
      </c>
      <c r="L2356" s="6">
        <f>YEAR(Tabla2[[#This Row],[OrderDate]])</f>
        <v>2026</v>
      </c>
      <c r="M2356" s="7" t="s">
        <v>1483</v>
      </c>
      <c r="N2356" s="7" t="s">
        <v>91</v>
      </c>
    </row>
    <row r="2357" spans="1:14" x14ac:dyDescent="0.35">
      <c r="A2357" s="7" t="s">
        <v>3713</v>
      </c>
      <c r="B2357" s="7" t="s">
        <v>562</v>
      </c>
      <c r="C2357" s="7" t="s">
        <v>563</v>
      </c>
      <c r="D2357" s="7" t="s">
        <v>23</v>
      </c>
      <c r="E2357" s="7" t="s">
        <v>24</v>
      </c>
      <c r="F2357" s="7" t="s">
        <v>101</v>
      </c>
      <c r="G2357" s="7" t="s">
        <v>237</v>
      </c>
      <c r="H2357" s="7">
        <v>1</v>
      </c>
      <c r="I2357" s="2">
        <v>933.74</v>
      </c>
      <c r="J2357" s="2">
        <f>Tabla2[[#This Row],[Quantity]]*I2357</f>
        <v>933.74</v>
      </c>
      <c r="K2357" s="6">
        <f>MONTH(Tabla2[[#This Row],[OrderDate]])</f>
        <v>11</v>
      </c>
      <c r="L2357" s="6">
        <f>YEAR(Tabla2[[#This Row],[OrderDate]])</f>
        <v>2025</v>
      </c>
      <c r="M2357" s="7" t="s">
        <v>3155</v>
      </c>
      <c r="N2357" s="7" t="s">
        <v>36</v>
      </c>
    </row>
    <row r="2358" spans="1:14" x14ac:dyDescent="0.35">
      <c r="A2358" s="7" t="s">
        <v>3714</v>
      </c>
      <c r="B2358" s="7" t="s">
        <v>1028</v>
      </c>
      <c r="C2358" s="7" t="s">
        <v>1029</v>
      </c>
      <c r="D2358" s="7" t="s">
        <v>23</v>
      </c>
      <c r="E2358" s="7" t="s">
        <v>338</v>
      </c>
      <c r="F2358" s="7" t="s">
        <v>16</v>
      </c>
      <c r="G2358" s="7" t="s">
        <v>230</v>
      </c>
      <c r="H2358" s="7">
        <v>2</v>
      </c>
      <c r="I2358" s="2">
        <v>1220.53</v>
      </c>
      <c r="J2358" s="2">
        <f>Tabla2[[#This Row],[Quantity]]*I2358</f>
        <v>2441.06</v>
      </c>
      <c r="K2358" s="6">
        <f>MONTH(Tabla2[[#This Row],[OrderDate]])</f>
        <v>1</v>
      </c>
      <c r="L2358" s="6">
        <f>YEAR(Tabla2[[#This Row],[OrderDate]])</f>
        <v>2025</v>
      </c>
      <c r="M2358" s="7" t="s">
        <v>2667</v>
      </c>
      <c r="N2358" s="7" t="s">
        <v>45</v>
      </c>
    </row>
    <row r="2359" spans="1:14" x14ac:dyDescent="0.35">
      <c r="A2359" s="7" t="s">
        <v>3715</v>
      </c>
      <c r="B2359" s="7" t="s">
        <v>287</v>
      </c>
      <c r="C2359" s="7" t="s">
        <v>288</v>
      </c>
      <c r="D2359" s="7" t="s">
        <v>40</v>
      </c>
      <c r="E2359" s="7" t="s">
        <v>120</v>
      </c>
      <c r="F2359" s="7" t="s">
        <v>42</v>
      </c>
      <c r="G2359" s="7" t="s">
        <v>43</v>
      </c>
      <c r="H2359" s="7">
        <v>5</v>
      </c>
      <c r="I2359" s="2">
        <v>1142.33</v>
      </c>
      <c r="J2359" s="2">
        <f>Tabla2[[#This Row],[Quantity]]*I2359</f>
        <v>5711.65</v>
      </c>
      <c r="K2359" s="6">
        <f>MONTH(Tabla2[[#This Row],[OrderDate]])</f>
        <v>10</v>
      </c>
      <c r="L2359" s="6">
        <f>YEAR(Tabla2[[#This Row],[OrderDate]])</f>
        <v>2025</v>
      </c>
      <c r="M2359" s="7" t="s">
        <v>3716</v>
      </c>
      <c r="N2359" s="7" t="s">
        <v>45</v>
      </c>
    </row>
    <row r="2360" spans="1:14" x14ac:dyDescent="0.35">
      <c r="A2360" s="7" t="s">
        <v>3717</v>
      </c>
      <c r="B2360" s="7" t="s">
        <v>605</v>
      </c>
      <c r="C2360" s="7" t="s">
        <v>606</v>
      </c>
      <c r="D2360" s="7" t="s">
        <v>67</v>
      </c>
      <c r="E2360" s="7" t="s">
        <v>130</v>
      </c>
      <c r="F2360" s="7" t="s">
        <v>50</v>
      </c>
      <c r="G2360" s="7" t="s">
        <v>216</v>
      </c>
      <c r="H2360" s="7">
        <v>1</v>
      </c>
      <c r="I2360" s="2">
        <v>792.35</v>
      </c>
      <c r="J2360" s="2">
        <f>Tabla2[[#This Row],[Quantity]]*I2360</f>
        <v>792.35</v>
      </c>
      <c r="K2360" s="6">
        <f>MONTH(Tabla2[[#This Row],[OrderDate]])</f>
        <v>3</v>
      </c>
      <c r="L2360" s="6">
        <f>YEAR(Tabla2[[#This Row],[OrderDate]])</f>
        <v>2024</v>
      </c>
      <c r="M2360" s="7" t="s">
        <v>1850</v>
      </c>
      <c r="N2360" s="7" t="s">
        <v>19</v>
      </c>
    </row>
    <row r="2361" spans="1:14" x14ac:dyDescent="0.35">
      <c r="A2361" s="7" t="s">
        <v>3718</v>
      </c>
      <c r="B2361" s="7" t="s">
        <v>622</v>
      </c>
      <c r="C2361" s="7" t="s">
        <v>623</v>
      </c>
      <c r="D2361" s="7" t="s">
        <v>14</v>
      </c>
      <c r="E2361" s="7" t="s">
        <v>125</v>
      </c>
      <c r="F2361" s="7" t="s">
        <v>50</v>
      </c>
      <c r="G2361" s="7" t="s">
        <v>51</v>
      </c>
      <c r="H2361" s="7">
        <v>2</v>
      </c>
      <c r="I2361" s="2">
        <v>1060.76</v>
      </c>
      <c r="J2361" s="2">
        <f>Tabla2[[#This Row],[Quantity]]*I2361</f>
        <v>2121.52</v>
      </c>
      <c r="K2361" s="6">
        <f>MONTH(Tabla2[[#This Row],[OrderDate]])</f>
        <v>12</v>
      </c>
      <c r="L2361" s="6">
        <f>YEAR(Tabla2[[#This Row],[OrderDate]])</f>
        <v>2024</v>
      </c>
      <c r="M2361" s="7" t="s">
        <v>2046</v>
      </c>
      <c r="N2361" s="7" t="s">
        <v>36</v>
      </c>
    </row>
    <row r="2362" spans="1:14" x14ac:dyDescent="0.35">
      <c r="A2362" s="7" t="s">
        <v>3719</v>
      </c>
      <c r="B2362" s="7" t="s">
        <v>264</v>
      </c>
      <c r="C2362" s="7" t="s">
        <v>265</v>
      </c>
      <c r="D2362" s="7" t="s">
        <v>32</v>
      </c>
      <c r="E2362" s="7" t="s">
        <v>33</v>
      </c>
      <c r="F2362" s="7" t="s">
        <v>25</v>
      </c>
      <c r="G2362" s="7" t="s">
        <v>34</v>
      </c>
      <c r="H2362" s="7">
        <v>5</v>
      </c>
      <c r="I2362" s="2">
        <v>1166.78</v>
      </c>
      <c r="J2362" s="2">
        <f>Tabla2[[#This Row],[Quantity]]*I2362</f>
        <v>5833.9</v>
      </c>
      <c r="K2362" s="6">
        <f>MONTH(Tabla2[[#This Row],[OrderDate]])</f>
        <v>4</v>
      </c>
      <c r="L2362" s="6">
        <f>YEAR(Tabla2[[#This Row],[OrderDate]])</f>
        <v>2025</v>
      </c>
      <c r="M2362" s="7" t="s">
        <v>1397</v>
      </c>
      <c r="N2362" s="7" t="s">
        <v>36</v>
      </c>
    </row>
    <row r="2363" spans="1:14" x14ac:dyDescent="0.35">
      <c r="A2363" s="7" t="s">
        <v>3720</v>
      </c>
      <c r="B2363" s="7" t="s">
        <v>388</v>
      </c>
      <c r="C2363" s="7" t="s">
        <v>389</v>
      </c>
      <c r="D2363" s="7" t="s">
        <v>67</v>
      </c>
      <c r="E2363" s="7" t="s">
        <v>115</v>
      </c>
      <c r="F2363" s="7" t="s">
        <v>25</v>
      </c>
      <c r="G2363" s="7" t="s">
        <v>34</v>
      </c>
      <c r="H2363" s="7">
        <v>1</v>
      </c>
      <c r="I2363" s="2">
        <v>59.63</v>
      </c>
      <c r="J2363" s="2">
        <f>Tabla2[[#This Row],[Quantity]]*I2363</f>
        <v>59.63</v>
      </c>
      <c r="K2363" s="6">
        <f>MONTH(Tabla2[[#This Row],[OrderDate]])</f>
        <v>7</v>
      </c>
      <c r="L2363" s="6">
        <f>YEAR(Tabla2[[#This Row],[OrderDate]])</f>
        <v>2024</v>
      </c>
      <c r="M2363" s="7" t="s">
        <v>1165</v>
      </c>
      <c r="N2363" s="7" t="s">
        <v>28</v>
      </c>
    </row>
    <row r="2364" spans="1:14" x14ac:dyDescent="0.35">
      <c r="A2364" s="7" t="s">
        <v>3721</v>
      </c>
      <c r="B2364" s="7" t="s">
        <v>123</v>
      </c>
      <c r="C2364" s="7" t="s">
        <v>124</v>
      </c>
      <c r="D2364" s="7" t="s">
        <v>40</v>
      </c>
      <c r="E2364" s="7" t="s">
        <v>120</v>
      </c>
      <c r="F2364" s="7" t="s">
        <v>25</v>
      </c>
      <c r="G2364" s="7" t="s">
        <v>62</v>
      </c>
      <c r="H2364" s="7">
        <v>4</v>
      </c>
      <c r="I2364" s="2">
        <v>316.77</v>
      </c>
      <c r="J2364" s="2">
        <f>Tabla2[[#This Row],[Quantity]]*I2364</f>
        <v>1267.08</v>
      </c>
      <c r="K2364" s="6">
        <f>MONTH(Tabla2[[#This Row],[OrderDate]])</f>
        <v>7</v>
      </c>
      <c r="L2364" s="6">
        <f>YEAR(Tabla2[[#This Row],[OrderDate]])</f>
        <v>2025</v>
      </c>
      <c r="M2364" s="7" t="s">
        <v>2518</v>
      </c>
      <c r="N2364" s="7" t="s">
        <v>45</v>
      </c>
    </row>
    <row r="2365" spans="1:14" x14ac:dyDescent="0.35">
      <c r="A2365" s="7" t="s">
        <v>3722</v>
      </c>
      <c r="B2365" s="7" t="s">
        <v>206</v>
      </c>
      <c r="C2365" s="7" t="s">
        <v>207</v>
      </c>
      <c r="D2365" s="7" t="s">
        <v>40</v>
      </c>
      <c r="E2365" s="7" t="s">
        <v>120</v>
      </c>
      <c r="F2365" s="7" t="s">
        <v>16</v>
      </c>
      <c r="G2365" s="7" t="s">
        <v>230</v>
      </c>
      <c r="H2365" s="7">
        <v>2</v>
      </c>
      <c r="I2365" s="2">
        <v>905.23</v>
      </c>
      <c r="J2365" s="2">
        <f>Tabla2[[#This Row],[Quantity]]*I2365</f>
        <v>1810.46</v>
      </c>
      <c r="K2365" s="6">
        <f>MONTH(Tabla2[[#This Row],[OrderDate]])</f>
        <v>3</v>
      </c>
      <c r="L2365" s="6">
        <f>YEAR(Tabla2[[#This Row],[OrderDate]])</f>
        <v>2024</v>
      </c>
      <c r="M2365" s="7" t="s">
        <v>3723</v>
      </c>
      <c r="N2365" s="7" t="s">
        <v>91</v>
      </c>
    </row>
    <row r="2366" spans="1:14" x14ac:dyDescent="0.35">
      <c r="A2366" s="7" t="s">
        <v>3724</v>
      </c>
      <c r="B2366" s="7" t="s">
        <v>759</v>
      </c>
      <c r="C2366" s="7" t="s">
        <v>760</v>
      </c>
      <c r="D2366" s="7" t="s">
        <v>23</v>
      </c>
      <c r="E2366" s="7" t="s">
        <v>338</v>
      </c>
      <c r="F2366" s="7" t="s">
        <v>16</v>
      </c>
      <c r="G2366" s="7" t="s">
        <v>17</v>
      </c>
      <c r="H2366" s="7">
        <v>1</v>
      </c>
      <c r="I2366" s="2">
        <v>1153.3499999999999</v>
      </c>
      <c r="J2366" s="2">
        <f>Tabla2[[#This Row],[Quantity]]*I2366</f>
        <v>1153.3499999999999</v>
      </c>
      <c r="K2366" s="6">
        <f>MONTH(Tabla2[[#This Row],[OrderDate]])</f>
        <v>9</v>
      </c>
      <c r="L2366" s="6">
        <f>YEAR(Tabla2[[#This Row],[OrderDate]])</f>
        <v>2024</v>
      </c>
      <c r="M2366" s="7" t="s">
        <v>2167</v>
      </c>
      <c r="N2366" s="7" t="s">
        <v>36</v>
      </c>
    </row>
    <row r="2367" spans="1:14" x14ac:dyDescent="0.35">
      <c r="A2367" s="7" t="s">
        <v>3725</v>
      </c>
      <c r="B2367" s="7" t="s">
        <v>1464</v>
      </c>
      <c r="C2367" s="7" t="s">
        <v>1465</v>
      </c>
      <c r="D2367" s="7" t="s">
        <v>23</v>
      </c>
      <c r="E2367" s="7" t="s">
        <v>49</v>
      </c>
      <c r="F2367" s="7" t="s">
        <v>42</v>
      </c>
      <c r="G2367" s="7" t="s">
        <v>80</v>
      </c>
      <c r="H2367" s="7">
        <v>5</v>
      </c>
      <c r="I2367" s="2">
        <v>784.86</v>
      </c>
      <c r="J2367" s="2">
        <f>Tabla2[[#This Row],[Quantity]]*I2367</f>
        <v>3924.3</v>
      </c>
      <c r="K2367" s="6">
        <f>MONTH(Tabla2[[#This Row],[OrderDate]])</f>
        <v>10</v>
      </c>
      <c r="L2367" s="6">
        <f>YEAR(Tabla2[[#This Row],[OrderDate]])</f>
        <v>2024</v>
      </c>
      <c r="M2367" s="7" t="s">
        <v>684</v>
      </c>
      <c r="N2367" s="7" t="s">
        <v>19</v>
      </c>
    </row>
    <row r="2368" spans="1:14" x14ac:dyDescent="0.35">
      <c r="A2368" s="7" t="s">
        <v>3726</v>
      </c>
      <c r="B2368" s="7" t="s">
        <v>1170</v>
      </c>
      <c r="C2368" s="7" t="s">
        <v>1171</v>
      </c>
      <c r="D2368" s="7" t="s">
        <v>23</v>
      </c>
      <c r="E2368" s="7" t="s">
        <v>338</v>
      </c>
      <c r="F2368" s="7" t="s">
        <v>42</v>
      </c>
      <c r="G2368" s="7" t="s">
        <v>89</v>
      </c>
      <c r="H2368" s="7">
        <v>5</v>
      </c>
      <c r="I2368" s="2">
        <v>221.87</v>
      </c>
      <c r="J2368" s="2">
        <f>Tabla2[[#This Row],[Quantity]]*I2368</f>
        <v>1109.3499999999999</v>
      </c>
      <c r="K2368" s="6">
        <f>MONTH(Tabla2[[#This Row],[OrderDate]])</f>
        <v>1</v>
      </c>
      <c r="L2368" s="6">
        <f>YEAR(Tabla2[[#This Row],[OrderDate]])</f>
        <v>2024</v>
      </c>
      <c r="M2368" s="7" t="s">
        <v>386</v>
      </c>
      <c r="N2368" s="7" t="s">
        <v>19</v>
      </c>
    </row>
    <row r="2369" spans="1:14" x14ac:dyDescent="0.35">
      <c r="A2369" s="7" t="s">
        <v>3727</v>
      </c>
      <c r="B2369" s="7" t="s">
        <v>611</v>
      </c>
      <c r="C2369" s="7" t="s">
        <v>612</v>
      </c>
      <c r="D2369" s="7" t="s">
        <v>40</v>
      </c>
      <c r="E2369" s="7" t="s">
        <v>79</v>
      </c>
      <c r="F2369" s="7" t="s">
        <v>25</v>
      </c>
      <c r="G2369" s="7" t="s">
        <v>26</v>
      </c>
      <c r="H2369" s="7">
        <v>3</v>
      </c>
      <c r="I2369" s="2">
        <v>704.43</v>
      </c>
      <c r="J2369" s="2">
        <f>Tabla2[[#This Row],[Quantity]]*I2369</f>
        <v>2113.29</v>
      </c>
      <c r="K2369" s="6">
        <f>MONTH(Tabla2[[#This Row],[OrderDate]])</f>
        <v>11</v>
      </c>
      <c r="L2369" s="6">
        <f>YEAR(Tabla2[[#This Row],[OrderDate]])</f>
        <v>2025</v>
      </c>
      <c r="M2369" s="7" t="s">
        <v>498</v>
      </c>
      <c r="N2369" s="7" t="s">
        <v>28</v>
      </c>
    </row>
    <row r="2370" spans="1:14" x14ac:dyDescent="0.35">
      <c r="A2370" s="7" t="s">
        <v>3728</v>
      </c>
      <c r="B2370" s="7" t="s">
        <v>137</v>
      </c>
      <c r="C2370" s="7" t="s">
        <v>138</v>
      </c>
      <c r="D2370" s="7" t="s">
        <v>32</v>
      </c>
      <c r="E2370" s="7" t="s">
        <v>61</v>
      </c>
      <c r="F2370" s="7" t="s">
        <v>25</v>
      </c>
      <c r="G2370" s="7" t="s">
        <v>139</v>
      </c>
      <c r="H2370" s="7">
        <v>2</v>
      </c>
      <c r="I2370" s="2">
        <v>1276.94</v>
      </c>
      <c r="J2370" s="2">
        <f>Tabla2[[#This Row],[Quantity]]*I2370</f>
        <v>2553.88</v>
      </c>
      <c r="K2370" s="6">
        <f>MONTH(Tabla2[[#This Row],[OrderDate]])</f>
        <v>3</v>
      </c>
      <c r="L2370" s="6">
        <f>YEAR(Tabla2[[#This Row],[OrderDate]])</f>
        <v>2025</v>
      </c>
      <c r="M2370" s="7" t="s">
        <v>1468</v>
      </c>
      <c r="N2370" s="7" t="s">
        <v>28</v>
      </c>
    </row>
    <row r="2371" spans="1:14" x14ac:dyDescent="0.35">
      <c r="A2371" s="7" t="s">
        <v>3729</v>
      </c>
      <c r="B2371" s="7" t="s">
        <v>1301</v>
      </c>
      <c r="C2371" s="7" t="s">
        <v>1302</v>
      </c>
      <c r="D2371" s="7" t="s">
        <v>40</v>
      </c>
      <c r="E2371" s="7" t="s">
        <v>120</v>
      </c>
      <c r="F2371" s="7" t="s">
        <v>42</v>
      </c>
      <c r="G2371" s="7" t="s">
        <v>43</v>
      </c>
      <c r="H2371" s="7">
        <v>3</v>
      </c>
      <c r="I2371" s="2">
        <v>12.48</v>
      </c>
      <c r="J2371" s="2">
        <f>Tabla2[[#This Row],[Quantity]]*I2371</f>
        <v>37.44</v>
      </c>
      <c r="K2371" s="6">
        <f>MONTH(Tabla2[[#This Row],[OrderDate]])</f>
        <v>4</v>
      </c>
      <c r="L2371" s="6">
        <f>YEAR(Tabla2[[#This Row],[OrderDate]])</f>
        <v>2024</v>
      </c>
      <c r="M2371" s="7" t="s">
        <v>2232</v>
      </c>
      <c r="N2371" s="7" t="s">
        <v>36</v>
      </c>
    </row>
    <row r="2372" spans="1:14" x14ac:dyDescent="0.35">
      <c r="A2372" s="7" t="s">
        <v>3730</v>
      </c>
      <c r="B2372" s="7" t="s">
        <v>1137</v>
      </c>
      <c r="C2372" s="7" t="s">
        <v>1138</v>
      </c>
      <c r="D2372" s="7" t="s">
        <v>14</v>
      </c>
      <c r="E2372" s="7" t="s">
        <v>95</v>
      </c>
      <c r="F2372" s="7" t="s">
        <v>50</v>
      </c>
      <c r="G2372" s="7" t="s">
        <v>51</v>
      </c>
      <c r="H2372" s="7">
        <v>2</v>
      </c>
      <c r="I2372" s="2">
        <v>1350.68</v>
      </c>
      <c r="J2372" s="2">
        <f>Tabla2[[#This Row],[Quantity]]*I2372</f>
        <v>2701.36</v>
      </c>
      <c r="K2372" s="6">
        <f>MONTH(Tabla2[[#This Row],[OrderDate]])</f>
        <v>10</v>
      </c>
      <c r="L2372" s="6">
        <f>YEAR(Tabla2[[#This Row],[OrderDate]])</f>
        <v>2025</v>
      </c>
      <c r="M2372" s="7" t="s">
        <v>3524</v>
      </c>
      <c r="N2372" s="7" t="s">
        <v>19</v>
      </c>
    </row>
    <row r="2373" spans="1:14" x14ac:dyDescent="0.35">
      <c r="A2373" s="7" t="s">
        <v>3731</v>
      </c>
      <c r="B2373" s="7" t="s">
        <v>163</v>
      </c>
      <c r="C2373" s="7" t="s">
        <v>164</v>
      </c>
      <c r="D2373" s="7" t="s">
        <v>14</v>
      </c>
      <c r="E2373" s="7" t="s">
        <v>95</v>
      </c>
      <c r="F2373" s="7" t="s">
        <v>42</v>
      </c>
      <c r="G2373" s="7" t="s">
        <v>89</v>
      </c>
      <c r="H2373" s="7">
        <v>4</v>
      </c>
      <c r="I2373" s="2">
        <v>827.33</v>
      </c>
      <c r="J2373" s="2">
        <f>Tabla2[[#This Row],[Quantity]]*I2373</f>
        <v>3309.32</v>
      </c>
      <c r="K2373" s="6">
        <f>MONTH(Tabla2[[#This Row],[OrderDate]])</f>
        <v>1</v>
      </c>
      <c r="L2373" s="6">
        <f>YEAR(Tabla2[[#This Row],[OrderDate]])</f>
        <v>2026</v>
      </c>
      <c r="M2373" s="7" t="s">
        <v>3054</v>
      </c>
      <c r="N2373" s="7" t="s">
        <v>36</v>
      </c>
    </row>
    <row r="2374" spans="1:14" x14ac:dyDescent="0.35">
      <c r="A2374" s="7" t="s">
        <v>3732</v>
      </c>
      <c r="B2374" s="7" t="s">
        <v>1707</v>
      </c>
      <c r="C2374" s="7" t="s">
        <v>1708</v>
      </c>
      <c r="D2374" s="7" t="s">
        <v>14</v>
      </c>
      <c r="E2374" s="7" t="s">
        <v>95</v>
      </c>
      <c r="F2374" s="7" t="s">
        <v>101</v>
      </c>
      <c r="G2374" s="7" t="s">
        <v>373</v>
      </c>
      <c r="H2374" s="7">
        <v>4</v>
      </c>
      <c r="I2374" s="2">
        <v>671</v>
      </c>
      <c r="J2374" s="2">
        <f>Tabla2[[#This Row],[Quantity]]*I2374</f>
        <v>2684</v>
      </c>
      <c r="K2374" s="6">
        <f>MONTH(Tabla2[[#This Row],[OrderDate]])</f>
        <v>11</v>
      </c>
      <c r="L2374" s="6">
        <f>YEAR(Tabla2[[#This Row],[OrderDate]])</f>
        <v>2025</v>
      </c>
      <c r="M2374" s="7" t="s">
        <v>378</v>
      </c>
      <c r="N2374" s="7" t="s">
        <v>19</v>
      </c>
    </row>
    <row r="2375" spans="1:14" x14ac:dyDescent="0.35">
      <c r="A2375" s="7" t="s">
        <v>3733</v>
      </c>
      <c r="B2375" s="7" t="s">
        <v>2399</v>
      </c>
      <c r="C2375" s="7" t="s">
        <v>2400</v>
      </c>
      <c r="D2375" s="7" t="s">
        <v>40</v>
      </c>
      <c r="E2375" s="7" t="s">
        <v>120</v>
      </c>
      <c r="F2375" s="7" t="s">
        <v>101</v>
      </c>
      <c r="G2375" s="7" t="s">
        <v>649</v>
      </c>
      <c r="H2375" s="7">
        <v>1</v>
      </c>
      <c r="I2375" s="2">
        <v>678</v>
      </c>
      <c r="J2375" s="2">
        <f>Tabla2[[#This Row],[Quantity]]*I2375</f>
        <v>678</v>
      </c>
      <c r="K2375" s="6">
        <f>MONTH(Tabla2[[#This Row],[OrderDate]])</f>
        <v>7</v>
      </c>
      <c r="L2375" s="6">
        <f>YEAR(Tabla2[[#This Row],[OrderDate]])</f>
        <v>2024</v>
      </c>
      <c r="M2375" s="7" t="s">
        <v>204</v>
      </c>
      <c r="N2375" s="7" t="s">
        <v>91</v>
      </c>
    </row>
    <row r="2376" spans="1:14" x14ac:dyDescent="0.35">
      <c r="A2376" s="7" t="s">
        <v>3734</v>
      </c>
      <c r="B2376" s="7" t="s">
        <v>325</v>
      </c>
      <c r="C2376" s="7" t="s">
        <v>326</v>
      </c>
      <c r="D2376" s="7" t="s">
        <v>40</v>
      </c>
      <c r="E2376" s="7" t="s">
        <v>120</v>
      </c>
      <c r="F2376" s="7" t="s">
        <v>25</v>
      </c>
      <c r="G2376" s="7" t="s">
        <v>34</v>
      </c>
      <c r="H2376" s="7">
        <v>2</v>
      </c>
      <c r="I2376" s="2">
        <v>390.34</v>
      </c>
      <c r="J2376" s="2">
        <f>Tabla2[[#This Row],[Quantity]]*I2376</f>
        <v>780.68</v>
      </c>
      <c r="K2376" s="6">
        <f>MONTH(Tabla2[[#This Row],[OrderDate]])</f>
        <v>5</v>
      </c>
      <c r="L2376" s="6">
        <f>YEAR(Tabla2[[#This Row],[OrderDate]])</f>
        <v>2025</v>
      </c>
      <c r="M2376" s="7" t="s">
        <v>3471</v>
      </c>
      <c r="N2376" s="7" t="s">
        <v>45</v>
      </c>
    </row>
    <row r="2377" spans="1:14" x14ac:dyDescent="0.35">
      <c r="A2377" s="7" t="s">
        <v>3735</v>
      </c>
      <c r="B2377" s="7" t="s">
        <v>325</v>
      </c>
      <c r="C2377" s="7" t="s">
        <v>326</v>
      </c>
      <c r="D2377" s="7" t="s">
        <v>67</v>
      </c>
      <c r="E2377" s="7" t="s">
        <v>130</v>
      </c>
      <c r="F2377" s="7" t="s">
        <v>101</v>
      </c>
      <c r="G2377" s="7" t="s">
        <v>373</v>
      </c>
      <c r="H2377" s="7">
        <v>4</v>
      </c>
      <c r="I2377" s="2">
        <v>609.53</v>
      </c>
      <c r="J2377" s="2">
        <f>Tabla2[[#This Row],[Quantity]]*I2377</f>
        <v>2438.12</v>
      </c>
      <c r="K2377" s="6">
        <f>MONTH(Tabla2[[#This Row],[OrderDate]])</f>
        <v>10</v>
      </c>
      <c r="L2377" s="6">
        <f>YEAR(Tabla2[[#This Row],[OrderDate]])</f>
        <v>2024</v>
      </c>
      <c r="M2377" s="7" t="s">
        <v>1665</v>
      </c>
      <c r="N2377" s="7" t="s">
        <v>91</v>
      </c>
    </row>
    <row r="2378" spans="1:14" x14ac:dyDescent="0.35">
      <c r="A2378" s="7" t="s">
        <v>3736</v>
      </c>
      <c r="B2378" s="7" t="s">
        <v>1793</v>
      </c>
      <c r="C2378" s="7" t="s">
        <v>1794</v>
      </c>
      <c r="D2378" s="7" t="s">
        <v>23</v>
      </c>
      <c r="E2378" s="7" t="s">
        <v>49</v>
      </c>
      <c r="F2378" s="7" t="s">
        <v>25</v>
      </c>
      <c r="G2378" s="7" t="s">
        <v>34</v>
      </c>
      <c r="H2378" s="7">
        <v>2</v>
      </c>
      <c r="I2378" s="2">
        <v>776.82</v>
      </c>
      <c r="J2378" s="2">
        <f>Tabla2[[#This Row],[Quantity]]*I2378</f>
        <v>1553.64</v>
      </c>
      <c r="K2378" s="6">
        <f>MONTH(Tabla2[[#This Row],[OrderDate]])</f>
        <v>6</v>
      </c>
      <c r="L2378" s="6">
        <f>YEAR(Tabla2[[#This Row],[OrderDate]])</f>
        <v>2024</v>
      </c>
      <c r="M2378" s="7" t="s">
        <v>90</v>
      </c>
      <c r="N2378" s="7" t="s">
        <v>28</v>
      </c>
    </row>
    <row r="2379" spans="1:14" x14ac:dyDescent="0.35">
      <c r="A2379" s="7" t="s">
        <v>3737</v>
      </c>
      <c r="B2379" s="7" t="s">
        <v>1170</v>
      </c>
      <c r="C2379" s="7" t="s">
        <v>1171</v>
      </c>
      <c r="D2379" s="7" t="s">
        <v>67</v>
      </c>
      <c r="E2379" s="7" t="s">
        <v>68</v>
      </c>
      <c r="F2379" s="7" t="s">
        <v>50</v>
      </c>
      <c r="G2379" s="7" t="s">
        <v>56</v>
      </c>
      <c r="H2379" s="7">
        <v>5</v>
      </c>
      <c r="I2379" s="2">
        <v>445.85</v>
      </c>
      <c r="J2379" s="2">
        <f>Tabla2[[#This Row],[Quantity]]*I2379</f>
        <v>2229.25</v>
      </c>
      <c r="K2379" s="6">
        <f>MONTH(Tabla2[[#This Row],[OrderDate]])</f>
        <v>3</v>
      </c>
      <c r="L2379" s="6">
        <f>YEAR(Tabla2[[#This Row],[OrderDate]])</f>
        <v>2024</v>
      </c>
      <c r="M2379" s="7" t="s">
        <v>2926</v>
      </c>
      <c r="N2379" s="7" t="s">
        <v>91</v>
      </c>
    </row>
    <row r="2380" spans="1:14" x14ac:dyDescent="0.35">
      <c r="A2380" s="7" t="s">
        <v>3738</v>
      </c>
      <c r="B2380" s="7" t="s">
        <v>1018</v>
      </c>
      <c r="C2380" s="7" t="s">
        <v>1019</v>
      </c>
      <c r="D2380" s="7" t="s">
        <v>14</v>
      </c>
      <c r="E2380" s="7" t="s">
        <v>100</v>
      </c>
      <c r="F2380" s="7" t="s">
        <v>42</v>
      </c>
      <c r="G2380" s="7" t="s">
        <v>170</v>
      </c>
      <c r="H2380" s="7">
        <v>5</v>
      </c>
      <c r="I2380" s="2">
        <v>1419.94</v>
      </c>
      <c r="J2380" s="2">
        <f>Tabla2[[#This Row],[Quantity]]*I2380</f>
        <v>7099.7000000000007</v>
      </c>
      <c r="K2380" s="6">
        <f>MONTH(Tabla2[[#This Row],[OrderDate]])</f>
        <v>10</v>
      </c>
      <c r="L2380" s="6">
        <f>YEAR(Tabla2[[#This Row],[OrderDate]])</f>
        <v>2024</v>
      </c>
      <c r="M2380" s="7" t="s">
        <v>954</v>
      </c>
      <c r="N2380" s="7" t="s">
        <v>45</v>
      </c>
    </row>
    <row r="2381" spans="1:14" x14ac:dyDescent="0.35">
      <c r="A2381" s="7" t="s">
        <v>3739</v>
      </c>
      <c r="B2381" s="7" t="s">
        <v>594</v>
      </c>
      <c r="C2381" s="7" t="s">
        <v>595</v>
      </c>
      <c r="D2381" s="7" t="s">
        <v>40</v>
      </c>
      <c r="E2381" s="7" t="s">
        <v>79</v>
      </c>
      <c r="F2381" s="7" t="s">
        <v>25</v>
      </c>
      <c r="G2381" s="7" t="s">
        <v>139</v>
      </c>
      <c r="H2381" s="7">
        <v>2</v>
      </c>
      <c r="I2381" s="2">
        <v>694.15</v>
      </c>
      <c r="J2381" s="2">
        <f>Tabla2[[#This Row],[Quantity]]*I2381</f>
        <v>1388.3</v>
      </c>
      <c r="K2381" s="6">
        <f>MONTH(Tabla2[[#This Row],[OrderDate]])</f>
        <v>8</v>
      </c>
      <c r="L2381" s="6">
        <f>YEAR(Tabla2[[#This Row],[OrderDate]])</f>
        <v>2024</v>
      </c>
      <c r="M2381" s="7" t="s">
        <v>2898</v>
      </c>
      <c r="N2381" s="7" t="s">
        <v>45</v>
      </c>
    </row>
    <row r="2382" spans="1:14" x14ac:dyDescent="0.35">
      <c r="A2382" s="7" t="s">
        <v>3740</v>
      </c>
      <c r="B2382" s="7" t="s">
        <v>1464</v>
      </c>
      <c r="C2382" s="7" t="s">
        <v>1465</v>
      </c>
      <c r="D2382" s="7" t="s">
        <v>67</v>
      </c>
      <c r="E2382" s="7" t="s">
        <v>130</v>
      </c>
      <c r="F2382" s="7" t="s">
        <v>42</v>
      </c>
      <c r="G2382" s="7" t="s">
        <v>225</v>
      </c>
      <c r="H2382" s="7">
        <v>3</v>
      </c>
      <c r="I2382" s="2">
        <v>321.77999999999997</v>
      </c>
      <c r="J2382" s="2">
        <f>Tabla2[[#This Row],[Quantity]]*I2382</f>
        <v>965.33999999999992</v>
      </c>
      <c r="K2382" s="6">
        <f>MONTH(Tabla2[[#This Row],[OrderDate]])</f>
        <v>11</v>
      </c>
      <c r="L2382" s="6">
        <f>YEAR(Tabla2[[#This Row],[OrderDate]])</f>
        <v>2025</v>
      </c>
      <c r="M2382" s="7" t="s">
        <v>2304</v>
      </c>
      <c r="N2382" s="7" t="s">
        <v>91</v>
      </c>
    </row>
    <row r="2383" spans="1:14" x14ac:dyDescent="0.35">
      <c r="A2383" s="7" t="s">
        <v>3741</v>
      </c>
      <c r="B2383" s="7" t="s">
        <v>454</v>
      </c>
      <c r="C2383" s="7" t="s">
        <v>455</v>
      </c>
      <c r="D2383" s="7" t="s">
        <v>67</v>
      </c>
      <c r="E2383" s="7" t="s">
        <v>68</v>
      </c>
      <c r="F2383" s="7" t="s">
        <v>50</v>
      </c>
      <c r="G2383" s="7" t="s">
        <v>170</v>
      </c>
      <c r="H2383" s="7">
        <v>1</v>
      </c>
      <c r="I2383" s="2">
        <v>143.26</v>
      </c>
      <c r="J2383" s="2">
        <f>Tabla2[[#This Row],[Quantity]]*I2383</f>
        <v>143.26</v>
      </c>
      <c r="K2383" s="6">
        <f>MONTH(Tabla2[[#This Row],[OrderDate]])</f>
        <v>1</v>
      </c>
      <c r="L2383" s="6">
        <f>YEAR(Tabla2[[#This Row],[OrderDate]])</f>
        <v>2026</v>
      </c>
      <c r="M2383" s="7" t="s">
        <v>912</v>
      </c>
      <c r="N2383" s="7" t="s">
        <v>36</v>
      </c>
    </row>
    <row r="2384" spans="1:14" x14ac:dyDescent="0.35">
      <c r="A2384" s="7" t="s">
        <v>3742</v>
      </c>
      <c r="B2384" s="7" t="s">
        <v>418</v>
      </c>
      <c r="C2384" s="7" t="s">
        <v>419</v>
      </c>
      <c r="D2384" s="7" t="s">
        <v>32</v>
      </c>
      <c r="E2384" s="7" t="s">
        <v>33</v>
      </c>
      <c r="F2384" s="7" t="s">
        <v>101</v>
      </c>
      <c r="G2384" s="7" t="s">
        <v>373</v>
      </c>
      <c r="H2384" s="7">
        <v>5</v>
      </c>
      <c r="I2384" s="2">
        <v>1393.36</v>
      </c>
      <c r="J2384" s="2">
        <f>Tabla2[[#This Row],[Quantity]]*I2384</f>
        <v>6966.7999999999993</v>
      </c>
      <c r="K2384" s="6">
        <f>MONTH(Tabla2[[#This Row],[OrderDate]])</f>
        <v>8</v>
      </c>
      <c r="L2384" s="6">
        <f>YEAR(Tabla2[[#This Row],[OrderDate]])</f>
        <v>2025</v>
      </c>
      <c r="M2384" s="7" t="s">
        <v>631</v>
      </c>
      <c r="N2384" s="7" t="s">
        <v>36</v>
      </c>
    </row>
    <row r="2385" spans="1:14" x14ac:dyDescent="0.35">
      <c r="A2385" s="7" t="s">
        <v>3743</v>
      </c>
      <c r="B2385" s="7" t="s">
        <v>206</v>
      </c>
      <c r="C2385" s="7" t="s">
        <v>207</v>
      </c>
      <c r="D2385" s="7" t="s">
        <v>67</v>
      </c>
      <c r="E2385" s="7" t="s">
        <v>115</v>
      </c>
      <c r="F2385" s="7" t="s">
        <v>42</v>
      </c>
      <c r="G2385" s="7" t="s">
        <v>89</v>
      </c>
      <c r="H2385" s="7">
        <v>5</v>
      </c>
      <c r="I2385" s="2">
        <v>746.12</v>
      </c>
      <c r="J2385" s="2">
        <f>Tabla2[[#This Row],[Quantity]]*I2385</f>
        <v>3730.6</v>
      </c>
      <c r="K2385" s="6">
        <f>MONTH(Tabla2[[#This Row],[OrderDate]])</f>
        <v>2</v>
      </c>
      <c r="L2385" s="6">
        <f>YEAR(Tabla2[[#This Row],[OrderDate]])</f>
        <v>2025</v>
      </c>
      <c r="M2385" s="7" t="s">
        <v>508</v>
      </c>
      <c r="N2385" s="7" t="s">
        <v>19</v>
      </c>
    </row>
    <row r="2386" spans="1:14" x14ac:dyDescent="0.35">
      <c r="A2386" s="7" t="s">
        <v>3744</v>
      </c>
      <c r="B2386" s="7" t="s">
        <v>904</v>
      </c>
      <c r="C2386" s="7" t="s">
        <v>905</v>
      </c>
      <c r="D2386" s="7" t="s">
        <v>40</v>
      </c>
      <c r="E2386" s="7" t="s">
        <v>79</v>
      </c>
      <c r="F2386" s="7" t="s">
        <v>16</v>
      </c>
      <c r="G2386" s="7" t="s">
        <v>17</v>
      </c>
      <c r="H2386" s="7">
        <v>1</v>
      </c>
      <c r="I2386" s="2">
        <v>43.94</v>
      </c>
      <c r="J2386" s="2">
        <f>Tabla2[[#This Row],[Quantity]]*I2386</f>
        <v>43.94</v>
      </c>
      <c r="K2386" s="6">
        <f>MONTH(Tabla2[[#This Row],[OrderDate]])</f>
        <v>9</v>
      </c>
      <c r="L2386" s="6">
        <f>YEAR(Tabla2[[#This Row],[OrderDate]])</f>
        <v>2024</v>
      </c>
      <c r="M2386" s="7" t="s">
        <v>1408</v>
      </c>
      <c r="N2386" s="7" t="s">
        <v>28</v>
      </c>
    </row>
    <row r="2387" spans="1:14" x14ac:dyDescent="0.35">
      <c r="A2387" s="7" t="s">
        <v>3745</v>
      </c>
      <c r="B2387" s="7" t="s">
        <v>658</v>
      </c>
      <c r="C2387" s="7" t="s">
        <v>659</v>
      </c>
      <c r="D2387" s="7" t="s">
        <v>67</v>
      </c>
      <c r="E2387" s="7" t="s">
        <v>115</v>
      </c>
      <c r="F2387" s="7" t="s">
        <v>101</v>
      </c>
      <c r="G2387" s="7" t="s">
        <v>649</v>
      </c>
      <c r="H2387" s="7">
        <v>2</v>
      </c>
      <c r="I2387" s="2">
        <v>49.64</v>
      </c>
      <c r="J2387" s="2">
        <f>Tabla2[[#This Row],[Quantity]]*I2387</f>
        <v>99.28</v>
      </c>
      <c r="K2387" s="6">
        <f>MONTH(Tabla2[[#This Row],[OrderDate]])</f>
        <v>2</v>
      </c>
      <c r="L2387" s="6">
        <f>YEAR(Tabla2[[#This Row],[OrderDate]])</f>
        <v>2026</v>
      </c>
      <c r="M2387" s="7" t="s">
        <v>3064</v>
      </c>
      <c r="N2387" s="7" t="s">
        <v>28</v>
      </c>
    </row>
    <row r="2388" spans="1:14" x14ac:dyDescent="0.35">
      <c r="A2388" s="7" t="s">
        <v>3746</v>
      </c>
      <c r="B2388" s="7" t="s">
        <v>868</v>
      </c>
      <c r="C2388" s="7" t="s">
        <v>869</v>
      </c>
      <c r="D2388" s="7" t="s">
        <v>32</v>
      </c>
      <c r="E2388" s="7" t="s">
        <v>61</v>
      </c>
      <c r="F2388" s="7" t="s">
        <v>50</v>
      </c>
      <c r="G2388" s="7" t="s">
        <v>51</v>
      </c>
      <c r="H2388" s="7">
        <v>3</v>
      </c>
      <c r="I2388" s="2">
        <v>1316.73</v>
      </c>
      <c r="J2388" s="2">
        <f>Tabla2[[#This Row],[Quantity]]*I2388</f>
        <v>3950.19</v>
      </c>
      <c r="K2388" s="6">
        <f>MONTH(Tabla2[[#This Row],[OrderDate]])</f>
        <v>7</v>
      </c>
      <c r="L2388" s="6">
        <f>YEAR(Tabla2[[#This Row],[OrderDate]])</f>
        <v>2025</v>
      </c>
      <c r="M2388" s="7" t="s">
        <v>1608</v>
      </c>
      <c r="N2388" s="7" t="s">
        <v>36</v>
      </c>
    </row>
    <row r="2389" spans="1:14" x14ac:dyDescent="0.35">
      <c r="A2389" s="7" t="s">
        <v>3747</v>
      </c>
      <c r="B2389" s="7" t="s">
        <v>1246</v>
      </c>
      <c r="C2389" s="7" t="s">
        <v>1247</v>
      </c>
      <c r="D2389" s="7" t="s">
        <v>67</v>
      </c>
      <c r="E2389" s="7" t="s">
        <v>68</v>
      </c>
      <c r="F2389" s="7" t="s">
        <v>101</v>
      </c>
      <c r="G2389" s="7" t="s">
        <v>649</v>
      </c>
      <c r="H2389" s="7">
        <v>1</v>
      </c>
      <c r="I2389" s="2">
        <v>1319.13</v>
      </c>
      <c r="J2389" s="2">
        <f>Tabla2[[#This Row],[Quantity]]*I2389</f>
        <v>1319.13</v>
      </c>
      <c r="K2389" s="6">
        <f>MONTH(Tabla2[[#This Row],[OrderDate]])</f>
        <v>2</v>
      </c>
      <c r="L2389" s="6">
        <f>YEAR(Tabla2[[#This Row],[OrderDate]])</f>
        <v>2026</v>
      </c>
      <c r="M2389" s="7" t="s">
        <v>3748</v>
      </c>
      <c r="N2389" s="7" t="s">
        <v>28</v>
      </c>
    </row>
    <row r="2390" spans="1:14" x14ac:dyDescent="0.35">
      <c r="A2390" s="7" t="s">
        <v>3749</v>
      </c>
      <c r="B2390" s="7" t="s">
        <v>568</v>
      </c>
      <c r="C2390" s="7" t="s">
        <v>569</v>
      </c>
      <c r="D2390" s="7" t="s">
        <v>40</v>
      </c>
      <c r="E2390" s="7" t="s">
        <v>79</v>
      </c>
      <c r="F2390" s="7" t="s">
        <v>16</v>
      </c>
      <c r="G2390" s="7" t="s">
        <v>17</v>
      </c>
      <c r="H2390" s="7">
        <v>3</v>
      </c>
      <c r="I2390" s="2">
        <v>552.23</v>
      </c>
      <c r="J2390" s="2">
        <f>Tabla2[[#This Row],[Quantity]]*I2390</f>
        <v>1656.69</v>
      </c>
      <c r="K2390" s="6">
        <f>MONTH(Tabla2[[#This Row],[OrderDate]])</f>
        <v>8</v>
      </c>
      <c r="L2390" s="6">
        <f>YEAR(Tabla2[[#This Row],[OrderDate]])</f>
        <v>2024</v>
      </c>
      <c r="M2390" s="7" t="s">
        <v>1822</v>
      </c>
      <c r="N2390" s="7" t="s">
        <v>36</v>
      </c>
    </row>
    <row r="2391" spans="1:14" x14ac:dyDescent="0.35">
      <c r="A2391" s="7" t="s">
        <v>3750</v>
      </c>
      <c r="B2391" s="7" t="s">
        <v>842</v>
      </c>
      <c r="C2391" s="7" t="s">
        <v>843</v>
      </c>
      <c r="D2391" s="7" t="s">
        <v>40</v>
      </c>
      <c r="E2391" s="7" t="s">
        <v>41</v>
      </c>
      <c r="F2391" s="7" t="s">
        <v>50</v>
      </c>
      <c r="G2391" s="7" t="s">
        <v>69</v>
      </c>
      <c r="H2391" s="7">
        <v>2</v>
      </c>
      <c r="I2391" s="2">
        <v>435.51</v>
      </c>
      <c r="J2391" s="2">
        <f>Tabla2[[#This Row],[Quantity]]*I2391</f>
        <v>871.02</v>
      </c>
      <c r="K2391" s="6">
        <f>MONTH(Tabla2[[#This Row],[OrderDate]])</f>
        <v>12</v>
      </c>
      <c r="L2391" s="6">
        <f>YEAR(Tabla2[[#This Row],[OrderDate]])</f>
        <v>2025</v>
      </c>
      <c r="M2391" s="7" t="s">
        <v>2841</v>
      </c>
      <c r="N2391" s="7" t="s">
        <v>28</v>
      </c>
    </row>
    <row r="2392" spans="1:14" x14ac:dyDescent="0.35">
      <c r="A2392" s="7" t="s">
        <v>3751</v>
      </c>
      <c r="B2392" s="7" t="s">
        <v>751</v>
      </c>
      <c r="C2392" s="7" t="s">
        <v>752</v>
      </c>
      <c r="D2392" s="7" t="s">
        <v>23</v>
      </c>
      <c r="E2392" s="7" t="s">
        <v>49</v>
      </c>
      <c r="F2392" s="7" t="s">
        <v>42</v>
      </c>
      <c r="G2392" s="7" t="s">
        <v>43</v>
      </c>
      <c r="H2392" s="7">
        <v>2</v>
      </c>
      <c r="I2392" s="2">
        <v>738.97</v>
      </c>
      <c r="J2392" s="2">
        <f>Tabla2[[#This Row],[Quantity]]*I2392</f>
        <v>1477.94</v>
      </c>
      <c r="K2392" s="6">
        <f>MONTH(Tabla2[[#This Row],[OrderDate]])</f>
        <v>1</v>
      </c>
      <c r="L2392" s="6">
        <f>YEAR(Tabla2[[#This Row],[OrderDate]])</f>
        <v>2024</v>
      </c>
      <c r="M2392" s="7" t="s">
        <v>1610</v>
      </c>
      <c r="N2392" s="7" t="s">
        <v>91</v>
      </c>
    </row>
    <row r="2393" spans="1:14" x14ac:dyDescent="0.35">
      <c r="A2393" s="7" t="s">
        <v>3752</v>
      </c>
      <c r="B2393" s="7" t="s">
        <v>791</v>
      </c>
      <c r="C2393" s="7" t="s">
        <v>792</v>
      </c>
      <c r="D2393" s="7" t="s">
        <v>23</v>
      </c>
      <c r="E2393" s="7" t="s">
        <v>49</v>
      </c>
      <c r="F2393" s="7" t="s">
        <v>42</v>
      </c>
      <c r="G2393" s="7" t="s">
        <v>43</v>
      </c>
      <c r="H2393" s="7">
        <v>3</v>
      </c>
      <c r="I2393" s="2">
        <v>623.07000000000005</v>
      </c>
      <c r="J2393" s="2">
        <f>Tabla2[[#This Row],[Quantity]]*I2393</f>
        <v>1869.21</v>
      </c>
      <c r="K2393" s="6">
        <f>MONTH(Tabla2[[#This Row],[OrderDate]])</f>
        <v>12</v>
      </c>
      <c r="L2393" s="6">
        <f>YEAR(Tabla2[[#This Row],[OrderDate]])</f>
        <v>2025</v>
      </c>
      <c r="M2393" s="7" t="s">
        <v>2841</v>
      </c>
      <c r="N2393" s="7" t="s">
        <v>19</v>
      </c>
    </row>
    <row r="2394" spans="1:14" x14ac:dyDescent="0.35">
      <c r="A2394" s="7" t="s">
        <v>3753</v>
      </c>
      <c r="B2394" s="7" t="s">
        <v>727</v>
      </c>
      <c r="C2394" s="7" t="s">
        <v>728</v>
      </c>
      <c r="D2394" s="7" t="s">
        <v>14</v>
      </c>
      <c r="E2394" s="7" t="s">
        <v>95</v>
      </c>
      <c r="F2394" s="7" t="s">
        <v>101</v>
      </c>
      <c r="G2394" s="7" t="s">
        <v>237</v>
      </c>
      <c r="H2394" s="7">
        <v>5</v>
      </c>
      <c r="I2394" s="2">
        <v>408.79</v>
      </c>
      <c r="J2394" s="2">
        <f>Tabla2[[#This Row],[Quantity]]*I2394</f>
        <v>2043.95</v>
      </c>
      <c r="K2394" s="6">
        <f>MONTH(Tabla2[[#This Row],[OrderDate]])</f>
        <v>4</v>
      </c>
      <c r="L2394" s="6">
        <f>YEAR(Tabla2[[#This Row],[OrderDate]])</f>
        <v>2025</v>
      </c>
      <c r="M2394" s="7" t="s">
        <v>1905</v>
      </c>
      <c r="N2394" s="7" t="s">
        <v>28</v>
      </c>
    </row>
    <row r="2395" spans="1:14" x14ac:dyDescent="0.35">
      <c r="A2395" s="7" t="s">
        <v>3754</v>
      </c>
      <c r="B2395" s="7" t="s">
        <v>273</v>
      </c>
      <c r="C2395" s="7" t="s">
        <v>274</v>
      </c>
      <c r="D2395" s="7" t="s">
        <v>40</v>
      </c>
      <c r="E2395" s="7" t="s">
        <v>41</v>
      </c>
      <c r="F2395" s="7" t="s">
        <v>101</v>
      </c>
      <c r="G2395" s="7" t="s">
        <v>102</v>
      </c>
      <c r="H2395" s="7">
        <v>1</v>
      </c>
      <c r="I2395" s="2">
        <v>50.83</v>
      </c>
      <c r="J2395" s="2">
        <f>Tabla2[[#This Row],[Quantity]]*I2395</f>
        <v>50.83</v>
      </c>
      <c r="K2395" s="6">
        <f>MONTH(Tabla2[[#This Row],[OrderDate]])</f>
        <v>7</v>
      </c>
      <c r="L2395" s="6">
        <f>YEAR(Tabla2[[#This Row],[OrderDate]])</f>
        <v>2025</v>
      </c>
      <c r="M2395" s="7" t="s">
        <v>1961</v>
      </c>
      <c r="N2395" s="7" t="s">
        <v>91</v>
      </c>
    </row>
    <row r="2396" spans="1:14" x14ac:dyDescent="0.35">
      <c r="A2396" s="7" t="s">
        <v>3755</v>
      </c>
      <c r="B2396" s="7" t="s">
        <v>189</v>
      </c>
      <c r="C2396" s="7" t="s">
        <v>190</v>
      </c>
      <c r="D2396" s="7" t="s">
        <v>67</v>
      </c>
      <c r="E2396" s="7" t="s">
        <v>68</v>
      </c>
      <c r="F2396" s="7" t="s">
        <v>16</v>
      </c>
      <c r="G2396" s="7" t="s">
        <v>177</v>
      </c>
      <c r="H2396" s="7">
        <v>1</v>
      </c>
      <c r="I2396" s="2">
        <v>219.71</v>
      </c>
      <c r="J2396" s="2">
        <f>Tabla2[[#This Row],[Quantity]]*I2396</f>
        <v>219.71</v>
      </c>
      <c r="K2396" s="6">
        <f>MONTH(Tabla2[[#This Row],[OrderDate]])</f>
        <v>2</v>
      </c>
      <c r="L2396" s="6">
        <f>YEAR(Tabla2[[#This Row],[OrderDate]])</f>
        <v>2024</v>
      </c>
      <c r="M2396" s="7" t="s">
        <v>1022</v>
      </c>
      <c r="N2396" s="7" t="s">
        <v>36</v>
      </c>
    </row>
    <row r="2397" spans="1:14" x14ac:dyDescent="0.35">
      <c r="A2397" s="7" t="s">
        <v>3756</v>
      </c>
      <c r="B2397" s="7" t="s">
        <v>12</v>
      </c>
      <c r="C2397" s="7" t="s">
        <v>13</v>
      </c>
      <c r="D2397" s="7" t="s">
        <v>67</v>
      </c>
      <c r="E2397" s="7" t="s">
        <v>68</v>
      </c>
      <c r="F2397" s="7" t="s">
        <v>50</v>
      </c>
      <c r="G2397" s="7" t="s">
        <v>51</v>
      </c>
      <c r="H2397" s="7">
        <v>4</v>
      </c>
      <c r="I2397" s="2">
        <v>1139.92</v>
      </c>
      <c r="J2397" s="2">
        <f>Tabla2[[#This Row],[Quantity]]*I2397</f>
        <v>4559.68</v>
      </c>
      <c r="K2397" s="6">
        <f>MONTH(Tabla2[[#This Row],[OrderDate]])</f>
        <v>1</v>
      </c>
      <c r="L2397" s="6">
        <f>YEAR(Tabla2[[#This Row],[OrderDate]])</f>
        <v>2024</v>
      </c>
      <c r="M2397" s="7" t="s">
        <v>386</v>
      </c>
      <c r="N2397" s="7" t="s">
        <v>36</v>
      </c>
    </row>
    <row r="2398" spans="1:14" x14ac:dyDescent="0.35">
      <c r="A2398" s="7" t="s">
        <v>3757</v>
      </c>
      <c r="B2398" s="7" t="s">
        <v>1464</v>
      </c>
      <c r="C2398" s="7" t="s">
        <v>1465</v>
      </c>
      <c r="D2398" s="7" t="s">
        <v>67</v>
      </c>
      <c r="E2398" s="7" t="s">
        <v>115</v>
      </c>
      <c r="F2398" s="7" t="s">
        <v>101</v>
      </c>
      <c r="G2398" s="7" t="s">
        <v>237</v>
      </c>
      <c r="H2398" s="7">
        <v>3</v>
      </c>
      <c r="I2398" s="2">
        <v>961.45</v>
      </c>
      <c r="J2398" s="2">
        <f>Tabla2[[#This Row],[Quantity]]*I2398</f>
        <v>2884.3500000000004</v>
      </c>
      <c r="K2398" s="6">
        <f>MONTH(Tabla2[[#This Row],[OrderDate]])</f>
        <v>3</v>
      </c>
      <c r="L2398" s="6">
        <f>YEAR(Tabla2[[#This Row],[OrderDate]])</f>
        <v>2026</v>
      </c>
      <c r="M2398" s="7" t="s">
        <v>1319</v>
      </c>
      <c r="N2398" s="7" t="s">
        <v>28</v>
      </c>
    </row>
    <row r="2399" spans="1:14" x14ac:dyDescent="0.35">
      <c r="A2399" s="7" t="s">
        <v>3758</v>
      </c>
      <c r="B2399" s="7" t="s">
        <v>303</v>
      </c>
      <c r="C2399" s="7" t="s">
        <v>304</v>
      </c>
      <c r="D2399" s="7" t="s">
        <v>23</v>
      </c>
      <c r="E2399" s="7" t="s">
        <v>49</v>
      </c>
      <c r="F2399" s="7" t="s">
        <v>42</v>
      </c>
      <c r="G2399" s="7" t="s">
        <v>80</v>
      </c>
      <c r="H2399" s="7">
        <v>1</v>
      </c>
      <c r="I2399" s="2">
        <v>822.48</v>
      </c>
      <c r="J2399" s="2">
        <f>Tabla2[[#This Row],[Quantity]]*I2399</f>
        <v>822.48</v>
      </c>
      <c r="K2399" s="6">
        <f>MONTH(Tabla2[[#This Row],[OrderDate]])</f>
        <v>9</v>
      </c>
      <c r="L2399" s="6">
        <f>YEAR(Tabla2[[#This Row],[OrderDate]])</f>
        <v>2024</v>
      </c>
      <c r="M2399" s="7" t="s">
        <v>1363</v>
      </c>
      <c r="N2399" s="7" t="s">
        <v>45</v>
      </c>
    </row>
    <row r="2400" spans="1:14" x14ac:dyDescent="0.35">
      <c r="A2400" s="7" t="s">
        <v>3759</v>
      </c>
      <c r="B2400" s="7" t="s">
        <v>1743</v>
      </c>
      <c r="C2400" s="7" t="s">
        <v>1744</v>
      </c>
      <c r="D2400" s="7" t="s">
        <v>40</v>
      </c>
      <c r="E2400" s="7" t="s">
        <v>79</v>
      </c>
      <c r="F2400" s="7" t="s">
        <v>16</v>
      </c>
      <c r="G2400" s="7" t="s">
        <v>230</v>
      </c>
      <c r="H2400" s="7">
        <v>1</v>
      </c>
      <c r="I2400" s="2">
        <v>381.55</v>
      </c>
      <c r="J2400" s="2">
        <f>Tabla2[[#This Row],[Quantity]]*I2400</f>
        <v>381.55</v>
      </c>
      <c r="K2400" s="6">
        <f>MONTH(Tabla2[[#This Row],[OrderDate]])</f>
        <v>7</v>
      </c>
      <c r="L2400" s="6">
        <f>YEAR(Tabla2[[#This Row],[OrderDate]])</f>
        <v>2025</v>
      </c>
      <c r="M2400" s="7" t="s">
        <v>2311</v>
      </c>
      <c r="N2400" s="7" t="s">
        <v>36</v>
      </c>
    </row>
    <row r="2401" spans="1:14" x14ac:dyDescent="0.35">
      <c r="A2401" s="7" t="s">
        <v>3760</v>
      </c>
      <c r="B2401" s="7" t="s">
        <v>363</v>
      </c>
      <c r="C2401" s="7" t="s">
        <v>364</v>
      </c>
      <c r="D2401" s="7" t="s">
        <v>23</v>
      </c>
      <c r="E2401" s="7" t="s">
        <v>338</v>
      </c>
      <c r="F2401" s="7" t="s">
        <v>16</v>
      </c>
      <c r="G2401" s="7" t="s">
        <v>182</v>
      </c>
      <c r="H2401" s="7">
        <v>2</v>
      </c>
      <c r="I2401" s="2">
        <v>209.24</v>
      </c>
      <c r="J2401" s="2">
        <f>Tabla2[[#This Row],[Quantity]]*I2401</f>
        <v>418.48</v>
      </c>
      <c r="K2401" s="6">
        <f>MONTH(Tabla2[[#This Row],[OrderDate]])</f>
        <v>9</v>
      </c>
      <c r="L2401" s="6">
        <f>YEAR(Tabla2[[#This Row],[OrderDate]])</f>
        <v>2024</v>
      </c>
      <c r="M2401" s="7" t="s">
        <v>799</v>
      </c>
      <c r="N2401" s="7" t="s">
        <v>91</v>
      </c>
    </row>
    <row r="2402" spans="1:14" x14ac:dyDescent="0.35">
      <c r="A2402" s="7" t="s">
        <v>3761</v>
      </c>
      <c r="B2402" s="7" t="s">
        <v>1681</v>
      </c>
      <c r="C2402" s="7" t="s">
        <v>1682</v>
      </c>
      <c r="D2402" s="7" t="s">
        <v>23</v>
      </c>
      <c r="E2402" s="7" t="s">
        <v>49</v>
      </c>
      <c r="F2402" s="7" t="s">
        <v>101</v>
      </c>
      <c r="G2402" s="7" t="s">
        <v>373</v>
      </c>
      <c r="H2402" s="7">
        <v>2</v>
      </c>
      <c r="I2402" s="2">
        <v>1235.8399999999999</v>
      </c>
      <c r="J2402" s="2">
        <f>Tabla2[[#This Row],[Quantity]]*I2402</f>
        <v>2471.6799999999998</v>
      </c>
      <c r="K2402" s="6">
        <f>MONTH(Tabla2[[#This Row],[OrderDate]])</f>
        <v>3</v>
      </c>
      <c r="L2402" s="6">
        <f>YEAR(Tabla2[[#This Row],[OrderDate]])</f>
        <v>2025</v>
      </c>
      <c r="M2402" s="7" t="s">
        <v>560</v>
      </c>
      <c r="N2402" s="7" t="s">
        <v>91</v>
      </c>
    </row>
    <row r="2403" spans="1:14" x14ac:dyDescent="0.35">
      <c r="A2403" s="7" t="s">
        <v>3762</v>
      </c>
      <c r="B2403" s="7" t="s">
        <v>711</v>
      </c>
      <c r="C2403" s="7" t="s">
        <v>712</v>
      </c>
      <c r="D2403" s="7" t="s">
        <v>40</v>
      </c>
      <c r="E2403" s="7" t="s">
        <v>120</v>
      </c>
      <c r="F2403" s="7" t="s">
        <v>16</v>
      </c>
      <c r="G2403" s="7" t="s">
        <v>182</v>
      </c>
      <c r="H2403" s="7">
        <v>3</v>
      </c>
      <c r="I2403" s="2">
        <v>239.11</v>
      </c>
      <c r="J2403" s="2">
        <f>Tabla2[[#This Row],[Quantity]]*I2403</f>
        <v>717.33</v>
      </c>
      <c r="K2403" s="6">
        <f>MONTH(Tabla2[[#This Row],[OrderDate]])</f>
        <v>4</v>
      </c>
      <c r="L2403" s="6">
        <f>YEAR(Tabla2[[#This Row],[OrderDate]])</f>
        <v>2024</v>
      </c>
      <c r="M2403" s="7" t="s">
        <v>1421</v>
      </c>
      <c r="N2403" s="7" t="s">
        <v>36</v>
      </c>
    </row>
    <row r="2404" spans="1:14" x14ac:dyDescent="0.35">
      <c r="A2404" s="7" t="s">
        <v>3763</v>
      </c>
      <c r="B2404" s="7" t="s">
        <v>336</v>
      </c>
      <c r="C2404" s="7" t="s">
        <v>337</v>
      </c>
      <c r="D2404" s="7" t="s">
        <v>23</v>
      </c>
      <c r="E2404" s="7" t="s">
        <v>49</v>
      </c>
      <c r="F2404" s="7" t="s">
        <v>16</v>
      </c>
      <c r="G2404" s="7" t="s">
        <v>177</v>
      </c>
      <c r="H2404" s="7">
        <v>3</v>
      </c>
      <c r="I2404" s="2">
        <v>753.11</v>
      </c>
      <c r="J2404" s="2">
        <f>Tabla2[[#This Row],[Quantity]]*I2404</f>
        <v>2259.33</v>
      </c>
      <c r="K2404" s="6">
        <f>MONTH(Tabla2[[#This Row],[OrderDate]])</f>
        <v>5</v>
      </c>
      <c r="L2404" s="6">
        <f>YEAR(Tabla2[[#This Row],[OrderDate]])</f>
        <v>2025</v>
      </c>
      <c r="M2404" s="7" t="s">
        <v>246</v>
      </c>
      <c r="N2404" s="7" t="s">
        <v>19</v>
      </c>
    </row>
    <row r="2405" spans="1:14" x14ac:dyDescent="0.35">
      <c r="A2405" s="7" t="s">
        <v>3764</v>
      </c>
      <c r="B2405" s="7" t="s">
        <v>189</v>
      </c>
      <c r="C2405" s="7" t="s">
        <v>190</v>
      </c>
      <c r="D2405" s="7" t="s">
        <v>14</v>
      </c>
      <c r="E2405" s="7" t="s">
        <v>100</v>
      </c>
      <c r="F2405" s="7" t="s">
        <v>101</v>
      </c>
      <c r="G2405" s="7" t="s">
        <v>102</v>
      </c>
      <c r="H2405" s="7">
        <v>5</v>
      </c>
      <c r="I2405" s="2">
        <v>1059.44</v>
      </c>
      <c r="J2405" s="2">
        <f>Tabla2[[#This Row],[Quantity]]*I2405</f>
        <v>5297.2000000000007</v>
      </c>
      <c r="K2405" s="6">
        <f>MONTH(Tabla2[[#This Row],[OrderDate]])</f>
        <v>1</v>
      </c>
      <c r="L2405" s="6">
        <f>YEAR(Tabla2[[#This Row],[OrderDate]])</f>
        <v>2024</v>
      </c>
      <c r="M2405" s="7" t="s">
        <v>1756</v>
      </c>
      <c r="N2405" s="7" t="s">
        <v>45</v>
      </c>
    </row>
    <row r="2406" spans="1:14" x14ac:dyDescent="0.35">
      <c r="A2406" s="7" t="s">
        <v>3765</v>
      </c>
      <c r="B2406" s="7" t="s">
        <v>2245</v>
      </c>
      <c r="C2406" s="7" t="s">
        <v>2246</v>
      </c>
      <c r="D2406" s="7" t="s">
        <v>67</v>
      </c>
      <c r="E2406" s="7" t="s">
        <v>130</v>
      </c>
      <c r="F2406" s="7" t="s">
        <v>16</v>
      </c>
      <c r="G2406" s="7" t="s">
        <v>230</v>
      </c>
      <c r="H2406" s="7">
        <v>3</v>
      </c>
      <c r="I2406" s="2">
        <v>416.81</v>
      </c>
      <c r="J2406" s="2">
        <f>Tabla2[[#This Row],[Quantity]]*I2406</f>
        <v>1250.43</v>
      </c>
      <c r="K2406" s="6">
        <f>MONTH(Tabla2[[#This Row],[OrderDate]])</f>
        <v>11</v>
      </c>
      <c r="L2406" s="6">
        <f>YEAR(Tabla2[[#This Row],[OrderDate]])</f>
        <v>2024</v>
      </c>
      <c r="M2406" s="7" t="s">
        <v>3697</v>
      </c>
      <c r="N2406" s="7" t="s">
        <v>36</v>
      </c>
    </row>
    <row r="2407" spans="1:14" x14ac:dyDescent="0.35">
      <c r="A2407" s="7" t="s">
        <v>3766</v>
      </c>
      <c r="B2407" s="7" t="s">
        <v>363</v>
      </c>
      <c r="C2407" s="7" t="s">
        <v>364</v>
      </c>
      <c r="D2407" s="7" t="s">
        <v>32</v>
      </c>
      <c r="E2407" s="7" t="s">
        <v>203</v>
      </c>
      <c r="F2407" s="7" t="s">
        <v>101</v>
      </c>
      <c r="G2407" s="7" t="s">
        <v>237</v>
      </c>
      <c r="H2407" s="7">
        <v>3</v>
      </c>
      <c r="I2407" s="2">
        <v>387.31</v>
      </c>
      <c r="J2407" s="2">
        <f>Tabla2[[#This Row],[Quantity]]*I2407</f>
        <v>1161.93</v>
      </c>
      <c r="K2407" s="6">
        <f>MONTH(Tabla2[[#This Row],[OrderDate]])</f>
        <v>1</v>
      </c>
      <c r="L2407" s="6">
        <f>YEAR(Tabla2[[#This Row],[OrderDate]])</f>
        <v>2025</v>
      </c>
      <c r="M2407" s="7" t="s">
        <v>404</v>
      </c>
      <c r="N2407" s="7" t="s">
        <v>91</v>
      </c>
    </row>
    <row r="2408" spans="1:14" x14ac:dyDescent="0.35">
      <c r="A2408" s="7" t="s">
        <v>3767</v>
      </c>
      <c r="B2408" s="7" t="s">
        <v>626</v>
      </c>
      <c r="C2408" s="7" t="s">
        <v>627</v>
      </c>
      <c r="D2408" s="7" t="s">
        <v>32</v>
      </c>
      <c r="E2408" s="7" t="s">
        <v>203</v>
      </c>
      <c r="F2408" s="7" t="s">
        <v>16</v>
      </c>
      <c r="G2408" s="7" t="s">
        <v>17</v>
      </c>
      <c r="H2408" s="7">
        <v>2</v>
      </c>
      <c r="I2408" s="2">
        <v>778.71</v>
      </c>
      <c r="J2408" s="2">
        <f>Tabla2[[#This Row],[Quantity]]*I2408</f>
        <v>1557.42</v>
      </c>
      <c r="K2408" s="6">
        <f>MONTH(Tabla2[[#This Row],[OrderDate]])</f>
        <v>9</v>
      </c>
      <c r="L2408" s="6">
        <f>YEAR(Tabla2[[#This Row],[OrderDate]])</f>
        <v>2024</v>
      </c>
      <c r="M2408" s="7" t="s">
        <v>1363</v>
      </c>
      <c r="N2408" s="7" t="s">
        <v>45</v>
      </c>
    </row>
    <row r="2409" spans="1:14" x14ac:dyDescent="0.35">
      <c r="A2409" s="7" t="s">
        <v>3768</v>
      </c>
      <c r="B2409" s="7" t="s">
        <v>598</v>
      </c>
      <c r="C2409" s="7" t="s">
        <v>599</v>
      </c>
      <c r="D2409" s="7" t="s">
        <v>32</v>
      </c>
      <c r="E2409" s="7" t="s">
        <v>61</v>
      </c>
      <c r="F2409" s="7" t="s">
        <v>50</v>
      </c>
      <c r="G2409" s="7" t="s">
        <v>170</v>
      </c>
      <c r="H2409" s="7">
        <v>1</v>
      </c>
      <c r="I2409" s="2">
        <v>589.24</v>
      </c>
      <c r="J2409" s="2">
        <f>Tabla2[[#This Row],[Quantity]]*I2409</f>
        <v>589.24</v>
      </c>
      <c r="K2409" s="6">
        <f>MONTH(Tabla2[[#This Row],[OrderDate]])</f>
        <v>1</v>
      </c>
      <c r="L2409" s="6">
        <f>YEAR(Tabla2[[#This Row],[OrderDate]])</f>
        <v>2026</v>
      </c>
      <c r="M2409" s="7" t="s">
        <v>3144</v>
      </c>
      <c r="N2409" s="7" t="s">
        <v>19</v>
      </c>
    </row>
    <row r="2410" spans="1:14" x14ac:dyDescent="0.35">
      <c r="A2410" s="7" t="s">
        <v>3769</v>
      </c>
      <c r="B2410" s="7" t="s">
        <v>189</v>
      </c>
      <c r="C2410" s="7" t="s">
        <v>190</v>
      </c>
      <c r="D2410" s="7" t="s">
        <v>14</v>
      </c>
      <c r="E2410" s="7" t="s">
        <v>95</v>
      </c>
      <c r="F2410" s="7" t="s">
        <v>25</v>
      </c>
      <c r="G2410" s="7" t="s">
        <v>139</v>
      </c>
      <c r="H2410" s="7">
        <v>3</v>
      </c>
      <c r="I2410" s="2">
        <v>956.96</v>
      </c>
      <c r="J2410" s="2">
        <f>Tabla2[[#This Row],[Quantity]]*I2410</f>
        <v>2870.88</v>
      </c>
      <c r="K2410" s="6">
        <f>MONTH(Tabla2[[#This Row],[OrderDate]])</f>
        <v>1</v>
      </c>
      <c r="L2410" s="6">
        <f>YEAR(Tabla2[[#This Row],[OrderDate]])</f>
        <v>2024</v>
      </c>
      <c r="M2410" s="7" t="s">
        <v>550</v>
      </c>
      <c r="N2410" s="7" t="s">
        <v>91</v>
      </c>
    </row>
    <row r="2411" spans="1:14" x14ac:dyDescent="0.35">
      <c r="A2411" s="7" t="s">
        <v>3770</v>
      </c>
      <c r="B2411" s="7" t="s">
        <v>827</v>
      </c>
      <c r="C2411" s="7" t="s">
        <v>828</v>
      </c>
      <c r="D2411" s="7" t="s">
        <v>14</v>
      </c>
      <c r="E2411" s="7" t="s">
        <v>125</v>
      </c>
      <c r="F2411" s="7" t="s">
        <v>16</v>
      </c>
      <c r="G2411" s="7" t="s">
        <v>17</v>
      </c>
      <c r="H2411" s="7">
        <v>4</v>
      </c>
      <c r="I2411" s="2">
        <v>1127.21</v>
      </c>
      <c r="J2411" s="2">
        <f>Tabla2[[#This Row],[Quantity]]*I2411</f>
        <v>4508.84</v>
      </c>
      <c r="K2411" s="6">
        <f>MONTH(Tabla2[[#This Row],[OrderDate]])</f>
        <v>8</v>
      </c>
      <c r="L2411" s="6">
        <f>YEAR(Tabla2[[#This Row],[OrderDate]])</f>
        <v>2024</v>
      </c>
      <c r="M2411" s="7" t="s">
        <v>1536</v>
      </c>
      <c r="N2411" s="7" t="s">
        <v>19</v>
      </c>
    </row>
    <row r="2412" spans="1:14" x14ac:dyDescent="0.35">
      <c r="A2412" s="7" t="s">
        <v>3771</v>
      </c>
      <c r="B2412" s="7" t="s">
        <v>392</v>
      </c>
      <c r="C2412" s="7" t="s">
        <v>393</v>
      </c>
      <c r="D2412" s="7" t="s">
        <v>14</v>
      </c>
      <c r="E2412" s="7" t="s">
        <v>15</v>
      </c>
      <c r="F2412" s="7" t="s">
        <v>101</v>
      </c>
      <c r="G2412" s="7" t="s">
        <v>102</v>
      </c>
      <c r="H2412" s="7">
        <v>4</v>
      </c>
      <c r="I2412" s="2">
        <v>1296.17</v>
      </c>
      <c r="J2412" s="2">
        <f>Tabla2[[#This Row],[Quantity]]*I2412</f>
        <v>5184.68</v>
      </c>
      <c r="K2412" s="6">
        <f>MONTH(Tabla2[[#This Row],[OrderDate]])</f>
        <v>9</v>
      </c>
      <c r="L2412" s="6">
        <f>YEAR(Tabla2[[#This Row],[OrderDate]])</f>
        <v>2024</v>
      </c>
      <c r="M2412" s="7" t="s">
        <v>635</v>
      </c>
      <c r="N2412" s="7" t="s">
        <v>91</v>
      </c>
    </row>
    <row r="2413" spans="1:14" x14ac:dyDescent="0.35">
      <c r="A2413" s="7" t="s">
        <v>3772</v>
      </c>
      <c r="B2413" s="7" t="s">
        <v>142</v>
      </c>
      <c r="C2413" s="7" t="s">
        <v>143</v>
      </c>
      <c r="D2413" s="7" t="s">
        <v>67</v>
      </c>
      <c r="E2413" s="7" t="s">
        <v>68</v>
      </c>
      <c r="F2413" s="7" t="s">
        <v>25</v>
      </c>
      <c r="G2413" s="7" t="s">
        <v>139</v>
      </c>
      <c r="H2413" s="7">
        <v>4</v>
      </c>
      <c r="I2413" s="2">
        <v>697.28</v>
      </c>
      <c r="J2413" s="2">
        <f>Tabla2[[#This Row],[Quantity]]*I2413</f>
        <v>2789.12</v>
      </c>
      <c r="K2413" s="6">
        <f>MONTH(Tabla2[[#This Row],[OrderDate]])</f>
        <v>3</v>
      </c>
      <c r="L2413" s="6">
        <f>YEAR(Tabla2[[#This Row],[OrderDate]])</f>
        <v>2024</v>
      </c>
      <c r="M2413" s="7" t="s">
        <v>3773</v>
      </c>
      <c r="N2413" s="7" t="s">
        <v>91</v>
      </c>
    </row>
    <row r="2414" spans="1:14" x14ac:dyDescent="0.35">
      <c r="A2414" s="7" t="s">
        <v>3774</v>
      </c>
      <c r="B2414" s="7" t="s">
        <v>98</v>
      </c>
      <c r="C2414" s="7" t="s">
        <v>99</v>
      </c>
      <c r="D2414" s="7" t="s">
        <v>40</v>
      </c>
      <c r="E2414" s="7" t="s">
        <v>79</v>
      </c>
      <c r="F2414" s="7" t="s">
        <v>16</v>
      </c>
      <c r="G2414" s="7" t="s">
        <v>182</v>
      </c>
      <c r="H2414" s="7">
        <v>4</v>
      </c>
      <c r="I2414" s="2">
        <v>755.08</v>
      </c>
      <c r="J2414" s="2">
        <f>Tabla2[[#This Row],[Quantity]]*I2414</f>
        <v>3020.32</v>
      </c>
      <c r="K2414" s="6">
        <f>MONTH(Tabla2[[#This Row],[OrderDate]])</f>
        <v>3</v>
      </c>
      <c r="L2414" s="6">
        <f>YEAR(Tabla2[[#This Row],[OrderDate]])</f>
        <v>2025</v>
      </c>
      <c r="M2414" s="7" t="s">
        <v>2298</v>
      </c>
      <c r="N2414" s="7" t="s">
        <v>45</v>
      </c>
    </row>
    <row r="2415" spans="1:14" x14ac:dyDescent="0.35">
      <c r="A2415" s="7" t="s">
        <v>3775</v>
      </c>
      <c r="B2415" s="7" t="s">
        <v>1163</v>
      </c>
      <c r="C2415" s="7" t="s">
        <v>1164</v>
      </c>
      <c r="D2415" s="7" t="s">
        <v>23</v>
      </c>
      <c r="E2415" s="7" t="s">
        <v>24</v>
      </c>
      <c r="F2415" s="7" t="s">
        <v>42</v>
      </c>
      <c r="G2415" s="7" t="s">
        <v>43</v>
      </c>
      <c r="H2415" s="7">
        <v>4</v>
      </c>
      <c r="I2415" s="2">
        <v>1429.44</v>
      </c>
      <c r="J2415" s="2">
        <f>Tabla2[[#This Row],[Quantity]]*I2415</f>
        <v>5717.76</v>
      </c>
      <c r="K2415" s="6">
        <f>MONTH(Tabla2[[#This Row],[OrderDate]])</f>
        <v>7</v>
      </c>
      <c r="L2415" s="6">
        <f>YEAR(Tabla2[[#This Row],[OrderDate]])</f>
        <v>2025</v>
      </c>
      <c r="M2415" s="7" t="s">
        <v>2223</v>
      </c>
      <c r="N2415" s="7" t="s">
        <v>28</v>
      </c>
    </row>
    <row r="2416" spans="1:14" x14ac:dyDescent="0.35">
      <c r="A2416" s="7" t="s">
        <v>3776</v>
      </c>
      <c r="B2416" s="7" t="s">
        <v>1428</v>
      </c>
      <c r="C2416" s="7" t="s">
        <v>1429</v>
      </c>
      <c r="D2416" s="7" t="s">
        <v>14</v>
      </c>
      <c r="E2416" s="7" t="s">
        <v>125</v>
      </c>
      <c r="F2416" s="7" t="s">
        <v>42</v>
      </c>
      <c r="G2416" s="7" t="s">
        <v>43</v>
      </c>
      <c r="H2416" s="7">
        <v>1</v>
      </c>
      <c r="I2416" s="2">
        <v>851.78</v>
      </c>
      <c r="J2416" s="2">
        <f>Tabla2[[#This Row],[Quantity]]*I2416</f>
        <v>851.78</v>
      </c>
      <c r="K2416" s="6">
        <f>MONTH(Tabla2[[#This Row],[OrderDate]])</f>
        <v>9</v>
      </c>
      <c r="L2416" s="6">
        <f>YEAR(Tabla2[[#This Row],[OrderDate]])</f>
        <v>2024</v>
      </c>
      <c r="M2416" s="7" t="s">
        <v>1336</v>
      </c>
      <c r="N2416" s="7" t="s">
        <v>19</v>
      </c>
    </row>
    <row r="2417" spans="1:14" x14ac:dyDescent="0.35">
      <c r="A2417" s="7" t="s">
        <v>3777</v>
      </c>
      <c r="B2417" s="7" t="s">
        <v>1438</v>
      </c>
      <c r="C2417" s="7" t="s">
        <v>1439</v>
      </c>
      <c r="D2417" s="7" t="s">
        <v>14</v>
      </c>
      <c r="E2417" s="7" t="s">
        <v>266</v>
      </c>
      <c r="F2417" s="7" t="s">
        <v>42</v>
      </c>
      <c r="G2417" s="7" t="s">
        <v>89</v>
      </c>
      <c r="H2417" s="7">
        <v>1</v>
      </c>
      <c r="I2417" s="2">
        <v>1006.28</v>
      </c>
      <c r="J2417" s="2">
        <f>Tabla2[[#This Row],[Quantity]]*I2417</f>
        <v>1006.28</v>
      </c>
      <c r="K2417" s="6">
        <f>MONTH(Tabla2[[#This Row],[OrderDate]])</f>
        <v>4</v>
      </c>
      <c r="L2417" s="6">
        <f>YEAR(Tabla2[[#This Row],[OrderDate]])</f>
        <v>2025</v>
      </c>
      <c r="M2417" s="7" t="s">
        <v>2872</v>
      </c>
      <c r="N2417" s="7" t="s">
        <v>45</v>
      </c>
    </row>
    <row r="2418" spans="1:14" x14ac:dyDescent="0.35">
      <c r="A2418" s="7" t="s">
        <v>3778</v>
      </c>
      <c r="B2418" s="7" t="s">
        <v>65</v>
      </c>
      <c r="C2418" s="7" t="s">
        <v>66</v>
      </c>
      <c r="D2418" s="7" t="s">
        <v>14</v>
      </c>
      <c r="E2418" s="7" t="s">
        <v>100</v>
      </c>
      <c r="F2418" s="7" t="s">
        <v>42</v>
      </c>
      <c r="G2418" s="7" t="s">
        <v>225</v>
      </c>
      <c r="H2418" s="7">
        <v>2</v>
      </c>
      <c r="I2418" s="2">
        <v>897.59</v>
      </c>
      <c r="J2418" s="2">
        <f>Tabla2[[#This Row],[Quantity]]*I2418</f>
        <v>1795.18</v>
      </c>
      <c r="K2418" s="6">
        <f>MONTH(Tabla2[[#This Row],[OrderDate]])</f>
        <v>8</v>
      </c>
      <c r="L2418" s="6">
        <f>YEAR(Tabla2[[#This Row],[OrderDate]])</f>
        <v>2024</v>
      </c>
      <c r="M2418" s="7" t="s">
        <v>2884</v>
      </c>
      <c r="N2418" s="7" t="s">
        <v>19</v>
      </c>
    </row>
    <row r="2419" spans="1:14" x14ac:dyDescent="0.35">
      <c r="A2419" s="7" t="s">
        <v>3779</v>
      </c>
      <c r="B2419" s="7" t="s">
        <v>723</v>
      </c>
      <c r="C2419" s="7" t="s">
        <v>724</v>
      </c>
      <c r="D2419" s="7" t="s">
        <v>23</v>
      </c>
      <c r="E2419" s="7" t="s">
        <v>338</v>
      </c>
      <c r="F2419" s="7" t="s">
        <v>50</v>
      </c>
      <c r="G2419" s="7" t="s">
        <v>69</v>
      </c>
      <c r="H2419" s="7">
        <v>5</v>
      </c>
      <c r="I2419" s="2">
        <v>362.77</v>
      </c>
      <c r="J2419" s="2">
        <f>Tabla2[[#This Row],[Quantity]]*I2419</f>
        <v>1813.85</v>
      </c>
      <c r="K2419" s="6">
        <f>MONTH(Tabla2[[#This Row],[OrderDate]])</f>
        <v>5</v>
      </c>
      <c r="L2419" s="6">
        <f>YEAR(Tabla2[[#This Row],[OrderDate]])</f>
        <v>2024</v>
      </c>
      <c r="M2419" s="7" t="s">
        <v>1654</v>
      </c>
      <c r="N2419" s="7" t="s">
        <v>19</v>
      </c>
    </row>
    <row r="2420" spans="1:14" x14ac:dyDescent="0.35">
      <c r="A2420" s="7" t="s">
        <v>3780</v>
      </c>
      <c r="B2420" s="7" t="s">
        <v>1159</v>
      </c>
      <c r="C2420" s="7" t="s">
        <v>1160</v>
      </c>
      <c r="D2420" s="7" t="s">
        <v>14</v>
      </c>
      <c r="E2420" s="7" t="s">
        <v>95</v>
      </c>
      <c r="F2420" s="7" t="s">
        <v>50</v>
      </c>
      <c r="G2420" s="7" t="s">
        <v>56</v>
      </c>
      <c r="H2420" s="7">
        <v>3</v>
      </c>
      <c r="I2420" s="2">
        <v>1190.1199999999999</v>
      </c>
      <c r="J2420" s="2">
        <f>Tabla2[[#This Row],[Quantity]]*I2420</f>
        <v>3570.3599999999997</v>
      </c>
      <c r="K2420" s="6">
        <f>MONTH(Tabla2[[#This Row],[OrderDate]])</f>
        <v>12</v>
      </c>
      <c r="L2420" s="6">
        <f>YEAR(Tabla2[[#This Row],[OrderDate]])</f>
        <v>2024</v>
      </c>
      <c r="M2420" s="7" t="s">
        <v>987</v>
      </c>
      <c r="N2420" s="7" t="s">
        <v>36</v>
      </c>
    </row>
    <row r="2421" spans="1:14" x14ac:dyDescent="0.35">
      <c r="A2421" s="7" t="s">
        <v>3781</v>
      </c>
      <c r="B2421" s="7" t="s">
        <v>418</v>
      </c>
      <c r="C2421" s="7" t="s">
        <v>419</v>
      </c>
      <c r="D2421" s="7" t="s">
        <v>32</v>
      </c>
      <c r="E2421" s="7" t="s">
        <v>203</v>
      </c>
      <c r="F2421" s="7" t="s">
        <v>101</v>
      </c>
      <c r="G2421" s="7" t="s">
        <v>165</v>
      </c>
      <c r="H2421" s="7">
        <v>4</v>
      </c>
      <c r="I2421" s="2">
        <v>529.71</v>
      </c>
      <c r="J2421" s="2">
        <f>Tabla2[[#This Row],[Quantity]]*I2421</f>
        <v>2118.84</v>
      </c>
      <c r="K2421" s="6">
        <f>MONTH(Tabla2[[#This Row],[OrderDate]])</f>
        <v>1</v>
      </c>
      <c r="L2421" s="6">
        <f>YEAR(Tabla2[[#This Row],[OrderDate]])</f>
        <v>2024</v>
      </c>
      <c r="M2421" s="7" t="s">
        <v>410</v>
      </c>
      <c r="N2421" s="7" t="s">
        <v>45</v>
      </c>
    </row>
    <row r="2422" spans="1:14" x14ac:dyDescent="0.35">
      <c r="A2422" s="7" t="s">
        <v>3782</v>
      </c>
      <c r="B2422" s="7" t="s">
        <v>785</v>
      </c>
      <c r="C2422" s="7" t="s">
        <v>786</v>
      </c>
      <c r="D2422" s="7" t="s">
        <v>67</v>
      </c>
      <c r="E2422" s="7" t="s">
        <v>115</v>
      </c>
      <c r="F2422" s="7" t="s">
        <v>25</v>
      </c>
      <c r="G2422" s="7" t="s">
        <v>62</v>
      </c>
      <c r="H2422" s="7">
        <v>4</v>
      </c>
      <c r="I2422" s="2">
        <v>578.64</v>
      </c>
      <c r="J2422" s="2">
        <f>Tabla2[[#This Row],[Quantity]]*I2422</f>
        <v>2314.56</v>
      </c>
      <c r="K2422" s="6">
        <f>MONTH(Tabla2[[#This Row],[OrderDate]])</f>
        <v>3</v>
      </c>
      <c r="L2422" s="6">
        <f>YEAR(Tabla2[[#This Row],[OrderDate]])</f>
        <v>2025</v>
      </c>
      <c r="M2422" s="7" t="s">
        <v>1110</v>
      </c>
      <c r="N2422" s="7" t="s">
        <v>91</v>
      </c>
    </row>
    <row r="2423" spans="1:14" x14ac:dyDescent="0.35">
      <c r="A2423" s="7" t="s">
        <v>3783</v>
      </c>
      <c r="B2423" s="7" t="s">
        <v>287</v>
      </c>
      <c r="C2423" s="7" t="s">
        <v>288</v>
      </c>
      <c r="D2423" s="7" t="s">
        <v>32</v>
      </c>
      <c r="E2423" s="7" t="s">
        <v>33</v>
      </c>
      <c r="F2423" s="7" t="s">
        <v>101</v>
      </c>
      <c r="G2423" s="7" t="s">
        <v>649</v>
      </c>
      <c r="H2423" s="7">
        <v>4</v>
      </c>
      <c r="I2423" s="2">
        <v>1441.21</v>
      </c>
      <c r="J2423" s="2">
        <f>Tabla2[[#This Row],[Quantity]]*I2423</f>
        <v>5764.84</v>
      </c>
      <c r="K2423" s="6">
        <f>MONTH(Tabla2[[#This Row],[OrderDate]])</f>
        <v>6</v>
      </c>
      <c r="L2423" s="6">
        <f>YEAR(Tabla2[[#This Row],[OrderDate]])</f>
        <v>2024</v>
      </c>
      <c r="M2423" s="7" t="s">
        <v>283</v>
      </c>
      <c r="N2423" s="7" t="s">
        <v>19</v>
      </c>
    </row>
    <row r="2424" spans="1:14" x14ac:dyDescent="0.35">
      <c r="A2424" s="7" t="s">
        <v>3784</v>
      </c>
      <c r="B2424" s="7" t="s">
        <v>470</v>
      </c>
      <c r="C2424" s="7" t="s">
        <v>471</v>
      </c>
      <c r="D2424" s="7" t="s">
        <v>14</v>
      </c>
      <c r="E2424" s="7" t="s">
        <v>100</v>
      </c>
      <c r="F2424" s="7" t="s">
        <v>42</v>
      </c>
      <c r="G2424" s="7" t="s">
        <v>225</v>
      </c>
      <c r="H2424" s="7">
        <v>4</v>
      </c>
      <c r="I2424" s="2">
        <v>860.49</v>
      </c>
      <c r="J2424" s="2">
        <f>Tabla2[[#This Row],[Quantity]]*I2424</f>
        <v>3441.96</v>
      </c>
      <c r="K2424" s="6">
        <f>MONTH(Tabla2[[#This Row],[OrderDate]])</f>
        <v>1</v>
      </c>
      <c r="L2424" s="6">
        <f>YEAR(Tabla2[[#This Row],[OrderDate]])</f>
        <v>2024</v>
      </c>
      <c r="M2424" s="7" t="s">
        <v>3200</v>
      </c>
      <c r="N2424" s="7" t="s">
        <v>91</v>
      </c>
    </row>
    <row r="2425" spans="1:14" x14ac:dyDescent="0.35">
      <c r="A2425" s="7" t="s">
        <v>3785</v>
      </c>
      <c r="B2425" s="7" t="s">
        <v>536</v>
      </c>
      <c r="C2425" s="7" t="s">
        <v>537</v>
      </c>
      <c r="D2425" s="7" t="s">
        <v>67</v>
      </c>
      <c r="E2425" s="7" t="s">
        <v>130</v>
      </c>
      <c r="F2425" s="7" t="s">
        <v>16</v>
      </c>
      <c r="G2425" s="7" t="s">
        <v>17</v>
      </c>
      <c r="H2425" s="7">
        <v>1</v>
      </c>
      <c r="I2425" s="2">
        <v>1043.31</v>
      </c>
      <c r="J2425" s="2">
        <f>Tabla2[[#This Row],[Quantity]]*I2425</f>
        <v>1043.31</v>
      </c>
      <c r="K2425" s="6">
        <f>MONTH(Tabla2[[#This Row],[OrderDate]])</f>
        <v>11</v>
      </c>
      <c r="L2425" s="6">
        <f>YEAR(Tabla2[[#This Row],[OrderDate]])</f>
        <v>2024</v>
      </c>
      <c r="M2425" s="7" t="s">
        <v>906</v>
      </c>
      <c r="N2425" s="7" t="s">
        <v>19</v>
      </c>
    </row>
    <row r="2426" spans="1:14" x14ac:dyDescent="0.35">
      <c r="A2426" s="7" t="s">
        <v>3786</v>
      </c>
      <c r="B2426" s="7" t="s">
        <v>594</v>
      </c>
      <c r="C2426" s="7" t="s">
        <v>595</v>
      </c>
      <c r="D2426" s="7" t="s">
        <v>40</v>
      </c>
      <c r="E2426" s="7" t="s">
        <v>120</v>
      </c>
      <c r="F2426" s="7" t="s">
        <v>50</v>
      </c>
      <c r="G2426" s="7" t="s">
        <v>170</v>
      </c>
      <c r="H2426" s="7">
        <v>1</v>
      </c>
      <c r="I2426" s="2">
        <v>103.63</v>
      </c>
      <c r="J2426" s="2">
        <f>Tabla2[[#This Row],[Quantity]]*I2426</f>
        <v>103.63</v>
      </c>
      <c r="K2426" s="6">
        <f>MONTH(Tabla2[[#This Row],[OrderDate]])</f>
        <v>9</v>
      </c>
      <c r="L2426" s="6">
        <f>YEAR(Tabla2[[#This Row],[OrderDate]])</f>
        <v>2024</v>
      </c>
      <c r="M2426" s="7" t="s">
        <v>1124</v>
      </c>
      <c r="N2426" s="7" t="s">
        <v>45</v>
      </c>
    </row>
    <row r="2427" spans="1:14" x14ac:dyDescent="0.35">
      <c r="A2427" s="7" t="s">
        <v>3787</v>
      </c>
      <c r="B2427" s="7" t="s">
        <v>450</v>
      </c>
      <c r="C2427" s="7" t="s">
        <v>451</v>
      </c>
      <c r="D2427" s="7" t="s">
        <v>23</v>
      </c>
      <c r="E2427" s="7" t="s">
        <v>338</v>
      </c>
      <c r="F2427" s="7" t="s">
        <v>50</v>
      </c>
      <c r="G2427" s="7" t="s">
        <v>51</v>
      </c>
      <c r="H2427" s="7">
        <v>5</v>
      </c>
      <c r="I2427" s="2">
        <v>1240.3</v>
      </c>
      <c r="J2427" s="2">
        <f>Tabla2[[#This Row],[Quantity]]*I2427</f>
        <v>6201.5</v>
      </c>
      <c r="K2427" s="6">
        <f>MONTH(Tabla2[[#This Row],[OrderDate]])</f>
        <v>2</v>
      </c>
      <c r="L2427" s="6">
        <f>YEAR(Tabla2[[#This Row],[OrderDate]])</f>
        <v>2025</v>
      </c>
      <c r="M2427" s="7" t="s">
        <v>103</v>
      </c>
      <c r="N2427" s="7" t="s">
        <v>28</v>
      </c>
    </row>
    <row r="2428" spans="1:14" x14ac:dyDescent="0.35">
      <c r="A2428" s="7" t="s">
        <v>3788</v>
      </c>
      <c r="B2428" s="7" t="s">
        <v>325</v>
      </c>
      <c r="C2428" s="7" t="s">
        <v>326</v>
      </c>
      <c r="D2428" s="7" t="s">
        <v>23</v>
      </c>
      <c r="E2428" s="7" t="s">
        <v>24</v>
      </c>
      <c r="F2428" s="7" t="s">
        <v>42</v>
      </c>
      <c r="G2428" s="7" t="s">
        <v>80</v>
      </c>
      <c r="H2428" s="7">
        <v>4</v>
      </c>
      <c r="I2428" s="2">
        <v>648.53</v>
      </c>
      <c r="J2428" s="2">
        <f>Tabla2[[#This Row],[Quantity]]*I2428</f>
        <v>2594.12</v>
      </c>
      <c r="K2428" s="6">
        <f>MONTH(Tabla2[[#This Row],[OrderDate]])</f>
        <v>6</v>
      </c>
      <c r="L2428" s="6">
        <f>YEAR(Tabla2[[#This Row],[OrderDate]])</f>
        <v>2025</v>
      </c>
      <c r="M2428" s="7" t="s">
        <v>692</v>
      </c>
      <c r="N2428" s="7" t="s">
        <v>28</v>
      </c>
    </row>
    <row r="2429" spans="1:14" x14ac:dyDescent="0.35">
      <c r="A2429" s="7" t="s">
        <v>3789</v>
      </c>
      <c r="B2429" s="7" t="s">
        <v>590</v>
      </c>
      <c r="C2429" s="7" t="s">
        <v>591</v>
      </c>
      <c r="D2429" s="7" t="s">
        <v>67</v>
      </c>
      <c r="E2429" s="7" t="s">
        <v>115</v>
      </c>
      <c r="F2429" s="7" t="s">
        <v>16</v>
      </c>
      <c r="G2429" s="7" t="s">
        <v>177</v>
      </c>
      <c r="H2429" s="7">
        <v>5</v>
      </c>
      <c r="I2429" s="2">
        <v>1053.6500000000001</v>
      </c>
      <c r="J2429" s="2">
        <f>Tabla2[[#This Row],[Quantity]]*I2429</f>
        <v>5268.25</v>
      </c>
      <c r="K2429" s="6">
        <f>MONTH(Tabla2[[#This Row],[OrderDate]])</f>
        <v>1</v>
      </c>
      <c r="L2429" s="6">
        <f>YEAR(Tabla2[[#This Row],[OrderDate]])</f>
        <v>2026</v>
      </c>
      <c r="M2429" s="7" t="s">
        <v>3790</v>
      </c>
      <c r="N2429" s="7" t="s">
        <v>91</v>
      </c>
    </row>
    <row r="2430" spans="1:14" x14ac:dyDescent="0.35">
      <c r="A2430" s="7" t="s">
        <v>3791</v>
      </c>
      <c r="B2430" s="7" t="s">
        <v>155</v>
      </c>
      <c r="C2430" s="7" t="s">
        <v>156</v>
      </c>
      <c r="D2430" s="7" t="s">
        <v>40</v>
      </c>
      <c r="E2430" s="7" t="s">
        <v>120</v>
      </c>
      <c r="F2430" s="7" t="s">
        <v>42</v>
      </c>
      <c r="G2430" s="7" t="s">
        <v>170</v>
      </c>
      <c r="H2430" s="7">
        <v>1</v>
      </c>
      <c r="I2430" s="2">
        <v>632.86</v>
      </c>
      <c r="J2430" s="2">
        <f>Tabla2[[#This Row],[Quantity]]*I2430</f>
        <v>632.86</v>
      </c>
      <c r="K2430" s="6">
        <f>MONTH(Tabla2[[#This Row],[OrderDate]])</f>
        <v>6</v>
      </c>
      <c r="L2430" s="6">
        <f>YEAR(Tabla2[[#This Row],[OrderDate]])</f>
        <v>2025</v>
      </c>
      <c r="M2430" s="7" t="s">
        <v>305</v>
      </c>
      <c r="N2430" s="7" t="s">
        <v>19</v>
      </c>
    </row>
    <row r="2431" spans="1:14" x14ac:dyDescent="0.35">
      <c r="A2431" s="7" t="s">
        <v>3792</v>
      </c>
      <c r="B2431" s="7" t="s">
        <v>185</v>
      </c>
      <c r="C2431" s="7" t="s">
        <v>186</v>
      </c>
      <c r="D2431" s="7" t="s">
        <v>14</v>
      </c>
      <c r="E2431" s="7" t="s">
        <v>266</v>
      </c>
      <c r="F2431" s="7" t="s">
        <v>42</v>
      </c>
      <c r="G2431" s="7" t="s">
        <v>43</v>
      </c>
      <c r="H2431" s="7">
        <v>1</v>
      </c>
      <c r="I2431" s="2">
        <v>1322.52</v>
      </c>
      <c r="J2431" s="2">
        <f>Tabla2[[#This Row],[Quantity]]*I2431</f>
        <v>1322.52</v>
      </c>
      <c r="K2431" s="6">
        <f>MONTH(Tabla2[[#This Row],[OrderDate]])</f>
        <v>7</v>
      </c>
      <c r="L2431" s="6">
        <f>YEAR(Tabla2[[#This Row],[OrderDate]])</f>
        <v>2025</v>
      </c>
      <c r="M2431" s="7" t="s">
        <v>262</v>
      </c>
      <c r="N2431" s="7" t="s">
        <v>36</v>
      </c>
    </row>
    <row r="2432" spans="1:14" x14ac:dyDescent="0.35">
      <c r="A2432" s="7" t="s">
        <v>3793</v>
      </c>
      <c r="B2432" s="7" t="s">
        <v>611</v>
      </c>
      <c r="C2432" s="7" t="s">
        <v>612</v>
      </c>
      <c r="D2432" s="7" t="s">
        <v>67</v>
      </c>
      <c r="E2432" s="7" t="s">
        <v>130</v>
      </c>
      <c r="F2432" s="7" t="s">
        <v>16</v>
      </c>
      <c r="G2432" s="7" t="s">
        <v>230</v>
      </c>
      <c r="H2432" s="7">
        <v>4</v>
      </c>
      <c r="I2432" s="2">
        <v>1003.53</v>
      </c>
      <c r="J2432" s="2">
        <f>Tabla2[[#This Row],[Quantity]]*I2432</f>
        <v>4014.12</v>
      </c>
      <c r="K2432" s="6">
        <f>MONTH(Tabla2[[#This Row],[OrderDate]])</f>
        <v>6</v>
      </c>
      <c r="L2432" s="6">
        <f>YEAR(Tabla2[[#This Row],[OrderDate]])</f>
        <v>2025</v>
      </c>
      <c r="M2432" s="7" t="s">
        <v>416</v>
      </c>
      <c r="N2432" s="7" t="s">
        <v>28</v>
      </c>
    </row>
    <row r="2433" spans="1:14" x14ac:dyDescent="0.35">
      <c r="A2433" s="7" t="s">
        <v>3794</v>
      </c>
      <c r="B2433" s="7" t="s">
        <v>325</v>
      </c>
      <c r="C2433" s="7" t="s">
        <v>326</v>
      </c>
      <c r="D2433" s="7" t="s">
        <v>32</v>
      </c>
      <c r="E2433" s="7" t="s">
        <v>203</v>
      </c>
      <c r="F2433" s="7" t="s">
        <v>25</v>
      </c>
      <c r="G2433" s="7" t="s">
        <v>34</v>
      </c>
      <c r="H2433" s="7">
        <v>1</v>
      </c>
      <c r="I2433" s="2">
        <v>883.17</v>
      </c>
      <c r="J2433" s="2">
        <f>Tabla2[[#This Row],[Quantity]]*I2433</f>
        <v>883.17</v>
      </c>
      <c r="K2433" s="6">
        <f>MONTH(Tabla2[[#This Row],[OrderDate]])</f>
        <v>2</v>
      </c>
      <c r="L2433" s="6">
        <f>YEAR(Tabla2[[#This Row],[OrderDate]])</f>
        <v>2026</v>
      </c>
      <c r="M2433" s="7" t="s">
        <v>3064</v>
      </c>
      <c r="N2433" s="7" t="s">
        <v>28</v>
      </c>
    </row>
    <row r="2434" spans="1:14" x14ac:dyDescent="0.35">
      <c r="A2434" s="7" t="s">
        <v>3795</v>
      </c>
      <c r="B2434" s="7" t="s">
        <v>1246</v>
      </c>
      <c r="C2434" s="7" t="s">
        <v>1247</v>
      </c>
      <c r="D2434" s="7" t="s">
        <v>67</v>
      </c>
      <c r="E2434" s="7" t="s">
        <v>68</v>
      </c>
      <c r="F2434" s="7" t="s">
        <v>42</v>
      </c>
      <c r="G2434" s="7" t="s">
        <v>170</v>
      </c>
      <c r="H2434" s="7">
        <v>2</v>
      </c>
      <c r="I2434" s="2">
        <v>395.68</v>
      </c>
      <c r="J2434" s="2">
        <f>Tabla2[[#This Row],[Quantity]]*I2434</f>
        <v>791.36</v>
      </c>
      <c r="K2434" s="6">
        <f>MONTH(Tabla2[[#This Row],[OrderDate]])</f>
        <v>5</v>
      </c>
      <c r="L2434" s="6">
        <f>YEAR(Tabla2[[#This Row],[OrderDate]])</f>
        <v>2024</v>
      </c>
      <c r="M2434" s="7" t="s">
        <v>1147</v>
      </c>
      <c r="N2434" s="7" t="s">
        <v>28</v>
      </c>
    </row>
    <row r="2435" spans="1:14" x14ac:dyDescent="0.35">
      <c r="A2435" s="7" t="s">
        <v>3796</v>
      </c>
      <c r="B2435" s="7" t="s">
        <v>555</v>
      </c>
      <c r="C2435" s="7" t="s">
        <v>556</v>
      </c>
      <c r="D2435" s="7" t="s">
        <v>14</v>
      </c>
      <c r="E2435" s="7" t="s">
        <v>15</v>
      </c>
      <c r="F2435" s="7" t="s">
        <v>101</v>
      </c>
      <c r="G2435" s="7" t="s">
        <v>649</v>
      </c>
      <c r="H2435" s="7">
        <v>5</v>
      </c>
      <c r="I2435" s="2">
        <v>768.44</v>
      </c>
      <c r="J2435" s="2">
        <f>Tabla2[[#This Row],[Quantity]]*I2435</f>
        <v>3842.2000000000003</v>
      </c>
      <c r="K2435" s="6">
        <f>MONTH(Tabla2[[#This Row],[OrderDate]])</f>
        <v>5</v>
      </c>
      <c r="L2435" s="6">
        <f>YEAR(Tabla2[[#This Row],[OrderDate]])</f>
        <v>2025</v>
      </c>
      <c r="M2435" s="7" t="s">
        <v>1103</v>
      </c>
      <c r="N2435" s="7" t="s">
        <v>19</v>
      </c>
    </row>
    <row r="2436" spans="1:14" x14ac:dyDescent="0.35">
      <c r="A2436" s="7" t="s">
        <v>3797</v>
      </c>
      <c r="B2436" s="7" t="s">
        <v>1001</v>
      </c>
      <c r="C2436" s="7" t="s">
        <v>1002</v>
      </c>
      <c r="D2436" s="7" t="s">
        <v>32</v>
      </c>
      <c r="E2436" s="7" t="s">
        <v>61</v>
      </c>
      <c r="F2436" s="7" t="s">
        <v>25</v>
      </c>
      <c r="G2436" s="7" t="s">
        <v>34</v>
      </c>
      <c r="H2436" s="7">
        <v>5</v>
      </c>
      <c r="I2436" s="2">
        <v>56.12</v>
      </c>
      <c r="J2436" s="2">
        <f>Tabla2[[#This Row],[Quantity]]*I2436</f>
        <v>280.59999999999997</v>
      </c>
      <c r="K2436" s="6">
        <f>MONTH(Tabla2[[#This Row],[OrderDate]])</f>
        <v>1</v>
      </c>
      <c r="L2436" s="6">
        <f>YEAR(Tabla2[[#This Row],[OrderDate]])</f>
        <v>2024</v>
      </c>
      <c r="M2436" s="7" t="s">
        <v>468</v>
      </c>
      <c r="N2436" s="7" t="s">
        <v>28</v>
      </c>
    </row>
    <row r="2437" spans="1:14" x14ac:dyDescent="0.35">
      <c r="A2437" s="7" t="s">
        <v>3798</v>
      </c>
      <c r="B2437" s="7" t="s">
        <v>392</v>
      </c>
      <c r="C2437" s="7" t="s">
        <v>393</v>
      </c>
      <c r="D2437" s="7" t="s">
        <v>14</v>
      </c>
      <c r="E2437" s="7" t="s">
        <v>95</v>
      </c>
      <c r="F2437" s="7" t="s">
        <v>42</v>
      </c>
      <c r="G2437" s="7" t="s">
        <v>80</v>
      </c>
      <c r="H2437" s="7">
        <v>5</v>
      </c>
      <c r="I2437" s="2">
        <v>1065.9100000000001</v>
      </c>
      <c r="J2437" s="2">
        <f>Tabla2[[#This Row],[Quantity]]*I2437</f>
        <v>5329.55</v>
      </c>
      <c r="K2437" s="6">
        <f>MONTH(Tabla2[[#This Row],[OrderDate]])</f>
        <v>10</v>
      </c>
      <c r="L2437" s="6">
        <f>YEAR(Tabla2[[#This Row],[OrderDate]])</f>
        <v>2024</v>
      </c>
      <c r="M2437" s="7" t="s">
        <v>1560</v>
      </c>
      <c r="N2437" s="7" t="s">
        <v>91</v>
      </c>
    </row>
    <row r="2438" spans="1:14" x14ac:dyDescent="0.35">
      <c r="A2438" s="7" t="s">
        <v>3799</v>
      </c>
      <c r="B2438" s="7" t="s">
        <v>315</v>
      </c>
      <c r="C2438" s="7" t="s">
        <v>316</v>
      </c>
      <c r="D2438" s="7" t="s">
        <v>32</v>
      </c>
      <c r="E2438" s="7" t="s">
        <v>33</v>
      </c>
      <c r="F2438" s="7" t="s">
        <v>101</v>
      </c>
      <c r="G2438" s="7" t="s">
        <v>373</v>
      </c>
      <c r="H2438" s="7">
        <v>5</v>
      </c>
      <c r="I2438" s="2">
        <v>337.32</v>
      </c>
      <c r="J2438" s="2">
        <f>Tabla2[[#This Row],[Quantity]]*I2438</f>
        <v>1686.6</v>
      </c>
      <c r="K2438" s="6">
        <f>MONTH(Tabla2[[#This Row],[OrderDate]])</f>
        <v>2</v>
      </c>
      <c r="L2438" s="6">
        <f>YEAR(Tabla2[[#This Row],[OrderDate]])</f>
        <v>2025</v>
      </c>
      <c r="M2438" s="7" t="s">
        <v>309</v>
      </c>
      <c r="N2438" s="7" t="s">
        <v>36</v>
      </c>
    </row>
    <row r="2439" spans="1:14" x14ac:dyDescent="0.35">
      <c r="A2439" s="7" t="s">
        <v>3800</v>
      </c>
      <c r="B2439" s="7" t="s">
        <v>718</v>
      </c>
      <c r="C2439" s="7" t="s">
        <v>719</v>
      </c>
      <c r="D2439" s="7" t="s">
        <v>40</v>
      </c>
      <c r="E2439" s="7" t="s">
        <v>120</v>
      </c>
      <c r="F2439" s="7" t="s">
        <v>42</v>
      </c>
      <c r="G2439" s="7" t="s">
        <v>80</v>
      </c>
      <c r="H2439" s="7">
        <v>4</v>
      </c>
      <c r="I2439" s="2">
        <v>59.19</v>
      </c>
      <c r="J2439" s="2">
        <f>Tabla2[[#This Row],[Quantity]]*I2439</f>
        <v>236.76</v>
      </c>
      <c r="K2439" s="6">
        <f>MONTH(Tabla2[[#This Row],[OrderDate]])</f>
        <v>1</v>
      </c>
      <c r="L2439" s="6">
        <f>YEAR(Tabla2[[#This Row],[OrderDate]])</f>
        <v>2025</v>
      </c>
      <c r="M2439" s="7" t="s">
        <v>1547</v>
      </c>
      <c r="N2439" s="7" t="s">
        <v>91</v>
      </c>
    </row>
    <row r="2440" spans="1:14" x14ac:dyDescent="0.35">
      <c r="A2440" s="7" t="s">
        <v>3801</v>
      </c>
      <c r="B2440" s="7" t="s">
        <v>1307</v>
      </c>
      <c r="C2440" s="7" t="s">
        <v>1308</v>
      </c>
      <c r="D2440" s="7" t="s">
        <v>23</v>
      </c>
      <c r="E2440" s="7" t="s">
        <v>49</v>
      </c>
      <c r="F2440" s="7" t="s">
        <v>50</v>
      </c>
      <c r="G2440" s="7" t="s">
        <v>69</v>
      </c>
      <c r="H2440" s="7">
        <v>4</v>
      </c>
      <c r="I2440" s="2">
        <v>1090.3</v>
      </c>
      <c r="J2440" s="2">
        <f>Tabla2[[#This Row],[Quantity]]*I2440</f>
        <v>4361.2</v>
      </c>
      <c r="K2440" s="6">
        <f>MONTH(Tabla2[[#This Row],[OrderDate]])</f>
        <v>11</v>
      </c>
      <c r="L2440" s="6">
        <f>YEAR(Tabla2[[#This Row],[OrderDate]])</f>
        <v>2025</v>
      </c>
      <c r="M2440" s="7" t="s">
        <v>713</v>
      </c>
      <c r="N2440" s="7" t="s">
        <v>45</v>
      </c>
    </row>
    <row r="2441" spans="1:14" x14ac:dyDescent="0.35">
      <c r="A2441" s="7" t="s">
        <v>3802</v>
      </c>
      <c r="B2441" s="7" t="s">
        <v>1354</v>
      </c>
      <c r="C2441" s="7" t="s">
        <v>1355</v>
      </c>
      <c r="D2441" s="7" t="s">
        <v>40</v>
      </c>
      <c r="E2441" s="7" t="s">
        <v>41</v>
      </c>
      <c r="F2441" s="7" t="s">
        <v>101</v>
      </c>
      <c r="G2441" s="7" t="s">
        <v>102</v>
      </c>
      <c r="H2441" s="7">
        <v>5</v>
      </c>
      <c r="I2441" s="2">
        <v>1046.8599999999999</v>
      </c>
      <c r="J2441" s="2">
        <f>Tabla2[[#This Row],[Quantity]]*I2441</f>
        <v>5234.2999999999993</v>
      </c>
      <c r="K2441" s="6">
        <f>MONTH(Tabla2[[#This Row],[OrderDate]])</f>
        <v>2</v>
      </c>
      <c r="L2441" s="6">
        <f>YEAR(Tabla2[[#This Row],[OrderDate]])</f>
        <v>2024</v>
      </c>
      <c r="M2441" s="7" t="s">
        <v>187</v>
      </c>
      <c r="N2441" s="7" t="s">
        <v>36</v>
      </c>
    </row>
    <row r="2442" spans="1:14" x14ac:dyDescent="0.35">
      <c r="A2442" s="7" t="s">
        <v>3803</v>
      </c>
      <c r="B2442" s="7" t="s">
        <v>904</v>
      </c>
      <c r="C2442" s="7" t="s">
        <v>905</v>
      </c>
      <c r="D2442" s="7" t="s">
        <v>14</v>
      </c>
      <c r="E2442" s="7" t="s">
        <v>266</v>
      </c>
      <c r="F2442" s="7" t="s">
        <v>16</v>
      </c>
      <c r="G2442" s="7" t="s">
        <v>230</v>
      </c>
      <c r="H2442" s="7">
        <v>1</v>
      </c>
      <c r="I2442" s="2">
        <v>1484.92</v>
      </c>
      <c r="J2442" s="2">
        <f>Tabla2[[#This Row],[Quantity]]*I2442</f>
        <v>1484.92</v>
      </c>
      <c r="K2442" s="6">
        <f>MONTH(Tabla2[[#This Row],[OrderDate]])</f>
        <v>4</v>
      </c>
      <c r="L2442" s="6">
        <f>YEAR(Tabla2[[#This Row],[OrderDate]])</f>
        <v>2025</v>
      </c>
      <c r="M2442" s="7" t="s">
        <v>1612</v>
      </c>
      <c r="N2442" s="7" t="s">
        <v>28</v>
      </c>
    </row>
    <row r="2443" spans="1:14" x14ac:dyDescent="0.35">
      <c r="A2443" s="7" t="s">
        <v>3804</v>
      </c>
      <c r="B2443" s="7" t="s">
        <v>367</v>
      </c>
      <c r="C2443" s="7" t="s">
        <v>368</v>
      </c>
      <c r="D2443" s="7" t="s">
        <v>14</v>
      </c>
      <c r="E2443" s="7" t="s">
        <v>100</v>
      </c>
      <c r="F2443" s="7" t="s">
        <v>42</v>
      </c>
      <c r="G2443" s="7" t="s">
        <v>43</v>
      </c>
      <c r="H2443" s="7">
        <v>4</v>
      </c>
      <c r="I2443" s="2">
        <v>1359.17</v>
      </c>
      <c r="J2443" s="2">
        <f>Tabla2[[#This Row],[Quantity]]*I2443</f>
        <v>5436.68</v>
      </c>
      <c r="K2443" s="6">
        <f>MONTH(Tabla2[[#This Row],[OrderDate]])</f>
        <v>1</v>
      </c>
      <c r="L2443" s="6">
        <f>YEAR(Tabla2[[#This Row],[OrderDate]])</f>
        <v>2024</v>
      </c>
      <c r="M2443" s="7" t="s">
        <v>271</v>
      </c>
      <c r="N2443" s="7" t="s">
        <v>36</v>
      </c>
    </row>
    <row r="2444" spans="1:14" x14ac:dyDescent="0.35">
      <c r="A2444" s="7" t="s">
        <v>3805</v>
      </c>
      <c r="B2444" s="7" t="s">
        <v>155</v>
      </c>
      <c r="C2444" s="7" t="s">
        <v>156</v>
      </c>
      <c r="D2444" s="7" t="s">
        <v>32</v>
      </c>
      <c r="E2444" s="7" t="s">
        <v>203</v>
      </c>
      <c r="F2444" s="7" t="s">
        <v>16</v>
      </c>
      <c r="G2444" s="7" t="s">
        <v>177</v>
      </c>
      <c r="H2444" s="7">
        <v>1</v>
      </c>
      <c r="I2444" s="2">
        <v>1360.81</v>
      </c>
      <c r="J2444" s="2">
        <f>Tabla2[[#This Row],[Quantity]]*I2444</f>
        <v>1360.81</v>
      </c>
      <c r="K2444" s="6">
        <f>MONTH(Tabla2[[#This Row],[OrderDate]])</f>
        <v>1</v>
      </c>
      <c r="L2444" s="6">
        <f>YEAR(Tabla2[[#This Row],[OrderDate]])</f>
        <v>2025</v>
      </c>
      <c r="M2444" s="7" t="s">
        <v>1649</v>
      </c>
      <c r="N2444" s="7" t="s">
        <v>28</v>
      </c>
    </row>
    <row r="2445" spans="1:14" x14ac:dyDescent="0.35">
      <c r="A2445" s="7" t="s">
        <v>3806</v>
      </c>
      <c r="B2445" s="7" t="s">
        <v>359</v>
      </c>
      <c r="C2445" s="7" t="s">
        <v>360</v>
      </c>
      <c r="D2445" s="7" t="s">
        <v>32</v>
      </c>
      <c r="E2445" s="7" t="s">
        <v>61</v>
      </c>
      <c r="F2445" s="7" t="s">
        <v>25</v>
      </c>
      <c r="G2445" s="7" t="s">
        <v>34</v>
      </c>
      <c r="H2445" s="7">
        <v>3</v>
      </c>
      <c r="I2445" s="2">
        <v>434.92</v>
      </c>
      <c r="J2445" s="2">
        <f>Tabla2[[#This Row],[Quantity]]*I2445</f>
        <v>1304.76</v>
      </c>
      <c r="K2445" s="6">
        <f>MONTH(Tabla2[[#This Row],[OrderDate]])</f>
        <v>4</v>
      </c>
      <c r="L2445" s="6">
        <f>YEAR(Tabla2[[#This Row],[OrderDate]])</f>
        <v>2025</v>
      </c>
      <c r="M2445" s="7" t="s">
        <v>1691</v>
      </c>
      <c r="N2445" s="7" t="s">
        <v>36</v>
      </c>
    </row>
    <row r="2446" spans="1:14" x14ac:dyDescent="0.35">
      <c r="A2446" s="7" t="s">
        <v>3807</v>
      </c>
      <c r="B2446" s="7" t="s">
        <v>384</v>
      </c>
      <c r="C2446" s="7" t="s">
        <v>385</v>
      </c>
      <c r="D2446" s="7" t="s">
        <v>67</v>
      </c>
      <c r="E2446" s="7" t="s">
        <v>68</v>
      </c>
      <c r="F2446" s="7" t="s">
        <v>50</v>
      </c>
      <c r="G2446" s="7" t="s">
        <v>69</v>
      </c>
      <c r="H2446" s="7">
        <v>5</v>
      </c>
      <c r="I2446" s="2">
        <v>42.02</v>
      </c>
      <c r="J2446" s="2">
        <f>Tabla2[[#This Row],[Quantity]]*I2446</f>
        <v>210.10000000000002</v>
      </c>
      <c r="K2446" s="6">
        <f>MONTH(Tabla2[[#This Row],[OrderDate]])</f>
        <v>6</v>
      </c>
      <c r="L2446" s="6">
        <f>YEAR(Tabla2[[#This Row],[OrderDate]])</f>
        <v>2025</v>
      </c>
      <c r="M2446" s="7" t="s">
        <v>1562</v>
      </c>
      <c r="N2446" s="7" t="s">
        <v>91</v>
      </c>
    </row>
    <row r="2447" spans="1:14" x14ac:dyDescent="0.35">
      <c r="A2447" s="7" t="s">
        <v>3808</v>
      </c>
      <c r="B2447" s="7" t="s">
        <v>868</v>
      </c>
      <c r="C2447" s="7" t="s">
        <v>869</v>
      </c>
      <c r="D2447" s="7" t="s">
        <v>14</v>
      </c>
      <c r="E2447" s="7" t="s">
        <v>95</v>
      </c>
      <c r="F2447" s="7" t="s">
        <v>42</v>
      </c>
      <c r="G2447" s="7" t="s">
        <v>225</v>
      </c>
      <c r="H2447" s="7">
        <v>2</v>
      </c>
      <c r="I2447" s="2">
        <v>595.33000000000004</v>
      </c>
      <c r="J2447" s="2">
        <f>Tabla2[[#This Row],[Quantity]]*I2447</f>
        <v>1190.6600000000001</v>
      </c>
      <c r="K2447" s="6">
        <f>MONTH(Tabla2[[#This Row],[OrderDate]])</f>
        <v>6</v>
      </c>
      <c r="L2447" s="6">
        <f>YEAR(Tabla2[[#This Row],[OrderDate]])</f>
        <v>2024</v>
      </c>
      <c r="M2447" s="7" t="s">
        <v>149</v>
      </c>
      <c r="N2447" s="7" t="s">
        <v>28</v>
      </c>
    </row>
    <row r="2448" spans="1:14" x14ac:dyDescent="0.35">
      <c r="A2448" s="7" t="s">
        <v>3809</v>
      </c>
      <c r="B2448" s="7" t="s">
        <v>1144</v>
      </c>
      <c r="C2448" s="7" t="s">
        <v>1145</v>
      </c>
      <c r="D2448" s="7" t="s">
        <v>32</v>
      </c>
      <c r="E2448" s="7" t="s">
        <v>61</v>
      </c>
      <c r="F2448" s="7" t="s">
        <v>25</v>
      </c>
      <c r="G2448" s="7" t="s">
        <v>62</v>
      </c>
      <c r="H2448" s="7">
        <v>1</v>
      </c>
      <c r="I2448" s="2">
        <v>332.71</v>
      </c>
      <c r="J2448" s="2">
        <f>Tabla2[[#This Row],[Quantity]]*I2448</f>
        <v>332.71</v>
      </c>
      <c r="K2448" s="6">
        <f>MONTH(Tabla2[[#This Row],[OrderDate]])</f>
        <v>9</v>
      </c>
      <c r="L2448" s="6">
        <f>YEAR(Tabla2[[#This Row],[OrderDate]])</f>
        <v>2025</v>
      </c>
      <c r="M2448" s="7" t="s">
        <v>1787</v>
      </c>
      <c r="N2448" s="7" t="s">
        <v>36</v>
      </c>
    </row>
    <row r="2449" spans="1:14" x14ac:dyDescent="0.35">
      <c r="A2449" s="7" t="s">
        <v>3810</v>
      </c>
      <c r="B2449" s="7" t="s">
        <v>947</v>
      </c>
      <c r="C2449" s="7" t="s">
        <v>948</v>
      </c>
      <c r="D2449" s="7" t="s">
        <v>14</v>
      </c>
      <c r="E2449" s="7" t="s">
        <v>95</v>
      </c>
      <c r="F2449" s="7" t="s">
        <v>25</v>
      </c>
      <c r="G2449" s="7" t="s">
        <v>34</v>
      </c>
      <c r="H2449" s="7">
        <v>2</v>
      </c>
      <c r="I2449" s="2">
        <v>1472.61</v>
      </c>
      <c r="J2449" s="2">
        <f>Tabla2[[#This Row],[Quantity]]*I2449</f>
        <v>2945.22</v>
      </c>
      <c r="K2449" s="6">
        <f>MONTH(Tabla2[[#This Row],[OrderDate]])</f>
        <v>2</v>
      </c>
      <c r="L2449" s="6">
        <f>YEAR(Tabla2[[#This Row],[OrderDate]])</f>
        <v>2025</v>
      </c>
      <c r="M2449" s="7" t="s">
        <v>3425</v>
      </c>
      <c r="N2449" s="7" t="s">
        <v>19</v>
      </c>
    </row>
    <row r="2450" spans="1:14" x14ac:dyDescent="0.35">
      <c r="A2450" s="7" t="s">
        <v>3811</v>
      </c>
      <c r="B2450" s="7" t="s">
        <v>1179</v>
      </c>
      <c r="C2450" s="7" t="s">
        <v>1180</v>
      </c>
      <c r="D2450" s="7" t="s">
        <v>23</v>
      </c>
      <c r="E2450" s="7" t="s">
        <v>338</v>
      </c>
      <c r="F2450" s="7" t="s">
        <v>101</v>
      </c>
      <c r="G2450" s="7" t="s">
        <v>373</v>
      </c>
      <c r="H2450" s="7">
        <v>4</v>
      </c>
      <c r="I2450" s="2">
        <v>498.3</v>
      </c>
      <c r="J2450" s="2">
        <f>Tabla2[[#This Row],[Quantity]]*I2450</f>
        <v>1993.2</v>
      </c>
      <c r="K2450" s="6">
        <f>MONTH(Tabla2[[#This Row],[OrderDate]])</f>
        <v>7</v>
      </c>
      <c r="L2450" s="6">
        <f>YEAR(Tabla2[[#This Row],[OrderDate]])</f>
        <v>2024</v>
      </c>
      <c r="M2450" s="7" t="s">
        <v>204</v>
      </c>
      <c r="N2450" s="7" t="s">
        <v>45</v>
      </c>
    </row>
    <row r="2451" spans="1:14" x14ac:dyDescent="0.35">
      <c r="A2451" s="7" t="s">
        <v>3812</v>
      </c>
      <c r="B2451" s="7" t="s">
        <v>367</v>
      </c>
      <c r="C2451" s="7" t="s">
        <v>368</v>
      </c>
      <c r="D2451" s="7" t="s">
        <v>67</v>
      </c>
      <c r="E2451" s="7" t="s">
        <v>68</v>
      </c>
      <c r="F2451" s="7" t="s">
        <v>101</v>
      </c>
      <c r="G2451" s="7" t="s">
        <v>373</v>
      </c>
      <c r="H2451" s="7">
        <v>4</v>
      </c>
      <c r="I2451" s="2">
        <v>731.14</v>
      </c>
      <c r="J2451" s="2">
        <f>Tabla2[[#This Row],[Quantity]]*I2451</f>
        <v>2924.56</v>
      </c>
      <c r="K2451" s="6">
        <f>MONTH(Tabla2[[#This Row],[OrderDate]])</f>
        <v>6</v>
      </c>
      <c r="L2451" s="6">
        <f>YEAR(Tabla2[[#This Row],[OrderDate]])</f>
        <v>2024</v>
      </c>
      <c r="M2451" s="7" t="s">
        <v>1503</v>
      </c>
      <c r="N2451" s="7" t="s">
        <v>19</v>
      </c>
    </row>
    <row r="2452" spans="1:14" x14ac:dyDescent="0.35">
      <c r="A2452" s="7" t="s">
        <v>3813</v>
      </c>
      <c r="B2452" s="7" t="s">
        <v>1369</v>
      </c>
      <c r="C2452" s="7" t="s">
        <v>1370</v>
      </c>
      <c r="D2452" s="7" t="s">
        <v>40</v>
      </c>
      <c r="E2452" s="7" t="s">
        <v>79</v>
      </c>
      <c r="F2452" s="7" t="s">
        <v>16</v>
      </c>
      <c r="G2452" s="7" t="s">
        <v>148</v>
      </c>
      <c r="H2452" s="7">
        <v>2</v>
      </c>
      <c r="I2452" s="2">
        <v>1397.24</v>
      </c>
      <c r="J2452" s="2">
        <f>Tabla2[[#This Row],[Quantity]]*I2452</f>
        <v>2794.48</v>
      </c>
      <c r="K2452" s="6">
        <f>MONTH(Tabla2[[#This Row],[OrderDate]])</f>
        <v>9</v>
      </c>
      <c r="L2452" s="6">
        <f>YEAR(Tabla2[[#This Row],[OrderDate]])</f>
        <v>2024</v>
      </c>
      <c r="M2452" s="7" t="s">
        <v>1327</v>
      </c>
      <c r="N2452" s="7" t="s">
        <v>28</v>
      </c>
    </row>
    <row r="2453" spans="1:14" x14ac:dyDescent="0.35">
      <c r="A2453" s="7" t="s">
        <v>3814</v>
      </c>
      <c r="B2453" s="7" t="s">
        <v>151</v>
      </c>
      <c r="C2453" s="7" t="s">
        <v>152</v>
      </c>
      <c r="D2453" s="7" t="s">
        <v>14</v>
      </c>
      <c r="E2453" s="7" t="s">
        <v>266</v>
      </c>
      <c r="F2453" s="7" t="s">
        <v>42</v>
      </c>
      <c r="G2453" s="7" t="s">
        <v>89</v>
      </c>
      <c r="H2453" s="7">
        <v>2</v>
      </c>
      <c r="I2453" s="2">
        <v>825.84</v>
      </c>
      <c r="J2453" s="2">
        <f>Tabla2[[#This Row],[Quantity]]*I2453</f>
        <v>1651.68</v>
      </c>
      <c r="K2453" s="6">
        <f>MONTH(Tabla2[[#This Row],[OrderDate]])</f>
        <v>6</v>
      </c>
      <c r="L2453" s="6">
        <f>YEAR(Tabla2[[#This Row],[OrderDate]])</f>
        <v>2024</v>
      </c>
      <c r="M2453" s="7" t="s">
        <v>90</v>
      </c>
      <c r="N2453" s="7" t="s">
        <v>45</v>
      </c>
    </row>
    <row r="2454" spans="1:14" x14ac:dyDescent="0.35">
      <c r="A2454" s="7" t="s">
        <v>3815</v>
      </c>
      <c r="B2454" s="7" t="s">
        <v>1203</v>
      </c>
      <c r="C2454" s="7" t="s">
        <v>1204</v>
      </c>
      <c r="D2454" s="7" t="s">
        <v>32</v>
      </c>
      <c r="E2454" s="7" t="s">
        <v>203</v>
      </c>
      <c r="F2454" s="7" t="s">
        <v>50</v>
      </c>
      <c r="G2454" s="7" t="s">
        <v>170</v>
      </c>
      <c r="H2454" s="7">
        <v>3</v>
      </c>
      <c r="I2454" s="2">
        <v>1439.32</v>
      </c>
      <c r="J2454" s="2">
        <f>Tabla2[[#This Row],[Quantity]]*I2454</f>
        <v>4317.96</v>
      </c>
      <c r="K2454" s="6">
        <f>MONTH(Tabla2[[#This Row],[OrderDate]])</f>
        <v>10</v>
      </c>
      <c r="L2454" s="6">
        <f>YEAR(Tabla2[[#This Row],[OrderDate]])</f>
        <v>2025</v>
      </c>
      <c r="M2454" s="7" t="s">
        <v>3524</v>
      </c>
      <c r="N2454" s="7" t="s">
        <v>19</v>
      </c>
    </row>
    <row r="2455" spans="1:14" x14ac:dyDescent="0.35">
      <c r="A2455" s="7" t="s">
        <v>3816</v>
      </c>
      <c r="B2455" s="7" t="s">
        <v>1018</v>
      </c>
      <c r="C2455" s="7" t="s">
        <v>1019</v>
      </c>
      <c r="D2455" s="7" t="s">
        <v>67</v>
      </c>
      <c r="E2455" s="7" t="s">
        <v>115</v>
      </c>
      <c r="F2455" s="7" t="s">
        <v>42</v>
      </c>
      <c r="G2455" s="7" t="s">
        <v>225</v>
      </c>
      <c r="H2455" s="7">
        <v>5</v>
      </c>
      <c r="I2455" s="2">
        <v>1109.3900000000001</v>
      </c>
      <c r="J2455" s="2">
        <f>Tabla2[[#This Row],[Quantity]]*I2455</f>
        <v>5546.9500000000007</v>
      </c>
      <c r="K2455" s="6">
        <f>MONTH(Tabla2[[#This Row],[OrderDate]])</f>
        <v>6</v>
      </c>
      <c r="L2455" s="6">
        <f>YEAR(Tabla2[[#This Row],[OrderDate]])</f>
        <v>2025</v>
      </c>
      <c r="M2455" s="7" t="s">
        <v>416</v>
      </c>
      <c r="N2455" s="7" t="s">
        <v>28</v>
      </c>
    </row>
    <row r="2456" spans="1:14" x14ac:dyDescent="0.35">
      <c r="A2456" s="7" t="s">
        <v>3817</v>
      </c>
      <c r="B2456" s="7" t="s">
        <v>137</v>
      </c>
      <c r="C2456" s="7" t="s">
        <v>138</v>
      </c>
      <c r="D2456" s="7" t="s">
        <v>14</v>
      </c>
      <c r="E2456" s="7" t="s">
        <v>15</v>
      </c>
      <c r="F2456" s="7" t="s">
        <v>16</v>
      </c>
      <c r="G2456" s="7" t="s">
        <v>177</v>
      </c>
      <c r="H2456" s="7">
        <v>1</v>
      </c>
      <c r="I2456" s="2">
        <v>244.96</v>
      </c>
      <c r="J2456" s="2">
        <f>Tabla2[[#This Row],[Quantity]]*I2456</f>
        <v>244.96</v>
      </c>
      <c r="K2456" s="6">
        <f>MONTH(Tabla2[[#This Row],[OrderDate]])</f>
        <v>11</v>
      </c>
      <c r="L2456" s="6">
        <f>YEAR(Tabla2[[#This Row],[OrderDate]])</f>
        <v>2024</v>
      </c>
      <c r="M2456" s="7" t="s">
        <v>1395</v>
      </c>
      <c r="N2456" s="7" t="s">
        <v>91</v>
      </c>
    </row>
    <row r="2457" spans="1:14" x14ac:dyDescent="0.35">
      <c r="A2457" s="7" t="s">
        <v>3818</v>
      </c>
      <c r="B2457" s="7" t="s">
        <v>264</v>
      </c>
      <c r="C2457" s="7" t="s">
        <v>265</v>
      </c>
      <c r="D2457" s="7" t="s">
        <v>14</v>
      </c>
      <c r="E2457" s="7" t="s">
        <v>125</v>
      </c>
      <c r="F2457" s="7" t="s">
        <v>101</v>
      </c>
      <c r="G2457" s="7" t="s">
        <v>165</v>
      </c>
      <c r="H2457" s="7">
        <v>3</v>
      </c>
      <c r="I2457" s="2">
        <v>1186.57</v>
      </c>
      <c r="J2457" s="2">
        <f>Tabla2[[#This Row],[Quantity]]*I2457</f>
        <v>3559.71</v>
      </c>
      <c r="K2457" s="6">
        <f>MONTH(Tabla2[[#This Row],[OrderDate]])</f>
        <v>4</v>
      </c>
      <c r="L2457" s="6">
        <f>YEAR(Tabla2[[#This Row],[OrderDate]])</f>
        <v>2025</v>
      </c>
      <c r="M2457" s="7" t="s">
        <v>2193</v>
      </c>
      <c r="N2457" s="7" t="s">
        <v>91</v>
      </c>
    </row>
    <row r="2458" spans="1:14" x14ac:dyDescent="0.35">
      <c r="A2458" s="7" t="s">
        <v>3819</v>
      </c>
      <c r="B2458" s="7" t="s">
        <v>235</v>
      </c>
      <c r="C2458" s="7" t="s">
        <v>236</v>
      </c>
      <c r="D2458" s="7" t="s">
        <v>14</v>
      </c>
      <c r="E2458" s="7" t="s">
        <v>266</v>
      </c>
      <c r="F2458" s="7" t="s">
        <v>16</v>
      </c>
      <c r="G2458" s="7" t="s">
        <v>230</v>
      </c>
      <c r="H2458" s="7">
        <v>4</v>
      </c>
      <c r="I2458" s="2">
        <v>1416.94</v>
      </c>
      <c r="J2458" s="2">
        <f>Tabla2[[#This Row],[Quantity]]*I2458</f>
        <v>5667.76</v>
      </c>
      <c r="K2458" s="6">
        <f>MONTH(Tabla2[[#This Row],[OrderDate]])</f>
        <v>8</v>
      </c>
      <c r="L2458" s="6">
        <f>YEAR(Tabla2[[#This Row],[OrderDate]])</f>
        <v>2024</v>
      </c>
      <c r="M2458" s="7" t="s">
        <v>1927</v>
      </c>
      <c r="N2458" s="7" t="s">
        <v>45</v>
      </c>
    </row>
    <row r="2459" spans="1:14" x14ac:dyDescent="0.35">
      <c r="A2459" s="7" t="s">
        <v>3820</v>
      </c>
      <c r="B2459" s="7" t="s">
        <v>1246</v>
      </c>
      <c r="C2459" s="7" t="s">
        <v>1247</v>
      </c>
      <c r="D2459" s="7" t="s">
        <v>14</v>
      </c>
      <c r="E2459" s="7" t="s">
        <v>125</v>
      </c>
      <c r="F2459" s="7" t="s">
        <v>16</v>
      </c>
      <c r="G2459" s="7" t="s">
        <v>177</v>
      </c>
      <c r="H2459" s="7">
        <v>5</v>
      </c>
      <c r="I2459" s="2">
        <v>137.96</v>
      </c>
      <c r="J2459" s="2">
        <f>Tabla2[[#This Row],[Quantity]]*I2459</f>
        <v>689.80000000000007</v>
      </c>
      <c r="K2459" s="6">
        <f>MONTH(Tabla2[[#This Row],[OrderDate]])</f>
        <v>12</v>
      </c>
      <c r="L2459" s="6">
        <f>YEAR(Tabla2[[#This Row],[OrderDate]])</f>
        <v>2024</v>
      </c>
      <c r="M2459" s="7" t="s">
        <v>27</v>
      </c>
      <c r="N2459" s="7" t="s">
        <v>36</v>
      </c>
    </row>
    <row r="2460" spans="1:14" x14ac:dyDescent="0.35">
      <c r="A2460" s="7" t="s">
        <v>3821</v>
      </c>
      <c r="B2460" s="7" t="s">
        <v>492</v>
      </c>
      <c r="C2460" s="7" t="s">
        <v>493</v>
      </c>
      <c r="D2460" s="7" t="s">
        <v>67</v>
      </c>
      <c r="E2460" s="7" t="s">
        <v>115</v>
      </c>
      <c r="F2460" s="7" t="s">
        <v>42</v>
      </c>
      <c r="G2460" s="7" t="s">
        <v>225</v>
      </c>
      <c r="H2460" s="7">
        <v>4</v>
      </c>
      <c r="I2460" s="2">
        <v>1059.1300000000001</v>
      </c>
      <c r="J2460" s="2">
        <f>Tabla2[[#This Row],[Quantity]]*I2460</f>
        <v>4236.5200000000004</v>
      </c>
      <c r="K2460" s="6">
        <f>MONTH(Tabla2[[#This Row],[OrderDate]])</f>
        <v>9</v>
      </c>
      <c r="L2460" s="6">
        <f>YEAR(Tabla2[[#This Row],[OrderDate]])</f>
        <v>2025</v>
      </c>
      <c r="M2460" s="7" t="s">
        <v>2076</v>
      </c>
      <c r="N2460" s="7" t="s">
        <v>28</v>
      </c>
    </row>
    <row r="2461" spans="1:14" x14ac:dyDescent="0.35">
      <c r="A2461" s="7" t="s">
        <v>3822</v>
      </c>
      <c r="B2461" s="7" t="s">
        <v>348</v>
      </c>
      <c r="C2461" s="7" t="s">
        <v>349</v>
      </c>
      <c r="D2461" s="7" t="s">
        <v>14</v>
      </c>
      <c r="E2461" s="7" t="s">
        <v>266</v>
      </c>
      <c r="F2461" s="7" t="s">
        <v>25</v>
      </c>
      <c r="G2461" s="7" t="s">
        <v>62</v>
      </c>
      <c r="H2461" s="7">
        <v>3</v>
      </c>
      <c r="I2461" s="2">
        <v>888.54</v>
      </c>
      <c r="J2461" s="2">
        <f>Tabla2[[#This Row],[Quantity]]*I2461</f>
        <v>2665.62</v>
      </c>
      <c r="K2461" s="6">
        <f>MONTH(Tabla2[[#This Row],[OrderDate]])</f>
        <v>3</v>
      </c>
      <c r="L2461" s="6">
        <f>YEAR(Tabla2[[#This Row],[OrderDate]])</f>
        <v>2025</v>
      </c>
      <c r="M2461" s="7" t="s">
        <v>761</v>
      </c>
      <c r="N2461" s="7" t="s">
        <v>91</v>
      </c>
    </row>
    <row r="2462" spans="1:14" x14ac:dyDescent="0.35">
      <c r="A2462" s="7" t="s">
        <v>3823</v>
      </c>
      <c r="B2462" s="7" t="s">
        <v>1707</v>
      </c>
      <c r="C2462" s="7" t="s">
        <v>1708</v>
      </c>
      <c r="D2462" s="7" t="s">
        <v>40</v>
      </c>
      <c r="E2462" s="7" t="s">
        <v>79</v>
      </c>
      <c r="F2462" s="7" t="s">
        <v>101</v>
      </c>
      <c r="G2462" s="7" t="s">
        <v>237</v>
      </c>
      <c r="H2462" s="7">
        <v>1</v>
      </c>
      <c r="I2462" s="2">
        <v>808.99</v>
      </c>
      <c r="J2462" s="2">
        <f>Tabla2[[#This Row],[Quantity]]*I2462</f>
        <v>808.99</v>
      </c>
      <c r="K2462" s="6">
        <f>MONTH(Tabla2[[#This Row],[OrderDate]])</f>
        <v>10</v>
      </c>
      <c r="L2462" s="6">
        <f>YEAR(Tabla2[[#This Row],[OrderDate]])</f>
        <v>2024</v>
      </c>
      <c r="M2462" s="7" t="s">
        <v>3017</v>
      </c>
      <c r="N2462" s="7" t="s">
        <v>91</v>
      </c>
    </row>
    <row r="2463" spans="1:14" x14ac:dyDescent="0.35">
      <c r="A2463" s="7" t="s">
        <v>3824</v>
      </c>
      <c r="B2463" s="7" t="s">
        <v>1423</v>
      </c>
      <c r="C2463" s="7" t="s">
        <v>1424</v>
      </c>
      <c r="D2463" s="7" t="s">
        <v>32</v>
      </c>
      <c r="E2463" s="7" t="s">
        <v>33</v>
      </c>
      <c r="F2463" s="7" t="s">
        <v>42</v>
      </c>
      <c r="G2463" s="7" t="s">
        <v>170</v>
      </c>
      <c r="H2463" s="7">
        <v>3</v>
      </c>
      <c r="I2463" s="2">
        <v>307.83</v>
      </c>
      <c r="J2463" s="2">
        <f>Tabla2[[#This Row],[Quantity]]*I2463</f>
        <v>923.49</v>
      </c>
      <c r="K2463" s="6">
        <f>MONTH(Tabla2[[#This Row],[OrderDate]])</f>
        <v>6</v>
      </c>
      <c r="L2463" s="6">
        <f>YEAR(Tabla2[[#This Row],[OrderDate]])</f>
        <v>2024</v>
      </c>
      <c r="M2463" s="7" t="s">
        <v>313</v>
      </c>
      <c r="N2463" s="7" t="s">
        <v>91</v>
      </c>
    </row>
    <row r="2464" spans="1:14" x14ac:dyDescent="0.35">
      <c r="A2464" s="7" t="s">
        <v>3825</v>
      </c>
      <c r="B2464" s="7" t="s">
        <v>256</v>
      </c>
      <c r="C2464" s="7" t="s">
        <v>257</v>
      </c>
      <c r="D2464" s="7" t="s">
        <v>67</v>
      </c>
      <c r="E2464" s="7" t="s">
        <v>115</v>
      </c>
      <c r="F2464" s="7" t="s">
        <v>25</v>
      </c>
      <c r="G2464" s="7" t="s">
        <v>34</v>
      </c>
      <c r="H2464" s="7">
        <v>2</v>
      </c>
      <c r="I2464" s="2">
        <v>504.21</v>
      </c>
      <c r="J2464" s="2">
        <f>Tabla2[[#This Row],[Quantity]]*I2464</f>
        <v>1008.42</v>
      </c>
      <c r="K2464" s="6">
        <f>MONTH(Tabla2[[#This Row],[OrderDate]])</f>
        <v>7</v>
      </c>
      <c r="L2464" s="6">
        <f>YEAR(Tabla2[[#This Row],[OrderDate]])</f>
        <v>2025</v>
      </c>
      <c r="M2464" s="7" t="s">
        <v>3826</v>
      </c>
      <c r="N2464" s="7" t="s">
        <v>28</v>
      </c>
    </row>
    <row r="2465" spans="1:14" x14ac:dyDescent="0.35">
      <c r="A2465" s="7" t="s">
        <v>3827</v>
      </c>
      <c r="B2465" s="7" t="s">
        <v>384</v>
      </c>
      <c r="C2465" s="7" t="s">
        <v>385</v>
      </c>
      <c r="D2465" s="7" t="s">
        <v>32</v>
      </c>
      <c r="E2465" s="7" t="s">
        <v>61</v>
      </c>
      <c r="F2465" s="7" t="s">
        <v>42</v>
      </c>
      <c r="G2465" s="7" t="s">
        <v>89</v>
      </c>
      <c r="H2465" s="7">
        <v>1</v>
      </c>
      <c r="I2465" s="2">
        <v>391.15</v>
      </c>
      <c r="J2465" s="2">
        <f>Tabla2[[#This Row],[Quantity]]*I2465</f>
        <v>391.15</v>
      </c>
      <c r="K2465" s="6">
        <f>MONTH(Tabla2[[#This Row],[OrderDate]])</f>
        <v>9</v>
      </c>
      <c r="L2465" s="6">
        <f>YEAR(Tabla2[[#This Row],[OrderDate]])</f>
        <v>2025</v>
      </c>
      <c r="M2465" s="7" t="s">
        <v>1701</v>
      </c>
      <c r="N2465" s="7" t="s">
        <v>28</v>
      </c>
    </row>
    <row r="2466" spans="1:14" x14ac:dyDescent="0.35">
      <c r="A2466" s="7" t="s">
        <v>3828</v>
      </c>
      <c r="B2466" s="7" t="s">
        <v>291</v>
      </c>
      <c r="C2466" s="7" t="s">
        <v>292</v>
      </c>
      <c r="D2466" s="7" t="s">
        <v>40</v>
      </c>
      <c r="E2466" s="7" t="s">
        <v>41</v>
      </c>
      <c r="F2466" s="7" t="s">
        <v>25</v>
      </c>
      <c r="G2466" s="7" t="s">
        <v>26</v>
      </c>
      <c r="H2466" s="7">
        <v>4</v>
      </c>
      <c r="I2466" s="2">
        <v>372.68</v>
      </c>
      <c r="J2466" s="2">
        <f>Tabla2[[#This Row],[Quantity]]*I2466</f>
        <v>1490.72</v>
      </c>
      <c r="K2466" s="6">
        <f>MONTH(Tabla2[[#This Row],[OrderDate]])</f>
        <v>6</v>
      </c>
      <c r="L2466" s="6">
        <f>YEAR(Tabla2[[#This Row],[OrderDate]])</f>
        <v>2024</v>
      </c>
      <c r="M2466" s="7" t="s">
        <v>2623</v>
      </c>
      <c r="N2466" s="7" t="s">
        <v>28</v>
      </c>
    </row>
    <row r="2467" spans="1:14" x14ac:dyDescent="0.35">
      <c r="A2467" s="7" t="s">
        <v>3829</v>
      </c>
      <c r="B2467" s="7" t="s">
        <v>454</v>
      </c>
      <c r="C2467" s="7" t="s">
        <v>455</v>
      </c>
      <c r="D2467" s="7" t="s">
        <v>23</v>
      </c>
      <c r="E2467" s="7" t="s">
        <v>24</v>
      </c>
      <c r="F2467" s="7" t="s">
        <v>16</v>
      </c>
      <c r="G2467" s="7" t="s">
        <v>230</v>
      </c>
      <c r="H2467" s="7">
        <v>2</v>
      </c>
      <c r="I2467" s="2">
        <v>1290.22</v>
      </c>
      <c r="J2467" s="2">
        <f>Tabla2[[#This Row],[Quantity]]*I2467</f>
        <v>2580.44</v>
      </c>
      <c r="K2467" s="6">
        <f>MONTH(Tabla2[[#This Row],[OrderDate]])</f>
        <v>3</v>
      </c>
      <c r="L2467" s="6">
        <f>YEAR(Tabla2[[#This Row],[OrderDate]])</f>
        <v>2024</v>
      </c>
      <c r="M2467" s="7" t="s">
        <v>3830</v>
      </c>
      <c r="N2467" s="7" t="s">
        <v>19</v>
      </c>
    </row>
    <row r="2468" spans="1:14" x14ac:dyDescent="0.35">
      <c r="A2468" s="7" t="s">
        <v>3831</v>
      </c>
      <c r="B2468" s="7" t="s">
        <v>189</v>
      </c>
      <c r="C2468" s="7" t="s">
        <v>190</v>
      </c>
      <c r="D2468" s="7" t="s">
        <v>23</v>
      </c>
      <c r="E2468" s="7" t="s">
        <v>24</v>
      </c>
      <c r="F2468" s="7" t="s">
        <v>25</v>
      </c>
      <c r="G2468" s="7" t="s">
        <v>74</v>
      </c>
      <c r="H2468" s="7">
        <v>2</v>
      </c>
      <c r="I2468" s="2">
        <v>1221.07</v>
      </c>
      <c r="J2468" s="2">
        <f>Tabla2[[#This Row],[Quantity]]*I2468</f>
        <v>2442.14</v>
      </c>
      <c r="K2468" s="6">
        <f>MONTH(Tabla2[[#This Row],[OrderDate]])</f>
        <v>1</v>
      </c>
      <c r="L2468" s="6">
        <f>YEAR(Tabla2[[#This Row],[OrderDate]])</f>
        <v>2024</v>
      </c>
      <c r="M2468" s="7" t="s">
        <v>3043</v>
      </c>
      <c r="N2468" s="7" t="s">
        <v>28</v>
      </c>
    </row>
    <row r="2469" spans="1:14" x14ac:dyDescent="0.35">
      <c r="A2469" s="7" t="s">
        <v>3832</v>
      </c>
      <c r="B2469" s="7" t="s">
        <v>59</v>
      </c>
      <c r="C2469" s="7" t="s">
        <v>60</v>
      </c>
      <c r="D2469" s="7" t="s">
        <v>14</v>
      </c>
      <c r="E2469" s="7" t="s">
        <v>95</v>
      </c>
      <c r="F2469" s="7" t="s">
        <v>16</v>
      </c>
      <c r="G2469" s="7" t="s">
        <v>17</v>
      </c>
      <c r="H2469" s="7">
        <v>5</v>
      </c>
      <c r="I2469" s="2">
        <v>1040.22</v>
      </c>
      <c r="J2469" s="2">
        <f>Tabla2[[#This Row],[Quantity]]*I2469</f>
        <v>5201.1000000000004</v>
      </c>
      <c r="K2469" s="6">
        <f>MONTH(Tabla2[[#This Row],[OrderDate]])</f>
        <v>3</v>
      </c>
      <c r="L2469" s="6">
        <f>YEAR(Tabla2[[#This Row],[OrderDate]])</f>
        <v>2024</v>
      </c>
      <c r="M2469" s="7" t="s">
        <v>2136</v>
      </c>
      <c r="N2469" s="7" t="s">
        <v>28</v>
      </c>
    </row>
    <row r="2470" spans="1:14" x14ac:dyDescent="0.35">
      <c r="A2470" s="7" t="s">
        <v>3833</v>
      </c>
      <c r="B2470" s="7" t="s">
        <v>201</v>
      </c>
      <c r="C2470" s="7" t="s">
        <v>202</v>
      </c>
      <c r="D2470" s="7" t="s">
        <v>32</v>
      </c>
      <c r="E2470" s="7" t="s">
        <v>33</v>
      </c>
      <c r="F2470" s="7" t="s">
        <v>42</v>
      </c>
      <c r="G2470" s="7" t="s">
        <v>80</v>
      </c>
      <c r="H2470" s="7">
        <v>4</v>
      </c>
      <c r="I2470" s="2">
        <v>227.48</v>
      </c>
      <c r="J2470" s="2">
        <f>Tabla2[[#This Row],[Quantity]]*I2470</f>
        <v>909.92</v>
      </c>
      <c r="K2470" s="6">
        <f>MONTH(Tabla2[[#This Row],[OrderDate]])</f>
        <v>3</v>
      </c>
      <c r="L2470" s="6">
        <f>YEAR(Tabla2[[#This Row],[OrderDate]])</f>
        <v>2026</v>
      </c>
      <c r="M2470" s="7" t="s">
        <v>3398</v>
      </c>
      <c r="N2470" s="7" t="s">
        <v>19</v>
      </c>
    </row>
    <row r="2471" spans="1:14" x14ac:dyDescent="0.35">
      <c r="A2471" s="7" t="s">
        <v>3834</v>
      </c>
      <c r="B2471" s="7" t="s">
        <v>918</v>
      </c>
      <c r="C2471" s="7" t="s">
        <v>919</v>
      </c>
      <c r="D2471" s="7" t="s">
        <v>23</v>
      </c>
      <c r="E2471" s="7" t="s">
        <v>49</v>
      </c>
      <c r="F2471" s="7" t="s">
        <v>25</v>
      </c>
      <c r="G2471" s="7" t="s">
        <v>139</v>
      </c>
      <c r="H2471" s="7">
        <v>5</v>
      </c>
      <c r="I2471" s="2">
        <v>627.26</v>
      </c>
      <c r="J2471" s="2">
        <f>Tabla2[[#This Row],[Quantity]]*I2471</f>
        <v>3136.3</v>
      </c>
      <c r="K2471" s="6">
        <f>MONTH(Tabla2[[#This Row],[OrderDate]])</f>
        <v>1</v>
      </c>
      <c r="L2471" s="6">
        <f>YEAR(Tabla2[[#This Row],[OrderDate]])</f>
        <v>2024</v>
      </c>
      <c r="M2471" s="7" t="s">
        <v>75</v>
      </c>
      <c r="N2471" s="7" t="s">
        <v>19</v>
      </c>
    </row>
    <row r="2472" spans="1:14" x14ac:dyDescent="0.35">
      <c r="A2472" s="7" t="s">
        <v>3835</v>
      </c>
      <c r="B2472" s="7" t="s">
        <v>299</v>
      </c>
      <c r="C2472" s="7" t="s">
        <v>300</v>
      </c>
      <c r="D2472" s="7" t="s">
        <v>67</v>
      </c>
      <c r="E2472" s="7" t="s">
        <v>130</v>
      </c>
      <c r="F2472" s="7" t="s">
        <v>101</v>
      </c>
      <c r="G2472" s="7" t="s">
        <v>373</v>
      </c>
      <c r="H2472" s="7">
        <v>1</v>
      </c>
      <c r="I2472" s="2">
        <v>110.68</v>
      </c>
      <c r="J2472" s="2">
        <f>Tabla2[[#This Row],[Quantity]]*I2472</f>
        <v>110.68</v>
      </c>
      <c r="K2472" s="6">
        <f>MONTH(Tabla2[[#This Row],[OrderDate]])</f>
        <v>2</v>
      </c>
      <c r="L2472" s="6">
        <f>YEAR(Tabla2[[#This Row],[OrderDate]])</f>
        <v>2025</v>
      </c>
      <c r="M2472" s="7" t="s">
        <v>2057</v>
      </c>
      <c r="N2472" s="7" t="s">
        <v>91</v>
      </c>
    </row>
    <row r="2473" spans="1:14" x14ac:dyDescent="0.35">
      <c r="A2473" s="7" t="s">
        <v>3836</v>
      </c>
      <c r="B2473" s="7" t="s">
        <v>248</v>
      </c>
      <c r="C2473" s="7" t="s">
        <v>249</v>
      </c>
      <c r="D2473" s="7" t="s">
        <v>14</v>
      </c>
      <c r="E2473" s="7" t="s">
        <v>125</v>
      </c>
      <c r="F2473" s="7" t="s">
        <v>25</v>
      </c>
      <c r="G2473" s="7" t="s">
        <v>74</v>
      </c>
      <c r="H2473" s="7">
        <v>2</v>
      </c>
      <c r="I2473" s="2">
        <v>122.06</v>
      </c>
      <c r="J2473" s="2">
        <f>Tabla2[[#This Row],[Quantity]]*I2473</f>
        <v>244.12</v>
      </c>
      <c r="K2473" s="6">
        <f>MONTH(Tabla2[[#This Row],[OrderDate]])</f>
        <v>7</v>
      </c>
      <c r="L2473" s="6">
        <f>YEAR(Tabla2[[#This Row],[OrderDate]])</f>
        <v>2024</v>
      </c>
      <c r="M2473" s="7" t="s">
        <v>1727</v>
      </c>
      <c r="N2473" s="7" t="s">
        <v>19</v>
      </c>
    </row>
    <row r="2474" spans="1:14" x14ac:dyDescent="0.35">
      <c r="A2474" s="7" t="s">
        <v>3837</v>
      </c>
      <c r="B2474" s="7" t="s">
        <v>947</v>
      </c>
      <c r="C2474" s="7" t="s">
        <v>948</v>
      </c>
      <c r="D2474" s="7" t="s">
        <v>40</v>
      </c>
      <c r="E2474" s="7" t="s">
        <v>79</v>
      </c>
      <c r="F2474" s="7" t="s">
        <v>101</v>
      </c>
      <c r="G2474" s="7" t="s">
        <v>102</v>
      </c>
      <c r="H2474" s="7">
        <v>1</v>
      </c>
      <c r="I2474" s="2">
        <v>808.47</v>
      </c>
      <c r="J2474" s="2">
        <f>Tabla2[[#This Row],[Quantity]]*I2474</f>
        <v>808.47</v>
      </c>
      <c r="K2474" s="6">
        <f>MONTH(Tabla2[[#This Row],[OrderDate]])</f>
        <v>4</v>
      </c>
      <c r="L2474" s="6">
        <f>YEAR(Tabla2[[#This Row],[OrderDate]])</f>
        <v>2025</v>
      </c>
      <c r="M2474" s="7" t="s">
        <v>1691</v>
      </c>
      <c r="N2474" s="7" t="s">
        <v>45</v>
      </c>
    </row>
    <row r="2475" spans="1:14" x14ac:dyDescent="0.35">
      <c r="A2475" s="7" t="s">
        <v>3838</v>
      </c>
      <c r="B2475" s="7" t="s">
        <v>521</v>
      </c>
      <c r="C2475" s="7" t="s">
        <v>522</v>
      </c>
      <c r="D2475" s="7" t="s">
        <v>23</v>
      </c>
      <c r="E2475" s="7" t="s">
        <v>338</v>
      </c>
      <c r="F2475" s="7" t="s">
        <v>16</v>
      </c>
      <c r="G2475" s="7" t="s">
        <v>17</v>
      </c>
      <c r="H2475" s="7">
        <v>3</v>
      </c>
      <c r="I2475" s="2">
        <v>431.31</v>
      </c>
      <c r="J2475" s="2">
        <f>Tabla2[[#This Row],[Quantity]]*I2475</f>
        <v>1293.93</v>
      </c>
      <c r="K2475" s="6">
        <f>MONTH(Tabla2[[#This Row],[OrderDate]])</f>
        <v>2</v>
      </c>
      <c r="L2475" s="6">
        <f>YEAR(Tabla2[[#This Row],[OrderDate]])</f>
        <v>2024</v>
      </c>
      <c r="M2475" s="7" t="s">
        <v>1669</v>
      </c>
      <c r="N2475" s="7" t="s">
        <v>91</v>
      </c>
    </row>
    <row r="2476" spans="1:14" x14ac:dyDescent="0.35">
      <c r="A2476" s="7" t="s">
        <v>3839</v>
      </c>
      <c r="B2476" s="7" t="s">
        <v>1419</v>
      </c>
      <c r="C2476" s="7" t="s">
        <v>1420</v>
      </c>
      <c r="D2476" s="7" t="s">
        <v>40</v>
      </c>
      <c r="E2476" s="7" t="s">
        <v>120</v>
      </c>
      <c r="F2476" s="7" t="s">
        <v>25</v>
      </c>
      <c r="G2476" s="7" t="s">
        <v>74</v>
      </c>
      <c r="H2476" s="7">
        <v>3</v>
      </c>
      <c r="I2476" s="2">
        <v>457.58</v>
      </c>
      <c r="J2476" s="2">
        <f>Tabla2[[#This Row],[Quantity]]*I2476</f>
        <v>1372.74</v>
      </c>
      <c r="K2476" s="6">
        <f>MONTH(Tabla2[[#This Row],[OrderDate]])</f>
        <v>11</v>
      </c>
      <c r="L2476" s="6">
        <f>YEAR(Tabla2[[#This Row],[OrderDate]])</f>
        <v>2024</v>
      </c>
      <c r="M2476" s="7" t="s">
        <v>1735</v>
      </c>
      <c r="N2476" s="7" t="s">
        <v>28</v>
      </c>
    </row>
    <row r="2477" spans="1:14" x14ac:dyDescent="0.35">
      <c r="A2477" s="7" t="s">
        <v>3840</v>
      </c>
      <c r="B2477" s="7" t="s">
        <v>443</v>
      </c>
      <c r="C2477" s="7" t="s">
        <v>444</v>
      </c>
      <c r="D2477" s="7" t="s">
        <v>23</v>
      </c>
      <c r="E2477" s="7" t="s">
        <v>24</v>
      </c>
      <c r="F2477" s="7" t="s">
        <v>25</v>
      </c>
      <c r="G2477" s="7" t="s">
        <v>62</v>
      </c>
      <c r="H2477" s="7">
        <v>4</v>
      </c>
      <c r="I2477" s="2">
        <v>86.76</v>
      </c>
      <c r="J2477" s="2">
        <f>Tabla2[[#This Row],[Quantity]]*I2477</f>
        <v>347.04</v>
      </c>
      <c r="K2477" s="6">
        <f>MONTH(Tabla2[[#This Row],[OrderDate]])</f>
        <v>12</v>
      </c>
      <c r="L2477" s="6">
        <f>YEAR(Tabla2[[#This Row],[OrderDate]])</f>
        <v>2025</v>
      </c>
      <c r="M2477" s="7" t="s">
        <v>2320</v>
      </c>
      <c r="N2477" s="7" t="s">
        <v>45</v>
      </c>
    </row>
    <row r="2478" spans="1:14" x14ac:dyDescent="0.35">
      <c r="A2478" s="7" t="s">
        <v>3841</v>
      </c>
      <c r="B2478" s="7" t="s">
        <v>264</v>
      </c>
      <c r="C2478" s="7" t="s">
        <v>265</v>
      </c>
      <c r="D2478" s="7" t="s">
        <v>23</v>
      </c>
      <c r="E2478" s="7" t="s">
        <v>338</v>
      </c>
      <c r="F2478" s="7" t="s">
        <v>101</v>
      </c>
      <c r="G2478" s="7" t="s">
        <v>165</v>
      </c>
      <c r="H2478" s="7">
        <v>5</v>
      </c>
      <c r="I2478" s="2">
        <v>372.42</v>
      </c>
      <c r="J2478" s="2">
        <f>Tabla2[[#This Row],[Quantity]]*I2478</f>
        <v>1862.1000000000001</v>
      </c>
      <c r="K2478" s="6">
        <f>MONTH(Tabla2[[#This Row],[OrderDate]])</f>
        <v>2</v>
      </c>
      <c r="L2478" s="6">
        <f>YEAR(Tabla2[[#This Row],[OrderDate]])</f>
        <v>2024</v>
      </c>
      <c r="M2478" s="7" t="s">
        <v>144</v>
      </c>
      <c r="N2478" s="7" t="s">
        <v>28</v>
      </c>
    </row>
    <row r="2479" spans="1:14" x14ac:dyDescent="0.35">
      <c r="A2479" s="7" t="s">
        <v>3842</v>
      </c>
      <c r="B2479" s="7" t="s">
        <v>341</v>
      </c>
      <c r="C2479" s="7" t="s">
        <v>342</v>
      </c>
      <c r="D2479" s="7" t="s">
        <v>14</v>
      </c>
      <c r="E2479" s="7" t="s">
        <v>95</v>
      </c>
      <c r="F2479" s="7" t="s">
        <v>16</v>
      </c>
      <c r="G2479" s="7" t="s">
        <v>230</v>
      </c>
      <c r="H2479" s="7">
        <v>5</v>
      </c>
      <c r="I2479" s="2">
        <v>1448.68</v>
      </c>
      <c r="J2479" s="2">
        <f>Tabla2[[#This Row],[Quantity]]*I2479</f>
        <v>7243.4000000000005</v>
      </c>
      <c r="K2479" s="6">
        <f>MONTH(Tabla2[[#This Row],[OrderDate]])</f>
        <v>6</v>
      </c>
      <c r="L2479" s="6">
        <f>YEAR(Tabla2[[#This Row],[OrderDate]])</f>
        <v>2025</v>
      </c>
      <c r="M2479" s="7" t="s">
        <v>2423</v>
      </c>
      <c r="N2479" s="7" t="s">
        <v>45</v>
      </c>
    </row>
    <row r="2480" spans="1:14" x14ac:dyDescent="0.35">
      <c r="A2480" s="7" t="s">
        <v>3843</v>
      </c>
      <c r="B2480" s="7" t="s">
        <v>759</v>
      </c>
      <c r="C2480" s="7" t="s">
        <v>760</v>
      </c>
      <c r="D2480" s="7" t="s">
        <v>23</v>
      </c>
      <c r="E2480" s="7" t="s">
        <v>49</v>
      </c>
      <c r="F2480" s="7" t="s">
        <v>25</v>
      </c>
      <c r="G2480" s="7" t="s">
        <v>62</v>
      </c>
      <c r="H2480" s="7">
        <v>2</v>
      </c>
      <c r="I2480" s="2">
        <v>1367.57</v>
      </c>
      <c r="J2480" s="2">
        <f>Tabla2[[#This Row],[Quantity]]*I2480</f>
        <v>2735.14</v>
      </c>
      <c r="K2480" s="6">
        <f>MONTH(Tabla2[[#This Row],[OrderDate]])</f>
        <v>5</v>
      </c>
      <c r="L2480" s="6">
        <f>YEAR(Tabla2[[#This Row],[OrderDate]])</f>
        <v>2025</v>
      </c>
      <c r="M2480" s="7" t="s">
        <v>588</v>
      </c>
      <c r="N2480" s="7" t="s">
        <v>91</v>
      </c>
    </row>
    <row r="2481" spans="1:14" x14ac:dyDescent="0.35">
      <c r="A2481" s="7" t="s">
        <v>3844</v>
      </c>
      <c r="B2481" s="7" t="s">
        <v>681</v>
      </c>
      <c r="C2481" s="7" t="s">
        <v>682</v>
      </c>
      <c r="D2481" s="7" t="s">
        <v>32</v>
      </c>
      <c r="E2481" s="7" t="s">
        <v>61</v>
      </c>
      <c r="F2481" s="7" t="s">
        <v>25</v>
      </c>
      <c r="G2481" s="7" t="s">
        <v>62</v>
      </c>
      <c r="H2481" s="7">
        <v>1</v>
      </c>
      <c r="I2481" s="2">
        <v>1066.4000000000001</v>
      </c>
      <c r="J2481" s="2">
        <f>Tabla2[[#This Row],[Quantity]]*I2481</f>
        <v>1066.4000000000001</v>
      </c>
      <c r="K2481" s="6">
        <f>MONTH(Tabla2[[#This Row],[OrderDate]])</f>
        <v>4</v>
      </c>
      <c r="L2481" s="6">
        <f>YEAR(Tabla2[[#This Row],[OrderDate]])</f>
        <v>2024</v>
      </c>
      <c r="M2481" s="7" t="s">
        <v>1440</v>
      </c>
      <c r="N2481" s="7" t="s">
        <v>91</v>
      </c>
    </row>
    <row r="2482" spans="1:14" x14ac:dyDescent="0.35">
      <c r="A2482" s="7" t="s">
        <v>3845</v>
      </c>
      <c r="B2482" s="7" t="s">
        <v>223</v>
      </c>
      <c r="C2482" s="7" t="s">
        <v>224</v>
      </c>
      <c r="D2482" s="7" t="s">
        <v>14</v>
      </c>
      <c r="E2482" s="7" t="s">
        <v>95</v>
      </c>
      <c r="F2482" s="7" t="s">
        <v>50</v>
      </c>
      <c r="G2482" s="7" t="s">
        <v>51</v>
      </c>
      <c r="H2482" s="7">
        <v>5</v>
      </c>
      <c r="I2482" s="2">
        <v>469.66</v>
      </c>
      <c r="J2482" s="2">
        <f>Tabla2[[#This Row],[Quantity]]*I2482</f>
        <v>2348.3000000000002</v>
      </c>
      <c r="K2482" s="6">
        <f>MONTH(Tabla2[[#This Row],[OrderDate]])</f>
        <v>4</v>
      </c>
      <c r="L2482" s="6">
        <f>YEAR(Tabla2[[#This Row],[OrderDate]])</f>
        <v>2024</v>
      </c>
      <c r="M2482" s="7" t="s">
        <v>1056</v>
      </c>
      <c r="N2482" s="7" t="s">
        <v>91</v>
      </c>
    </row>
    <row r="2483" spans="1:14" x14ac:dyDescent="0.35">
      <c r="A2483" s="7" t="s">
        <v>3846</v>
      </c>
      <c r="B2483" s="7" t="s">
        <v>1167</v>
      </c>
      <c r="C2483" s="7" t="s">
        <v>1168</v>
      </c>
      <c r="D2483" s="7" t="s">
        <v>14</v>
      </c>
      <c r="E2483" s="7" t="s">
        <v>15</v>
      </c>
      <c r="F2483" s="7" t="s">
        <v>50</v>
      </c>
      <c r="G2483" s="7" t="s">
        <v>69</v>
      </c>
      <c r="H2483" s="7">
        <v>1</v>
      </c>
      <c r="I2483" s="2">
        <v>907.19</v>
      </c>
      <c r="J2483" s="2">
        <f>Tabla2[[#This Row],[Quantity]]*I2483</f>
        <v>907.19</v>
      </c>
      <c r="K2483" s="6">
        <f>MONTH(Tabla2[[#This Row],[OrderDate]])</f>
        <v>6</v>
      </c>
      <c r="L2483" s="6">
        <f>YEAR(Tabla2[[#This Row],[OrderDate]])</f>
        <v>2024</v>
      </c>
      <c r="M2483" s="7" t="s">
        <v>1882</v>
      </c>
      <c r="N2483" s="7" t="s">
        <v>45</v>
      </c>
    </row>
    <row r="2484" spans="1:14" x14ac:dyDescent="0.35">
      <c r="A2484" s="7" t="s">
        <v>3847</v>
      </c>
      <c r="B2484" s="7" t="s">
        <v>481</v>
      </c>
      <c r="C2484" s="7" t="s">
        <v>482</v>
      </c>
      <c r="D2484" s="7" t="s">
        <v>23</v>
      </c>
      <c r="E2484" s="7" t="s">
        <v>24</v>
      </c>
      <c r="F2484" s="7" t="s">
        <v>16</v>
      </c>
      <c r="G2484" s="7" t="s">
        <v>182</v>
      </c>
      <c r="H2484" s="7">
        <v>2</v>
      </c>
      <c r="I2484" s="2">
        <v>1484.54</v>
      </c>
      <c r="J2484" s="2">
        <f>Tabla2[[#This Row],[Quantity]]*I2484</f>
        <v>2969.08</v>
      </c>
      <c r="K2484" s="6">
        <f>MONTH(Tabla2[[#This Row],[OrderDate]])</f>
        <v>4</v>
      </c>
      <c r="L2484" s="6">
        <f>YEAR(Tabla2[[#This Row],[OrderDate]])</f>
        <v>2024</v>
      </c>
      <c r="M2484" s="7" t="s">
        <v>523</v>
      </c>
      <c r="N2484" s="7" t="s">
        <v>36</v>
      </c>
    </row>
    <row r="2485" spans="1:14" x14ac:dyDescent="0.35">
      <c r="A2485" s="7" t="s">
        <v>3848</v>
      </c>
      <c r="B2485" s="7" t="s">
        <v>990</v>
      </c>
      <c r="C2485" s="7" t="s">
        <v>991</v>
      </c>
      <c r="D2485" s="7" t="s">
        <v>40</v>
      </c>
      <c r="E2485" s="7" t="s">
        <v>79</v>
      </c>
      <c r="F2485" s="7" t="s">
        <v>42</v>
      </c>
      <c r="G2485" s="7" t="s">
        <v>89</v>
      </c>
      <c r="H2485" s="7">
        <v>1</v>
      </c>
      <c r="I2485" s="2">
        <v>1402.81</v>
      </c>
      <c r="J2485" s="2">
        <f>Tabla2[[#This Row],[Quantity]]*I2485</f>
        <v>1402.81</v>
      </c>
      <c r="K2485" s="6">
        <f>MONTH(Tabla2[[#This Row],[OrderDate]])</f>
        <v>3</v>
      </c>
      <c r="L2485" s="6">
        <f>YEAR(Tabla2[[#This Row],[OrderDate]])</f>
        <v>2025</v>
      </c>
      <c r="M2485" s="7" t="s">
        <v>3849</v>
      </c>
      <c r="N2485" s="7" t="s">
        <v>28</v>
      </c>
    </row>
    <row r="2486" spans="1:14" x14ac:dyDescent="0.35">
      <c r="A2486" s="7" t="s">
        <v>3850</v>
      </c>
      <c r="B2486" s="7" t="s">
        <v>223</v>
      </c>
      <c r="C2486" s="7" t="s">
        <v>224</v>
      </c>
      <c r="D2486" s="7" t="s">
        <v>40</v>
      </c>
      <c r="E2486" s="7" t="s">
        <v>41</v>
      </c>
      <c r="F2486" s="7" t="s">
        <v>101</v>
      </c>
      <c r="G2486" s="7" t="s">
        <v>102</v>
      </c>
      <c r="H2486" s="7">
        <v>4</v>
      </c>
      <c r="I2486" s="2">
        <v>45.63</v>
      </c>
      <c r="J2486" s="2">
        <f>Tabla2[[#This Row],[Quantity]]*I2486</f>
        <v>182.52</v>
      </c>
      <c r="K2486" s="6">
        <f>MONTH(Tabla2[[#This Row],[OrderDate]])</f>
        <v>9</v>
      </c>
      <c r="L2486" s="6">
        <f>YEAR(Tabla2[[#This Row],[OrderDate]])</f>
        <v>2025</v>
      </c>
      <c r="M2486" s="7" t="s">
        <v>950</v>
      </c>
      <c r="N2486" s="7" t="s">
        <v>91</v>
      </c>
    </row>
    <row r="2487" spans="1:14" x14ac:dyDescent="0.35">
      <c r="A2487" s="7" t="s">
        <v>3851</v>
      </c>
      <c r="B2487" s="7" t="s">
        <v>1087</v>
      </c>
      <c r="C2487" s="7" t="s">
        <v>1088</v>
      </c>
      <c r="D2487" s="7" t="s">
        <v>32</v>
      </c>
      <c r="E2487" s="7" t="s">
        <v>203</v>
      </c>
      <c r="F2487" s="7" t="s">
        <v>50</v>
      </c>
      <c r="G2487" s="7" t="s">
        <v>56</v>
      </c>
      <c r="H2487" s="7">
        <v>1</v>
      </c>
      <c r="I2487" s="2">
        <v>1097.79</v>
      </c>
      <c r="J2487" s="2">
        <f>Tabla2[[#This Row],[Quantity]]*I2487</f>
        <v>1097.79</v>
      </c>
      <c r="K2487" s="6">
        <f>MONTH(Tabla2[[#This Row],[OrderDate]])</f>
        <v>6</v>
      </c>
      <c r="L2487" s="6">
        <f>YEAR(Tabla2[[#This Row],[OrderDate]])</f>
        <v>2025</v>
      </c>
      <c r="M2487" s="7" t="s">
        <v>1562</v>
      </c>
      <c r="N2487" s="7" t="s">
        <v>36</v>
      </c>
    </row>
    <row r="2488" spans="1:14" x14ac:dyDescent="0.35">
      <c r="A2488" s="7" t="s">
        <v>3852</v>
      </c>
      <c r="B2488" s="7" t="s">
        <v>1285</v>
      </c>
      <c r="C2488" s="7" t="s">
        <v>1286</v>
      </c>
      <c r="D2488" s="7" t="s">
        <v>14</v>
      </c>
      <c r="E2488" s="7" t="s">
        <v>266</v>
      </c>
      <c r="F2488" s="7" t="s">
        <v>50</v>
      </c>
      <c r="G2488" s="7" t="s">
        <v>51</v>
      </c>
      <c r="H2488" s="7">
        <v>4</v>
      </c>
      <c r="I2488" s="2">
        <v>1424.4</v>
      </c>
      <c r="J2488" s="2">
        <f>Tabla2[[#This Row],[Quantity]]*I2488</f>
        <v>5697.6</v>
      </c>
      <c r="K2488" s="6">
        <f>MONTH(Tabla2[[#This Row],[OrderDate]])</f>
        <v>9</v>
      </c>
      <c r="L2488" s="6">
        <f>YEAR(Tabla2[[#This Row],[OrderDate]])</f>
        <v>2025</v>
      </c>
      <c r="M2488" s="7" t="s">
        <v>1380</v>
      </c>
      <c r="N2488" s="7" t="s">
        <v>36</v>
      </c>
    </row>
    <row r="2489" spans="1:14" x14ac:dyDescent="0.35">
      <c r="A2489" s="7" t="s">
        <v>3853</v>
      </c>
      <c r="B2489" s="7" t="s">
        <v>918</v>
      </c>
      <c r="C2489" s="7" t="s">
        <v>919</v>
      </c>
      <c r="D2489" s="7" t="s">
        <v>14</v>
      </c>
      <c r="E2489" s="7" t="s">
        <v>100</v>
      </c>
      <c r="F2489" s="7" t="s">
        <v>16</v>
      </c>
      <c r="G2489" s="7" t="s">
        <v>177</v>
      </c>
      <c r="H2489" s="7">
        <v>3</v>
      </c>
      <c r="I2489" s="2">
        <v>699.86</v>
      </c>
      <c r="J2489" s="2">
        <f>Tabla2[[#This Row],[Quantity]]*I2489</f>
        <v>2099.58</v>
      </c>
      <c r="K2489" s="6">
        <f>MONTH(Tabla2[[#This Row],[OrderDate]])</f>
        <v>1</v>
      </c>
      <c r="L2489" s="6">
        <f>YEAR(Tabla2[[#This Row],[OrderDate]])</f>
        <v>2025</v>
      </c>
      <c r="M2489" s="7" t="s">
        <v>1248</v>
      </c>
      <c r="N2489" s="7" t="s">
        <v>19</v>
      </c>
    </row>
    <row r="2490" spans="1:14" x14ac:dyDescent="0.35">
      <c r="A2490" s="7" t="s">
        <v>3854</v>
      </c>
      <c r="B2490" s="7" t="s">
        <v>755</v>
      </c>
      <c r="C2490" s="7" t="s">
        <v>756</v>
      </c>
      <c r="D2490" s="7" t="s">
        <v>40</v>
      </c>
      <c r="E2490" s="7" t="s">
        <v>41</v>
      </c>
      <c r="F2490" s="7" t="s">
        <v>42</v>
      </c>
      <c r="G2490" s="7" t="s">
        <v>170</v>
      </c>
      <c r="H2490" s="7">
        <v>1</v>
      </c>
      <c r="I2490" s="2">
        <v>1112.95</v>
      </c>
      <c r="J2490" s="2">
        <f>Tabla2[[#This Row],[Quantity]]*I2490</f>
        <v>1112.95</v>
      </c>
      <c r="K2490" s="6">
        <f>MONTH(Tabla2[[#This Row],[OrderDate]])</f>
        <v>5</v>
      </c>
      <c r="L2490" s="6">
        <f>YEAR(Tabla2[[#This Row],[OrderDate]])</f>
        <v>2025</v>
      </c>
      <c r="M2490" s="7" t="s">
        <v>662</v>
      </c>
      <c r="N2490" s="7" t="s">
        <v>28</v>
      </c>
    </row>
    <row r="2491" spans="1:14" x14ac:dyDescent="0.35">
      <c r="A2491" s="7" t="s">
        <v>3855</v>
      </c>
      <c r="B2491" s="7" t="s">
        <v>969</v>
      </c>
      <c r="C2491" s="7" t="s">
        <v>970</v>
      </c>
      <c r="D2491" s="7" t="s">
        <v>14</v>
      </c>
      <c r="E2491" s="7" t="s">
        <v>15</v>
      </c>
      <c r="F2491" s="7" t="s">
        <v>42</v>
      </c>
      <c r="G2491" s="7" t="s">
        <v>225</v>
      </c>
      <c r="H2491" s="7">
        <v>4</v>
      </c>
      <c r="I2491" s="2">
        <v>1316.65</v>
      </c>
      <c r="J2491" s="2">
        <f>Tabla2[[#This Row],[Quantity]]*I2491</f>
        <v>5266.6</v>
      </c>
      <c r="K2491" s="6">
        <f>MONTH(Tabla2[[#This Row],[OrderDate]])</f>
        <v>12</v>
      </c>
      <c r="L2491" s="6">
        <f>YEAR(Tabla2[[#This Row],[OrderDate]])</f>
        <v>2024</v>
      </c>
      <c r="M2491" s="7" t="s">
        <v>1470</v>
      </c>
      <c r="N2491" s="7" t="s">
        <v>45</v>
      </c>
    </row>
    <row r="2492" spans="1:14" x14ac:dyDescent="0.35">
      <c r="A2492" s="7" t="s">
        <v>3856</v>
      </c>
      <c r="B2492" s="7" t="s">
        <v>681</v>
      </c>
      <c r="C2492" s="7" t="s">
        <v>682</v>
      </c>
      <c r="D2492" s="7" t="s">
        <v>67</v>
      </c>
      <c r="E2492" s="7" t="s">
        <v>130</v>
      </c>
      <c r="F2492" s="7" t="s">
        <v>25</v>
      </c>
      <c r="G2492" s="7" t="s">
        <v>34</v>
      </c>
      <c r="H2492" s="7">
        <v>4</v>
      </c>
      <c r="I2492" s="2">
        <v>1187.08</v>
      </c>
      <c r="J2492" s="2">
        <f>Tabla2[[#This Row],[Quantity]]*I2492</f>
        <v>4748.32</v>
      </c>
      <c r="K2492" s="6">
        <f>MONTH(Tabla2[[#This Row],[OrderDate]])</f>
        <v>1</v>
      </c>
      <c r="L2492" s="6">
        <f>YEAR(Tabla2[[#This Row],[OrderDate]])</f>
        <v>2026</v>
      </c>
      <c r="M2492" s="7" t="s">
        <v>3857</v>
      </c>
      <c r="N2492" s="7" t="s">
        <v>45</v>
      </c>
    </row>
    <row r="2493" spans="1:14" x14ac:dyDescent="0.35">
      <c r="A2493" s="7" t="s">
        <v>3858</v>
      </c>
      <c r="B2493" s="7" t="s">
        <v>180</v>
      </c>
      <c r="C2493" s="7" t="s">
        <v>181</v>
      </c>
      <c r="D2493" s="7" t="s">
        <v>14</v>
      </c>
      <c r="E2493" s="7" t="s">
        <v>266</v>
      </c>
      <c r="F2493" s="7" t="s">
        <v>101</v>
      </c>
      <c r="G2493" s="7" t="s">
        <v>237</v>
      </c>
      <c r="H2493" s="7">
        <v>5</v>
      </c>
      <c r="I2493" s="2">
        <v>82.48</v>
      </c>
      <c r="J2493" s="2">
        <f>Tabla2[[#This Row],[Quantity]]*I2493</f>
        <v>412.40000000000003</v>
      </c>
      <c r="K2493" s="6">
        <f>MONTH(Tabla2[[#This Row],[OrderDate]])</f>
        <v>7</v>
      </c>
      <c r="L2493" s="6">
        <f>YEAR(Tabla2[[#This Row],[OrderDate]])</f>
        <v>2024</v>
      </c>
      <c r="M2493" s="7" t="s">
        <v>1498</v>
      </c>
      <c r="N2493" s="7" t="s">
        <v>91</v>
      </c>
    </row>
    <row r="2494" spans="1:14" x14ac:dyDescent="0.35">
      <c r="A2494" s="7" t="s">
        <v>3859</v>
      </c>
      <c r="B2494" s="7" t="s">
        <v>464</v>
      </c>
      <c r="C2494" s="7" t="s">
        <v>465</v>
      </c>
      <c r="D2494" s="7" t="s">
        <v>67</v>
      </c>
      <c r="E2494" s="7" t="s">
        <v>115</v>
      </c>
      <c r="F2494" s="7" t="s">
        <v>50</v>
      </c>
      <c r="G2494" s="7" t="s">
        <v>216</v>
      </c>
      <c r="H2494" s="7">
        <v>1</v>
      </c>
      <c r="I2494" s="2">
        <v>119.78</v>
      </c>
      <c r="J2494" s="2">
        <f>Tabla2[[#This Row],[Quantity]]*I2494</f>
        <v>119.78</v>
      </c>
      <c r="K2494" s="6">
        <f>MONTH(Tabla2[[#This Row],[OrderDate]])</f>
        <v>1</v>
      </c>
      <c r="L2494" s="6">
        <f>YEAR(Tabla2[[#This Row],[OrderDate]])</f>
        <v>2026</v>
      </c>
      <c r="M2494" s="7" t="s">
        <v>242</v>
      </c>
      <c r="N2494" s="7" t="s">
        <v>36</v>
      </c>
    </row>
    <row r="2495" spans="1:14" x14ac:dyDescent="0.35">
      <c r="A2495" s="7" t="s">
        <v>3860</v>
      </c>
      <c r="B2495" s="7" t="s">
        <v>273</v>
      </c>
      <c r="C2495" s="7" t="s">
        <v>274</v>
      </c>
      <c r="D2495" s="7" t="s">
        <v>14</v>
      </c>
      <c r="E2495" s="7" t="s">
        <v>125</v>
      </c>
      <c r="F2495" s="7" t="s">
        <v>16</v>
      </c>
      <c r="G2495" s="7" t="s">
        <v>148</v>
      </c>
      <c r="H2495" s="7">
        <v>3</v>
      </c>
      <c r="I2495" s="2">
        <v>694.7</v>
      </c>
      <c r="J2495" s="2">
        <f>Tabla2[[#This Row],[Quantity]]*I2495</f>
        <v>2084.1000000000004</v>
      </c>
      <c r="K2495" s="6">
        <f>MONTH(Tabla2[[#This Row],[OrderDate]])</f>
        <v>6</v>
      </c>
      <c r="L2495" s="6">
        <f>YEAR(Tabla2[[#This Row],[OrderDate]])</f>
        <v>2024</v>
      </c>
      <c r="M2495" s="7" t="s">
        <v>1534</v>
      </c>
      <c r="N2495" s="7" t="s">
        <v>28</v>
      </c>
    </row>
    <row r="2496" spans="1:14" x14ac:dyDescent="0.35">
      <c r="A2496" s="7" t="s">
        <v>3861</v>
      </c>
      <c r="B2496" s="7" t="s">
        <v>464</v>
      </c>
      <c r="C2496" s="7" t="s">
        <v>465</v>
      </c>
      <c r="D2496" s="7" t="s">
        <v>23</v>
      </c>
      <c r="E2496" s="7" t="s">
        <v>338</v>
      </c>
      <c r="F2496" s="7" t="s">
        <v>101</v>
      </c>
      <c r="G2496" s="7" t="s">
        <v>237</v>
      </c>
      <c r="H2496" s="7">
        <v>4</v>
      </c>
      <c r="I2496" s="2">
        <v>1052.6199999999999</v>
      </c>
      <c r="J2496" s="2">
        <f>Tabla2[[#This Row],[Quantity]]*I2496</f>
        <v>4210.4799999999996</v>
      </c>
      <c r="K2496" s="6">
        <f>MONTH(Tabla2[[#This Row],[OrderDate]])</f>
        <v>11</v>
      </c>
      <c r="L2496" s="6">
        <f>YEAR(Tabla2[[#This Row],[OrderDate]])</f>
        <v>2025</v>
      </c>
      <c r="M2496" s="7" t="s">
        <v>1505</v>
      </c>
      <c r="N2496" s="7" t="s">
        <v>91</v>
      </c>
    </row>
    <row r="2497" spans="1:14" x14ac:dyDescent="0.35">
      <c r="A2497" s="7" t="s">
        <v>3862</v>
      </c>
      <c r="B2497" s="7" t="s">
        <v>785</v>
      </c>
      <c r="C2497" s="7" t="s">
        <v>786</v>
      </c>
      <c r="D2497" s="7" t="s">
        <v>40</v>
      </c>
      <c r="E2497" s="7" t="s">
        <v>41</v>
      </c>
      <c r="F2497" s="7" t="s">
        <v>25</v>
      </c>
      <c r="G2497" s="7" t="s">
        <v>34</v>
      </c>
      <c r="H2497" s="7">
        <v>4</v>
      </c>
      <c r="I2497" s="2">
        <v>769.93</v>
      </c>
      <c r="J2497" s="2">
        <f>Tabla2[[#This Row],[Quantity]]*I2497</f>
        <v>3079.72</v>
      </c>
      <c r="K2497" s="6">
        <f>MONTH(Tabla2[[#This Row],[OrderDate]])</f>
        <v>2</v>
      </c>
      <c r="L2497" s="6">
        <f>YEAR(Tabla2[[#This Row],[OrderDate]])</f>
        <v>2026</v>
      </c>
      <c r="M2497" s="7" t="s">
        <v>656</v>
      </c>
      <c r="N2497" s="7" t="s">
        <v>36</v>
      </c>
    </row>
    <row r="2498" spans="1:14" x14ac:dyDescent="0.35">
      <c r="A2498" s="7" t="s">
        <v>3863</v>
      </c>
      <c r="B2498" s="7" t="s">
        <v>598</v>
      </c>
      <c r="C2498" s="7" t="s">
        <v>599</v>
      </c>
      <c r="D2498" s="7" t="s">
        <v>32</v>
      </c>
      <c r="E2498" s="7" t="s">
        <v>61</v>
      </c>
      <c r="F2498" s="7" t="s">
        <v>16</v>
      </c>
      <c r="G2498" s="7" t="s">
        <v>182</v>
      </c>
      <c r="H2498" s="7">
        <v>2</v>
      </c>
      <c r="I2498" s="2">
        <v>1348.11</v>
      </c>
      <c r="J2498" s="2">
        <f>Tabla2[[#This Row],[Quantity]]*I2498</f>
        <v>2696.22</v>
      </c>
      <c r="K2498" s="6">
        <f>MONTH(Tabla2[[#This Row],[OrderDate]])</f>
        <v>11</v>
      </c>
      <c r="L2498" s="6">
        <f>YEAR(Tabla2[[#This Row],[OrderDate]])</f>
        <v>2025</v>
      </c>
      <c r="M2498" s="7" t="s">
        <v>2729</v>
      </c>
      <c r="N2498" s="7" t="s">
        <v>45</v>
      </c>
    </row>
    <row r="2499" spans="1:14" x14ac:dyDescent="0.35">
      <c r="A2499" s="7" t="s">
        <v>3864</v>
      </c>
      <c r="B2499" s="7" t="s">
        <v>1662</v>
      </c>
      <c r="C2499" s="7" t="s">
        <v>1663</v>
      </c>
      <c r="D2499" s="7" t="s">
        <v>14</v>
      </c>
      <c r="E2499" s="7" t="s">
        <v>100</v>
      </c>
      <c r="F2499" s="7" t="s">
        <v>42</v>
      </c>
      <c r="G2499" s="7" t="s">
        <v>43</v>
      </c>
      <c r="H2499" s="7">
        <v>1</v>
      </c>
      <c r="I2499" s="2">
        <v>814.06</v>
      </c>
      <c r="J2499" s="2">
        <f>Tabla2[[#This Row],[Quantity]]*I2499</f>
        <v>814.06</v>
      </c>
      <c r="K2499" s="6">
        <f>MONTH(Tabla2[[#This Row],[OrderDate]])</f>
        <v>6</v>
      </c>
      <c r="L2499" s="6">
        <f>YEAR(Tabla2[[#This Row],[OrderDate]])</f>
        <v>2025</v>
      </c>
      <c r="M2499" s="7" t="s">
        <v>1254</v>
      </c>
      <c r="N2499" s="7" t="s">
        <v>36</v>
      </c>
    </row>
    <row r="2500" spans="1:14" x14ac:dyDescent="0.35">
      <c r="A2500" s="7" t="s">
        <v>3865</v>
      </c>
      <c r="B2500" s="7" t="s">
        <v>2157</v>
      </c>
      <c r="C2500" s="7" t="s">
        <v>2158</v>
      </c>
      <c r="D2500" s="7" t="s">
        <v>32</v>
      </c>
      <c r="E2500" s="7" t="s">
        <v>61</v>
      </c>
      <c r="F2500" s="7" t="s">
        <v>25</v>
      </c>
      <c r="G2500" s="7" t="s">
        <v>74</v>
      </c>
      <c r="H2500" s="7">
        <v>4</v>
      </c>
      <c r="I2500" s="2">
        <v>1478</v>
      </c>
      <c r="J2500" s="2">
        <f>Tabla2[[#This Row],[Quantity]]*I2500</f>
        <v>5912</v>
      </c>
      <c r="K2500" s="6">
        <f>MONTH(Tabla2[[#This Row],[OrderDate]])</f>
        <v>9</v>
      </c>
      <c r="L2500" s="6">
        <f>YEAR(Tabla2[[#This Row],[OrderDate]])</f>
        <v>2025</v>
      </c>
      <c r="M2500" s="7" t="s">
        <v>665</v>
      </c>
      <c r="N2500" s="7" t="s">
        <v>36</v>
      </c>
    </row>
    <row r="2501" spans="1:14" x14ac:dyDescent="0.35">
      <c r="A2501" s="7" t="s">
        <v>3866</v>
      </c>
      <c r="B2501" s="7" t="s">
        <v>558</v>
      </c>
      <c r="C2501" s="7" t="s">
        <v>559</v>
      </c>
      <c r="D2501" s="7" t="s">
        <v>67</v>
      </c>
      <c r="E2501" s="7" t="s">
        <v>68</v>
      </c>
      <c r="F2501" s="7" t="s">
        <v>25</v>
      </c>
      <c r="G2501" s="7" t="s">
        <v>74</v>
      </c>
      <c r="H2501" s="7">
        <v>2</v>
      </c>
      <c r="I2501" s="2">
        <v>1092.1199999999999</v>
      </c>
      <c r="J2501" s="2">
        <f>Tabla2[[#This Row],[Quantity]]*I2501</f>
        <v>2184.2399999999998</v>
      </c>
      <c r="K2501" s="6">
        <f>MONTH(Tabla2[[#This Row],[OrderDate]])</f>
        <v>5</v>
      </c>
      <c r="L2501" s="6">
        <f>YEAR(Tabla2[[#This Row],[OrderDate]])</f>
        <v>2025</v>
      </c>
      <c r="M2501" s="7" t="s">
        <v>246</v>
      </c>
      <c r="N2501" s="7" t="s">
        <v>91</v>
      </c>
    </row>
  </sheetData>
  <conditionalFormatting sqref="A1:A1048576">
    <cfRule type="duplicateValues" dxfId="1" priority="1"/>
  </conditionalFormatting>
  <conditionalFormatting sqref="A2:A2501">
    <cfRule type="duplicateValues" dxfId="0" priority="2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523C-96E6-4303-9DDA-DBB72D6D4629}">
  <sheetPr codeName="Hoja3"/>
  <dimension ref="B6:I1643"/>
  <sheetViews>
    <sheetView topLeftCell="A94" zoomScaleNormal="100" workbookViewId="0">
      <selection activeCell="G103" sqref="G103:I128"/>
    </sheetView>
  </sheetViews>
  <sheetFormatPr baseColWidth="10" defaultRowHeight="14.5" x14ac:dyDescent="0.35"/>
  <cols>
    <col min="2" max="2" width="20.81640625" bestFit="1" customWidth="1"/>
    <col min="7" max="7" width="25.7265625" style="5" bestFit="1" customWidth="1"/>
    <col min="8" max="8" width="20" style="7" bestFit="1" customWidth="1"/>
    <col min="9" max="9" width="19.6328125" bestFit="1" customWidth="1"/>
    <col min="10" max="794" width="21.54296875" bestFit="1" customWidth="1"/>
    <col min="795" max="795" width="12" bestFit="1" customWidth="1"/>
  </cols>
  <sheetData>
    <row r="6" spans="2:8" x14ac:dyDescent="0.35">
      <c r="B6" s="1" t="s">
        <v>3868</v>
      </c>
      <c r="G6" s="10" t="s">
        <v>3872</v>
      </c>
      <c r="H6" s="7" t="s">
        <v>3873</v>
      </c>
    </row>
    <row r="7" spans="2:8" x14ac:dyDescent="0.35">
      <c r="B7">
        <f>COUNTA(Tabla2[OrderID])</f>
        <v>2500</v>
      </c>
      <c r="G7" s="12" t="s">
        <v>23</v>
      </c>
      <c r="H7" s="13">
        <v>1197110.8200000008</v>
      </c>
    </row>
    <row r="8" spans="2:8" x14ac:dyDescent="0.35">
      <c r="G8" s="5" t="s">
        <v>14</v>
      </c>
      <c r="H8" s="8">
        <v>1188262.0300000012</v>
      </c>
    </row>
    <row r="9" spans="2:8" x14ac:dyDescent="0.35">
      <c r="G9" s="5" t="s">
        <v>67</v>
      </c>
      <c r="H9" s="8">
        <v>1180976.4300000002</v>
      </c>
    </row>
    <row r="10" spans="2:8" x14ac:dyDescent="0.35">
      <c r="B10" s="1" t="s">
        <v>3869</v>
      </c>
      <c r="G10" s="5" t="s">
        <v>40</v>
      </c>
      <c r="H10" s="8">
        <v>1067194.4400000004</v>
      </c>
    </row>
    <row r="11" spans="2:8" x14ac:dyDescent="0.35">
      <c r="B11" s="3">
        <f>SUM(Tabla2[Total price])</f>
        <v>5734174.3299999889</v>
      </c>
      <c r="G11" s="5" t="s">
        <v>32</v>
      </c>
      <c r="H11" s="8">
        <v>1100630.6100000001</v>
      </c>
    </row>
    <row r="12" spans="2:8" x14ac:dyDescent="0.35">
      <c r="G12" s="5" t="s">
        <v>3871</v>
      </c>
      <c r="H12" s="8">
        <v>5734174.3300000029</v>
      </c>
    </row>
    <row r="13" spans="2:8" x14ac:dyDescent="0.35">
      <c r="H13" s="8"/>
    </row>
    <row r="14" spans="2:8" x14ac:dyDescent="0.35">
      <c r="H14" s="8"/>
    </row>
    <row r="15" spans="2:8" x14ac:dyDescent="0.35">
      <c r="H15" s="8"/>
    </row>
    <row r="16" spans="2:8" x14ac:dyDescent="0.35">
      <c r="H16" s="8"/>
    </row>
    <row r="17" spans="2:8" x14ac:dyDescent="0.35">
      <c r="B17" s="1" t="s">
        <v>3870</v>
      </c>
    </row>
    <row r="18" spans="2:8" x14ac:dyDescent="0.35">
      <c r="B18" s="3">
        <f>AVERAGE(Tabla2[Total price])</f>
        <v>2293.6697319999957</v>
      </c>
    </row>
    <row r="20" spans="2:8" x14ac:dyDescent="0.35">
      <c r="B20" s="1" t="s">
        <v>3885</v>
      </c>
    </row>
    <row r="21" spans="2:8" x14ac:dyDescent="0.35">
      <c r="B21">
        <f>AVERAGE(Tabla2[Quantity])</f>
        <v>3.0011999999999999</v>
      </c>
      <c r="G21" s="10" t="s">
        <v>3874</v>
      </c>
      <c r="H21" s="7" t="s">
        <v>3873</v>
      </c>
    </row>
    <row r="22" spans="2:8" x14ac:dyDescent="0.35">
      <c r="G22" s="5" t="s">
        <v>50</v>
      </c>
      <c r="H22" s="8">
        <v>1059078.7300000014</v>
      </c>
    </row>
    <row r="23" spans="2:8" x14ac:dyDescent="0.35">
      <c r="G23" s="12" t="s">
        <v>16</v>
      </c>
      <c r="H23" s="13">
        <v>1198872.8200000005</v>
      </c>
    </row>
    <row r="24" spans="2:8" x14ac:dyDescent="0.35">
      <c r="G24" s="5" t="s">
        <v>25</v>
      </c>
      <c r="H24" s="8">
        <v>1149979.4100000001</v>
      </c>
    </row>
    <row r="25" spans="2:8" x14ac:dyDescent="0.35">
      <c r="G25" s="5" t="s">
        <v>101</v>
      </c>
      <c r="H25" s="8">
        <v>1150623.6700000004</v>
      </c>
    </row>
    <row r="26" spans="2:8" x14ac:dyDescent="0.35">
      <c r="G26" s="5" t="s">
        <v>42</v>
      </c>
      <c r="H26" s="8">
        <v>1175619.7000000004</v>
      </c>
    </row>
    <row r="27" spans="2:8" x14ac:dyDescent="0.35">
      <c r="G27" s="5" t="s">
        <v>3871</v>
      </c>
      <c r="H27" s="8">
        <v>5734174.3300000029</v>
      </c>
    </row>
    <row r="32" spans="2:8" x14ac:dyDescent="0.35">
      <c r="G32" s="10" t="s">
        <v>3877</v>
      </c>
      <c r="H32" s="7" t="s">
        <v>3873</v>
      </c>
    </row>
    <row r="33" spans="7:8" x14ac:dyDescent="0.35">
      <c r="G33" s="12">
        <v>1</v>
      </c>
      <c r="H33" s="13">
        <v>668705.51</v>
      </c>
    </row>
    <row r="34" spans="7:8" x14ac:dyDescent="0.35">
      <c r="G34" s="5">
        <v>2</v>
      </c>
      <c r="H34" s="8">
        <v>611036.54000000015</v>
      </c>
    </row>
    <row r="35" spans="7:8" x14ac:dyDescent="0.35">
      <c r="G35" s="5">
        <v>3</v>
      </c>
      <c r="H35" s="8">
        <v>555314.80999999982</v>
      </c>
    </row>
    <row r="36" spans="7:8" x14ac:dyDescent="0.35">
      <c r="G36" s="5">
        <v>4</v>
      </c>
      <c r="H36" s="8">
        <v>420755.08000000013</v>
      </c>
    </row>
    <row r="37" spans="7:8" x14ac:dyDescent="0.35">
      <c r="G37" s="5">
        <v>5</v>
      </c>
      <c r="H37" s="8">
        <v>422627.94000000024</v>
      </c>
    </row>
    <row r="38" spans="7:8" x14ac:dyDescent="0.35">
      <c r="G38" s="5">
        <v>6</v>
      </c>
      <c r="H38" s="8">
        <v>442571.72000000015</v>
      </c>
    </row>
    <row r="39" spans="7:8" x14ac:dyDescent="0.35">
      <c r="G39" s="5">
        <v>7</v>
      </c>
      <c r="H39" s="8">
        <v>426873.06000000023</v>
      </c>
    </row>
    <row r="40" spans="7:8" x14ac:dyDescent="0.35">
      <c r="G40" s="5">
        <v>8</v>
      </c>
      <c r="H40" s="8">
        <v>419805.47000000003</v>
      </c>
    </row>
    <row r="41" spans="7:8" x14ac:dyDescent="0.35">
      <c r="G41" s="5">
        <v>9</v>
      </c>
      <c r="H41" s="8">
        <v>510687.32000000007</v>
      </c>
    </row>
    <row r="42" spans="7:8" x14ac:dyDescent="0.35">
      <c r="G42" s="5">
        <v>10</v>
      </c>
      <c r="H42" s="8">
        <v>391921.38999999996</v>
      </c>
    </row>
    <row r="43" spans="7:8" x14ac:dyDescent="0.35">
      <c r="G43" s="5">
        <v>11</v>
      </c>
      <c r="H43" s="8">
        <v>432090.72000000015</v>
      </c>
    </row>
    <row r="44" spans="7:8" x14ac:dyDescent="0.35">
      <c r="G44" s="5">
        <v>12</v>
      </c>
      <c r="H44" s="8">
        <v>431784.77000000014</v>
      </c>
    </row>
    <row r="45" spans="7:8" x14ac:dyDescent="0.35">
      <c r="G45" s="5" t="s">
        <v>3871</v>
      </c>
      <c r="H45" s="8">
        <v>5734174.330000001</v>
      </c>
    </row>
    <row r="52" spans="7:8" x14ac:dyDescent="0.35">
      <c r="G52" s="10" t="s">
        <v>3879</v>
      </c>
      <c r="H52" s="7" t="s">
        <v>3878</v>
      </c>
    </row>
    <row r="53" spans="7:8" x14ac:dyDescent="0.35">
      <c r="G53" s="5" t="s">
        <v>28</v>
      </c>
      <c r="H53" s="9">
        <v>485</v>
      </c>
    </row>
    <row r="54" spans="7:8" x14ac:dyDescent="0.35">
      <c r="G54" s="12" t="s">
        <v>36</v>
      </c>
      <c r="H54" s="14">
        <v>509</v>
      </c>
    </row>
    <row r="55" spans="7:8" x14ac:dyDescent="0.35">
      <c r="G55" s="5" t="s">
        <v>91</v>
      </c>
      <c r="H55" s="9">
        <v>505</v>
      </c>
    </row>
    <row r="56" spans="7:8" x14ac:dyDescent="0.35">
      <c r="G56" s="5" t="s">
        <v>45</v>
      </c>
      <c r="H56" s="9">
        <v>497</v>
      </c>
    </row>
    <row r="57" spans="7:8" x14ac:dyDescent="0.35">
      <c r="G57" s="5" t="s">
        <v>19</v>
      </c>
      <c r="H57" s="9">
        <v>504</v>
      </c>
    </row>
    <row r="58" spans="7:8" x14ac:dyDescent="0.35">
      <c r="G58" s="5" t="s">
        <v>3871</v>
      </c>
      <c r="H58" s="9">
        <v>2500</v>
      </c>
    </row>
    <row r="66" spans="7:8" x14ac:dyDescent="0.35">
      <c r="G66" s="4" t="s">
        <v>3880</v>
      </c>
      <c r="H66" s="11" t="s">
        <v>3873</v>
      </c>
    </row>
    <row r="67" spans="7:8" x14ac:dyDescent="0.35">
      <c r="G67" s="5">
        <v>2024</v>
      </c>
      <c r="H67" s="3">
        <v>2574323.3199999994</v>
      </c>
    </row>
    <row r="68" spans="7:8" x14ac:dyDescent="0.35">
      <c r="G68" s="15">
        <v>1</v>
      </c>
      <c r="H68" s="3">
        <v>255123.13000000006</v>
      </c>
    </row>
    <row r="69" spans="7:8" x14ac:dyDescent="0.35">
      <c r="G69" s="15">
        <v>2</v>
      </c>
      <c r="H69" s="3">
        <v>233466.57999999996</v>
      </c>
    </row>
    <row r="70" spans="7:8" x14ac:dyDescent="0.35">
      <c r="G70" s="15">
        <v>3</v>
      </c>
      <c r="H70" s="3">
        <v>158987.13999999998</v>
      </c>
    </row>
    <row r="71" spans="7:8" x14ac:dyDescent="0.35">
      <c r="G71" s="15">
        <v>4</v>
      </c>
      <c r="H71" s="3">
        <v>205501.25999999995</v>
      </c>
    </row>
    <row r="72" spans="7:8" x14ac:dyDescent="0.35">
      <c r="G72" s="15">
        <v>5</v>
      </c>
      <c r="H72" s="3">
        <v>185970.97999999992</v>
      </c>
    </row>
    <row r="73" spans="7:8" x14ac:dyDescent="0.35">
      <c r="G73" s="15">
        <v>6</v>
      </c>
      <c r="H73" s="3">
        <v>196529.36999999997</v>
      </c>
    </row>
    <row r="74" spans="7:8" x14ac:dyDescent="0.35">
      <c r="G74" s="15">
        <v>7</v>
      </c>
      <c r="H74" s="3">
        <v>210983.41</v>
      </c>
    </row>
    <row r="75" spans="7:8" x14ac:dyDescent="0.35">
      <c r="G75" s="15">
        <v>8</v>
      </c>
      <c r="H75" s="3">
        <v>218278.66</v>
      </c>
    </row>
    <row r="76" spans="7:8" x14ac:dyDescent="0.35">
      <c r="G76" s="15">
        <v>9</v>
      </c>
      <c r="H76" s="3">
        <v>288042.23999999999</v>
      </c>
    </row>
    <row r="77" spans="7:8" x14ac:dyDescent="0.35">
      <c r="G77" s="15">
        <v>10</v>
      </c>
      <c r="H77" s="3">
        <v>191273.00999999998</v>
      </c>
    </row>
    <row r="78" spans="7:8" x14ac:dyDescent="0.35">
      <c r="G78" s="15">
        <v>11</v>
      </c>
      <c r="H78" s="3">
        <v>190974.57</v>
      </c>
    </row>
    <row r="79" spans="7:8" x14ac:dyDescent="0.35">
      <c r="G79" s="15">
        <v>12</v>
      </c>
      <c r="H79" s="3">
        <v>239192.97000000003</v>
      </c>
    </row>
    <row r="80" spans="7:8" x14ac:dyDescent="0.35">
      <c r="G80" s="5">
        <v>2025</v>
      </c>
      <c r="H80" s="3">
        <v>2570533.2599999993</v>
      </c>
    </row>
    <row r="81" spans="7:8" x14ac:dyDescent="0.35">
      <c r="G81" s="15">
        <v>1</v>
      </c>
      <c r="H81" s="3">
        <v>210369.20999999996</v>
      </c>
    </row>
    <row r="82" spans="7:8" x14ac:dyDescent="0.35">
      <c r="G82" s="15">
        <v>2</v>
      </c>
      <c r="H82" s="3">
        <v>198691.41999999995</v>
      </c>
    </row>
    <row r="83" spans="7:8" x14ac:dyDescent="0.35">
      <c r="G83" s="15">
        <v>3</v>
      </c>
      <c r="H83" s="3">
        <v>199732.25999999995</v>
      </c>
    </row>
    <row r="84" spans="7:8" x14ac:dyDescent="0.35">
      <c r="G84" s="15">
        <v>4</v>
      </c>
      <c r="H84" s="3">
        <v>204623.18999999997</v>
      </c>
    </row>
    <row r="85" spans="7:8" x14ac:dyDescent="0.35">
      <c r="G85" s="15">
        <v>5</v>
      </c>
      <c r="H85" s="3">
        <v>236656.96</v>
      </c>
    </row>
    <row r="86" spans="7:8" x14ac:dyDescent="0.35">
      <c r="G86" s="15">
        <v>6</v>
      </c>
      <c r="H86" s="3">
        <v>246042.35000000003</v>
      </c>
    </row>
    <row r="87" spans="7:8" x14ac:dyDescent="0.35">
      <c r="G87" s="15">
        <v>7</v>
      </c>
      <c r="H87" s="3">
        <v>215889.64999999997</v>
      </c>
    </row>
    <row r="88" spans="7:8" x14ac:dyDescent="0.35">
      <c r="G88" s="15">
        <v>8</v>
      </c>
      <c r="H88" s="3">
        <v>201526.80999999997</v>
      </c>
    </row>
    <row r="89" spans="7:8" x14ac:dyDescent="0.35">
      <c r="G89" s="15">
        <v>9</v>
      </c>
      <c r="H89" s="3">
        <v>222645.07999999996</v>
      </c>
    </row>
    <row r="90" spans="7:8" x14ac:dyDescent="0.35">
      <c r="G90" s="15">
        <v>10</v>
      </c>
      <c r="H90" s="3">
        <v>200648.37999999989</v>
      </c>
    </row>
    <row r="91" spans="7:8" x14ac:dyDescent="0.35">
      <c r="G91" s="15">
        <v>11</v>
      </c>
      <c r="H91" s="3">
        <v>241116.15000000005</v>
      </c>
    </row>
    <row r="92" spans="7:8" x14ac:dyDescent="0.35">
      <c r="G92" s="15">
        <v>12</v>
      </c>
      <c r="H92" s="3">
        <v>192591.79999999996</v>
      </c>
    </row>
    <row r="93" spans="7:8" x14ac:dyDescent="0.35">
      <c r="G93" s="5">
        <v>2026</v>
      </c>
      <c r="H93" s="3">
        <v>589317.75</v>
      </c>
    </row>
    <row r="94" spans="7:8" x14ac:dyDescent="0.35">
      <c r="G94" s="15">
        <v>1</v>
      </c>
      <c r="H94" s="3">
        <v>203213.16999999993</v>
      </c>
    </row>
    <row r="95" spans="7:8" x14ac:dyDescent="0.35">
      <c r="G95" s="15">
        <v>2</v>
      </c>
      <c r="H95" s="3">
        <v>178878.54000000004</v>
      </c>
    </row>
    <row r="96" spans="7:8" x14ac:dyDescent="0.35">
      <c r="G96" s="15">
        <v>3</v>
      </c>
      <c r="H96" s="3">
        <v>196595.41000000006</v>
      </c>
    </row>
    <row r="97" spans="7:9" x14ac:dyDescent="0.35">
      <c r="G97" s="15">
        <v>4</v>
      </c>
      <c r="H97" s="3">
        <v>10630.63</v>
      </c>
    </row>
    <row r="98" spans="7:9" x14ac:dyDescent="0.35">
      <c r="G98" s="5" t="s">
        <v>3871</v>
      </c>
      <c r="H98" s="3">
        <v>5734174.3299999991</v>
      </c>
    </row>
    <row r="99" spans="7:9" x14ac:dyDescent="0.35">
      <c r="G99"/>
      <c r="H99"/>
    </row>
    <row r="100" spans="7:9" x14ac:dyDescent="0.35">
      <c r="G100"/>
      <c r="H100"/>
    </row>
    <row r="101" spans="7:9" x14ac:dyDescent="0.35">
      <c r="G101"/>
      <c r="H101"/>
    </row>
    <row r="102" spans="7:9" x14ac:dyDescent="0.35">
      <c r="G102"/>
      <c r="H102"/>
    </row>
    <row r="103" spans="7:9" x14ac:dyDescent="0.35">
      <c r="G103" s="4" t="s">
        <v>3892</v>
      </c>
      <c r="H103" t="s">
        <v>3894</v>
      </c>
      <c r="I103" s="28" t="s">
        <v>3893</v>
      </c>
    </row>
    <row r="104" spans="7:9" x14ac:dyDescent="0.35">
      <c r="G104" s="5" t="s">
        <v>649</v>
      </c>
      <c r="H104" s="20">
        <v>64</v>
      </c>
      <c r="I104" s="28">
        <v>143681.76000000004</v>
      </c>
    </row>
    <row r="105" spans="7:9" x14ac:dyDescent="0.35">
      <c r="G105" s="5" t="s">
        <v>102</v>
      </c>
      <c r="H105" s="20">
        <v>82</v>
      </c>
      <c r="I105" s="28">
        <v>199606.59999999995</v>
      </c>
    </row>
    <row r="106" spans="7:9" x14ac:dyDescent="0.35">
      <c r="G106" s="5" t="s">
        <v>56</v>
      </c>
      <c r="H106" s="20">
        <v>83</v>
      </c>
      <c r="I106" s="28">
        <v>193609.21</v>
      </c>
    </row>
    <row r="107" spans="7:9" x14ac:dyDescent="0.35">
      <c r="G107" s="5" t="s">
        <v>148</v>
      </c>
      <c r="H107" s="20">
        <v>90</v>
      </c>
      <c r="I107" s="28">
        <v>218925.21999999991</v>
      </c>
    </row>
    <row r="108" spans="7:9" x14ac:dyDescent="0.35">
      <c r="G108" s="5" t="s">
        <v>34</v>
      </c>
      <c r="H108" s="20">
        <v>91</v>
      </c>
      <c r="I108" s="28">
        <v>174693.23</v>
      </c>
    </row>
    <row r="109" spans="7:9" x14ac:dyDescent="0.35">
      <c r="G109" s="5" t="s">
        <v>69</v>
      </c>
      <c r="H109" s="20">
        <v>93</v>
      </c>
      <c r="I109" s="28">
        <v>210896.26</v>
      </c>
    </row>
    <row r="110" spans="7:9" x14ac:dyDescent="0.35">
      <c r="G110" s="5" t="s">
        <v>26</v>
      </c>
      <c r="H110" s="20">
        <v>97</v>
      </c>
      <c r="I110" s="28">
        <v>262070.36000000002</v>
      </c>
    </row>
    <row r="111" spans="7:9" x14ac:dyDescent="0.35">
      <c r="G111" s="5" t="s">
        <v>43</v>
      </c>
      <c r="H111" s="20">
        <v>97</v>
      </c>
      <c r="I111" s="28">
        <v>221324.5499999999</v>
      </c>
    </row>
    <row r="112" spans="7:9" x14ac:dyDescent="0.35">
      <c r="G112" s="5" t="s">
        <v>139</v>
      </c>
      <c r="H112" s="20">
        <v>98</v>
      </c>
      <c r="I112" s="28">
        <v>225506.70000000007</v>
      </c>
    </row>
    <row r="113" spans="7:9" x14ac:dyDescent="0.35">
      <c r="G113" s="5" t="s">
        <v>216</v>
      </c>
      <c r="H113" s="20">
        <v>100</v>
      </c>
      <c r="I113" s="28">
        <v>199671.63000000003</v>
      </c>
    </row>
    <row r="114" spans="7:9" x14ac:dyDescent="0.35">
      <c r="G114" s="5" t="s">
        <v>51</v>
      </c>
      <c r="H114" s="20">
        <v>100</v>
      </c>
      <c r="I114" s="28">
        <v>258675.35000000006</v>
      </c>
    </row>
    <row r="115" spans="7:9" x14ac:dyDescent="0.35">
      <c r="G115" s="5" t="s">
        <v>177</v>
      </c>
      <c r="H115" s="20">
        <v>100</v>
      </c>
      <c r="I115" s="28">
        <v>220612.31</v>
      </c>
    </row>
    <row r="116" spans="7:9" x14ac:dyDescent="0.35">
      <c r="G116" s="5" t="s">
        <v>80</v>
      </c>
      <c r="H116" s="20">
        <v>102</v>
      </c>
      <c r="I116" s="28">
        <v>223280.88999999993</v>
      </c>
    </row>
    <row r="117" spans="7:9" x14ac:dyDescent="0.35">
      <c r="G117" s="5" t="s">
        <v>230</v>
      </c>
      <c r="H117" s="20">
        <v>103</v>
      </c>
      <c r="I117" s="28">
        <v>225708.33999999997</v>
      </c>
    </row>
    <row r="118" spans="7:9" x14ac:dyDescent="0.35">
      <c r="G118" s="5" t="s">
        <v>237</v>
      </c>
      <c r="H118" s="20">
        <v>105</v>
      </c>
      <c r="I118" s="28">
        <v>209159.10000000003</v>
      </c>
    </row>
    <row r="119" spans="7:9" x14ac:dyDescent="0.35">
      <c r="G119" s="5" t="s">
        <v>17</v>
      </c>
      <c r="H119" s="20">
        <v>105</v>
      </c>
      <c r="I119" s="28">
        <v>238264.72999999989</v>
      </c>
    </row>
    <row r="120" spans="7:9" x14ac:dyDescent="0.35">
      <c r="G120" s="5" t="s">
        <v>225</v>
      </c>
      <c r="H120" s="20">
        <v>105</v>
      </c>
      <c r="I120" s="28">
        <v>250861.60999999996</v>
      </c>
    </row>
    <row r="121" spans="7:9" x14ac:dyDescent="0.35">
      <c r="G121" s="5" t="s">
        <v>74</v>
      </c>
      <c r="H121" s="20">
        <v>108</v>
      </c>
      <c r="I121" s="28">
        <v>222274.07000000012</v>
      </c>
    </row>
    <row r="122" spans="7:9" x14ac:dyDescent="0.35">
      <c r="G122" s="5" t="s">
        <v>62</v>
      </c>
      <c r="H122" s="20">
        <v>112</v>
      </c>
      <c r="I122" s="28">
        <v>265435.05000000005</v>
      </c>
    </row>
    <row r="123" spans="7:9" x14ac:dyDescent="0.35">
      <c r="G123" s="5" t="s">
        <v>89</v>
      </c>
      <c r="H123" s="20">
        <v>117</v>
      </c>
      <c r="I123" s="28">
        <v>277151.94</v>
      </c>
    </row>
    <row r="124" spans="7:9" x14ac:dyDescent="0.35">
      <c r="G124" s="5" t="s">
        <v>373</v>
      </c>
      <c r="H124" s="20">
        <v>119</v>
      </c>
      <c r="I124" s="28">
        <v>284861.94999999995</v>
      </c>
    </row>
    <row r="125" spans="7:9" x14ac:dyDescent="0.35">
      <c r="G125" s="5" t="s">
        <v>165</v>
      </c>
      <c r="H125" s="20">
        <v>123</v>
      </c>
      <c r="I125" s="28">
        <v>313314.26000000024</v>
      </c>
    </row>
    <row r="126" spans="7:9" x14ac:dyDescent="0.35">
      <c r="G126" s="5" t="s">
        <v>182</v>
      </c>
      <c r="H126" s="20">
        <v>125</v>
      </c>
      <c r="I126" s="28">
        <v>295362.22000000003</v>
      </c>
    </row>
    <row r="127" spans="7:9" x14ac:dyDescent="0.35">
      <c r="G127" s="5" t="s">
        <v>170</v>
      </c>
      <c r="H127" s="20">
        <v>181</v>
      </c>
      <c r="I127" s="28">
        <v>399226.99000000005</v>
      </c>
    </row>
    <row r="128" spans="7:9" x14ac:dyDescent="0.35">
      <c r="G128" s="5" t="s">
        <v>3871</v>
      </c>
      <c r="H128" s="20">
        <v>2500</v>
      </c>
      <c r="I128" s="28">
        <v>5734174.3299999908</v>
      </c>
    </row>
    <row r="129" spans="7:8" x14ac:dyDescent="0.35">
      <c r="G129"/>
      <c r="H129"/>
    </row>
    <row r="130" spans="7:8" x14ac:dyDescent="0.35">
      <c r="G130"/>
      <c r="H130"/>
    </row>
    <row r="131" spans="7:8" x14ac:dyDescent="0.35">
      <c r="G131"/>
      <c r="H131"/>
    </row>
    <row r="132" spans="7:8" x14ac:dyDescent="0.35">
      <c r="G132"/>
      <c r="H132"/>
    </row>
    <row r="133" spans="7:8" x14ac:dyDescent="0.35">
      <c r="G133"/>
      <c r="H133"/>
    </row>
    <row r="134" spans="7:8" x14ac:dyDescent="0.35">
      <c r="G134"/>
      <c r="H134"/>
    </row>
    <row r="135" spans="7:8" x14ac:dyDescent="0.35">
      <c r="G135"/>
      <c r="H135"/>
    </row>
    <row r="136" spans="7:8" x14ac:dyDescent="0.35">
      <c r="G136"/>
      <c r="H136"/>
    </row>
    <row r="137" spans="7:8" x14ac:dyDescent="0.35">
      <c r="G137"/>
      <c r="H137"/>
    </row>
    <row r="138" spans="7:8" x14ac:dyDescent="0.35">
      <c r="G138"/>
      <c r="H138"/>
    </row>
    <row r="139" spans="7:8" x14ac:dyDescent="0.35">
      <c r="G139"/>
      <c r="H139"/>
    </row>
    <row r="140" spans="7:8" x14ac:dyDescent="0.35">
      <c r="G140"/>
      <c r="H140"/>
    </row>
    <row r="141" spans="7:8" x14ac:dyDescent="0.35">
      <c r="G141"/>
      <c r="H141"/>
    </row>
    <row r="142" spans="7:8" x14ac:dyDescent="0.35">
      <c r="G142"/>
      <c r="H142"/>
    </row>
    <row r="143" spans="7:8" x14ac:dyDescent="0.35">
      <c r="G143"/>
      <c r="H143"/>
    </row>
    <row r="144" spans="7:8" x14ac:dyDescent="0.35">
      <c r="G144"/>
      <c r="H144"/>
    </row>
    <row r="145" spans="7:8" x14ac:dyDescent="0.35">
      <c r="G145"/>
      <c r="H145"/>
    </row>
    <row r="146" spans="7:8" x14ac:dyDescent="0.35">
      <c r="G146"/>
      <c r="H146"/>
    </row>
    <row r="147" spans="7:8" x14ac:dyDescent="0.35">
      <c r="G147"/>
      <c r="H147"/>
    </row>
    <row r="148" spans="7:8" x14ac:dyDescent="0.35">
      <c r="G148"/>
      <c r="H148"/>
    </row>
    <row r="149" spans="7:8" x14ac:dyDescent="0.35">
      <c r="G149"/>
      <c r="H149"/>
    </row>
    <row r="150" spans="7:8" x14ac:dyDescent="0.35">
      <c r="G150"/>
      <c r="H150"/>
    </row>
    <row r="151" spans="7:8" x14ac:dyDescent="0.35">
      <c r="G151"/>
      <c r="H151"/>
    </row>
    <row r="152" spans="7:8" x14ac:dyDescent="0.35">
      <c r="G152"/>
      <c r="H152"/>
    </row>
    <row r="153" spans="7:8" x14ac:dyDescent="0.35">
      <c r="G153"/>
      <c r="H153"/>
    </row>
    <row r="154" spans="7:8" x14ac:dyDescent="0.35">
      <c r="G154"/>
      <c r="H154"/>
    </row>
    <row r="155" spans="7:8" x14ac:dyDescent="0.35">
      <c r="G155"/>
      <c r="H155"/>
    </row>
    <row r="156" spans="7:8" x14ac:dyDescent="0.35">
      <c r="G156"/>
      <c r="H156"/>
    </row>
    <row r="157" spans="7:8" x14ac:dyDescent="0.35">
      <c r="G157"/>
      <c r="H157"/>
    </row>
    <row r="158" spans="7:8" x14ac:dyDescent="0.35">
      <c r="G158"/>
      <c r="H158"/>
    </row>
    <row r="159" spans="7:8" x14ac:dyDescent="0.35">
      <c r="G159"/>
      <c r="H159"/>
    </row>
    <row r="160" spans="7:8" x14ac:dyDescent="0.35">
      <c r="G160"/>
      <c r="H160"/>
    </row>
    <row r="161" spans="7:8" x14ac:dyDescent="0.35">
      <c r="G161"/>
      <c r="H161"/>
    </row>
    <row r="162" spans="7:8" x14ac:dyDescent="0.35">
      <c r="G162"/>
      <c r="H162"/>
    </row>
    <row r="163" spans="7:8" x14ac:dyDescent="0.35">
      <c r="G163"/>
      <c r="H163"/>
    </row>
    <row r="164" spans="7:8" x14ac:dyDescent="0.35">
      <c r="G164"/>
      <c r="H164"/>
    </row>
    <row r="165" spans="7:8" x14ac:dyDescent="0.35">
      <c r="G165"/>
      <c r="H165"/>
    </row>
    <row r="166" spans="7:8" x14ac:dyDescent="0.35">
      <c r="G166"/>
      <c r="H166"/>
    </row>
    <row r="167" spans="7:8" x14ac:dyDescent="0.35">
      <c r="G167"/>
      <c r="H167"/>
    </row>
    <row r="168" spans="7:8" x14ac:dyDescent="0.35">
      <c r="G168"/>
      <c r="H168"/>
    </row>
    <row r="169" spans="7:8" x14ac:dyDescent="0.35">
      <c r="G169"/>
      <c r="H169"/>
    </row>
    <row r="170" spans="7:8" x14ac:dyDescent="0.35">
      <c r="G170"/>
      <c r="H170"/>
    </row>
    <row r="171" spans="7:8" x14ac:dyDescent="0.35">
      <c r="G171"/>
      <c r="H171"/>
    </row>
    <row r="172" spans="7:8" x14ac:dyDescent="0.35">
      <c r="G172"/>
      <c r="H172"/>
    </row>
    <row r="173" spans="7:8" x14ac:dyDescent="0.35">
      <c r="G173"/>
      <c r="H173"/>
    </row>
    <row r="174" spans="7:8" x14ac:dyDescent="0.35">
      <c r="G174"/>
      <c r="H174"/>
    </row>
    <row r="175" spans="7:8" x14ac:dyDescent="0.35">
      <c r="G175"/>
      <c r="H175"/>
    </row>
    <row r="176" spans="7:8" x14ac:dyDescent="0.35">
      <c r="G176"/>
      <c r="H176"/>
    </row>
    <row r="177" spans="7:8" x14ac:dyDescent="0.35">
      <c r="G177"/>
      <c r="H177"/>
    </row>
    <row r="178" spans="7:8" x14ac:dyDescent="0.35">
      <c r="G178"/>
      <c r="H178"/>
    </row>
    <row r="179" spans="7:8" x14ac:dyDescent="0.35">
      <c r="G179"/>
      <c r="H179"/>
    </row>
    <row r="180" spans="7:8" x14ac:dyDescent="0.35">
      <c r="G180"/>
      <c r="H180"/>
    </row>
    <row r="181" spans="7:8" x14ac:dyDescent="0.35">
      <c r="G181"/>
      <c r="H181"/>
    </row>
    <row r="182" spans="7:8" x14ac:dyDescent="0.35">
      <c r="G182"/>
      <c r="H182"/>
    </row>
    <row r="183" spans="7:8" x14ac:dyDescent="0.35">
      <c r="G183"/>
      <c r="H183"/>
    </row>
    <row r="184" spans="7:8" x14ac:dyDescent="0.35">
      <c r="G184"/>
      <c r="H184"/>
    </row>
    <row r="185" spans="7:8" x14ac:dyDescent="0.35">
      <c r="G185"/>
      <c r="H185"/>
    </row>
    <row r="186" spans="7:8" x14ac:dyDescent="0.35">
      <c r="G186"/>
      <c r="H186"/>
    </row>
    <row r="187" spans="7:8" x14ac:dyDescent="0.35">
      <c r="G187"/>
      <c r="H187"/>
    </row>
    <row r="188" spans="7:8" x14ac:dyDescent="0.35">
      <c r="G188"/>
      <c r="H188"/>
    </row>
    <row r="189" spans="7:8" x14ac:dyDescent="0.35">
      <c r="G189"/>
      <c r="H189"/>
    </row>
    <row r="190" spans="7:8" x14ac:dyDescent="0.35">
      <c r="G190"/>
      <c r="H190"/>
    </row>
    <row r="191" spans="7:8" x14ac:dyDescent="0.35">
      <c r="G191"/>
      <c r="H191"/>
    </row>
    <row r="192" spans="7:8" x14ac:dyDescent="0.35">
      <c r="G192"/>
      <c r="H192"/>
    </row>
    <row r="193" spans="7:8" x14ac:dyDescent="0.35">
      <c r="G193"/>
      <c r="H193"/>
    </row>
    <row r="194" spans="7:8" x14ac:dyDescent="0.35">
      <c r="G194"/>
      <c r="H194"/>
    </row>
    <row r="195" spans="7:8" x14ac:dyDescent="0.35">
      <c r="G195"/>
      <c r="H195"/>
    </row>
    <row r="196" spans="7:8" x14ac:dyDescent="0.35">
      <c r="G196"/>
      <c r="H196"/>
    </row>
    <row r="197" spans="7:8" x14ac:dyDescent="0.35">
      <c r="G197"/>
      <c r="H197"/>
    </row>
    <row r="198" spans="7:8" x14ac:dyDescent="0.35">
      <c r="G198"/>
      <c r="H198"/>
    </row>
    <row r="199" spans="7:8" x14ac:dyDescent="0.35">
      <c r="G199"/>
      <c r="H199"/>
    </row>
    <row r="200" spans="7:8" x14ac:dyDescent="0.35">
      <c r="G200"/>
      <c r="H200"/>
    </row>
    <row r="201" spans="7:8" x14ac:dyDescent="0.35">
      <c r="G201"/>
      <c r="H201"/>
    </row>
    <row r="202" spans="7:8" x14ac:dyDescent="0.35">
      <c r="G202"/>
      <c r="H202"/>
    </row>
    <row r="203" spans="7:8" x14ac:dyDescent="0.35">
      <c r="G203"/>
      <c r="H203"/>
    </row>
    <row r="204" spans="7:8" x14ac:dyDescent="0.35">
      <c r="G204"/>
      <c r="H204"/>
    </row>
    <row r="205" spans="7:8" x14ac:dyDescent="0.35">
      <c r="G205"/>
      <c r="H205"/>
    </row>
    <row r="206" spans="7:8" x14ac:dyDescent="0.35">
      <c r="G206"/>
      <c r="H206"/>
    </row>
    <row r="207" spans="7:8" x14ac:dyDescent="0.35">
      <c r="G207"/>
      <c r="H207"/>
    </row>
    <row r="208" spans="7:8" x14ac:dyDescent="0.35">
      <c r="G208"/>
      <c r="H208"/>
    </row>
    <row r="209" spans="7:8" x14ac:dyDescent="0.35">
      <c r="G209"/>
      <c r="H209"/>
    </row>
    <row r="210" spans="7:8" x14ac:dyDescent="0.35">
      <c r="G210"/>
      <c r="H210"/>
    </row>
    <row r="211" spans="7:8" x14ac:dyDescent="0.35">
      <c r="G211"/>
      <c r="H211"/>
    </row>
    <row r="212" spans="7:8" x14ac:dyDescent="0.35">
      <c r="G212"/>
      <c r="H212"/>
    </row>
    <row r="213" spans="7:8" x14ac:dyDescent="0.35">
      <c r="G213"/>
      <c r="H213"/>
    </row>
    <row r="214" spans="7:8" x14ac:dyDescent="0.35">
      <c r="G214"/>
      <c r="H214"/>
    </row>
    <row r="215" spans="7:8" x14ac:dyDescent="0.35">
      <c r="G215"/>
      <c r="H215"/>
    </row>
    <row r="216" spans="7:8" x14ac:dyDescent="0.35">
      <c r="G216"/>
      <c r="H216"/>
    </row>
    <row r="217" spans="7:8" x14ac:dyDescent="0.35">
      <c r="G217"/>
      <c r="H217"/>
    </row>
    <row r="218" spans="7:8" x14ac:dyDescent="0.35">
      <c r="G218"/>
      <c r="H218"/>
    </row>
    <row r="219" spans="7:8" x14ac:dyDescent="0.35">
      <c r="G219"/>
      <c r="H219"/>
    </row>
    <row r="220" spans="7:8" x14ac:dyDescent="0.35">
      <c r="G220"/>
      <c r="H220"/>
    </row>
    <row r="221" spans="7:8" x14ac:dyDescent="0.35">
      <c r="G221"/>
      <c r="H221"/>
    </row>
    <row r="222" spans="7:8" x14ac:dyDescent="0.35">
      <c r="G222"/>
      <c r="H222"/>
    </row>
    <row r="223" spans="7:8" x14ac:dyDescent="0.35">
      <c r="G223"/>
      <c r="H223"/>
    </row>
    <row r="224" spans="7:8" x14ac:dyDescent="0.35">
      <c r="G224"/>
      <c r="H224"/>
    </row>
    <row r="225" spans="7:8" x14ac:dyDescent="0.35">
      <c r="G225"/>
      <c r="H225"/>
    </row>
    <row r="226" spans="7:8" x14ac:dyDescent="0.35">
      <c r="G226"/>
      <c r="H226"/>
    </row>
    <row r="227" spans="7:8" x14ac:dyDescent="0.35">
      <c r="G227"/>
      <c r="H227"/>
    </row>
    <row r="228" spans="7:8" x14ac:dyDescent="0.35">
      <c r="G228"/>
      <c r="H228"/>
    </row>
    <row r="229" spans="7:8" x14ac:dyDescent="0.35">
      <c r="G229"/>
      <c r="H229"/>
    </row>
    <row r="230" spans="7:8" x14ac:dyDescent="0.35">
      <c r="G230"/>
      <c r="H230"/>
    </row>
    <row r="231" spans="7:8" x14ac:dyDescent="0.35">
      <c r="G231"/>
      <c r="H231"/>
    </row>
    <row r="232" spans="7:8" x14ac:dyDescent="0.35">
      <c r="G232"/>
      <c r="H232"/>
    </row>
    <row r="233" spans="7:8" x14ac:dyDescent="0.35">
      <c r="G233"/>
      <c r="H233"/>
    </row>
    <row r="234" spans="7:8" x14ac:dyDescent="0.35">
      <c r="G234"/>
      <c r="H234"/>
    </row>
    <row r="235" spans="7:8" x14ac:dyDescent="0.35">
      <c r="G235"/>
      <c r="H235"/>
    </row>
    <row r="236" spans="7:8" x14ac:dyDescent="0.35">
      <c r="G236"/>
      <c r="H236"/>
    </row>
    <row r="237" spans="7:8" x14ac:dyDescent="0.35">
      <c r="G237"/>
      <c r="H237"/>
    </row>
    <row r="238" spans="7:8" x14ac:dyDescent="0.35">
      <c r="G238"/>
      <c r="H238"/>
    </row>
    <row r="239" spans="7:8" x14ac:dyDescent="0.35">
      <c r="G239"/>
      <c r="H239"/>
    </row>
    <row r="240" spans="7:8" x14ac:dyDescent="0.35">
      <c r="G240"/>
      <c r="H240"/>
    </row>
    <row r="241" spans="7:8" x14ac:dyDescent="0.35">
      <c r="G241"/>
      <c r="H241"/>
    </row>
    <row r="242" spans="7:8" x14ac:dyDescent="0.35">
      <c r="G242"/>
      <c r="H242"/>
    </row>
    <row r="243" spans="7:8" x14ac:dyDescent="0.35">
      <c r="G243"/>
      <c r="H243"/>
    </row>
    <row r="244" spans="7:8" x14ac:dyDescent="0.35">
      <c r="G244"/>
      <c r="H244"/>
    </row>
    <row r="245" spans="7:8" x14ac:dyDescent="0.35">
      <c r="G245"/>
      <c r="H245"/>
    </row>
    <row r="246" spans="7:8" x14ac:dyDescent="0.35">
      <c r="G246"/>
      <c r="H246"/>
    </row>
    <row r="247" spans="7:8" x14ac:dyDescent="0.35">
      <c r="G247"/>
      <c r="H247"/>
    </row>
    <row r="248" spans="7:8" x14ac:dyDescent="0.35">
      <c r="G248"/>
      <c r="H248"/>
    </row>
    <row r="249" spans="7:8" x14ac:dyDescent="0.35">
      <c r="G249"/>
      <c r="H249"/>
    </row>
    <row r="250" spans="7:8" x14ac:dyDescent="0.35">
      <c r="G250"/>
      <c r="H250"/>
    </row>
    <row r="251" spans="7:8" x14ac:dyDescent="0.35">
      <c r="G251"/>
      <c r="H251"/>
    </row>
    <row r="252" spans="7:8" x14ac:dyDescent="0.35">
      <c r="G252"/>
      <c r="H252"/>
    </row>
    <row r="253" spans="7:8" x14ac:dyDescent="0.35">
      <c r="G253"/>
      <c r="H253"/>
    </row>
    <row r="254" spans="7:8" x14ac:dyDescent="0.35">
      <c r="G254"/>
      <c r="H254"/>
    </row>
    <row r="255" spans="7:8" x14ac:dyDescent="0.35">
      <c r="G255"/>
      <c r="H255"/>
    </row>
    <row r="256" spans="7:8" x14ac:dyDescent="0.35">
      <c r="G256"/>
      <c r="H256"/>
    </row>
    <row r="257" spans="7:8" x14ac:dyDescent="0.35">
      <c r="G257"/>
      <c r="H257"/>
    </row>
    <row r="258" spans="7:8" x14ac:dyDescent="0.35">
      <c r="G258"/>
      <c r="H258"/>
    </row>
    <row r="259" spans="7:8" x14ac:dyDescent="0.35">
      <c r="G259"/>
      <c r="H259"/>
    </row>
    <row r="260" spans="7:8" x14ac:dyDescent="0.35">
      <c r="G260"/>
      <c r="H260"/>
    </row>
    <row r="261" spans="7:8" x14ac:dyDescent="0.35">
      <c r="G261"/>
      <c r="H261"/>
    </row>
    <row r="262" spans="7:8" x14ac:dyDescent="0.35">
      <c r="G262"/>
      <c r="H262"/>
    </row>
    <row r="263" spans="7:8" x14ac:dyDescent="0.35">
      <c r="G263"/>
      <c r="H263"/>
    </row>
    <row r="264" spans="7:8" x14ac:dyDescent="0.35">
      <c r="G264"/>
      <c r="H264"/>
    </row>
    <row r="265" spans="7:8" x14ac:dyDescent="0.35">
      <c r="G265"/>
      <c r="H265"/>
    </row>
    <row r="266" spans="7:8" x14ac:dyDescent="0.35">
      <c r="G266"/>
      <c r="H266"/>
    </row>
    <row r="267" spans="7:8" x14ac:dyDescent="0.35">
      <c r="G267"/>
      <c r="H267"/>
    </row>
    <row r="268" spans="7:8" x14ac:dyDescent="0.35">
      <c r="G268"/>
      <c r="H268"/>
    </row>
    <row r="269" spans="7:8" x14ac:dyDescent="0.35">
      <c r="G269"/>
      <c r="H269"/>
    </row>
    <row r="270" spans="7:8" x14ac:dyDescent="0.35">
      <c r="G270"/>
      <c r="H270"/>
    </row>
    <row r="271" spans="7:8" x14ac:dyDescent="0.35">
      <c r="G271"/>
      <c r="H271"/>
    </row>
    <row r="272" spans="7:8" x14ac:dyDescent="0.35">
      <c r="G272"/>
      <c r="H272"/>
    </row>
    <row r="273" spans="7:8" x14ac:dyDescent="0.35">
      <c r="G273"/>
      <c r="H273"/>
    </row>
    <row r="274" spans="7:8" x14ac:dyDescent="0.35">
      <c r="G274"/>
      <c r="H274"/>
    </row>
    <row r="275" spans="7:8" x14ac:dyDescent="0.35">
      <c r="G275"/>
      <c r="H275"/>
    </row>
    <row r="276" spans="7:8" x14ac:dyDescent="0.35">
      <c r="G276"/>
      <c r="H276"/>
    </row>
    <row r="277" spans="7:8" x14ac:dyDescent="0.35">
      <c r="G277"/>
      <c r="H277"/>
    </row>
    <row r="278" spans="7:8" x14ac:dyDescent="0.35">
      <c r="G278"/>
      <c r="H278"/>
    </row>
    <row r="279" spans="7:8" x14ac:dyDescent="0.35">
      <c r="G279"/>
      <c r="H279"/>
    </row>
    <row r="280" spans="7:8" x14ac:dyDescent="0.35">
      <c r="G280"/>
      <c r="H280"/>
    </row>
    <row r="281" spans="7:8" x14ac:dyDescent="0.35">
      <c r="G281"/>
      <c r="H281"/>
    </row>
    <row r="282" spans="7:8" x14ac:dyDescent="0.35">
      <c r="G282"/>
      <c r="H282"/>
    </row>
    <row r="283" spans="7:8" x14ac:dyDescent="0.35">
      <c r="G283"/>
      <c r="H283"/>
    </row>
    <row r="284" spans="7:8" x14ac:dyDescent="0.35">
      <c r="G284"/>
      <c r="H284"/>
    </row>
    <row r="285" spans="7:8" x14ac:dyDescent="0.35">
      <c r="G285"/>
      <c r="H285"/>
    </row>
    <row r="286" spans="7:8" x14ac:dyDescent="0.35">
      <c r="G286"/>
      <c r="H286"/>
    </row>
    <row r="287" spans="7:8" x14ac:dyDescent="0.35">
      <c r="G287"/>
      <c r="H287"/>
    </row>
    <row r="288" spans="7:8" x14ac:dyDescent="0.35">
      <c r="G288"/>
      <c r="H288"/>
    </row>
    <row r="289" spans="7:8" x14ac:dyDescent="0.35">
      <c r="G289"/>
      <c r="H289"/>
    </row>
    <row r="290" spans="7:8" x14ac:dyDescent="0.35">
      <c r="G290"/>
      <c r="H290"/>
    </row>
    <row r="291" spans="7:8" x14ac:dyDescent="0.35">
      <c r="G291"/>
      <c r="H291"/>
    </row>
    <row r="292" spans="7:8" x14ac:dyDescent="0.35">
      <c r="G292"/>
      <c r="H292"/>
    </row>
    <row r="293" spans="7:8" x14ac:dyDescent="0.35">
      <c r="G293"/>
      <c r="H293"/>
    </row>
    <row r="294" spans="7:8" x14ac:dyDescent="0.35">
      <c r="G294"/>
      <c r="H294"/>
    </row>
    <row r="295" spans="7:8" x14ac:dyDescent="0.35">
      <c r="G295"/>
      <c r="H295"/>
    </row>
    <row r="296" spans="7:8" x14ac:dyDescent="0.35">
      <c r="G296"/>
      <c r="H296"/>
    </row>
    <row r="297" spans="7:8" x14ac:dyDescent="0.35">
      <c r="G297"/>
      <c r="H297"/>
    </row>
    <row r="298" spans="7:8" x14ac:dyDescent="0.35">
      <c r="G298"/>
      <c r="H298"/>
    </row>
    <row r="299" spans="7:8" x14ac:dyDescent="0.35">
      <c r="G299"/>
      <c r="H299"/>
    </row>
    <row r="300" spans="7:8" x14ac:dyDescent="0.35">
      <c r="G300"/>
      <c r="H300"/>
    </row>
    <row r="301" spans="7:8" x14ac:dyDescent="0.35">
      <c r="G301"/>
      <c r="H301"/>
    </row>
    <row r="302" spans="7:8" x14ac:dyDescent="0.35">
      <c r="G302"/>
      <c r="H302"/>
    </row>
    <row r="303" spans="7:8" x14ac:dyDescent="0.35">
      <c r="G303"/>
      <c r="H303"/>
    </row>
    <row r="304" spans="7:8" x14ac:dyDescent="0.35">
      <c r="G304"/>
      <c r="H304"/>
    </row>
    <row r="305" spans="7:8" x14ac:dyDescent="0.35">
      <c r="G305"/>
      <c r="H305"/>
    </row>
    <row r="306" spans="7:8" x14ac:dyDescent="0.35">
      <c r="G306"/>
      <c r="H306"/>
    </row>
    <row r="307" spans="7:8" x14ac:dyDescent="0.35">
      <c r="G307"/>
      <c r="H307"/>
    </row>
    <row r="308" spans="7:8" x14ac:dyDescent="0.35">
      <c r="G308"/>
      <c r="H308"/>
    </row>
    <row r="309" spans="7:8" x14ac:dyDescent="0.35">
      <c r="G309"/>
      <c r="H309"/>
    </row>
    <row r="310" spans="7:8" x14ac:dyDescent="0.35">
      <c r="G310"/>
      <c r="H310"/>
    </row>
    <row r="311" spans="7:8" x14ac:dyDescent="0.35">
      <c r="G311"/>
      <c r="H311"/>
    </row>
    <row r="312" spans="7:8" x14ac:dyDescent="0.35">
      <c r="G312"/>
      <c r="H312"/>
    </row>
    <row r="313" spans="7:8" x14ac:dyDescent="0.35">
      <c r="G313"/>
      <c r="H313"/>
    </row>
    <row r="314" spans="7:8" x14ac:dyDescent="0.35">
      <c r="G314"/>
      <c r="H314"/>
    </row>
    <row r="315" spans="7:8" x14ac:dyDescent="0.35">
      <c r="G315"/>
      <c r="H315"/>
    </row>
    <row r="316" spans="7:8" x14ac:dyDescent="0.35">
      <c r="G316"/>
      <c r="H316"/>
    </row>
    <row r="317" spans="7:8" x14ac:dyDescent="0.35">
      <c r="G317"/>
      <c r="H317"/>
    </row>
    <row r="318" spans="7:8" x14ac:dyDescent="0.35">
      <c r="G318"/>
      <c r="H318"/>
    </row>
    <row r="319" spans="7:8" x14ac:dyDescent="0.35">
      <c r="G319"/>
      <c r="H319"/>
    </row>
    <row r="320" spans="7:8" x14ac:dyDescent="0.35">
      <c r="G320"/>
      <c r="H320"/>
    </row>
    <row r="321" spans="7:8" x14ac:dyDescent="0.35">
      <c r="G321"/>
      <c r="H321"/>
    </row>
    <row r="322" spans="7:8" x14ac:dyDescent="0.35">
      <c r="G322"/>
      <c r="H322"/>
    </row>
    <row r="323" spans="7:8" x14ac:dyDescent="0.35">
      <c r="G323"/>
      <c r="H323"/>
    </row>
    <row r="324" spans="7:8" x14ac:dyDescent="0.35">
      <c r="G324"/>
      <c r="H324"/>
    </row>
    <row r="325" spans="7:8" x14ac:dyDescent="0.35">
      <c r="G325"/>
      <c r="H325"/>
    </row>
    <row r="326" spans="7:8" x14ac:dyDescent="0.35">
      <c r="G326"/>
      <c r="H326"/>
    </row>
    <row r="327" spans="7:8" x14ac:dyDescent="0.35">
      <c r="G327"/>
      <c r="H327"/>
    </row>
    <row r="328" spans="7:8" x14ac:dyDescent="0.35">
      <c r="G328"/>
      <c r="H328"/>
    </row>
    <row r="329" spans="7:8" x14ac:dyDescent="0.35">
      <c r="G329"/>
      <c r="H329"/>
    </row>
    <row r="330" spans="7:8" x14ac:dyDescent="0.35">
      <c r="G330"/>
      <c r="H330"/>
    </row>
    <row r="331" spans="7:8" x14ac:dyDescent="0.35">
      <c r="G331"/>
      <c r="H331"/>
    </row>
    <row r="332" spans="7:8" x14ac:dyDescent="0.35">
      <c r="G332"/>
      <c r="H332"/>
    </row>
    <row r="333" spans="7:8" x14ac:dyDescent="0.35">
      <c r="G333"/>
      <c r="H333"/>
    </row>
    <row r="334" spans="7:8" x14ac:dyDescent="0.35">
      <c r="G334"/>
      <c r="H334"/>
    </row>
    <row r="335" spans="7:8" x14ac:dyDescent="0.35">
      <c r="G335"/>
      <c r="H335"/>
    </row>
    <row r="336" spans="7:8" x14ac:dyDescent="0.35">
      <c r="G336"/>
      <c r="H336"/>
    </row>
    <row r="337" spans="7:8" x14ac:dyDescent="0.35">
      <c r="G337"/>
      <c r="H337"/>
    </row>
    <row r="338" spans="7:8" x14ac:dyDescent="0.35">
      <c r="G338"/>
      <c r="H338"/>
    </row>
    <row r="339" spans="7:8" x14ac:dyDescent="0.35">
      <c r="G339"/>
      <c r="H339"/>
    </row>
    <row r="340" spans="7:8" x14ac:dyDescent="0.35">
      <c r="G340"/>
      <c r="H340"/>
    </row>
    <row r="341" spans="7:8" x14ac:dyDescent="0.35">
      <c r="G341"/>
      <c r="H341"/>
    </row>
    <row r="342" spans="7:8" x14ac:dyDescent="0.35">
      <c r="G342"/>
      <c r="H342"/>
    </row>
    <row r="343" spans="7:8" x14ac:dyDescent="0.35">
      <c r="G343"/>
      <c r="H343"/>
    </row>
    <row r="344" spans="7:8" x14ac:dyDescent="0.35">
      <c r="G344"/>
      <c r="H344"/>
    </row>
    <row r="345" spans="7:8" x14ac:dyDescent="0.35">
      <c r="G345"/>
      <c r="H345"/>
    </row>
    <row r="346" spans="7:8" x14ac:dyDescent="0.35">
      <c r="G346"/>
      <c r="H346"/>
    </row>
    <row r="347" spans="7:8" x14ac:dyDescent="0.35">
      <c r="G347"/>
      <c r="H347"/>
    </row>
    <row r="348" spans="7:8" x14ac:dyDescent="0.35">
      <c r="G348"/>
      <c r="H348"/>
    </row>
    <row r="349" spans="7:8" x14ac:dyDescent="0.35">
      <c r="G349"/>
      <c r="H349"/>
    </row>
    <row r="350" spans="7:8" x14ac:dyDescent="0.35">
      <c r="G350"/>
      <c r="H350"/>
    </row>
    <row r="351" spans="7:8" x14ac:dyDescent="0.35">
      <c r="G351"/>
      <c r="H351"/>
    </row>
    <row r="352" spans="7:8" x14ac:dyDescent="0.35">
      <c r="G352"/>
      <c r="H352"/>
    </row>
    <row r="353" spans="7:8" x14ac:dyDescent="0.35">
      <c r="G353"/>
      <c r="H353"/>
    </row>
    <row r="354" spans="7:8" x14ac:dyDescent="0.35">
      <c r="G354"/>
      <c r="H354"/>
    </row>
    <row r="355" spans="7:8" x14ac:dyDescent="0.35">
      <c r="G355"/>
      <c r="H355"/>
    </row>
    <row r="356" spans="7:8" x14ac:dyDescent="0.35">
      <c r="G356"/>
      <c r="H356"/>
    </row>
    <row r="357" spans="7:8" x14ac:dyDescent="0.35">
      <c r="G357"/>
      <c r="H357"/>
    </row>
    <row r="358" spans="7:8" x14ac:dyDescent="0.35">
      <c r="G358"/>
      <c r="H358"/>
    </row>
    <row r="359" spans="7:8" x14ac:dyDescent="0.35">
      <c r="G359"/>
      <c r="H359"/>
    </row>
    <row r="360" spans="7:8" x14ac:dyDescent="0.35">
      <c r="G360"/>
      <c r="H360"/>
    </row>
    <row r="361" spans="7:8" x14ac:dyDescent="0.35">
      <c r="G361"/>
      <c r="H361"/>
    </row>
    <row r="362" spans="7:8" x14ac:dyDescent="0.35">
      <c r="G362"/>
      <c r="H362"/>
    </row>
    <row r="363" spans="7:8" x14ac:dyDescent="0.35">
      <c r="G363"/>
      <c r="H363"/>
    </row>
    <row r="364" spans="7:8" x14ac:dyDescent="0.35">
      <c r="G364"/>
      <c r="H364"/>
    </row>
    <row r="365" spans="7:8" x14ac:dyDescent="0.35">
      <c r="G365"/>
      <c r="H365"/>
    </row>
    <row r="366" spans="7:8" x14ac:dyDescent="0.35">
      <c r="G366"/>
      <c r="H366"/>
    </row>
    <row r="367" spans="7:8" x14ac:dyDescent="0.35">
      <c r="G367"/>
      <c r="H367"/>
    </row>
    <row r="368" spans="7:8" x14ac:dyDescent="0.35">
      <c r="G368"/>
      <c r="H368"/>
    </row>
    <row r="369" spans="7:8" x14ac:dyDescent="0.35">
      <c r="G369"/>
      <c r="H369"/>
    </row>
    <row r="370" spans="7:8" x14ac:dyDescent="0.35">
      <c r="G370"/>
      <c r="H370"/>
    </row>
    <row r="371" spans="7:8" x14ac:dyDescent="0.35">
      <c r="G371"/>
      <c r="H371"/>
    </row>
    <row r="372" spans="7:8" x14ac:dyDescent="0.35">
      <c r="G372"/>
      <c r="H372"/>
    </row>
    <row r="373" spans="7:8" x14ac:dyDescent="0.35">
      <c r="G373"/>
      <c r="H373"/>
    </row>
    <row r="374" spans="7:8" x14ac:dyDescent="0.35">
      <c r="G374"/>
      <c r="H374"/>
    </row>
    <row r="375" spans="7:8" x14ac:dyDescent="0.35">
      <c r="G375"/>
      <c r="H375"/>
    </row>
    <row r="376" spans="7:8" x14ac:dyDescent="0.35">
      <c r="G376"/>
      <c r="H376"/>
    </row>
    <row r="377" spans="7:8" x14ac:dyDescent="0.35">
      <c r="G377"/>
      <c r="H377"/>
    </row>
    <row r="378" spans="7:8" x14ac:dyDescent="0.35">
      <c r="G378"/>
      <c r="H378"/>
    </row>
    <row r="379" spans="7:8" x14ac:dyDescent="0.35">
      <c r="G379"/>
      <c r="H379"/>
    </row>
    <row r="380" spans="7:8" x14ac:dyDescent="0.35">
      <c r="G380"/>
      <c r="H380"/>
    </row>
    <row r="381" spans="7:8" x14ac:dyDescent="0.35">
      <c r="G381"/>
      <c r="H381"/>
    </row>
    <row r="382" spans="7:8" x14ac:dyDescent="0.35">
      <c r="G382"/>
      <c r="H382"/>
    </row>
    <row r="383" spans="7:8" x14ac:dyDescent="0.35">
      <c r="G383"/>
      <c r="H383"/>
    </row>
    <row r="384" spans="7:8" x14ac:dyDescent="0.35">
      <c r="G384"/>
      <c r="H384"/>
    </row>
    <row r="385" spans="7:8" x14ac:dyDescent="0.35">
      <c r="G385"/>
      <c r="H385"/>
    </row>
    <row r="386" spans="7:8" x14ac:dyDescent="0.35">
      <c r="G386"/>
      <c r="H386"/>
    </row>
    <row r="387" spans="7:8" x14ac:dyDescent="0.35">
      <c r="G387"/>
      <c r="H387"/>
    </row>
    <row r="388" spans="7:8" x14ac:dyDescent="0.35">
      <c r="G388"/>
      <c r="H388"/>
    </row>
    <row r="389" spans="7:8" x14ac:dyDescent="0.35">
      <c r="G389"/>
      <c r="H389"/>
    </row>
    <row r="390" spans="7:8" x14ac:dyDescent="0.35">
      <c r="G390"/>
      <c r="H390"/>
    </row>
    <row r="391" spans="7:8" x14ac:dyDescent="0.35">
      <c r="G391"/>
      <c r="H391"/>
    </row>
    <row r="392" spans="7:8" x14ac:dyDescent="0.35">
      <c r="G392"/>
      <c r="H392"/>
    </row>
    <row r="393" spans="7:8" x14ac:dyDescent="0.35">
      <c r="G393"/>
      <c r="H393"/>
    </row>
    <row r="394" spans="7:8" x14ac:dyDescent="0.35">
      <c r="G394"/>
      <c r="H394"/>
    </row>
    <row r="395" spans="7:8" x14ac:dyDescent="0.35">
      <c r="G395"/>
      <c r="H395"/>
    </row>
    <row r="396" spans="7:8" x14ac:dyDescent="0.35">
      <c r="G396"/>
      <c r="H396"/>
    </row>
    <row r="397" spans="7:8" x14ac:dyDescent="0.35">
      <c r="G397"/>
      <c r="H397"/>
    </row>
    <row r="398" spans="7:8" x14ac:dyDescent="0.35">
      <c r="G398"/>
      <c r="H398"/>
    </row>
    <row r="399" spans="7:8" x14ac:dyDescent="0.35">
      <c r="G399"/>
      <c r="H399"/>
    </row>
    <row r="400" spans="7:8" x14ac:dyDescent="0.35">
      <c r="G400"/>
      <c r="H400"/>
    </row>
    <row r="401" spans="7:8" x14ac:dyDescent="0.35">
      <c r="G401"/>
      <c r="H401"/>
    </row>
    <row r="402" spans="7:8" x14ac:dyDescent="0.35">
      <c r="G402"/>
      <c r="H402"/>
    </row>
    <row r="403" spans="7:8" x14ac:dyDescent="0.35">
      <c r="G403"/>
      <c r="H403"/>
    </row>
    <row r="404" spans="7:8" x14ac:dyDescent="0.35">
      <c r="G404"/>
      <c r="H404"/>
    </row>
    <row r="405" spans="7:8" x14ac:dyDescent="0.35">
      <c r="G405"/>
      <c r="H405"/>
    </row>
    <row r="406" spans="7:8" x14ac:dyDescent="0.35">
      <c r="G406"/>
      <c r="H406"/>
    </row>
    <row r="407" spans="7:8" x14ac:dyDescent="0.35">
      <c r="G407"/>
      <c r="H407"/>
    </row>
    <row r="408" spans="7:8" x14ac:dyDescent="0.35">
      <c r="G408"/>
      <c r="H408"/>
    </row>
    <row r="409" spans="7:8" x14ac:dyDescent="0.35">
      <c r="G409"/>
      <c r="H409"/>
    </row>
    <row r="410" spans="7:8" x14ac:dyDescent="0.35">
      <c r="G410"/>
      <c r="H410"/>
    </row>
    <row r="411" spans="7:8" x14ac:dyDescent="0.35">
      <c r="G411"/>
      <c r="H411"/>
    </row>
    <row r="412" spans="7:8" x14ac:dyDescent="0.35">
      <c r="G412"/>
      <c r="H412"/>
    </row>
    <row r="413" spans="7:8" x14ac:dyDescent="0.35">
      <c r="G413"/>
      <c r="H413"/>
    </row>
    <row r="414" spans="7:8" x14ac:dyDescent="0.35">
      <c r="G414"/>
      <c r="H414"/>
    </row>
    <row r="415" spans="7:8" x14ac:dyDescent="0.35">
      <c r="G415"/>
      <c r="H415"/>
    </row>
    <row r="416" spans="7:8" x14ac:dyDescent="0.35">
      <c r="G416"/>
      <c r="H416"/>
    </row>
    <row r="417" spans="7:8" x14ac:dyDescent="0.35">
      <c r="G417"/>
      <c r="H417"/>
    </row>
    <row r="418" spans="7:8" x14ac:dyDescent="0.35">
      <c r="G418"/>
      <c r="H418"/>
    </row>
    <row r="419" spans="7:8" x14ac:dyDescent="0.35">
      <c r="G419"/>
      <c r="H419"/>
    </row>
    <row r="420" spans="7:8" x14ac:dyDescent="0.35">
      <c r="G420"/>
      <c r="H420"/>
    </row>
    <row r="421" spans="7:8" x14ac:dyDescent="0.35">
      <c r="G421"/>
      <c r="H421"/>
    </row>
    <row r="422" spans="7:8" x14ac:dyDescent="0.35">
      <c r="G422"/>
      <c r="H422"/>
    </row>
    <row r="423" spans="7:8" x14ac:dyDescent="0.35">
      <c r="G423"/>
      <c r="H423"/>
    </row>
    <row r="424" spans="7:8" x14ac:dyDescent="0.35">
      <c r="G424"/>
      <c r="H424"/>
    </row>
    <row r="425" spans="7:8" x14ac:dyDescent="0.35">
      <c r="G425"/>
      <c r="H425"/>
    </row>
    <row r="426" spans="7:8" x14ac:dyDescent="0.35">
      <c r="G426"/>
      <c r="H426"/>
    </row>
    <row r="427" spans="7:8" x14ac:dyDescent="0.35">
      <c r="G427"/>
      <c r="H427"/>
    </row>
    <row r="428" spans="7:8" x14ac:dyDescent="0.35">
      <c r="G428"/>
      <c r="H428"/>
    </row>
    <row r="429" spans="7:8" x14ac:dyDescent="0.35">
      <c r="G429"/>
      <c r="H429"/>
    </row>
    <row r="430" spans="7:8" x14ac:dyDescent="0.35">
      <c r="G430"/>
      <c r="H430"/>
    </row>
    <row r="431" spans="7:8" x14ac:dyDescent="0.35">
      <c r="G431"/>
      <c r="H431"/>
    </row>
    <row r="432" spans="7:8" x14ac:dyDescent="0.35">
      <c r="G432"/>
      <c r="H432"/>
    </row>
    <row r="433" spans="7:8" x14ac:dyDescent="0.35">
      <c r="G433"/>
      <c r="H433"/>
    </row>
    <row r="434" spans="7:8" x14ac:dyDescent="0.35">
      <c r="G434"/>
      <c r="H434"/>
    </row>
    <row r="435" spans="7:8" x14ac:dyDescent="0.35">
      <c r="G435"/>
      <c r="H435"/>
    </row>
    <row r="436" spans="7:8" x14ac:dyDescent="0.35">
      <c r="G436"/>
      <c r="H436"/>
    </row>
    <row r="437" spans="7:8" x14ac:dyDescent="0.35">
      <c r="G437"/>
      <c r="H437"/>
    </row>
    <row r="438" spans="7:8" x14ac:dyDescent="0.35">
      <c r="G438"/>
      <c r="H438"/>
    </row>
    <row r="439" spans="7:8" x14ac:dyDescent="0.35">
      <c r="G439"/>
      <c r="H439"/>
    </row>
    <row r="440" spans="7:8" x14ac:dyDescent="0.35">
      <c r="G440"/>
      <c r="H440"/>
    </row>
    <row r="441" spans="7:8" x14ac:dyDescent="0.35">
      <c r="G441"/>
      <c r="H441"/>
    </row>
    <row r="442" spans="7:8" x14ac:dyDescent="0.35">
      <c r="G442"/>
      <c r="H442"/>
    </row>
    <row r="443" spans="7:8" x14ac:dyDescent="0.35">
      <c r="G443"/>
      <c r="H443"/>
    </row>
    <row r="444" spans="7:8" x14ac:dyDescent="0.35">
      <c r="G444"/>
      <c r="H444"/>
    </row>
    <row r="445" spans="7:8" x14ac:dyDescent="0.35">
      <c r="G445"/>
      <c r="H445"/>
    </row>
    <row r="446" spans="7:8" x14ac:dyDescent="0.35">
      <c r="G446"/>
      <c r="H446"/>
    </row>
    <row r="447" spans="7:8" x14ac:dyDescent="0.35">
      <c r="G447"/>
      <c r="H447"/>
    </row>
    <row r="448" spans="7:8" x14ac:dyDescent="0.35">
      <c r="G448"/>
      <c r="H448"/>
    </row>
    <row r="449" spans="7:8" x14ac:dyDescent="0.35">
      <c r="G449"/>
      <c r="H449"/>
    </row>
    <row r="450" spans="7:8" x14ac:dyDescent="0.35">
      <c r="G450"/>
      <c r="H450"/>
    </row>
    <row r="451" spans="7:8" x14ac:dyDescent="0.35">
      <c r="G451"/>
      <c r="H451"/>
    </row>
    <row r="452" spans="7:8" x14ac:dyDescent="0.35">
      <c r="G452"/>
      <c r="H452"/>
    </row>
    <row r="453" spans="7:8" x14ac:dyDescent="0.35">
      <c r="G453"/>
      <c r="H453"/>
    </row>
    <row r="454" spans="7:8" x14ac:dyDescent="0.35">
      <c r="G454"/>
      <c r="H454"/>
    </row>
    <row r="455" spans="7:8" x14ac:dyDescent="0.35">
      <c r="G455"/>
      <c r="H455"/>
    </row>
    <row r="456" spans="7:8" x14ac:dyDescent="0.35">
      <c r="G456"/>
      <c r="H456"/>
    </row>
    <row r="457" spans="7:8" x14ac:dyDescent="0.35">
      <c r="G457"/>
      <c r="H457"/>
    </row>
    <row r="458" spans="7:8" x14ac:dyDescent="0.35">
      <c r="G458"/>
      <c r="H458"/>
    </row>
    <row r="459" spans="7:8" x14ac:dyDescent="0.35">
      <c r="G459"/>
      <c r="H459"/>
    </row>
    <row r="460" spans="7:8" x14ac:dyDescent="0.35">
      <c r="G460"/>
      <c r="H460"/>
    </row>
    <row r="461" spans="7:8" x14ac:dyDescent="0.35">
      <c r="G461"/>
      <c r="H461"/>
    </row>
    <row r="462" spans="7:8" x14ac:dyDescent="0.35">
      <c r="G462"/>
      <c r="H462"/>
    </row>
    <row r="463" spans="7:8" x14ac:dyDescent="0.35">
      <c r="G463"/>
      <c r="H463"/>
    </row>
    <row r="464" spans="7:8" x14ac:dyDescent="0.35">
      <c r="G464"/>
      <c r="H464"/>
    </row>
    <row r="465" spans="7:8" x14ac:dyDescent="0.35">
      <c r="G465"/>
      <c r="H465"/>
    </row>
    <row r="466" spans="7:8" x14ac:dyDescent="0.35">
      <c r="G466"/>
      <c r="H466"/>
    </row>
    <row r="467" spans="7:8" x14ac:dyDescent="0.35">
      <c r="G467"/>
      <c r="H467"/>
    </row>
    <row r="468" spans="7:8" x14ac:dyDescent="0.35">
      <c r="G468"/>
      <c r="H468"/>
    </row>
    <row r="469" spans="7:8" x14ac:dyDescent="0.35">
      <c r="G469"/>
      <c r="H469"/>
    </row>
    <row r="470" spans="7:8" x14ac:dyDescent="0.35">
      <c r="G470"/>
      <c r="H470"/>
    </row>
    <row r="471" spans="7:8" x14ac:dyDescent="0.35">
      <c r="G471"/>
      <c r="H471"/>
    </row>
    <row r="472" spans="7:8" x14ac:dyDescent="0.35">
      <c r="G472"/>
      <c r="H472"/>
    </row>
    <row r="473" spans="7:8" x14ac:dyDescent="0.35">
      <c r="G473"/>
      <c r="H473"/>
    </row>
    <row r="474" spans="7:8" x14ac:dyDescent="0.35">
      <c r="G474"/>
      <c r="H474"/>
    </row>
    <row r="475" spans="7:8" x14ac:dyDescent="0.35">
      <c r="G475"/>
      <c r="H475"/>
    </row>
    <row r="476" spans="7:8" x14ac:dyDescent="0.35">
      <c r="G476"/>
      <c r="H476"/>
    </row>
    <row r="477" spans="7:8" x14ac:dyDescent="0.35">
      <c r="G477"/>
      <c r="H477"/>
    </row>
    <row r="478" spans="7:8" x14ac:dyDescent="0.35">
      <c r="G478"/>
      <c r="H478"/>
    </row>
    <row r="479" spans="7:8" x14ac:dyDescent="0.35">
      <c r="G479"/>
      <c r="H479"/>
    </row>
    <row r="480" spans="7:8" x14ac:dyDescent="0.35">
      <c r="G480"/>
      <c r="H480"/>
    </row>
    <row r="481" spans="7:8" x14ac:dyDescent="0.35">
      <c r="G481"/>
      <c r="H481"/>
    </row>
    <row r="482" spans="7:8" x14ac:dyDescent="0.35">
      <c r="G482"/>
      <c r="H482"/>
    </row>
    <row r="483" spans="7:8" x14ac:dyDescent="0.35">
      <c r="G483"/>
      <c r="H483"/>
    </row>
    <row r="484" spans="7:8" x14ac:dyDescent="0.35">
      <c r="G484"/>
      <c r="H484"/>
    </row>
    <row r="485" spans="7:8" x14ac:dyDescent="0.35">
      <c r="G485"/>
      <c r="H485"/>
    </row>
    <row r="486" spans="7:8" x14ac:dyDescent="0.35">
      <c r="G486"/>
      <c r="H486"/>
    </row>
    <row r="487" spans="7:8" x14ac:dyDescent="0.35">
      <c r="G487"/>
      <c r="H487"/>
    </row>
    <row r="488" spans="7:8" x14ac:dyDescent="0.35">
      <c r="G488"/>
      <c r="H488"/>
    </row>
    <row r="489" spans="7:8" x14ac:dyDescent="0.35">
      <c r="G489"/>
      <c r="H489"/>
    </row>
    <row r="490" spans="7:8" x14ac:dyDescent="0.35">
      <c r="G490"/>
      <c r="H490"/>
    </row>
    <row r="491" spans="7:8" x14ac:dyDescent="0.35">
      <c r="G491"/>
      <c r="H491"/>
    </row>
    <row r="492" spans="7:8" x14ac:dyDescent="0.35">
      <c r="G492"/>
      <c r="H492"/>
    </row>
    <row r="493" spans="7:8" x14ac:dyDescent="0.35">
      <c r="G493"/>
      <c r="H493"/>
    </row>
    <row r="494" spans="7:8" x14ac:dyDescent="0.35">
      <c r="G494"/>
      <c r="H494"/>
    </row>
    <row r="495" spans="7:8" x14ac:dyDescent="0.35">
      <c r="G495"/>
      <c r="H495"/>
    </row>
    <row r="496" spans="7:8" x14ac:dyDescent="0.35">
      <c r="G496"/>
      <c r="H496"/>
    </row>
    <row r="497" spans="7:8" x14ac:dyDescent="0.35">
      <c r="G497"/>
      <c r="H497"/>
    </row>
    <row r="498" spans="7:8" x14ac:dyDescent="0.35">
      <c r="G498"/>
      <c r="H498"/>
    </row>
    <row r="499" spans="7:8" x14ac:dyDescent="0.35">
      <c r="G499"/>
      <c r="H499"/>
    </row>
    <row r="500" spans="7:8" x14ac:dyDescent="0.35">
      <c r="G500"/>
      <c r="H500"/>
    </row>
    <row r="501" spans="7:8" x14ac:dyDescent="0.35">
      <c r="G501"/>
      <c r="H501"/>
    </row>
    <row r="502" spans="7:8" x14ac:dyDescent="0.35">
      <c r="G502"/>
      <c r="H502"/>
    </row>
    <row r="503" spans="7:8" x14ac:dyDescent="0.35">
      <c r="G503"/>
      <c r="H503"/>
    </row>
    <row r="504" spans="7:8" x14ac:dyDescent="0.35">
      <c r="G504"/>
      <c r="H504"/>
    </row>
    <row r="505" spans="7:8" x14ac:dyDescent="0.35">
      <c r="G505"/>
      <c r="H505"/>
    </row>
    <row r="506" spans="7:8" x14ac:dyDescent="0.35">
      <c r="G506"/>
      <c r="H506"/>
    </row>
    <row r="507" spans="7:8" x14ac:dyDescent="0.35">
      <c r="G507"/>
      <c r="H507"/>
    </row>
    <row r="508" spans="7:8" x14ac:dyDescent="0.35">
      <c r="G508"/>
      <c r="H508"/>
    </row>
    <row r="509" spans="7:8" x14ac:dyDescent="0.35">
      <c r="G509"/>
      <c r="H509"/>
    </row>
    <row r="510" spans="7:8" x14ac:dyDescent="0.35">
      <c r="G510"/>
      <c r="H510"/>
    </row>
    <row r="511" spans="7:8" x14ac:dyDescent="0.35">
      <c r="G511"/>
      <c r="H511"/>
    </row>
    <row r="512" spans="7:8" x14ac:dyDescent="0.35">
      <c r="G512"/>
      <c r="H512"/>
    </row>
    <row r="513" spans="7:8" x14ac:dyDescent="0.35">
      <c r="G513"/>
      <c r="H513"/>
    </row>
    <row r="514" spans="7:8" x14ac:dyDescent="0.35">
      <c r="G514"/>
      <c r="H514"/>
    </row>
    <row r="515" spans="7:8" x14ac:dyDescent="0.35">
      <c r="G515"/>
      <c r="H515"/>
    </row>
    <row r="516" spans="7:8" x14ac:dyDescent="0.35">
      <c r="G516"/>
      <c r="H516"/>
    </row>
    <row r="517" spans="7:8" x14ac:dyDescent="0.35">
      <c r="G517"/>
      <c r="H517"/>
    </row>
    <row r="518" spans="7:8" x14ac:dyDescent="0.35">
      <c r="G518"/>
      <c r="H518"/>
    </row>
    <row r="519" spans="7:8" x14ac:dyDescent="0.35">
      <c r="G519"/>
      <c r="H519"/>
    </row>
    <row r="520" spans="7:8" x14ac:dyDescent="0.35">
      <c r="G520"/>
      <c r="H520"/>
    </row>
    <row r="521" spans="7:8" x14ac:dyDescent="0.35">
      <c r="G521"/>
      <c r="H521"/>
    </row>
    <row r="522" spans="7:8" x14ac:dyDescent="0.35">
      <c r="G522"/>
      <c r="H522"/>
    </row>
    <row r="523" spans="7:8" x14ac:dyDescent="0.35">
      <c r="G523"/>
      <c r="H523"/>
    </row>
    <row r="524" spans="7:8" x14ac:dyDescent="0.35">
      <c r="G524"/>
      <c r="H524"/>
    </row>
    <row r="525" spans="7:8" x14ac:dyDescent="0.35">
      <c r="G525"/>
      <c r="H525"/>
    </row>
    <row r="526" spans="7:8" x14ac:dyDescent="0.35">
      <c r="G526"/>
      <c r="H526"/>
    </row>
    <row r="527" spans="7:8" x14ac:dyDescent="0.35">
      <c r="G527"/>
      <c r="H527"/>
    </row>
    <row r="528" spans="7:8" x14ac:dyDescent="0.35">
      <c r="G528"/>
      <c r="H528"/>
    </row>
    <row r="529" spans="7:8" x14ac:dyDescent="0.35">
      <c r="G529"/>
      <c r="H529"/>
    </row>
    <row r="530" spans="7:8" x14ac:dyDescent="0.35">
      <c r="G530"/>
      <c r="H530"/>
    </row>
    <row r="531" spans="7:8" x14ac:dyDescent="0.35">
      <c r="G531"/>
      <c r="H531"/>
    </row>
    <row r="532" spans="7:8" x14ac:dyDescent="0.35">
      <c r="G532"/>
      <c r="H532"/>
    </row>
    <row r="533" spans="7:8" x14ac:dyDescent="0.35">
      <c r="G533"/>
      <c r="H533"/>
    </row>
    <row r="534" spans="7:8" x14ac:dyDescent="0.35">
      <c r="G534"/>
      <c r="H534"/>
    </row>
    <row r="535" spans="7:8" x14ac:dyDescent="0.35">
      <c r="G535"/>
      <c r="H535"/>
    </row>
    <row r="536" spans="7:8" x14ac:dyDescent="0.35">
      <c r="G536"/>
      <c r="H536"/>
    </row>
    <row r="537" spans="7:8" x14ac:dyDescent="0.35">
      <c r="G537"/>
      <c r="H537"/>
    </row>
    <row r="538" spans="7:8" x14ac:dyDescent="0.35">
      <c r="G538"/>
      <c r="H538"/>
    </row>
    <row r="539" spans="7:8" x14ac:dyDescent="0.35">
      <c r="G539"/>
      <c r="H539"/>
    </row>
    <row r="540" spans="7:8" x14ac:dyDescent="0.35">
      <c r="G540"/>
      <c r="H540"/>
    </row>
    <row r="541" spans="7:8" x14ac:dyDescent="0.35">
      <c r="G541"/>
      <c r="H541"/>
    </row>
    <row r="542" spans="7:8" x14ac:dyDescent="0.35">
      <c r="G542"/>
      <c r="H542"/>
    </row>
    <row r="543" spans="7:8" x14ac:dyDescent="0.35">
      <c r="G543"/>
      <c r="H543"/>
    </row>
    <row r="544" spans="7:8" x14ac:dyDescent="0.35">
      <c r="G544"/>
      <c r="H544"/>
    </row>
    <row r="545" spans="7:8" x14ac:dyDescent="0.35">
      <c r="G545"/>
      <c r="H545"/>
    </row>
    <row r="546" spans="7:8" x14ac:dyDescent="0.35">
      <c r="G546"/>
      <c r="H546"/>
    </row>
    <row r="547" spans="7:8" x14ac:dyDescent="0.35">
      <c r="G547"/>
      <c r="H547"/>
    </row>
    <row r="548" spans="7:8" x14ac:dyDescent="0.35">
      <c r="G548"/>
      <c r="H548"/>
    </row>
    <row r="549" spans="7:8" x14ac:dyDescent="0.35">
      <c r="G549"/>
      <c r="H549"/>
    </row>
    <row r="550" spans="7:8" x14ac:dyDescent="0.35">
      <c r="G550"/>
      <c r="H550"/>
    </row>
    <row r="551" spans="7:8" x14ac:dyDescent="0.35">
      <c r="G551"/>
      <c r="H551"/>
    </row>
    <row r="552" spans="7:8" x14ac:dyDescent="0.35">
      <c r="G552"/>
      <c r="H552"/>
    </row>
    <row r="553" spans="7:8" x14ac:dyDescent="0.35">
      <c r="G553"/>
      <c r="H553"/>
    </row>
    <row r="554" spans="7:8" x14ac:dyDescent="0.35">
      <c r="G554"/>
      <c r="H554"/>
    </row>
    <row r="555" spans="7:8" x14ac:dyDescent="0.35">
      <c r="G555"/>
      <c r="H555"/>
    </row>
    <row r="556" spans="7:8" x14ac:dyDescent="0.35">
      <c r="G556"/>
      <c r="H556"/>
    </row>
    <row r="557" spans="7:8" x14ac:dyDescent="0.35">
      <c r="G557"/>
      <c r="H557"/>
    </row>
    <row r="558" spans="7:8" x14ac:dyDescent="0.35">
      <c r="G558"/>
      <c r="H558"/>
    </row>
    <row r="559" spans="7:8" x14ac:dyDescent="0.35">
      <c r="G559"/>
      <c r="H559"/>
    </row>
    <row r="560" spans="7:8" x14ac:dyDescent="0.35">
      <c r="G560"/>
      <c r="H560"/>
    </row>
    <row r="561" spans="7:8" x14ac:dyDescent="0.35">
      <c r="G561"/>
      <c r="H561"/>
    </row>
    <row r="562" spans="7:8" x14ac:dyDescent="0.35">
      <c r="G562"/>
      <c r="H562"/>
    </row>
    <row r="563" spans="7:8" x14ac:dyDescent="0.35">
      <c r="G563"/>
      <c r="H563"/>
    </row>
    <row r="564" spans="7:8" x14ac:dyDescent="0.35">
      <c r="G564"/>
      <c r="H564"/>
    </row>
    <row r="565" spans="7:8" x14ac:dyDescent="0.35">
      <c r="G565"/>
      <c r="H565"/>
    </row>
    <row r="566" spans="7:8" x14ac:dyDescent="0.35">
      <c r="G566"/>
      <c r="H566"/>
    </row>
    <row r="567" spans="7:8" x14ac:dyDescent="0.35">
      <c r="G567"/>
      <c r="H567"/>
    </row>
    <row r="568" spans="7:8" x14ac:dyDescent="0.35">
      <c r="G568"/>
      <c r="H568"/>
    </row>
    <row r="569" spans="7:8" x14ac:dyDescent="0.35">
      <c r="G569"/>
      <c r="H569"/>
    </row>
    <row r="570" spans="7:8" x14ac:dyDescent="0.35">
      <c r="G570"/>
      <c r="H570"/>
    </row>
    <row r="571" spans="7:8" x14ac:dyDescent="0.35">
      <c r="G571"/>
      <c r="H571"/>
    </row>
    <row r="572" spans="7:8" x14ac:dyDescent="0.35">
      <c r="G572"/>
      <c r="H572"/>
    </row>
    <row r="573" spans="7:8" x14ac:dyDescent="0.35">
      <c r="G573"/>
      <c r="H573"/>
    </row>
    <row r="574" spans="7:8" x14ac:dyDescent="0.35">
      <c r="G574"/>
      <c r="H574"/>
    </row>
    <row r="575" spans="7:8" x14ac:dyDescent="0.35">
      <c r="G575"/>
      <c r="H575"/>
    </row>
    <row r="576" spans="7:8" x14ac:dyDescent="0.35">
      <c r="G576"/>
      <c r="H576"/>
    </row>
    <row r="577" spans="7:8" x14ac:dyDescent="0.35">
      <c r="G577"/>
      <c r="H577"/>
    </row>
    <row r="578" spans="7:8" x14ac:dyDescent="0.35">
      <c r="G578"/>
      <c r="H578"/>
    </row>
    <row r="579" spans="7:8" x14ac:dyDescent="0.35">
      <c r="G579"/>
      <c r="H579"/>
    </row>
    <row r="580" spans="7:8" x14ac:dyDescent="0.35">
      <c r="G580"/>
      <c r="H580"/>
    </row>
    <row r="581" spans="7:8" x14ac:dyDescent="0.35">
      <c r="G581"/>
      <c r="H581"/>
    </row>
    <row r="582" spans="7:8" x14ac:dyDescent="0.35">
      <c r="G582"/>
      <c r="H582"/>
    </row>
    <row r="583" spans="7:8" x14ac:dyDescent="0.35">
      <c r="G583"/>
      <c r="H583"/>
    </row>
    <row r="584" spans="7:8" x14ac:dyDescent="0.35">
      <c r="G584"/>
      <c r="H584"/>
    </row>
    <row r="585" spans="7:8" x14ac:dyDescent="0.35">
      <c r="G585"/>
      <c r="H585"/>
    </row>
    <row r="586" spans="7:8" x14ac:dyDescent="0.35">
      <c r="G586"/>
      <c r="H586"/>
    </row>
    <row r="587" spans="7:8" x14ac:dyDescent="0.35">
      <c r="G587"/>
      <c r="H587"/>
    </row>
    <row r="588" spans="7:8" x14ac:dyDescent="0.35">
      <c r="G588"/>
      <c r="H588"/>
    </row>
    <row r="589" spans="7:8" x14ac:dyDescent="0.35">
      <c r="G589"/>
      <c r="H589"/>
    </row>
    <row r="590" spans="7:8" x14ac:dyDescent="0.35">
      <c r="G590"/>
      <c r="H590"/>
    </row>
    <row r="591" spans="7:8" x14ac:dyDescent="0.35">
      <c r="G591"/>
      <c r="H591"/>
    </row>
    <row r="592" spans="7:8" x14ac:dyDescent="0.35">
      <c r="G592"/>
      <c r="H592"/>
    </row>
    <row r="593" spans="7:8" x14ac:dyDescent="0.35">
      <c r="G593"/>
      <c r="H593"/>
    </row>
    <row r="594" spans="7:8" x14ac:dyDescent="0.35">
      <c r="G594"/>
      <c r="H594"/>
    </row>
    <row r="595" spans="7:8" x14ac:dyDescent="0.35">
      <c r="G595"/>
      <c r="H595"/>
    </row>
    <row r="596" spans="7:8" x14ac:dyDescent="0.35">
      <c r="G596"/>
      <c r="H596"/>
    </row>
    <row r="597" spans="7:8" x14ac:dyDescent="0.35">
      <c r="G597"/>
      <c r="H597"/>
    </row>
    <row r="598" spans="7:8" x14ac:dyDescent="0.35">
      <c r="G598"/>
      <c r="H598"/>
    </row>
    <row r="599" spans="7:8" x14ac:dyDescent="0.35">
      <c r="G599"/>
      <c r="H599"/>
    </row>
    <row r="600" spans="7:8" x14ac:dyDescent="0.35">
      <c r="G600"/>
      <c r="H600"/>
    </row>
    <row r="601" spans="7:8" x14ac:dyDescent="0.35">
      <c r="G601"/>
      <c r="H601"/>
    </row>
    <row r="602" spans="7:8" x14ac:dyDescent="0.35">
      <c r="G602"/>
      <c r="H602"/>
    </row>
    <row r="603" spans="7:8" x14ac:dyDescent="0.35">
      <c r="G603"/>
      <c r="H603"/>
    </row>
    <row r="604" spans="7:8" x14ac:dyDescent="0.35">
      <c r="G604"/>
      <c r="H604"/>
    </row>
    <row r="605" spans="7:8" x14ac:dyDescent="0.35">
      <c r="G605"/>
      <c r="H605"/>
    </row>
    <row r="606" spans="7:8" x14ac:dyDescent="0.35">
      <c r="G606"/>
      <c r="H606"/>
    </row>
    <row r="607" spans="7:8" x14ac:dyDescent="0.35">
      <c r="G607"/>
      <c r="H607"/>
    </row>
    <row r="608" spans="7:8" x14ac:dyDescent="0.35">
      <c r="G608"/>
      <c r="H608"/>
    </row>
    <row r="609" spans="7:8" x14ac:dyDescent="0.35">
      <c r="G609"/>
      <c r="H609"/>
    </row>
    <row r="610" spans="7:8" x14ac:dyDescent="0.35">
      <c r="G610"/>
      <c r="H610"/>
    </row>
    <row r="611" spans="7:8" x14ac:dyDescent="0.35">
      <c r="G611"/>
      <c r="H611"/>
    </row>
    <row r="612" spans="7:8" x14ac:dyDescent="0.35">
      <c r="G612"/>
      <c r="H612"/>
    </row>
    <row r="613" spans="7:8" x14ac:dyDescent="0.35">
      <c r="G613"/>
      <c r="H613"/>
    </row>
    <row r="614" spans="7:8" x14ac:dyDescent="0.35">
      <c r="G614"/>
      <c r="H614"/>
    </row>
    <row r="615" spans="7:8" x14ac:dyDescent="0.35">
      <c r="G615"/>
      <c r="H615"/>
    </row>
    <row r="616" spans="7:8" x14ac:dyDescent="0.35">
      <c r="G616"/>
      <c r="H616"/>
    </row>
    <row r="617" spans="7:8" x14ac:dyDescent="0.35">
      <c r="G617"/>
      <c r="H617"/>
    </row>
    <row r="618" spans="7:8" x14ac:dyDescent="0.35">
      <c r="G618"/>
      <c r="H618"/>
    </row>
    <row r="619" spans="7:8" x14ac:dyDescent="0.35">
      <c r="G619"/>
      <c r="H619"/>
    </row>
    <row r="620" spans="7:8" x14ac:dyDescent="0.35">
      <c r="G620"/>
      <c r="H620"/>
    </row>
    <row r="621" spans="7:8" x14ac:dyDescent="0.35">
      <c r="G621"/>
      <c r="H621"/>
    </row>
    <row r="622" spans="7:8" x14ac:dyDescent="0.35">
      <c r="G622"/>
      <c r="H622"/>
    </row>
    <row r="623" spans="7:8" x14ac:dyDescent="0.35">
      <c r="G623"/>
      <c r="H623"/>
    </row>
    <row r="624" spans="7:8" x14ac:dyDescent="0.35">
      <c r="G624"/>
      <c r="H624"/>
    </row>
    <row r="625" spans="7:8" x14ac:dyDescent="0.35">
      <c r="G625"/>
      <c r="H625"/>
    </row>
    <row r="626" spans="7:8" x14ac:dyDescent="0.35">
      <c r="G626"/>
      <c r="H626"/>
    </row>
    <row r="627" spans="7:8" x14ac:dyDescent="0.35">
      <c r="G627"/>
      <c r="H627"/>
    </row>
    <row r="628" spans="7:8" x14ac:dyDescent="0.35">
      <c r="G628"/>
      <c r="H628"/>
    </row>
    <row r="629" spans="7:8" x14ac:dyDescent="0.35">
      <c r="G629"/>
      <c r="H629"/>
    </row>
    <row r="630" spans="7:8" x14ac:dyDescent="0.35">
      <c r="G630"/>
      <c r="H630"/>
    </row>
    <row r="631" spans="7:8" x14ac:dyDescent="0.35">
      <c r="G631"/>
      <c r="H631"/>
    </row>
    <row r="632" spans="7:8" x14ac:dyDescent="0.35">
      <c r="G632"/>
      <c r="H632"/>
    </row>
    <row r="633" spans="7:8" x14ac:dyDescent="0.35">
      <c r="G633"/>
      <c r="H633"/>
    </row>
    <row r="634" spans="7:8" x14ac:dyDescent="0.35">
      <c r="G634"/>
      <c r="H634"/>
    </row>
    <row r="635" spans="7:8" x14ac:dyDescent="0.35">
      <c r="G635"/>
      <c r="H635"/>
    </row>
    <row r="636" spans="7:8" x14ac:dyDescent="0.35">
      <c r="G636"/>
      <c r="H636"/>
    </row>
    <row r="637" spans="7:8" x14ac:dyDescent="0.35">
      <c r="G637"/>
      <c r="H637"/>
    </row>
    <row r="638" spans="7:8" x14ac:dyDescent="0.35">
      <c r="G638"/>
      <c r="H638"/>
    </row>
    <row r="639" spans="7:8" x14ac:dyDescent="0.35">
      <c r="G639"/>
      <c r="H639"/>
    </row>
    <row r="640" spans="7:8" x14ac:dyDescent="0.35">
      <c r="G640"/>
      <c r="H640"/>
    </row>
    <row r="641" spans="7:8" x14ac:dyDescent="0.35">
      <c r="G641"/>
      <c r="H641"/>
    </row>
    <row r="642" spans="7:8" x14ac:dyDescent="0.35">
      <c r="G642"/>
      <c r="H642"/>
    </row>
    <row r="643" spans="7:8" x14ac:dyDescent="0.35">
      <c r="G643"/>
      <c r="H643"/>
    </row>
    <row r="644" spans="7:8" x14ac:dyDescent="0.35">
      <c r="G644"/>
      <c r="H644"/>
    </row>
    <row r="645" spans="7:8" x14ac:dyDescent="0.35">
      <c r="G645"/>
      <c r="H645"/>
    </row>
    <row r="646" spans="7:8" x14ac:dyDescent="0.35">
      <c r="G646"/>
      <c r="H646"/>
    </row>
    <row r="647" spans="7:8" x14ac:dyDescent="0.35">
      <c r="G647"/>
      <c r="H647"/>
    </row>
    <row r="648" spans="7:8" x14ac:dyDescent="0.35">
      <c r="G648"/>
      <c r="H648"/>
    </row>
    <row r="649" spans="7:8" x14ac:dyDescent="0.35">
      <c r="G649"/>
      <c r="H649"/>
    </row>
    <row r="650" spans="7:8" x14ac:dyDescent="0.35">
      <c r="G650"/>
      <c r="H650"/>
    </row>
    <row r="651" spans="7:8" x14ac:dyDescent="0.35">
      <c r="G651"/>
      <c r="H651"/>
    </row>
    <row r="652" spans="7:8" x14ac:dyDescent="0.35">
      <c r="G652"/>
      <c r="H652"/>
    </row>
    <row r="653" spans="7:8" x14ac:dyDescent="0.35">
      <c r="G653"/>
      <c r="H653"/>
    </row>
    <row r="654" spans="7:8" x14ac:dyDescent="0.35">
      <c r="G654"/>
      <c r="H654"/>
    </row>
    <row r="655" spans="7:8" x14ac:dyDescent="0.35">
      <c r="G655"/>
      <c r="H655"/>
    </row>
    <row r="656" spans="7:8" x14ac:dyDescent="0.35">
      <c r="G656"/>
      <c r="H656"/>
    </row>
    <row r="657" spans="7:8" x14ac:dyDescent="0.35">
      <c r="G657"/>
      <c r="H657"/>
    </row>
    <row r="658" spans="7:8" x14ac:dyDescent="0.35">
      <c r="G658"/>
      <c r="H658"/>
    </row>
    <row r="659" spans="7:8" x14ac:dyDescent="0.35">
      <c r="G659"/>
      <c r="H659"/>
    </row>
    <row r="660" spans="7:8" x14ac:dyDescent="0.35">
      <c r="G660"/>
      <c r="H660"/>
    </row>
    <row r="661" spans="7:8" x14ac:dyDescent="0.35">
      <c r="G661"/>
      <c r="H661"/>
    </row>
    <row r="662" spans="7:8" x14ac:dyDescent="0.35">
      <c r="G662"/>
      <c r="H662"/>
    </row>
    <row r="663" spans="7:8" x14ac:dyDescent="0.35">
      <c r="G663"/>
      <c r="H663"/>
    </row>
    <row r="664" spans="7:8" x14ac:dyDescent="0.35">
      <c r="G664"/>
      <c r="H664"/>
    </row>
    <row r="665" spans="7:8" x14ac:dyDescent="0.35">
      <c r="G665"/>
      <c r="H665"/>
    </row>
    <row r="666" spans="7:8" x14ac:dyDescent="0.35">
      <c r="G666"/>
      <c r="H666"/>
    </row>
    <row r="667" spans="7:8" x14ac:dyDescent="0.35">
      <c r="G667"/>
      <c r="H667"/>
    </row>
    <row r="668" spans="7:8" x14ac:dyDescent="0.35">
      <c r="G668"/>
      <c r="H668"/>
    </row>
    <row r="669" spans="7:8" x14ac:dyDescent="0.35">
      <c r="G669"/>
      <c r="H669"/>
    </row>
    <row r="670" spans="7:8" x14ac:dyDescent="0.35">
      <c r="G670"/>
      <c r="H670"/>
    </row>
    <row r="671" spans="7:8" x14ac:dyDescent="0.35">
      <c r="G671"/>
      <c r="H671"/>
    </row>
    <row r="672" spans="7:8" x14ac:dyDescent="0.35">
      <c r="G672"/>
      <c r="H672"/>
    </row>
    <row r="673" spans="7:8" x14ac:dyDescent="0.35">
      <c r="G673"/>
      <c r="H673"/>
    </row>
    <row r="674" spans="7:8" x14ac:dyDescent="0.35">
      <c r="G674"/>
      <c r="H674"/>
    </row>
    <row r="675" spans="7:8" x14ac:dyDescent="0.35">
      <c r="G675"/>
      <c r="H675"/>
    </row>
    <row r="676" spans="7:8" x14ac:dyDescent="0.35">
      <c r="G676"/>
      <c r="H676"/>
    </row>
    <row r="677" spans="7:8" x14ac:dyDescent="0.35">
      <c r="G677"/>
      <c r="H677"/>
    </row>
    <row r="678" spans="7:8" x14ac:dyDescent="0.35">
      <c r="G678"/>
      <c r="H678"/>
    </row>
    <row r="679" spans="7:8" x14ac:dyDescent="0.35">
      <c r="G679"/>
      <c r="H679"/>
    </row>
    <row r="680" spans="7:8" x14ac:dyDescent="0.35">
      <c r="G680"/>
      <c r="H680"/>
    </row>
    <row r="681" spans="7:8" x14ac:dyDescent="0.35">
      <c r="G681"/>
      <c r="H681"/>
    </row>
    <row r="682" spans="7:8" x14ac:dyDescent="0.35">
      <c r="G682"/>
      <c r="H682"/>
    </row>
    <row r="683" spans="7:8" x14ac:dyDescent="0.35">
      <c r="G683"/>
      <c r="H683"/>
    </row>
    <row r="684" spans="7:8" x14ac:dyDescent="0.35">
      <c r="G684"/>
      <c r="H684"/>
    </row>
    <row r="685" spans="7:8" x14ac:dyDescent="0.35">
      <c r="G685"/>
      <c r="H685"/>
    </row>
    <row r="686" spans="7:8" x14ac:dyDescent="0.35">
      <c r="G686"/>
      <c r="H686"/>
    </row>
    <row r="687" spans="7:8" x14ac:dyDescent="0.35">
      <c r="G687"/>
      <c r="H687"/>
    </row>
    <row r="688" spans="7:8" x14ac:dyDescent="0.35">
      <c r="G688"/>
      <c r="H688"/>
    </row>
    <row r="689" spans="7:8" x14ac:dyDescent="0.35">
      <c r="G689"/>
      <c r="H689"/>
    </row>
    <row r="690" spans="7:8" x14ac:dyDescent="0.35">
      <c r="G690"/>
      <c r="H690"/>
    </row>
    <row r="691" spans="7:8" x14ac:dyDescent="0.35">
      <c r="G691"/>
      <c r="H691"/>
    </row>
    <row r="692" spans="7:8" x14ac:dyDescent="0.35">
      <c r="G692"/>
      <c r="H692"/>
    </row>
    <row r="693" spans="7:8" x14ac:dyDescent="0.35">
      <c r="G693"/>
      <c r="H693"/>
    </row>
    <row r="694" spans="7:8" x14ac:dyDescent="0.35">
      <c r="G694"/>
      <c r="H694"/>
    </row>
    <row r="695" spans="7:8" x14ac:dyDescent="0.35">
      <c r="G695"/>
      <c r="H695"/>
    </row>
    <row r="696" spans="7:8" x14ac:dyDescent="0.35">
      <c r="G696"/>
      <c r="H696"/>
    </row>
    <row r="697" spans="7:8" x14ac:dyDescent="0.35">
      <c r="G697"/>
      <c r="H697"/>
    </row>
    <row r="698" spans="7:8" x14ac:dyDescent="0.35">
      <c r="G698"/>
      <c r="H698"/>
    </row>
    <row r="699" spans="7:8" x14ac:dyDescent="0.35">
      <c r="G699"/>
      <c r="H699"/>
    </row>
    <row r="700" spans="7:8" x14ac:dyDescent="0.35">
      <c r="G700"/>
      <c r="H700"/>
    </row>
    <row r="701" spans="7:8" x14ac:dyDescent="0.35">
      <c r="G701"/>
      <c r="H701"/>
    </row>
    <row r="702" spans="7:8" x14ac:dyDescent="0.35">
      <c r="G702"/>
      <c r="H702"/>
    </row>
    <row r="703" spans="7:8" x14ac:dyDescent="0.35">
      <c r="G703"/>
      <c r="H703"/>
    </row>
    <row r="704" spans="7:8" x14ac:dyDescent="0.35">
      <c r="G704"/>
      <c r="H704"/>
    </row>
    <row r="705" spans="7:8" x14ac:dyDescent="0.35">
      <c r="G705"/>
      <c r="H705"/>
    </row>
    <row r="706" spans="7:8" x14ac:dyDescent="0.35">
      <c r="G706"/>
      <c r="H706"/>
    </row>
    <row r="707" spans="7:8" x14ac:dyDescent="0.35">
      <c r="G707"/>
      <c r="H707"/>
    </row>
    <row r="708" spans="7:8" x14ac:dyDescent="0.35">
      <c r="G708"/>
      <c r="H708"/>
    </row>
    <row r="709" spans="7:8" x14ac:dyDescent="0.35">
      <c r="G709"/>
      <c r="H709"/>
    </row>
    <row r="710" spans="7:8" x14ac:dyDescent="0.35">
      <c r="G710"/>
      <c r="H710"/>
    </row>
    <row r="711" spans="7:8" x14ac:dyDescent="0.35">
      <c r="G711"/>
      <c r="H711"/>
    </row>
    <row r="712" spans="7:8" x14ac:dyDescent="0.35">
      <c r="G712"/>
      <c r="H712"/>
    </row>
    <row r="713" spans="7:8" x14ac:dyDescent="0.35">
      <c r="G713"/>
      <c r="H713"/>
    </row>
    <row r="714" spans="7:8" x14ac:dyDescent="0.35">
      <c r="G714"/>
      <c r="H714"/>
    </row>
    <row r="715" spans="7:8" x14ac:dyDescent="0.35">
      <c r="G715"/>
      <c r="H715"/>
    </row>
    <row r="716" spans="7:8" x14ac:dyDescent="0.35">
      <c r="G716"/>
      <c r="H716"/>
    </row>
    <row r="717" spans="7:8" x14ac:dyDescent="0.35">
      <c r="G717"/>
      <c r="H717"/>
    </row>
    <row r="718" spans="7:8" x14ac:dyDescent="0.35">
      <c r="G718"/>
      <c r="H718"/>
    </row>
    <row r="719" spans="7:8" x14ac:dyDescent="0.35">
      <c r="G719"/>
      <c r="H719"/>
    </row>
    <row r="720" spans="7:8" x14ac:dyDescent="0.35">
      <c r="G720"/>
      <c r="H720"/>
    </row>
    <row r="721" spans="7:8" x14ac:dyDescent="0.35">
      <c r="G721"/>
      <c r="H721"/>
    </row>
    <row r="722" spans="7:8" x14ac:dyDescent="0.35">
      <c r="G722"/>
      <c r="H722"/>
    </row>
    <row r="723" spans="7:8" x14ac:dyDescent="0.35">
      <c r="G723"/>
      <c r="H723"/>
    </row>
    <row r="724" spans="7:8" x14ac:dyDescent="0.35">
      <c r="G724"/>
      <c r="H724"/>
    </row>
    <row r="725" spans="7:8" x14ac:dyDescent="0.35">
      <c r="G725"/>
      <c r="H725"/>
    </row>
    <row r="726" spans="7:8" x14ac:dyDescent="0.35">
      <c r="G726"/>
      <c r="H726"/>
    </row>
    <row r="727" spans="7:8" x14ac:dyDescent="0.35">
      <c r="G727"/>
      <c r="H727"/>
    </row>
    <row r="728" spans="7:8" x14ac:dyDescent="0.35">
      <c r="G728"/>
      <c r="H728"/>
    </row>
    <row r="729" spans="7:8" x14ac:dyDescent="0.35">
      <c r="G729"/>
      <c r="H729"/>
    </row>
    <row r="730" spans="7:8" x14ac:dyDescent="0.35">
      <c r="G730"/>
      <c r="H730"/>
    </row>
    <row r="731" spans="7:8" x14ac:dyDescent="0.35">
      <c r="G731"/>
      <c r="H731"/>
    </row>
    <row r="732" spans="7:8" x14ac:dyDescent="0.35">
      <c r="G732"/>
      <c r="H732"/>
    </row>
    <row r="733" spans="7:8" x14ac:dyDescent="0.35">
      <c r="G733"/>
      <c r="H733"/>
    </row>
    <row r="734" spans="7:8" x14ac:dyDescent="0.35">
      <c r="G734"/>
      <c r="H734"/>
    </row>
    <row r="735" spans="7:8" x14ac:dyDescent="0.35">
      <c r="G735"/>
      <c r="H735"/>
    </row>
    <row r="736" spans="7:8" x14ac:dyDescent="0.35">
      <c r="G736"/>
      <c r="H736"/>
    </row>
    <row r="737" spans="7:8" x14ac:dyDescent="0.35">
      <c r="G737"/>
      <c r="H737"/>
    </row>
    <row r="738" spans="7:8" x14ac:dyDescent="0.35">
      <c r="G738"/>
      <c r="H738"/>
    </row>
    <row r="739" spans="7:8" x14ac:dyDescent="0.35">
      <c r="G739"/>
      <c r="H739"/>
    </row>
    <row r="740" spans="7:8" x14ac:dyDescent="0.35">
      <c r="G740"/>
      <c r="H740"/>
    </row>
    <row r="741" spans="7:8" x14ac:dyDescent="0.35">
      <c r="G741"/>
      <c r="H741"/>
    </row>
    <row r="742" spans="7:8" x14ac:dyDescent="0.35">
      <c r="G742"/>
      <c r="H742"/>
    </row>
    <row r="743" spans="7:8" x14ac:dyDescent="0.35">
      <c r="G743"/>
      <c r="H743"/>
    </row>
    <row r="744" spans="7:8" x14ac:dyDescent="0.35">
      <c r="G744"/>
      <c r="H744"/>
    </row>
    <row r="745" spans="7:8" x14ac:dyDescent="0.35">
      <c r="G745"/>
      <c r="H745"/>
    </row>
    <row r="746" spans="7:8" x14ac:dyDescent="0.35">
      <c r="G746"/>
      <c r="H746"/>
    </row>
    <row r="747" spans="7:8" x14ac:dyDescent="0.35">
      <c r="G747"/>
      <c r="H747"/>
    </row>
    <row r="748" spans="7:8" x14ac:dyDescent="0.35">
      <c r="G748"/>
      <c r="H748"/>
    </row>
    <row r="749" spans="7:8" x14ac:dyDescent="0.35">
      <c r="G749"/>
      <c r="H749"/>
    </row>
    <row r="750" spans="7:8" x14ac:dyDescent="0.35">
      <c r="G750"/>
      <c r="H750"/>
    </row>
    <row r="751" spans="7:8" x14ac:dyDescent="0.35">
      <c r="G751"/>
      <c r="H751"/>
    </row>
    <row r="752" spans="7:8" x14ac:dyDescent="0.35">
      <c r="G752"/>
      <c r="H752"/>
    </row>
    <row r="753" spans="7:8" x14ac:dyDescent="0.35">
      <c r="G753"/>
      <c r="H753"/>
    </row>
    <row r="754" spans="7:8" x14ac:dyDescent="0.35">
      <c r="G754"/>
      <c r="H754"/>
    </row>
    <row r="755" spans="7:8" x14ac:dyDescent="0.35">
      <c r="G755"/>
      <c r="H755"/>
    </row>
    <row r="756" spans="7:8" x14ac:dyDescent="0.35">
      <c r="G756"/>
      <c r="H756"/>
    </row>
    <row r="757" spans="7:8" x14ac:dyDescent="0.35">
      <c r="G757"/>
      <c r="H757"/>
    </row>
    <row r="758" spans="7:8" x14ac:dyDescent="0.35">
      <c r="G758"/>
      <c r="H758"/>
    </row>
    <row r="759" spans="7:8" x14ac:dyDescent="0.35">
      <c r="G759"/>
      <c r="H759"/>
    </row>
    <row r="760" spans="7:8" x14ac:dyDescent="0.35">
      <c r="G760"/>
      <c r="H760"/>
    </row>
    <row r="761" spans="7:8" x14ac:dyDescent="0.35">
      <c r="G761"/>
      <c r="H761"/>
    </row>
    <row r="762" spans="7:8" x14ac:dyDescent="0.35">
      <c r="G762"/>
      <c r="H762"/>
    </row>
    <row r="763" spans="7:8" x14ac:dyDescent="0.35">
      <c r="G763"/>
      <c r="H763"/>
    </row>
    <row r="764" spans="7:8" x14ac:dyDescent="0.35">
      <c r="G764"/>
      <c r="H764"/>
    </row>
    <row r="765" spans="7:8" x14ac:dyDescent="0.35">
      <c r="G765"/>
      <c r="H765"/>
    </row>
    <row r="766" spans="7:8" x14ac:dyDescent="0.35">
      <c r="G766"/>
      <c r="H766"/>
    </row>
    <row r="767" spans="7:8" x14ac:dyDescent="0.35">
      <c r="G767"/>
      <c r="H767"/>
    </row>
    <row r="768" spans="7:8" x14ac:dyDescent="0.35">
      <c r="G768"/>
      <c r="H768"/>
    </row>
    <row r="769" spans="7:8" x14ac:dyDescent="0.35">
      <c r="G769"/>
      <c r="H769"/>
    </row>
    <row r="770" spans="7:8" x14ac:dyDescent="0.35">
      <c r="G770"/>
      <c r="H770"/>
    </row>
    <row r="771" spans="7:8" x14ac:dyDescent="0.35">
      <c r="G771"/>
      <c r="H771"/>
    </row>
    <row r="772" spans="7:8" x14ac:dyDescent="0.35">
      <c r="G772"/>
      <c r="H772"/>
    </row>
    <row r="773" spans="7:8" x14ac:dyDescent="0.35">
      <c r="G773"/>
      <c r="H773"/>
    </row>
    <row r="774" spans="7:8" x14ac:dyDescent="0.35">
      <c r="G774"/>
      <c r="H774"/>
    </row>
    <row r="775" spans="7:8" x14ac:dyDescent="0.35">
      <c r="G775"/>
      <c r="H775"/>
    </row>
    <row r="776" spans="7:8" x14ac:dyDescent="0.35">
      <c r="G776"/>
      <c r="H776"/>
    </row>
    <row r="777" spans="7:8" x14ac:dyDescent="0.35">
      <c r="G777"/>
      <c r="H777"/>
    </row>
    <row r="778" spans="7:8" x14ac:dyDescent="0.35">
      <c r="G778"/>
      <c r="H778"/>
    </row>
    <row r="779" spans="7:8" x14ac:dyDescent="0.35">
      <c r="G779"/>
      <c r="H779"/>
    </row>
    <row r="780" spans="7:8" x14ac:dyDescent="0.35">
      <c r="G780"/>
      <c r="H780"/>
    </row>
    <row r="781" spans="7:8" x14ac:dyDescent="0.35">
      <c r="G781"/>
      <c r="H781"/>
    </row>
    <row r="782" spans="7:8" x14ac:dyDescent="0.35">
      <c r="G782"/>
      <c r="H782"/>
    </row>
    <row r="783" spans="7:8" x14ac:dyDescent="0.35">
      <c r="G783"/>
      <c r="H783"/>
    </row>
    <row r="784" spans="7:8" x14ac:dyDescent="0.35">
      <c r="G784"/>
      <c r="H784"/>
    </row>
    <row r="785" spans="7:8" x14ac:dyDescent="0.35">
      <c r="G785"/>
      <c r="H785"/>
    </row>
    <row r="786" spans="7:8" x14ac:dyDescent="0.35">
      <c r="G786"/>
      <c r="H786"/>
    </row>
    <row r="787" spans="7:8" x14ac:dyDescent="0.35">
      <c r="G787"/>
      <c r="H787"/>
    </row>
    <row r="788" spans="7:8" x14ac:dyDescent="0.35">
      <c r="G788"/>
      <c r="H788"/>
    </row>
    <row r="789" spans="7:8" x14ac:dyDescent="0.35">
      <c r="G789"/>
      <c r="H789"/>
    </row>
    <row r="790" spans="7:8" x14ac:dyDescent="0.35">
      <c r="G790"/>
      <c r="H790"/>
    </row>
    <row r="791" spans="7:8" x14ac:dyDescent="0.35">
      <c r="G791"/>
      <c r="H791"/>
    </row>
    <row r="792" spans="7:8" x14ac:dyDescent="0.35">
      <c r="G792"/>
      <c r="H792"/>
    </row>
    <row r="793" spans="7:8" x14ac:dyDescent="0.35">
      <c r="G793"/>
      <c r="H793"/>
    </row>
    <row r="794" spans="7:8" x14ac:dyDescent="0.35">
      <c r="G794"/>
      <c r="H794"/>
    </row>
    <row r="795" spans="7:8" x14ac:dyDescent="0.35">
      <c r="G795"/>
      <c r="H795"/>
    </row>
    <row r="796" spans="7:8" x14ac:dyDescent="0.35">
      <c r="G796"/>
      <c r="H796"/>
    </row>
    <row r="797" spans="7:8" x14ac:dyDescent="0.35">
      <c r="G797"/>
      <c r="H797"/>
    </row>
    <row r="798" spans="7:8" x14ac:dyDescent="0.35">
      <c r="G798"/>
      <c r="H798"/>
    </row>
    <row r="799" spans="7:8" x14ac:dyDescent="0.35">
      <c r="G799"/>
      <c r="H799"/>
    </row>
    <row r="800" spans="7:8" x14ac:dyDescent="0.35">
      <c r="G800"/>
      <c r="H800"/>
    </row>
    <row r="801" spans="7:8" x14ac:dyDescent="0.35">
      <c r="G801"/>
      <c r="H801"/>
    </row>
    <row r="802" spans="7:8" x14ac:dyDescent="0.35">
      <c r="G802"/>
      <c r="H802"/>
    </row>
    <row r="803" spans="7:8" x14ac:dyDescent="0.35">
      <c r="G803"/>
      <c r="H803"/>
    </row>
    <row r="804" spans="7:8" x14ac:dyDescent="0.35">
      <c r="G804"/>
      <c r="H804"/>
    </row>
    <row r="805" spans="7:8" x14ac:dyDescent="0.35">
      <c r="G805"/>
      <c r="H805"/>
    </row>
    <row r="806" spans="7:8" x14ac:dyDescent="0.35">
      <c r="G806"/>
      <c r="H806"/>
    </row>
    <row r="807" spans="7:8" x14ac:dyDescent="0.35">
      <c r="G807"/>
      <c r="H807"/>
    </row>
    <row r="808" spans="7:8" x14ac:dyDescent="0.35">
      <c r="G808"/>
      <c r="H808"/>
    </row>
    <row r="809" spans="7:8" x14ac:dyDescent="0.35">
      <c r="G809"/>
      <c r="H809"/>
    </row>
    <row r="810" spans="7:8" x14ac:dyDescent="0.35">
      <c r="G810"/>
      <c r="H810"/>
    </row>
    <row r="811" spans="7:8" x14ac:dyDescent="0.35">
      <c r="G811"/>
      <c r="H811"/>
    </row>
    <row r="812" spans="7:8" x14ac:dyDescent="0.35">
      <c r="G812"/>
      <c r="H812"/>
    </row>
    <row r="813" spans="7:8" x14ac:dyDescent="0.35">
      <c r="G813"/>
      <c r="H813"/>
    </row>
    <row r="814" spans="7:8" x14ac:dyDescent="0.35">
      <c r="G814"/>
      <c r="H814"/>
    </row>
    <row r="815" spans="7:8" x14ac:dyDescent="0.35">
      <c r="G815"/>
      <c r="H815"/>
    </row>
    <row r="816" spans="7:8" x14ac:dyDescent="0.35">
      <c r="G816"/>
      <c r="H816"/>
    </row>
    <row r="817" spans="7:8" x14ac:dyDescent="0.35">
      <c r="G817"/>
      <c r="H817"/>
    </row>
    <row r="818" spans="7:8" x14ac:dyDescent="0.35">
      <c r="G818"/>
      <c r="H818"/>
    </row>
    <row r="819" spans="7:8" x14ac:dyDescent="0.35">
      <c r="G819"/>
      <c r="H819"/>
    </row>
    <row r="820" spans="7:8" x14ac:dyDescent="0.35">
      <c r="G820"/>
      <c r="H820"/>
    </row>
    <row r="821" spans="7:8" x14ac:dyDescent="0.35">
      <c r="G821"/>
      <c r="H821"/>
    </row>
    <row r="822" spans="7:8" x14ac:dyDescent="0.35">
      <c r="G822"/>
      <c r="H822"/>
    </row>
    <row r="823" spans="7:8" x14ac:dyDescent="0.35">
      <c r="G823"/>
      <c r="H823"/>
    </row>
    <row r="824" spans="7:8" x14ac:dyDescent="0.35">
      <c r="G824"/>
      <c r="H824"/>
    </row>
    <row r="825" spans="7:8" x14ac:dyDescent="0.35">
      <c r="G825"/>
      <c r="H825"/>
    </row>
    <row r="826" spans="7:8" x14ac:dyDescent="0.35">
      <c r="G826"/>
      <c r="H826"/>
    </row>
    <row r="827" spans="7:8" x14ac:dyDescent="0.35">
      <c r="G827"/>
      <c r="H827"/>
    </row>
    <row r="828" spans="7:8" x14ac:dyDescent="0.35">
      <c r="G828"/>
      <c r="H828"/>
    </row>
    <row r="829" spans="7:8" x14ac:dyDescent="0.35">
      <c r="G829"/>
      <c r="H829"/>
    </row>
    <row r="830" spans="7:8" x14ac:dyDescent="0.35">
      <c r="G830"/>
      <c r="H830"/>
    </row>
    <row r="831" spans="7:8" x14ac:dyDescent="0.35">
      <c r="G831"/>
      <c r="H831"/>
    </row>
    <row r="832" spans="7:8" x14ac:dyDescent="0.35">
      <c r="G832"/>
      <c r="H832"/>
    </row>
    <row r="833" spans="7:8" x14ac:dyDescent="0.35">
      <c r="G833"/>
      <c r="H833"/>
    </row>
    <row r="834" spans="7:8" x14ac:dyDescent="0.35">
      <c r="G834"/>
      <c r="H834"/>
    </row>
    <row r="835" spans="7:8" x14ac:dyDescent="0.35">
      <c r="G835"/>
      <c r="H835"/>
    </row>
    <row r="836" spans="7:8" x14ac:dyDescent="0.35">
      <c r="G836"/>
      <c r="H836"/>
    </row>
    <row r="837" spans="7:8" x14ac:dyDescent="0.35">
      <c r="G837"/>
      <c r="H837"/>
    </row>
    <row r="838" spans="7:8" x14ac:dyDescent="0.35">
      <c r="G838"/>
      <c r="H838"/>
    </row>
    <row r="839" spans="7:8" x14ac:dyDescent="0.35">
      <c r="G839"/>
      <c r="H839"/>
    </row>
    <row r="840" spans="7:8" x14ac:dyDescent="0.35">
      <c r="G840"/>
      <c r="H840"/>
    </row>
    <row r="841" spans="7:8" x14ac:dyDescent="0.35">
      <c r="G841"/>
      <c r="H841"/>
    </row>
    <row r="842" spans="7:8" x14ac:dyDescent="0.35">
      <c r="G842"/>
      <c r="H842"/>
    </row>
    <row r="843" spans="7:8" x14ac:dyDescent="0.35">
      <c r="G843"/>
      <c r="H843"/>
    </row>
    <row r="844" spans="7:8" x14ac:dyDescent="0.35">
      <c r="G844"/>
      <c r="H844"/>
    </row>
    <row r="845" spans="7:8" x14ac:dyDescent="0.35">
      <c r="G845"/>
      <c r="H845"/>
    </row>
    <row r="846" spans="7:8" x14ac:dyDescent="0.35">
      <c r="G846"/>
      <c r="H846"/>
    </row>
    <row r="847" spans="7:8" x14ac:dyDescent="0.35">
      <c r="G847"/>
      <c r="H847"/>
    </row>
    <row r="848" spans="7:8" x14ac:dyDescent="0.35">
      <c r="G848"/>
      <c r="H848"/>
    </row>
    <row r="849" spans="7:8" x14ac:dyDescent="0.35">
      <c r="G849"/>
      <c r="H849"/>
    </row>
    <row r="850" spans="7:8" x14ac:dyDescent="0.35">
      <c r="G850"/>
      <c r="H850"/>
    </row>
    <row r="851" spans="7:8" x14ac:dyDescent="0.35">
      <c r="G851"/>
      <c r="H851"/>
    </row>
    <row r="852" spans="7:8" x14ac:dyDescent="0.35">
      <c r="G852"/>
      <c r="H852"/>
    </row>
    <row r="853" spans="7:8" x14ac:dyDescent="0.35">
      <c r="G853"/>
      <c r="H853"/>
    </row>
    <row r="854" spans="7:8" x14ac:dyDescent="0.35">
      <c r="G854"/>
      <c r="H854"/>
    </row>
    <row r="855" spans="7:8" x14ac:dyDescent="0.35">
      <c r="G855"/>
      <c r="H855"/>
    </row>
    <row r="856" spans="7:8" x14ac:dyDescent="0.35">
      <c r="G856"/>
      <c r="H856"/>
    </row>
    <row r="857" spans="7:8" x14ac:dyDescent="0.35">
      <c r="G857"/>
      <c r="H857"/>
    </row>
    <row r="858" spans="7:8" x14ac:dyDescent="0.35">
      <c r="G858"/>
      <c r="H858"/>
    </row>
    <row r="859" spans="7:8" x14ac:dyDescent="0.35">
      <c r="G859"/>
      <c r="H859"/>
    </row>
    <row r="860" spans="7:8" x14ac:dyDescent="0.35">
      <c r="G860"/>
      <c r="H860"/>
    </row>
    <row r="861" spans="7:8" x14ac:dyDescent="0.35">
      <c r="G861"/>
      <c r="H861"/>
    </row>
    <row r="862" spans="7:8" x14ac:dyDescent="0.35">
      <c r="G862"/>
      <c r="H862"/>
    </row>
    <row r="863" spans="7:8" x14ac:dyDescent="0.35">
      <c r="G863"/>
      <c r="H863"/>
    </row>
    <row r="864" spans="7:8" x14ac:dyDescent="0.35">
      <c r="G864"/>
      <c r="H864"/>
    </row>
    <row r="865" spans="7:8" x14ac:dyDescent="0.35">
      <c r="G865"/>
      <c r="H865"/>
    </row>
    <row r="866" spans="7:8" x14ac:dyDescent="0.35">
      <c r="G866"/>
      <c r="H866"/>
    </row>
    <row r="867" spans="7:8" x14ac:dyDescent="0.35">
      <c r="G867"/>
      <c r="H867"/>
    </row>
    <row r="868" spans="7:8" x14ac:dyDescent="0.35">
      <c r="G868"/>
      <c r="H868"/>
    </row>
    <row r="869" spans="7:8" x14ac:dyDescent="0.35">
      <c r="G869"/>
      <c r="H869"/>
    </row>
    <row r="870" spans="7:8" x14ac:dyDescent="0.35">
      <c r="G870"/>
      <c r="H870"/>
    </row>
    <row r="871" spans="7:8" x14ac:dyDescent="0.35">
      <c r="G871"/>
      <c r="H871"/>
    </row>
    <row r="872" spans="7:8" x14ac:dyDescent="0.35">
      <c r="G872"/>
      <c r="H872"/>
    </row>
    <row r="873" spans="7:8" x14ac:dyDescent="0.35">
      <c r="G873"/>
      <c r="H873"/>
    </row>
    <row r="874" spans="7:8" x14ac:dyDescent="0.35">
      <c r="G874"/>
      <c r="H874"/>
    </row>
    <row r="875" spans="7:8" x14ac:dyDescent="0.35">
      <c r="G875"/>
      <c r="H875"/>
    </row>
    <row r="876" spans="7:8" x14ac:dyDescent="0.35">
      <c r="G876"/>
      <c r="H876"/>
    </row>
    <row r="877" spans="7:8" x14ac:dyDescent="0.35">
      <c r="G877"/>
      <c r="H877"/>
    </row>
    <row r="878" spans="7:8" x14ac:dyDescent="0.35">
      <c r="G878"/>
      <c r="H878"/>
    </row>
    <row r="879" spans="7:8" x14ac:dyDescent="0.35">
      <c r="G879"/>
      <c r="H879"/>
    </row>
    <row r="880" spans="7:8" x14ac:dyDescent="0.35">
      <c r="G880"/>
      <c r="H880"/>
    </row>
    <row r="881" spans="7:8" x14ac:dyDescent="0.35">
      <c r="G881"/>
      <c r="H881"/>
    </row>
    <row r="882" spans="7:8" x14ac:dyDescent="0.35">
      <c r="G882"/>
      <c r="H882"/>
    </row>
    <row r="883" spans="7:8" x14ac:dyDescent="0.35">
      <c r="G883"/>
      <c r="H883"/>
    </row>
    <row r="884" spans="7:8" x14ac:dyDescent="0.35">
      <c r="G884"/>
      <c r="H884"/>
    </row>
    <row r="885" spans="7:8" x14ac:dyDescent="0.35">
      <c r="G885"/>
      <c r="H885"/>
    </row>
    <row r="886" spans="7:8" x14ac:dyDescent="0.35">
      <c r="G886"/>
      <c r="H886"/>
    </row>
    <row r="887" spans="7:8" x14ac:dyDescent="0.35">
      <c r="G887"/>
      <c r="H887"/>
    </row>
    <row r="888" spans="7:8" x14ac:dyDescent="0.35">
      <c r="G888"/>
      <c r="H888"/>
    </row>
    <row r="889" spans="7:8" x14ac:dyDescent="0.35">
      <c r="G889"/>
      <c r="H889"/>
    </row>
    <row r="890" spans="7:8" x14ac:dyDescent="0.35">
      <c r="G890"/>
      <c r="H890"/>
    </row>
    <row r="891" spans="7:8" x14ac:dyDescent="0.35">
      <c r="G891"/>
      <c r="H891"/>
    </row>
    <row r="892" spans="7:8" x14ac:dyDescent="0.35">
      <c r="G892"/>
      <c r="H892"/>
    </row>
    <row r="893" spans="7:8" x14ac:dyDescent="0.35">
      <c r="G893"/>
      <c r="H893"/>
    </row>
    <row r="894" spans="7:8" x14ac:dyDescent="0.35">
      <c r="G894"/>
      <c r="H894"/>
    </row>
    <row r="895" spans="7:8" x14ac:dyDescent="0.35">
      <c r="G895"/>
      <c r="H895"/>
    </row>
    <row r="896" spans="7:8" x14ac:dyDescent="0.35">
      <c r="G896"/>
      <c r="H896"/>
    </row>
    <row r="897" spans="7:8" x14ac:dyDescent="0.35">
      <c r="G897"/>
      <c r="H897"/>
    </row>
    <row r="898" spans="7:8" x14ac:dyDescent="0.35">
      <c r="G898"/>
      <c r="H898"/>
    </row>
    <row r="899" spans="7:8" x14ac:dyDescent="0.35">
      <c r="G899"/>
      <c r="H899"/>
    </row>
    <row r="900" spans="7:8" x14ac:dyDescent="0.35">
      <c r="G900"/>
      <c r="H900"/>
    </row>
    <row r="901" spans="7:8" x14ac:dyDescent="0.35">
      <c r="G901"/>
      <c r="H901"/>
    </row>
    <row r="902" spans="7:8" x14ac:dyDescent="0.35">
      <c r="G902"/>
      <c r="H902"/>
    </row>
    <row r="903" spans="7:8" x14ac:dyDescent="0.35">
      <c r="G903"/>
      <c r="H903"/>
    </row>
    <row r="904" spans="7:8" x14ac:dyDescent="0.35">
      <c r="G904"/>
      <c r="H904"/>
    </row>
    <row r="905" spans="7:8" x14ac:dyDescent="0.35">
      <c r="G905"/>
      <c r="H905"/>
    </row>
    <row r="906" spans="7:8" x14ac:dyDescent="0.35">
      <c r="G906"/>
      <c r="H906"/>
    </row>
    <row r="907" spans="7:8" x14ac:dyDescent="0.35">
      <c r="G907"/>
      <c r="H907"/>
    </row>
    <row r="908" spans="7:8" x14ac:dyDescent="0.35">
      <c r="G908"/>
      <c r="H908"/>
    </row>
    <row r="909" spans="7:8" x14ac:dyDescent="0.35">
      <c r="G909"/>
      <c r="H909"/>
    </row>
    <row r="910" spans="7:8" x14ac:dyDescent="0.35">
      <c r="G910"/>
      <c r="H910"/>
    </row>
    <row r="911" spans="7:8" x14ac:dyDescent="0.35">
      <c r="G911"/>
      <c r="H911"/>
    </row>
    <row r="912" spans="7:8" x14ac:dyDescent="0.35">
      <c r="G912"/>
      <c r="H912"/>
    </row>
    <row r="913" spans="7:8" x14ac:dyDescent="0.35">
      <c r="G913"/>
      <c r="H913"/>
    </row>
    <row r="914" spans="7:8" x14ac:dyDescent="0.35">
      <c r="G914"/>
      <c r="H914"/>
    </row>
    <row r="915" spans="7:8" x14ac:dyDescent="0.35">
      <c r="G915"/>
      <c r="H915"/>
    </row>
    <row r="916" spans="7:8" x14ac:dyDescent="0.35">
      <c r="G916"/>
      <c r="H916"/>
    </row>
    <row r="917" spans="7:8" x14ac:dyDescent="0.35">
      <c r="G917"/>
      <c r="H917"/>
    </row>
    <row r="918" spans="7:8" x14ac:dyDescent="0.35">
      <c r="G918"/>
      <c r="H918"/>
    </row>
    <row r="919" spans="7:8" x14ac:dyDescent="0.35">
      <c r="G919"/>
      <c r="H919"/>
    </row>
    <row r="920" spans="7:8" x14ac:dyDescent="0.35">
      <c r="G920"/>
      <c r="H920"/>
    </row>
    <row r="921" spans="7:8" x14ac:dyDescent="0.35">
      <c r="G921"/>
      <c r="H921"/>
    </row>
    <row r="922" spans="7:8" x14ac:dyDescent="0.35">
      <c r="G922"/>
      <c r="H922"/>
    </row>
    <row r="923" spans="7:8" x14ac:dyDescent="0.35">
      <c r="G923"/>
      <c r="H923"/>
    </row>
    <row r="924" spans="7:8" x14ac:dyDescent="0.35">
      <c r="G924"/>
      <c r="H924"/>
    </row>
    <row r="925" spans="7:8" x14ac:dyDescent="0.35">
      <c r="G925"/>
      <c r="H925"/>
    </row>
    <row r="926" spans="7:8" x14ac:dyDescent="0.35">
      <c r="G926"/>
      <c r="H926"/>
    </row>
    <row r="927" spans="7:8" x14ac:dyDescent="0.35">
      <c r="G927"/>
      <c r="H927"/>
    </row>
    <row r="928" spans="7:8" x14ac:dyDescent="0.35">
      <c r="G928"/>
      <c r="H928"/>
    </row>
    <row r="929" spans="7:8" x14ac:dyDescent="0.35">
      <c r="G929"/>
      <c r="H929"/>
    </row>
    <row r="930" spans="7:8" x14ac:dyDescent="0.35">
      <c r="G930"/>
      <c r="H930"/>
    </row>
    <row r="931" spans="7:8" x14ac:dyDescent="0.35">
      <c r="G931"/>
      <c r="H931"/>
    </row>
    <row r="932" spans="7:8" x14ac:dyDescent="0.35">
      <c r="G932"/>
      <c r="H932"/>
    </row>
    <row r="933" spans="7:8" x14ac:dyDescent="0.35">
      <c r="G933"/>
      <c r="H933"/>
    </row>
    <row r="934" spans="7:8" x14ac:dyDescent="0.35">
      <c r="G934"/>
      <c r="H934"/>
    </row>
    <row r="935" spans="7:8" x14ac:dyDescent="0.35">
      <c r="G935"/>
      <c r="H935"/>
    </row>
    <row r="936" spans="7:8" x14ac:dyDescent="0.35">
      <c r="G936"/>
      <c r="H936"/>
    </row>
    <row r="937" spans="7:8" x14ac:dyDescent="0.35">
      <c r="G937"/>
      <c r="H937"/>
    </row>
    <row r="938" spans="7:8" x14ac:dyDescent="0.35">
      <c r="G938"/>
      <c r="H938"/>
    </row>
    <row r="939" spans="7:8" x14ac:dyDescent="0.35">
      <c r="G939"/>
      <c r="H939"/>
    </row>
    <row r="940" spans="7:8" x14ac:dyDescent="0.35">
      <c r="G940"/>
      <c r="H940"/>
    </row>
    <row r="941" spans="7:8" x14ac:dyDescent="0.35">
      <c r="G941"/>
      <c r="H941"/>
    </row>
    <row r="942" spans="7:8" x14ac:dyDescent="0.35">
      <c r="G942"/>
      <c r="H942"/>
    </row>
    <row r="943" spans="7:8" x14ac:dyDescent="0.35">
      <c r="G943"/>
      <c r="H943"/>
    </row>
    <row r="944" spans="7:8" x14ac:dyDescent="0.35">
      <c r="G944"/>
      <c r="H944"/>
    </row>
    <row r="945" spans="7:8" x14ac:dyDescent="0.35">
      <c r="G945"/>
      <c r="H945"/>
    </row>
    <row r="946" spans="7:8" x14ac:dyDescent="0.35">
      <c r="G946"/>
      <c r="H946"/>
    </row>
    <row r="947" spans="7:8" x14ac:dyDescent="0.35">
      <c r="G947"/>
      <c r="H947"/>
    </row>
    <row r="948" spans="7:8" x14ac:dyDescent="0.35">
      <c r="G948"/>
      <c r="H948"/>
    </row>
    <row r="949" spans="7:8" x14ac:dyDescent="0.35">
      <c r="G949"/>
      <c r="H949"/>
    </row>
    <row r="950" spans="7:8" x14ac:dyDescent="0.35">
      <c r="G950"/>
      <c r="H950"/>
    </row>
    <row r="951" spans="7:8" x14ac:dyDescent="0.35">
      <c r="G951"/>
      <c r="H951"/>
    </row>
    <row r="952" spans="7:8" x14ac:dyDescent="0.35">
      <c r="G952"/>
      <c r="H952"/>
    </row>
    <row r="953" spans="7:8" x14ac:dyDescent="0.35">
      <c r="G953"/>
      <c r="H953"/>
    </row>
    <row r="954" spans="7:8" x14ac:dyDescent="0.35">
      <c r="G954"/>
      <c r="H954"/>
    </row>
    <row r="955" spans="7:8" x14ac:dyDescent="0.35">
      <c r="G955"/>
      <c r="H955"/>
    </row>
    <row r="956" spans="7:8" x14ac:dyDescent="0.35">
      <c r="G956"/>
      <c r="H956"/>
    </row>
    <row r="957" spans="7:8" x14ac:dyDescent="0.35">
      <c r="G957"/>
      <c r="H957"/>
    </row>
    <row r="958" spans="7:8" x14ac:dyDescent="0.35">
      <c r="G958"/>
      <c r="H958"/>
    </row>
    <row r="959" spans="7:8" x14ac:dyDescent="0.35">
      <c r="G959"/>
      <c r="H959"/>
    </row>
    <row r="960" spans="7:8" x14ac:dyDescent="0.35">
      <c r="G960"/>
      <c r="H960"/>
    </row>
    <row r="961" spans="7:8" x14ac:dyDescent="0.35">
      <c r="G961"/>
      <c r="H961"/>
    </row>
    <row r="962" spans="7:8" x14ac:dyDescent="0.35">
      <c r="G962"/>
      <c r="H962"/>
    </row>
    <row r="963" spans="7:8" x14ac:dyDescent="0.35">
      <c r="G963"/>
      <c r="H963"/>
    </row>
    <row r="964" spans="7:8" x14ac:dyDescent="0.35">
      <c r="G964"/>
      <c r="H964"/>
    </row>
    <row r="965" spans="7:8" x14ac:dyDescent="0.35">
      <c r="G965"/>
      <c r="H965"/>
    </row>
    <row r="966" spans="7:8" x14ac:dyDescent="0.35">
      <c r="G966"/>
      <c r="H966"/>
    </row>
    <row r="967" spans="7:8" x14ac:dyDescent="0.35">
      <c r="G967"/>
      <c r="H967"/>
    </row>
    <row r="968" spans="7:8" x14ac:dyDescent="0.35">
      <c r="G968"/>
      <c r="H968"/>
    </row>
    <row r="969" spans="7:8" x14ac:dyDescent="0.35">
      <c r="G969"/>
      <c r="H969"/>
    </row>
    <row r="970" spans="7:8" x14ac:dyDescent="0.35">
      <c r="G970"/>
      <c r="H970"/>
    </row>
    <row r="971" spans="7:8" x14ac:dyDescent="0.35">
      <c r="G971"/>
      <c r="H971"/>
    </row>
    <row r="972" spans="7:8" x14ac:dyDescent="0.35">
      <c r="G972"/>
      <c r="H972"/>
    </row>
    <row r="973" spans="7:8" x14ac:dyDescent="0.35">
      <c r="G973"/>
      <c r="H973"/>
    </row>
    <row r="974" spans="7:8" x14ac:dyDescent="0.35">
      <c r="G974"/>
      <c r="H974"/>
    </row>
    <row r="975" spans="7:8" x14ac:dyDescent="0.35">
      <c r="G975"/>
      <c r="H975"/>
    </row>
    <row r="976" spans="7:8" x14ac:dyDescent="0.35">
      <c r="G976"/>
      <c r="H976"/>
    </row>
    <row r="977" spans="7:8" x14ac:dyDescent="0.35">
      <c r="G977"/>
      <c r="H977"/>
    </row>
    <row r="978" spans="7:8" x14ac:dyDescent="0.35">
      <c r="G978"/>
      <c r="H978"/>
    </row>
    <row r="979" spans="7:8" x14ac:dyDescent="0.35">
      <c r="G979"/>
      <c r="H979"/>
    </row>
    <row r="980" spans="7:8" x14ac:dyDescent="0.35">
      <c r="G980"/>
      <c r="H980"/>
    </row>
    <row r="981" spans="7:8" x14ac:dyDescent="0.35">
      <c r="G981"/>
      <c r="H981"/>
    </row>
    <row r="982" spans="7:8" x14ac:dyDescent="0.35">
      <c r="G982"/>
      <c r="H982"/>
    </row>
    <row r="983" spans="7:8" x14ac:dyDescent="0.35">
      <c r="G983"/>
      <c r="H983"/>
    </row>
    <row r="984" spans="7:8" x14ac:dyDescent="0.35">
      <c r="G984"/>
      <c r="H984"/>
    </row>
    <row r="985" spans="7:8" x14ac:dyDescent="0.35">
      <c r="G985"/>
      <c r="H985"/>
    </row>
    <row r="986" spans="7:8" x14ac:dyDescent="0.35">
      <c r="G986"/>
      <c r="H986"/>
    </row>
    <row r="987" spans="7:8" x14ac:dyDescent="0.35">
      <c r="G987"/>
      <c r="H987"/>
    </row>
    <row r="988" spans="7:8" x14ac:dyDescent="0.35">
      <c r="G988"/>
      <c r="H988"/>
    </row>
    <row r="989" spans="7:8" x14ac:dyDescent="0.35">
      <c r="G989"/>
      <c r="H989"/>
    </row>
    <row r="990" spans="7:8" x14ac:dyDescent="0.35">
      <c r="G990"/>
      <c r="H990"/>
    </row>
    <row r="991" spans="7:8" x14ac:dyDescent="0.35">
      <c r="G991"/>
      <c r="H991"/>
    </row>
    <row r="992" spans="7:8" x14ac:dyDescent="0.35">
      <c r="G992"/>
      <c r="H992"/>
    </row>
    <row r="993" spans="7:8" x14ac:dyDescent="0.35">
      <c r="G993"/>
      <c r="H993"/>
    </row>
    <row r="994" spans="7:8" x14ac:dyDescent="0.35">
      <c r="G994"/>
      <c r="H994"/>
    </row>
    <row r="995" spans="7:8" x14ac:dyDescent="0.35">
      <c r="G995"/>
      <c r="H995"/>
    </row>
    <row r="996" spans="7:8" x14ac:dyDescent="0.35">
      <c r="G996"/>
      <c r="H996"/>
    </row>
    <row r="997" spans="7:8" x14ac:dyDescent="0.35">
      <c r="G997"/>
      <c r="H997"/>
    </row>
    <row r="998" spans="7:8" x14ac:dyDescent="0.35">
      <c r="G998"/>
      <c r="H998"/>
    </row>
    <row r="999" spans="7:8" x14ac:dyDescent="0.35">
      <c r="G999"/>
      <c r="H999"/>
    </row>
    <row r="1000" spans="7:8" x14ac:dyDescent="0.35">
      <c r="G1000"/>
      <c r="H1000"/>
    </row>
    <row r="1001" spans="7:8" x14ac:dyDescent="0.35">
      <c r="G1001"/>
      <c r="H1001"/>
    </row>
    <row r="1002" spans="7:8" x14ac:dyDescent="0.35">
      <c r="G1002"/>
      <c r="H1002"/>
    </row>
    <row r="1003" spans="7:8" x14ac:dyDescent="0.35">
      <c r="G1003"/>
      <c r="H1003"/>
    </row>
    <row r="1004" spans="7:8" x14ac:dyDescent="0.35">
      <c r="G1004"/>
      <c r="H1004"/>
    </row>
    <row r="1005" spans="7:8" x14ac:dyDescent="0.35">
      <c r="G1005"/>
      <c r="H1005"/>
    </row>
    <row r="1006" spans="7:8" x14ac:dyDescent="0.35">
      <c r="G1006"/>
      <c r="H1006"/>
    </row>
    <row r="1007" spans="7:8" x14ac:dyDescent="0.35">
      <c r="G1007"/>
      <c r="H1007"/>
    </row>
    <row r="1008" spans="7:8" x14ac:dyDescent="0.35">
      <c r="G1008"/>
      <c r="H1008"/>
    </row>
    <row r="1009" spans="7:8" x14ac:dyDescent="0.35">
      <c r="G1009"/>
      <c r="H1009"/>
    </row>
    <row r="1010" spans="7:8" x14ac:dyDescent="0.35">
      <c r="G1010"/>
      <c r="H1010"/>
    </row>
    <row r="1011" spans="7:8" x14ac:dyDescent="0.35">
      <c r="G1011"/>
      <c r="H1011"/>
    </row>
    <row r="1012" spans="7:8" x14ac:dyDescent="0.35">
      <c r="G1012"/>
      <c r="H1012"/>
    </row>
    <row r="1013" spans="7:8" x14ac:dyDescent="0.35">
      <c r="G1013"/>
      <c r="H1013"/>
    </row>
    <row r="1014" spans="7:8" x14ac:dyDescent="0.35">
      <c r="G1014"/>
      <c r="H1014"/>
    </row>
    <row r="1015" spans="7:8" x14ac:dyDescent="0.35">
      <c r="G1015"/>
      <c r="H1015"/>
    </row>
    <row r="1016" spans="7:8" x14ac:dyDescent="0.35">
      <c r="G1016"/>
      <c r="H1016"/>
    </row>
    <row r="1017" spans="7:8" x14ac:dyDescent="0.35">
      <c r="G1017"/>
      <c r="H1017"/>
    </row>
    <row r="1018" spans="7:8" x14ac:dyDescent="0.35">
      <c r="G1018"/>
      <c r="H1018"/>
    </row>
    <row r="1019" spans="7:8" x14ac:dyDescent="0.35">
      <c r="G1019"/>
      <c r="H1019"/>
    </row>
    <row r="1020" spans="7:8" x14ac:dyDescent="0.35">
      <c r="G1020"/>
      <c r="H1020"/>
    </row>
    <row r="1021" spans="7:8" x14ac:dyDescent="0.35">
      <c r="G1021"/>
      <c r="H1021"/>
    </row>
    <row r="1022" spans="7:8" x14ac:dyDescent="0.35">
      <c r="G1022"/>
      <c r="H1022"/>
    </row>
    <row r="1023" spans="7:8" x14ac:dyDescent="0.35">
      <c r="G1023"/>
      <c r="H1023"/>
    </row>
    <row r="1024" spans="7:8" x14ac:dyDescent="0.35">
      <c r="G1024"/>
      <c r="H1024"/>
    </row>
    <row r="1025" spans="7:8" x14ac:dyDescent="0.35">
      <c r="G1025"/>
      <c r="H1025"/>
    </row>
    <row r="1026" spans="7:8" x14ac:dyDescent="0.35">
      <c r="G1026"/>
      <c r="H1026"/>
    </row>
    <row r="1027" spans="7:8" x14ac:dyDescent="0.35">
      <c r="G1027"/>
      <c r="H1027"/>
    </row>
    <row r="1028" spans="7:8" x14ac:dyDescent="0.35">
      <c r="G1028"/>
      <c r="H1028"/>
    </row>
    <row r="1029" spans="7:8" x14ac:dyDescent="0.35">
      <c r="G1029"/>
      <c r="H1029"/>
    </row>
    <row r="1030" spans="7:8" x14ac:dyDescent="0.35">
      <c r="G1030"/>
      <c r="H1030"/>
    </row>
    <row r="1031" spans="7:8" x14ac:dyDescent="0.35">
      <c r="G1031"/>
      <c r="H1031"/>
    </row>
    <row r="1032" spans="7:8" x14ac:dyDescent="0.35">
      <c r="G1032"/>
      <c r="H1032"/>
    </row>
    <row r="1033" spans="7:8" x14ac:dyDescent="0.35">
      <c r="G1033"/>
      <c r="H1033"/>
    </row>
    <row r="1034" spans="7:8" x14ac:dyDescent="0.35">
      <c r="G1034"/>
      <c r="H1034"/>
    </row>
    <row r="1035" spans="7:8" x14ac:dyDescent="0.35">
      <c r="G1035"/>
      <c r="H1035"/>
    </row>
    <row r="1036" spans="7:8" x14ac:dyDescent="0.35">
      <c r="G1036"/>
      <c r="H1036"/>
    </row>
    <row r="1037" spans="7:8" x14ac:dyDescent="0.35">
      <c r="G1037"/>
      <c r="H1037"/>
    </row>
    <row r="1038" spans="7:8" x14ac:dyDescent="0.35">
      <c r="G1038"/>
      <c r="H1038"/>
    </row>
    <row r="1039" spans="7:8" x14ac:dyDescent="0.35">
      <c r="G1039"/>
      <c r="H1039"/>
    </row>
    <row r="1040" spans="7:8" x14ac:dyDescent="0.35">
      <c r="G1040"/>
      <c r="H1040"/>
    </row>
    <row r="1041" spans="7:8" x14ac:dyDescent="0.35">
      <c r="G1041"/>
      <c r="H1041"/>
    </row>
    <row r="1042" spans="7:8" x14ac:dyDescent="0.35">
      <c r="G1042"/>
      <c r="H1042"/>
    </row>
    <row r="1043" spans="7:8" x14ac:dyDescent="0.35">
      <c r="G1043"/>
      <c r="H1043"/>
    </row>
    <row r="1044" spans="7:8" x14ac:dyDescent="0.35">
      <c r="G1044"/>
      <c r="H1044"/>
    </row>
    <row r="1045" spans="7:8" x14ac:dyDescent="0.35">
      <c r="G1045"/>
      <c r="H1045"/>
    </row>
    <row r="1046" spans="7:8" x14ac:dyDescent="0.35">
      <c r="G1046"/>
      <c r="H1046"/>
    </row>
    <row r="1047" spans="7:8" x14ac:dyDescent="0.35">
      <c r="G1047"/>
      <c r="H1047"/>
    </row>
    <row r="1048" spans="7:8" x14ac:dyDescent="0.35">
      <c r="G1048"/>
      <c r="H1048"/>
    </row>
    <row r="1049" spans="7:8" x14ac:dyDescent="0.35">
      <c r="G1049"/>
      <c r="H1049"/>
    </row>
    <row r="1050" spans="7:8" x14ac:dyDescent="0.35">
      <c r="G1050"/>
      <c r="H1050"/>
    </row>
    <row r="1051" spans="7:8" x14ac:dyDescent="0.35">
      <c r="G1051"/>
      <c r="H1051"/>
    </row>
    <row r="1052" spans="7:8" x14ac:dyDescent="0.35">
      <c r="G1052"/>
      <c r="H1052"/>
    </row>
    <row r="1053" spans="7:8" x14ac:dyDescent="0.35">
      <c r="G1053"/>
      <c r="H1053"/>
    </row>
    <row r="1054" spans="7:8" x14ac:dyDescent="0.35">
      <c r="G1054"/>
      <c r="H1054"/>
    </row>
    <row r="1055" spans="7:8" x14ac:dyDescent="0.35">
      <c r="G1055"/>
      <c r="H1055"/>
    </row>
    <row r="1056" spans="7:8" x14ac:dyDescent="0.35">
      <c r="G1056"/>
      <c r="H1056"/>
    </row>
    <row r="1057" spans="7:8" x14ac:dyDescent="0.35">
      <c r="G1057"/>
      <c r="H1057"/>
    </row>
    <row r="1058" spans="7:8" x14ac:dyDescent="0.35">
      <c r="G1058"/>
      <c r="H1058"/>
    </row>
    <row r="1059" spans="7:8" x14ac:dyDescent="0.35">
      <c r="G1059"/>
      <c r="H1059"/>
    </row>
    <row r="1060" spans="7:8" x14ac:dyDescent="0.35">
      <c r="G1060"/>
      <c r="H1060"/>
    </row>
    <row r="1061" spans="7:8" x14ac:dyDescent="0.35">
      <c r="G1061"/>
      <c r="H1061"/>
    </row>
    <row r="1062" spans="7:8" x14ac:dyDescent="0.35">
      <c r="G1062"/>
      <c r="H1062"/>
    </row>
    <row r="1063" spans="7:8" x14ac:dyDescent="0.35">
      <c r="G1063"/>
      <c r="H1063"/>
    </row>
    <row r="1064" spans="7:8" x14ac:dyDescent="0.35">
      <c r="G1064"/>
      <c r="H1064"/>
    </row>
    <row r="1065" spans="7:8" x14ac:dyDescent="0.35">
      <c r="G1065"/>
      <c r="H1065"/>
    </row>
    <row r="1066" spans="7:8" x14ac:dyDescent="0.35">
      <c r="G1066"/>
      <c r="H1066"/>
    </row>
    <row r="1067" spans="7:8" x14ac:dyDescent="0.35">
      <c r="G1067"/>
      <c r="H1067"/>
    </row>
    <row r="1068" spans="7:8" x14ac:dyDescent="0.35">
      <c r="G1068"/>
      <c r="H1068"/>
    </row>
    <row r="1069" spans="7:8" x14ac:dyDescent="0.35">
      <c r="G1069"/>
      <c r="H1069"/>
    </row>
    <row r="1070" spans="7:8" x14ac:dyDescent="0.35">
      <c r="G1070"/>
      <c r="H1070"/>
    </row>
    <row r="1071" spans="7:8" x14ac:dyDescent="0.35">
      <c r="G1071"/>
      <c r="H1071"/>
    </row>
    <row r="1072" spans="7:8" x14ac:dyDescent="0.35">
      <c r="G1072"/>
      <c r="H1072"/>
    </row>
    <row r="1073" spans="7:8" x14ac:dyDescent="0.35">
      <c r="G1073"/>
      <c r="H1073"/>
    </row>
    <row r="1074" spans="7:8" x14ac:dyDescent="0.35">
      <c r="G1074"/>
      <c r="H1074"/>
    </row>
    <row r="1075" spans="7:8" x14ac:dyDescent="0.35">
      <c r="G1075"/>
      <c r="H1075"/>
    </row>
    <row r="1076" spans="7:8" x14ac:dyDescent="0.35">
      <c r="G1076"/>
      <c r="H1076"/>
    </row>
    <row r="1077" spans="7:8" x14ac:dyDescent="0.35">
      <c r="G1077"/>
      <c r="H1077"/>
    </row>
    <row r="1078" spans="7:8" x14ac:dyDescent="0.35">
      <c r="G1078"/>
      <c r="H1078"/>
    </row>
    <row r="1079" spans="7:8" x14ac:dyDescent="0.35">
      <c r="G1079"/>
      <c r="H1079"/>
    </row>
    <row r="1080" spans="7:8" x14ac:dyDescent="0.35">
      <c r="G1080"/>
      <c r="H1080"/>
    </row>
    <row r="1081" spans="7:8" x14ac:dyDescent="0.35">
      <c r="G1081"/>
      <c r="H1081"/>
    </row>
    <row r="1082" spans="7:8" x14ac:dyDescent="0.35">
      <c r="G1082"/>
      <c r="H1082"/>
    </row>
    <row r="1083" spans="7:8" x14ac:dyDescent="0.35">
      <c r="G1083"/>
      <c r="H1083"/>
    </row>
    <row r="1084" spans="7:8" x14ac:dyDescent="0.35">
      <c r="G1084"/>
      <c r="H1084"/>
    </row>
    <row r="1085" spans="7:8" x14ac:dyDescent="0.35">
      <c r="G1085"/>
      <c r="H1085"/>
    </row>
    <row r="1086" spans="7:8" x14ac:dyDescent="0.35">
      <c r="G1086"/>
      <c r="H1086"/>
    </row>
    <row r="1087" spans="7:8" x14ac:dyDescent="0.35">
      <c r="G1087"/>
      <c r="H1087"/>
    </row>
    <row r="1088" spans="7:8" x14ac:dyDescent="0.35">
      <c r="G1088"/>
      <c r="H1088"/>
    </row>
    <row r="1089" spans="7:8" x14ac:dyDescent="0.35">
      <c r="G1089"/>
      <c r="H1089"/>
    </row>
    <row r="1090" spans="7:8" x14ac:dyDescent="0.35">
      <c r="G1090"/>
      <c r="H1090"/>
    </row>
    <row r="1091" spans="7:8" x14ac:dyDescent="0.35">
      <c r="G1091"/>
      <c r="H1091"/>
    </row>
    <row r="1092" spans="7:8" x14ac:dyDescent="0.35">
      <c r="G1092"/>
      <c r="H1092"/>
    </row>
    <row r="1093" spans="7:8" x14ac:dyDescent="0.35">
      <c r="G1093"/>
      <c r="H1093"/>
    </row>
    <row r="1094" spans="7:8" x14ac:dyDescent="0.35">
      <c r="G1094"/>
      <c r="H1094"/>
    </row>
    <row r="1095" spans="7:8" x14ac:dyDescent="0.35">
      <c r="G1095"/>
      <c r="H1095"/>
    </row>
    <row r="1096" spans="7:8" x14ac:dyDescent="0.35">
      <c r="G1096"/>
      <c r="H1096"/>
    </row>
    <row r="1097" spans="7:8" x14ac:dyDescent="0.35">
      <c r="G1097"/>
      <c r="H1097"/>
    </row>
    <row r="1098" spans="7:8" x14ac:dyDescent="0.35">
      <c r="G1098"/>
      <c r="H1098"/>
    </row>
    <row r="1099" spans="7:8" x14ac:dyDescent="0.35">
      <c r="G1099"/>
      <c r="H1099"/>
    </row>
    <row r="1100" spans="7:8" x14ac:dyDescent="0.35">
      <c r="G1100"/>
      <c r="H1100"/>
    </row>
    <row r="1101" spans="7:8" x14ac:dyDescent="0.35">
      <c r="G1101"/>
      <c r="H1101"/>
    </row>
    <row r="1102" spans="7:8" x14ac:dyDescent="0.35">
      <c r="G1102"/>
      <c r="H1102"/>
    </row>
    <row r="1103" spans="7:8" x14ac:dyDescent="0.35">
      <c r="G1103"/>
      <c r="H1103"/>
    </row>
    <row r="1104" spans="7:8" x14ac:dyDescent="0.35">
      <c r="G1104"/>
      <c r="H1104"/>
    </row>
    <row r="1105" spans="7:8" x14ac:dyDescent="0.35">
      <c r="G1105"/>
      <c r="H1105"/>
    </row>
    <row r="1106" spans="7:8" x14ac:dyDescent="0.35">
      <c r="G1106"/>
      <c r="H1106"/>
    </row>
    <row r="1107" spans="7:8" x14ac:dyDescent="0.35">
      <c r="G1107"/>
      <c r="H1107"/>
    </row>
    <row r="1108" spans="7:8" x14ac:dyDescent="0.35">
      <c r="G1108"/>
      <c r="H1108"/>
    </row>
    <row r="1109" spans="7:8" x14ac:dyDescent="0.35">
      <c r="G1109"/>
      <c r="H1109"/>
    </row>
    <row r="1110" spans="7:8" x14ac:dyDescent="0.35">
      <c r="G1110"/>
      <c r="H1110"/>
    </row>
    <row r="1111" spans="7:8" x14ac:dyDescent="0.35">
      <c r="G1111"/>
      <c r="H1111"/>
    </row>
    <row r="1112" spans="7:8" x14ac:dyDescent="0.35">
      <c r="G1112"/>
      <c r="H1112"/>
    </row>
    <row r="1113" spans="7:8" x14ac:dyDescent="0.35">
      <c r="G1113"/>
      <c r="H1113"/>
    </row>
    <row r="1114" spans="7:8" x14ac:dyDescent="0.35">
      <c r="G1114"/>
      <c r="H1114"/>
    </row>
    <row r="1115" spans="7:8" x14ac:dyDescent="0.35">
      <c r="G1115"/>
      <c r="H1115"/>
    </row>
    <row r="1116" spans="7:8" x14ac:dyDescent="0.35">
      <c r="G1116"/>
      <c r="H1116"/>
    </row>
    <row r="1117" spans="7:8" x14ac:dyDescent="0.35">
      <c r="G1117"/>
      <c r="H1117"/>
    </row>
    <row r="1118" spans="7:8" x14ac:dyDescent="0.35">
      <c r="G1118"/>
      <c r="H1118"/>
    </row>
    <row r="1119" spans="7:8" x14ac:dyDescent="0.35">
      <c r="G1119"/>
      <c r="H1119"/>
    </row>
    <row r="1120" spans="7:8" x14ac:dyDescent="0.35">
      <c r="G1120"/>
      <c r="H1120"/>
    </row>
    <row r="1121" spans="7:8" x14ac:dyDescent="0.35">
      <c r="G1121"/>
      <c r="H1121"/>
    </row>
    <row r="1122" spans="7:8" x14ac:dyDescent="0.35">
      <c r="G1122"/>
      <c r="H1122"/>
    </row>
    <row r="1123" spans="7:8" x14ac:dyDescent="0.35">
      <c r="G1123"/>
      <c r="H1123"/>
    </row>
    <row r="1124" spans="7:8" x14ac:dyDescent="0.35">
      <c r="G1124"/>
      <c r="H1124"/>
    </row>
    <row r="1125" spans="7:8" x14ac:dyDescent="0.35">
      <c r="G1125"/>
      <c r="H1125"/>
    </row>
    <row r="1126" spans="7:8" x14ac:dyDescent="0.35">
      <c r="G1126"/>
      <c r="H1126"/>
    </row>
    <row r="1127" spans="7:8" x14ac:dyDescent="0.35">
      <c r="G1127"/>
      <c r="H1127"/>
    </row>
    <row r="1128" spans="7:8" x14ac:dyDescent="0.35">
      <c r="G1128"/>
      <c r="H1128"/>
    </row>
    <row r="1129" spans="7:8" x14ac:dyDescent="0.35">
      <c r="G1129"/>
      <c r="H1129"/>
    </row>
    <row r="1130" spans="7:8" x14ac:dyDescent="0.35">
      <c r="G1130"/>
      <c r="H1130"/>
    </row>
    <row r="1131" spans="7:8" x14ac:dyDescent="0.35">
      <c r="G1131"/>
      <c r="H1131"/>
    </row>
    <row r="1132" spans="7:8" x14ac:dyDescent="0.35">
      <c r="G1132"/>
      <c r="H1132"/>
    </row>
    <row r="1133" spans="7:8" x14ac:dyDescent="0.35">
      <c r="G1133"/>
      <c r="H1133"/>
    </row>
    <row r="1134" spans="7:8" x14ac:dyDescent="0.35">
      <c r="G1134"/>
      <c r="H1134"/>
    </row>
    <row r="1135" spans="7:8" x14ac:dyDescent="0.35">
      <c r="G1135"/>
      <c r="H1135"/>
    </row>
    <row r="1136" spans="7:8" x14ac:dyDescent="0.35">
      <c r="G1136"/>
      <c r="H1136"/>
    </row>
    <row r="1137" spans="7:8" x14ac:dyDescent="0.35">
      <c r="G1137"/>
      <c r="H1137"/>
    </row>
    <row r="1138" spans="7:8" x14ac:dyDescent="0.35">
      <c r="G1138"/>
      <c r="H1138"/>
    </row>
    <row r="1139" spans="7:8" x14ac:dyDescent="0.35">
      <c r="G1139"/>
      <c r="H1139"/>
    </row>
    <row r="1140" spans="7:8" x14ac:dyDescent="0.35">
      <c r="G1140"/>
      <c r="H1140"/>
    </row>
    <row r="1141" spans="7:8" x14ac:dyDescent="0.35">
      <c r="G1141"/>
      <c r="H1141"/>
    </row>
    <row r="1142" spans="7:8" x14ac:dyDescent="0.35">
      <c r="G1142"/>
      <c r="H1142"/>
    </row>
    <row r="1143" spans="7:8" x14ac:dyDescent="0.35">
      <c r="G1143"/>
      <c r="H1143"/>
    </row>
    <row r="1144" spans="7:8" x14ac:dyDescent="0.35">
      <c r="G1144"/>
      <c r="H1144"/>
    </row>
    <row r="1145" spans="7:8" x14ac:dyDescent="0.35">
      <c r="G1145"/>
      <c r="H1145"/>
    </row>
    <row r="1146" spans="7:8" x14ac:dyDescent="0.35">
      <c r="G1146"/>
      <c r="H1146"/>
    </row>
    <row r="1147" spans="7:8" x14ac:dyDescent="0.35">
      <c r="G1147"/>
      <c r="H1147"/>
    </row>
    <row r="1148" spans="7:8" x14ac:dyDescent="0.35">
      <c r="G1148"/>
      <c r="H1148"/>
    </row>
    <row r="1149" spans="7:8" x14ac:dyDescent="0.35">
      <c r="G1149"/>
      <c r="H1149"/>
    </row>
    <row r="1150" spans="7:8" x14ac:dyDescent="0.35">
      <c r="G1150"/>
      <c r="H1150"/>
    </row>
    <row r="1151" spans="7:8" x14ac:dyDescent="0.35">
      <c r="G1151"/>
      <c r="H1151"/>
    </row>
    <row r="1152" spans="7:8" x14ac:dyDescent="0.35">
      <c r="G1152"/>
      <c r="H1152"/>
    </row>
    <row r="1153" spans="7:8" x14ac:dyDescent="0.35">
      <c r="G1153"/>
      <c r="H1153"/>
    </row>
    <row r="1154" spans="7:8" x14ac:dyDescent="0.35">
      <c r="G1154"/>
      <c r="H1154"/>
    </row>
    <row r="1155" spans="7:8" x14ac:dyDescent="0.35">
      <c r="G1155"/>
      <c r="H1155"/>
    </row>
    <row r="1156" spans="7:8" x14ac:dyDescent="0.35">
      <c r="G1156"/>
      <c r="H1156"/>
    </row>
    <row r="1157" spans="7:8" x14ac:dyDescent="0.35">
      <c r="G1157"/>
      <c r="H1157"/>
    </row>
    <row r="1158" spans="7:8" x14ac:dyDescent="0.35">
      <c r="G1158"/>
      <c r="H1158"/>
    </row>
    <row r="1159" spans="7:8" x14ac:dyDescent="0.35">
      <c r="G1159"/>
      <c r="H1159"/>
    </row>
    <row r="1160" spans="7:8" x14ac:dyDescent="0.35">
      <c r="G1160"/>
      <c r="H1160"/>
    </row>
    <row r="1161" spans="7:8" x14ac:dyDescent="0.35">
      <c r="G1161"/>
      <c r="H1161"/>
    </row>
    <row r="1162" spans="7:8" x14ac:dyDescent="0.35">
      <c r="G1162"/>
      <c r="H1162"/>
    </row>
    <row r="1163" spans="7:8" x14ac:dyDescent="0.35">
      <c r="G1163"/>
      <c r="H1163"/>
    </row>
    <row r="1164" spans="7:8" x14ac:dyDescent="0.35">
      <c r="G1164"/>
      <c r="H1164"/>
    </row>
    <row r="1165" spans="7:8" x14ac:dyDescent="0.35">
      <c r="G1165"/>
      <c r="H1165"/>
    </row>
    <row r="1166" spans="7:8" x14ac:dyDescent="0.35">
      <c r="G1166"/>
      <c r="H1166"/>
    </row>
    <row r="1167" spans="7:8" x14ac:dyDescent="0.35">
      <c r="G1167"/>
      <c r="H1167"/>
    </row>
    <row r="1168" spans="7:8" x14ac:dyDescent="0.35">
      <c r="G1168"/>
      <c r="H1168"/>
    </row>
    <row r="1169" spans="7:8" x14ac:dyDescent="0.35">
      <c r="G1169"/>
      <c r="H1169"/>
    </row>
    <row r="1170" spans="7:8" x14ac:dyDescent="0.35">
      <c r="G1170"/>
      <c r="H1170"/>
    </row>
    <row r="1171" spans="7:8" x14ac:dyDescent="0.35">
      <c r="G1171"/>
      <c r="H1171"/>
    </row>
    <row r="1172" spans="7:8" x14ac:dyDescent="0.35">
      <c r="G1172"/>
      <c r="H1172"/>
    </row>
    <row r="1173" spans="7:8" x14ac:dyDescent="0.35">
      <c r="G1173"/>
      <c r="H1173"/>
    </row>
    <row r="1174" spans="7:8" x14ac:dyDescent="0.35">
      <c r="G1174"/>
      <c r="H1174"/>
    </row>
    <row r="1175" spans="7:8" x14ac:dyDescent="0.35">
      <c r="G1175"/>
      <c r="H1175"/>
    </row>
    <row r="1176" spans="7:8" x14ac:dyDescent="0.35">
      <c r="G1176"/>
      <c r="H1176"/>
    </row>
    <row r="1177" spans="7:8" x14ac:dyDescent="0.35">
      <c r="G1177"/>
      <c r="H1177"/>
    </row>
    <row r="1178" spans="7:8" x14ac:dyDescent="0.35">
      <c r="G1178"/>
      <c r="H1178"/>
    </row>
    <row r="1179" spans="7:8" x14ac:dyDescent="0.35">
      <c r="G1179"/>
      <c r="H1179"/>
    </row>
    <row r="1180" spans="7:8" x14ac:dyDescent="0.35">
      <c r="G1180"/>
      <c r="H1180"/>
    </row>
    <row r="1181" spans="7:8" x14ac:dyDescent="0.35">
      <c r="G1181"/>
      <c r="H1181"/>
    </row>
    <row r="1182" spans="7:8" x14ac:dyDescent="0.35">
      <c r="G1182"/>
      <c r="H1182"/>
    </row>
    <row r="1183" spans="7:8" x14ac:dyDescent="0.35">
      <c r="G1183"/>
      <c r="H1183"/>
    </row>
    <row r="1184" spans="7:8" x14ac:dyDescent="0.35">
      <c r="G1184"/>
      <c r="H1184"/>
    </row>
    <row r="1185" spans="7:8" x14ac:dyDescent="0.35">
      <c r="G1185"/>
      <c r="H1185"/>
    </row>
    <row r="1186" spans="7:8" x14ac:dyDescent="0.35">
      <c r="G1186"/>
      <c r="H1186"/>
    </row>
    <row r="1187" spans="7:8" x14ac:dyDescent="0.35">
      <c r="G1187"/>
      <c r="H1187"/>
    </row>
    <row r="1188" spans="7:8" x14ac:dyDescent="0.35">
      <c r="G1188"/>
      <c r="H1188"/>
    </row>
    <row r="1189" spans="7:8" x14ac:dyDescent="0.35">
      <c r="G1189"/>
      <c r="H1189"/>
    </row>
    <row r="1190" spans="7:8" x14ac:dyDescent="0.35">
      <c r="G1190"/>
      <c r="H1190"/>
    </row>
    <row r="1191" spans="7:8" x14ac:dyDescent="0.35">
      <c r="G1191"/>
      <c r="H1191"/>
    </row>
    <row r="1192" spans="7:8" x14ac:dyDescent="0.35">
      <c r="G1192"/>
      <c r="H1192"/>
    </row>
    <row r="1193" spans="7:8" x14ac:dyDescent="0.35">
      <c r="G1193"/>
      <c r="H1193"/>
    </row>
    <row r="1194" spans="7:8" x14ac:dyDescent="0.35">
      <c r="G1194"/>
      <c r="H1194"/>
    </row>
    <row r="1195" spans="7:8" x14ac:dyDescent="0.35">
      <c r="G1195"/>
      <c r="H1195"/>
    </row>
    <row r="1196" spans="7:8" x14ac:dyDescent="0.35">
      <c r="G1196"/>
      <c r="H1196"/>
    </row>
    <row r="1197" spans="7:8" x14ac:dyDescent="0.35">
      <c r="G1197"/>
      <c r="H1197"/>
    </row>
    <row r="1198" spans="7:8" x14ac:dyDescent="0.35">
      <c r="G1198"/>
      <c r="H1198"/>
    </row>
    <row r="1199" spans="7:8" x14ac:dyDescent="0.35">
      <c r="G1199"/>
      <c r="H1199"/>
    </row>
    <row r="1200" spans="7:8" x14ac:dyDescent="0.35">
      <c r="G1200"/>
      <c r="H1200"/>
    </row>
    <row r="1201" spans="7:8" x14ac:dyDescent="0.35">
      <c r="G1201"/>
      <c r="H1201"/>
    </row>
    <row r="1202" spans="7:8" x14ac:dyDescent="0.35">
      <c r="G1202"/>
      <c r="H1202"/>
    </row>
    <row r="1203" spans="7:8" x14ac:dyDescent="0.35">
      <c r="G1203"/>
      <c r="H1203"/>
    </row>
    <row r="1204" spans="7:8" x14ac:dyDescent="0.35">
      <c r="G1204"/>
      <c r="H1204"/>
    </row>
    <row r="1205" spans="7:8" x14ac:dyDescent="0.35">
      <c r="G1205"/>
      <c r="H1205"/>
    </row>
    <row r="1206" spans="7:8" x14ac:dyDescent="0.35">
      <c r="G1206"/>
      <c r="H1206"/>
    </row>
    <row r="1207" spans="7:8" x14ac:dyDescent="0.35">
      <c r="G1207"/>
      <c r="H1207"/>
    </row>
    <row r="1208" spans="7:8" x14ac:dyDescent="0.35">
      <c r="G1208"/>
      <c r="H1208"/>
    </row>
    <row r="1209" spans="7:8" x14ac:dyDescent="0.35">
      <c r="G1209"/>
      <c r="H1209"/>
    </row>
    <row r="1210" spans="7:8" x14ac:dyDescent="0.35">
      <c r="G1210"/>
      <c r="H1210"/>
    </row>
    <row r="1211" spans="7:8" x14ac:dyDescent="0.35">
      <c r="G1211"/>
      <c r="H1211"/>
    </row>
    <row r="1212" spans="7:8" x14ac:dyDescent="0.35">
      <c r="G1212"/>
      <c r="H1212"/>
    </row>
    <row r="1213" spans="7:8" x14ac:dyDescent="0.35">
      <c r="G1213"/>
      <c r="H1213"/>
    </row>
    <row r="1214" spans="7:8" x14ac:dyDescent="0.35">
      <c r="G1214"/>
      <c r="H1214"/>
    </row>
    <row r="1215" spans="7:8" x14ac:dyDescent="0.35">
      <c r="G1215"/>
      <c r="H1215"/>
    </row>
    <row r="1216" spans="7:8" x14ac:dyDescent="0.35">
      <c r="G1216"/>
      <c r="H1216"/>
    </row>
    <row r="1217" spans="7:8" x14ac:dyDescent="0.35">
      <c r="G1217"/>
      <c r="H1217"/>
    </row>
    <row r="1218" spans="7:8" x14ac:dyDescent="0.35">
      <c r="G1218"/>
      <c r="H1218"/>
    </row>
    <row r="1219" spans="7:8" x14ac:dyDescent="0.35">
      <c r="G1219"/>
      <c r="H1219"/>
    </row>
    <row r="1220" spans="7:8" x14ac:dyDescent="0.35">
      <c r="G1220"/>
      <c r="H1220"/>
    </row>
    <row r="1221" spans="7:8" x14ac:dyDescent="0.35">
      <c r="G1221"/>
      <c r="H1221"/>
    </row>
    <row r="1222" spans="7:8" x14ac:dyDescent="0.35">
      <c r="G1222"/>
      <c r="H1222"/>
    </row>
    <row r="1223" spans="7:8" x14ac:dyDescent="0.35">
      <c r="G1223"/>
      <c r="H1223"/>
    </row>
    <row r="1224" spans="7:8" x14ac:dyDescent="0.35">
      <c r="G1224"/>
      <c r="H1224"/>
    </row>
    <row r="1225" spans="7:8" x14ac:dyDescent="0.35">
      <c r="G1225"/>
      <c r="H1225"/>
    </row>
    <row r="1226" spans="7:8" x14ac:dyDescent="0.35">
      <c r="G1226"/>
      <c r="H1226"/>
    </row>
    <row r="1227" spans="7:8" x14ac:dyDescent="0.35">
      <c r="G1227"/>
      <c r="H1227"/>
    </row>
    <row r="1228" spans="7:8" x14ac:dyDescent="0.35">
      <c r="G1228"/>
      <c r="H1228"/>
    </row>
    <row r="1229" spans="7:8" x14ac:dyDescent="0.35">
      <c r="G1229"/>
      <c r="H1229"/>
    </row>
    <row r="1230" spans="7:8" x14ac:dyDescent="0.35">
      <c r="G1230"/>
      <c r="H1230"/>
    </row>
    <row r="1231" spans="7:8" x14ac:dyDescent="0.35">
      <c r="G1231"/>
      <c r="H1231"/>
    </row>
    <row r="1232" spans="7:8" x14ac:dyDescent="0.35">
      <c r="G1232"/>
      <c r="H1232"/>
    </row>
    <row r="1233" spans="7:8" x14ac:dyDescent="0.35">
      <c r="G1233"/>
      <c r="H1233"/>
    </row>
    <row r="1234" spans="7:8" x14ac:dyDescent="0.35">
      <c r="G1234"/>
      <c r="H1234"/>
    </row>
    <row r="1235" spans="7:8" x14ac:dyDescent="0.35">
      <c r="G1235"/>
      <c r="H1235"/>
    </row>
    <row r="1236" spans="7:8" x14ac:dyDescent="0.35">
      <c r="G1236"/>
      <c r="H1236"/>
    </row>
    <row r="1237" spans="7:8" x14ac:dyDescent="0.35">
      <c r="G1237"/>
      <c r="H1237"/>
    </row>
    <row r="1238" spans="7:8" x14ac:dyDescent="0.35">
      <c r="G1238"/>
      <c r="H1238"/>
    </row>
    <row r="1239" spans="7:8" x14ac:dyDescent="0.35">
      <c r="G1239"/>
      <c r="H1239"/>
    </row>
    <row r="1240" spans="7:8" x14ac:dyDescent="0.35">
      <c r="G1240"/>
      <c r="H1240"/>
    </row>
    <row r="1241" spans="7:8" x14ac:dyDescent="0.35">
      <c r="G1241"/>
      <c r="H1241"/>
    </row>
    <row r="1242" spans="7:8" x14ac:dyDescent="0.35">
      <c r="G1242"/>
      <c r="H1242"/>
    </row>
    <row r="1243" spans="7:8" x14ac:dyDescent="0.35">
      <c r="G1243"/>
      <c r="H1243"/>
    </row>
    <row r="1244" spans="7:8" x14ac:dyDescent="0.35">
      <c r="G1244"/>
      <c r="H1244"/>
    </row>
    <row r="1245" spans="7:8" x14ac:dyDescent="0.35">
      <c r="G1245"/>
      <c r="H1245"/>
    </row>
    <row r="1246" spans="7:8" x14ac:dyDescent="0.35">
      <c r="G1246"/>
      <c r="H1246"/>
    </row>
    <row r="1247" spans="7:8" x14ac:dyDescent="0.35">
      <c r="G1247"/>
      <c r="H1247"/>
    </row>
    <row r="1248" spans="7:8" x14ac:dyDescent="0.35">
      <c r="G1248"/>
      <c r="H1248"/>
    </row>
    <row r="1249" spans="7:8" x14ac:dyDescent="0.35">
      <c r="G1249"/>
      <c r="H1249"/>
    </row>
    <row r="1250" spans="7:8" x14ac:dyDescent="0.35">
      <c r="G1250"/>
      <c r="H1250"/>
    </row>
    <row r="1251" spans="7:8" x14ac:dyDescent="0.35">
      <c r="G1251"/>
      <c r="H1251"/>
    </row>
    <row r="1252" spans="7:8" x14ac:dyDescent="0.35">
      <c r="G1252"/>
      <c r="H1252"/>
    </row>
    <row r="1253" spans="7:8" x14ac:dyDescent="0.35">
      <c r="G1253"/>
      <c r="H1253"/>
    </row>
    <row r="1254" spans="7:8" x14ac:dyDescent="0.35">
      <c r="G1254"/>
      <c r="H1254"/>
    </row>
    <row r="1255" spans="7:8" x14ac:dyDescent="0.35">
      <c r="G1255"/>
      <c r="H1255"/>
    </row>
    <row r="1256" spans="7:8" x14ac:dyDescent="0.35">
      <c r="G1256"/>
      <c r="H1256"/>
    </row>
    <row r="1257" spans="7:8" x14ac:dyDescent="0.35">
      <c r="G1257"/>
      <c r="H1257"/>
    </row>
    <row r="1258" spans="7:8" x14ac:dyDescent="0.35">
      <c r="G1258"/>
      <c r="H1258"/>
    </row>
    <row r="1259" spans="7:8" x14ac:dyDescent="0.35">
      <c r="G1259"/>
      <c r="H1259"/>
    </row>
    <row r="1260" spans="7:8" x14ac:dyDescent="0.35">
      <c r="G1260"/>
      <c r="H1260"/>
    </row>
    <row r="1261" spans="7:8" x14ac:dyDescent="0.35">
      <c r="G1261"/>
      <c r="H1261"/>
    </row>
    <row r="1262" spans="7:8" x14ac:dyDescent="0.35">
      <c r="G1262"/>
      <c r="H1262"/>
    </row>
    <row r="1263" spans="7:8" x14ac:dyDescent="0.35">
      <c r="G1263"/>
      <c r="H1263"/>
    </row>
    <row r="1264" spans="7:8" x14ac:dyDescent="0.35">
      <c r="G1264"/>
      <c r="H1264"/>
    </row>
    <row r="1265" spans="7:8" x14ac:dyDescent="0.35">
      <c r="G1265"/>
      <c r="H1265"/>
    </row>
    <row r="1266" spans="7:8" x14ac:dyDescent="0.35">
      <c r="G1266"/>
      <c r="H1266"/>
    </row>
    <row r="1267" spans="7:8" x14ac:dyDescent="0.35">
      <c r="G1267"/>
      <c r="H1267"/>
    </row>
    <row r="1268" spans="7:8" x14ac:dyDescent="0.35">
      <c r="G1268"/>
      <c r="H1268"/>
    </row>
    <row r="1269" spans="7:8" x14ac:dyDescent="0.35">
      <c r="G1269"/>
      <c r="H1269"/>
    </row>
    <row r="1270" spans="7:8" x14ac:dyDescent="0.35">
      <c r="G1270"/>
      <c r="H1270"/>
    </row>
    <row r="1271" spans="7:8" x14ac:dyDescent="0.35">
      <c r="G1271"/>
      <c r="H1271"/>
    </row>
    <row r="1272" spans="7:8" x14ac:dyDescent="0.35">
      <c r="G1272"/>
      <c r="H1272"/>
    </row>
    <row r="1273" spans="7:8" x14ac:dyDescent="0.35">
      <c r="G1273"/>
      <c r="H1273"/>
    </row>
    <row r="1274" spans="7:8" x14ac:dyDescent="0.35">
      <c r="G1274"/>
      <c r="H1274"/>
    </row>
    <row r="1275" spans="7:8" x14ac:dyDescent="0.35">
      <c r="G1275"/>
      <c r="H1275"/>
    </row>
    <row r="1276" spans="7:8" x14ac:dyDescent="0.35">
      <c r="G1276"/>
      <c r="H1276"/>
    </row>
    <row r="1277" spans="7:8" x14ac:dyDescent="0.35">
      <c r="G1277"/>
      <c r="H1277"/>
    </row>
    <row r="1278" spans="7:8" x14ac:dyDescent="0.35">
      <c r="G1278"/>
      <c r="H1278"/>
    </row>
    <row r="1279" spans="7:8" x14ac:dyDescent="0.35">
      <c r="G1279"/>
      <c r="H1279"/>
    </row>
    <row r="1280" spans="7:8" x14ac:dyDescent="0.35">
      <c r="G1280"/>
      <c r="H1280"/>
    </row>
    <row r="1281" spans="7:8" x14ac:dyDescent="0.35">
      <c r="G1281"/>
      <c r="H1281"/>
    </row>
    <row r="1282" spans="7:8" x14ac:dyDescent="0.35">
      <c r="G1282"/>
      <c r="H1282"/>
    </row>
    <row r="1283" spans="7:8" x14ac:dyDescent="0.35">
      <c r="G1283"/>
      <c r="H1283"/>
    </row>
    <row r="1284" spans="7:8" x14ac:dyDescent="0.35">
      <c r="G1284"/>
      <c r="H1284"/>
    </row>
    <row r="1285" spans="7:8" x14ac:dyDescent="0.35">
      <c r="G1285"/>
      <c r="H1285"/>
    </row>
    <row r="1286" spans="7:8" x14ac:dyDescent="0.35">
      <c r="G1286"/>
      <c r="H1286"/>
    </row>
    <row r="1287" spans="7:8" x14ac:dyDescent="0.35">
      <c r="G1287"/>
      <c r="H1287"/>
    </row>
    <row r="1288" spans="7:8" x14ac:dyDescent="0.35">
      <c r="G1288"/>
      <c r="H1288"/>
    </row>
    <row r="1289" spans="7:8" x14ac:dyDescent="0.35">
      <c r="G1289"/>
      <c r="H1289"/>
    </row>
    <row r="1290" spans="7:8" x14ac:dyDescent="0.35">
      <c r="G1290"/>
      <c r="H1290"/>
    </row>
    <row r="1291" spans="7:8" x14ac:dyDescent="0.35">
      <c r="G1291"/>
      <c r="H1291"/>
    </row>
    <row r="1292" spans="7:8" x14ac:dyDescent="0.35">
      <c r="G1292"/>
      <c r="H1292"/>
    </row>
    <row r="1293" spans="7:8" x14ac:dyDescent="0.35">
      <c r="G1293"/>
      <c r="H1293"/>
    </row>
    <row r="1294" spans="7:8" x14ac:dyDescent="0.35">
      <c r="G1294"/>
      <c r="H1294"/>
    </row>
    <row r="1295" spans="7:8" x14ac:dyDescent="0.35">
      <c r="G1295"/>
      <c r="H1295"/>
    </row>
    <row r="1296" spans="7:8" x14ac:dyDescent="0.35">
      <c r="G1296"/>
      <c r="H1296"/>
    </row>
    <row r="1297" spans="7:8" x14ac:dyDescent="0.35">
      <c r="G1297"/>
      <c r="H1297"/>
    </row>
    <row r="1298" spans="7:8" x14ac:dyDescent="0.35">
      <c r="G1298"/>
      <c r="H1298"/>
    </row>
    <row r="1299" spans="7:8" x14ac:dyDescent="0.35">
      <c r="G1299"/>
      <c r="H1299"/>
    </row>
    <row r="1300" spans="7:8" x14ac:dyDescent="0.35">
      <c r="G1300"/>
      <c r="H1300"/>
    </row>
    <row r="1301" spans="7:8" x14ac:dyDescent="0.35">
      <c r="G1301"/>
      <c r="H1301"/>
    </row>
    <row r="1302" spans="7:8" x14ac:dyDescent="0.35">
      <c r="G1302"/>
      <c r="H1302"/>
    </row>
    <row r="1303" spans="7:8" x14ac:dyDescent="0.35">
      <c r="G1303"/>
      <c r="H1303"/>
    </row>
    <row r="1304" spans="7:8" x14ac:dyDescent="0.35">
      <c r="G1304"/>
      <c r="H1304"/>
    </row>
    <row r="1305" spans="7:8" x14ac:dyDescent="0.35">
      <c r="G1305"/>
      <c r="H1305"/>
    </row>
    <row r="1306" spans="7:8" x14ac:dyDescent="0.35">
      <c r="G1306"/>
      <c r="H1306"/>
    </row>
    <row r="1307" spans="7:8" x14ac:dyDescent="0.35">
      <c r="G1307"/>
      <c r="H1307"/>
    </row>
    <row r="1308" spans="7:8" x14ac:dyDescent="0.35">
      <c r="G1308"/>
      <c r="H1308"/>
    </row>
    <row r="1309" spans="7:8" x14ac:dyDescent="0.35">
      <c r="G1309"/>
      <c r="H1309"/>
    </row>
    <row r="1310" spans="7:8" x14ac:dyDescent="0.35">
      <c r="G1310"/>
      <c r="H1310"/>
    </row>
    <row r="1311" spans="7:8" x14ac:dyDescent="0.35">
      <c r="G1311"/>
      <c r="H1311"/>
    </row>
    <row r="1312" spans="7:8" x14ac:dyDescent="0.35">
      <c r="G1312"/>
      <c r="H1312"/>
    </row>
    <row r="1313" spans="7:8" x14ac:dyDescent="0.35">
      <c r="G1313"/>
      <c r="H1313"/>
    </row>
    <row r="1314" spans="7:8" x14ac:dyDescent="0.35">
      <c r="G1314"/>
      <c r="H1314"/>
    </row>
    <row r="1315" spans="7:8" x14ac:dyDescent="0.35">
      <c r="G1315"/>
      <c r="H1315"/>
    </row>
    <row r="1316" spans="7:8" x14ac:dyDescent="0.35">
      <c r="G1316"/>
      <c r="H1316"/>
    </row>
    <row r="1317" spans="7:8" x14ac:dyDescent="0.35">
      <c r="G1317"/>
      <c r="H1317"/>
    </row>
    <row r="1318" spans="7:8" x14ac:dyDescent="0.35">
      <c r="G1318"/>
      <c r="H1318"/>
    </row>
    <row r="1319" spans="7:8" x14ac:dyDescent="0.35">
      <c r="G1319"/>
      <c r="H1319"/>
    </row>
    <row r="1320" spans="7:8" x14ac:dyDescent="0.35">
      <c r="G1320"/>
      <c r="H1320"/>
    </row>
    <row r="1321" spans="7:8" x14ac:dyDescent="0.35">
      <c r="G1321"/>
      <c r="H1321"/>
    </row>
    <row r="1322" spans="7:8" x14ac:dyDescent="0.35">
      <c r="G1322"/>
      <c r="H1322"/>
    </row>
    <row r="1323" spans="7:8" x14ac:dyDescent="0.35">
      <c r="G1323"/>
      <c r="H1323"/>
    </row>
    <row r="1324" spans="7:8" x14ac:dyDescent="0.35">
      <c r="G1324"/>
      <c r="H1324"/>
    </row>
    <row r="1325" spans="7:8" x14ac:dyDescent="0.35">
      <c r="G1325"/>
      <c r="H1325"/>
    </row>
    <row r="1326" spans="7:8" x14ac:dyDescent="0.35">
      <c r="G1326"/>
      <c r="H1326"/>
    </row>
    <row r="1327" spans="7:8" x14ac:dyDescent="0.35">
      <c r="G1327"/>
      <c r="H1327"/>
    </row>
    <row r="1328" spans="7:8" x14ac:dyDescent="0.35">
      <c r="G1328"/>
      <c r="H1328"/>
    </row>
    <row r="1329" spans="7:8" x14ac:dyDescent="0.35">
      <c r="G1329"/>
      <c r="H1329"/>
    </row>
    <row r="1330" spans="7:8" x14ac:dyDescent="0.35">
      <c r="G1330"/>
      <c r="H1330"/>
    </row>
    <row r="1331" spans="7:8" x14ac:dyDescent="0.35">
      <c r="G1331"/>
      <c r="H1331"/>
    </row>
    <row r="1332" spans="7:8" x14ac:dyDescent="0.35">
      <c r="G1332"/>
      <c r="H1332"/>
    </row>
    <row r="1333" spans="7:8" x14ac:dyDescent="0.35">
      <c r="G1333"/>
      <c r="H1333"/>
    </row>
    <row r="1334" spans="7:8" x14ac:dyDescent="0.35">
      <c r="G1334"/>
      <c r="H1334"/>
    </row>
    <row r="1335" spans="7:8" x14ac:dyDescent="0.35">
      <c r="G1335"/>
      <c r="H1335"/>
    </row>
    <row r="1336" spans="7:8" x14ac:dyDescent="0.35">
      <c r="G1336"/>
      <c r="H1336"/>
    </row>
    <row r="1337" spans="7:8" x14ac:dyDescent="0.35">
      <c r="G1337"/>
      <c r="H1337"/>
    </row>
    <row r="1338" spans="7:8" x14ac:dyDescent="0.35">
      <c r="G1338"/>
      <c r="H1338"/>
    </row>
    <row r="1339" spans="7:8" x14ac:dyDescent="0.35">
      <c r="G1339"/>
      <c r="H1339"/>
    </row>
    <row r="1340" spans="7:8" x14ac:dyDescent="0.35">
      <c r="G1340"/>
      <c r="H1340"/>
    </row>
    <row r="1341" spans="7:8" x14ac:dyDescent="0.35">
      <c r="G1341"/>
      <c r="H1341"/>
    </row>
    <row r="1342" spans="7:8" x14ac:dyDescent="0.35">
      <c r="G1342"/>
      <c r="H1342"/>
    </row>
    <row r="1343" spans="7:8" x14ac:dyDescent="0.35">
      <c r="G1343"/>
      <c r="H1343"/>
    </row>
    <row r="1344" spans="7:8" x14ac:dyDescent="0.35">
      <c r="G1344"/>
      <c r="H1344"/>
    </row>
    <row r="1345" spans="7:8" x14ac:dyDescent="0.35">
      <c r="G1345"/>
      <c r="H1345"/>
    </row>
    <row r="1346" spans="7:8" x14ac:dyDescent="0.35">
      <c r="G1346"/>
      <c r="H1346"/>
    </row>
    <row r="1347" spans="7:8" x14ac:dyDescent="0.35">
      <c r="G1347"/>
      <c r="H1347"/>
    </row>
    <row r="1348" spans="7:8" x14ac:dyDescent="0.35">
      <c r="G1348"/>
      <c r="H1348"/>
    </row>
    <row r="1349" spans="7:8" x14ac:dyDescent="0.35">
      <c r="G1349"/>
      <c r="H1349"/>
    </row>
    <row r="1350" spans="7:8" x14ac:dyDescent="0.35">
      <c r="G1350"/>
      <c r="H1350"/>
    </row>
    <row r="1351" spans="7:8" x14ac:dyDescent="0.35">
      <c r="G1351"/>
      <c r="H1351"/>
    </row>
    <row r="1352" spans="7:8" x14ac:dyDescent="0.35">
      <c r="G1352"/>
      <c r="H1352"/>
    </row>
    <row r="1353" spans="7:8" x14ac:dyDescent="0.35">
      <c r="G1353"/>
      <c r="H1353"/>
    </row>
    <row r="1354" spans="7:8" x14ac:dyDescent="0.35">
      <c r="G1354"/>
      <c r="H1354"/>
    </row>
    <row r="1355" spans="7:8" x14ac:dyDescent="0.35">
      <c r="G1355"/>
      <c r="H1355"/>
    </row>
    <row r="1356" spans="7:8" x14ac:dyDescent="0.35">
      <c r="G1356"/>
      <c r="H1356"/>
    </row>
    <row r="1357" spans="7:8" x14ac:dyDescent="0.35">
      <c r="G1357"/>
      <c r="H1357"/>
    </row>
    <row r="1358" spans="7:8" x14ac:dyDescent="0.35">
      <c r="G1358"/>
      <c r="H1358"/>
    </row>
    <row r="1359" spans="7:8" x14ac:dyDescent="0.35">
      <c r="G1359"/>
      <c r="H1359"/>
    </row>
    <row r="1360" spans="7:8" x14ac:dyDescent="0.35">
      <c r="G1360"/>
      <c r="H1360"/>
    </row>
    <row r="1361" spans="7:8" x14ac:dyDescent="0.35">
      <c r="G1361"/>
      <c r="H1361"/>
    </row>
    <row r="1362" spans="7:8" x14ac:dyDescent="0.35">
      <c r="G1362"/>
      <c r="H1362"/>
    </row>
    <row r="1363" spans="7:8" x14ac:dyDescent="0.35">
      <c r="G1363"/>
      <c r="H1363"/>
    </row>
    <row r="1364" spans="7:8" x14ac:dyDescent="0.35">
      <c r="G1364"/>
      <c r="H1364"/>
    </row>
    <row r="1365" spans="7:8" x14ac:dyDescent="0.35">
      <c r="G1365"/>
      <c r="H1365"/>
    </row>
    <row r="1366" spans="7:8" x14ac:dyDescent="0.35">
      <c r="G1366"/>
      <c r="H1366"/>
    </row>
    <row r="1367" spans="7:8" x14ac:dyDescent="0.35">
      <c r="G1367"/>
      <c r="H1367"/>
    </row>
    <row r="1368" spans="7:8" x14ac:dyDescent="0.35">
      <c r="G1368"/>
      <c r="H1368"/>
    </row>
    <row r="1369" spans="7:8" x14ac:dyDescent="0.35">
      <c r="G1369"/>
      <c r="H1369"/>
    </row>
    <row r="1370" spans="7:8" x14ac:dyDescent="0.35">
      <c r="G1370"/>
      <c r="H1370"/>
    </row>
    <row r="1371" spans="7:8" x14ac:dyDescent="0.35">
      <c r="G1371"/>
      <c r="H1371"/>
    </row>
    <row r="1372" spans="7:8" x14ac:dyDescent="0.35">
      <c r="G1372"/>
      <c r="H1372"/>
    </row>
    <row r="1373" spans="7:8" x14ac:dyDescent="0.35">
      <c r="G1373"/>
      <c r="H1373"/>
    </row>
    <row r="1374" spans="7:8" x14ac:dyDescent="0.35">
      <c r="G1374"/>
      <c r="H1374"/>
    </row>
    <row r="1375" spans="7:8" x14ac:dyDescent="0.35">
      <c r="G1375"/>
      <c r="H1375"/>
    </row>
    <row r="1376" spans="7:8" x14ac:dyDescent="0.35">
      <c r="G1376"/>
      <c r="H1376"/>
    </row>
    <row r="1377" spans="7:8" x14ac:dyDescent="0.35">
      <c r="G1377"/>
      <c r="H1377"/>
    </row>
    <row r="1378" spans="7:8" x14ac:dyDescent="0.35">
      <c r="G1378"/>
      <c r="H1378"/>
    </row>
    <row r="1379" spans="7:8" x14ac:dyDescent="0.35">
      <c r="G1379"/>
      <c r="H1379"/>
    </row>
    <row r="1380" spans="7:8" x14ac:dyDescent="0.35">
      <c r="G1380"/>
      <c r="H1380"/>
    </row>
    <row r="1381" spans="7:8" x14ac:dyDescent="0.35">
      <c r="G1381"/>
      <c r="H1381"/>
    </row>
    <row r="1382" spans="7:8" x14ac:dyDescent="0.35">
      <c r="G1382"/>
      <c r="H1382"/>
    </row>
    <row r="1383" spans="7:8" x14ac:dyDescent="0.35">
      <c r="G1383"/>
      <c r="H1383"/>
    </row>
    <row r="1384" spans="7:8" x14ac:dyDescent="0.35">
      <c r="G1384"/>
      <c r="H1384"/>
    </row>
    <row r="1385" spans="7:8" x14ac:dyDescent="0.35">
      <c r="G1385"/>
      <c r="H1385"/>
    </row>
    <row r="1386" spans="7:8" x14ac:dyDescent="0.35">
      <c r="G1386"/>
      <c r="H1386"/>
    </row>
    <row r="1387" spans="7:8" x14ac:dyDescent="0.35">
      <c r="G1387"/>
      <c r="H1387"/>
    </row>
    <row r="1388" spans="7:8" x14ac:dyDescent="0.35">
      <c r="G1388"/>
      <c r="H1388"/>
    </row>
    <row r="1389" spans="7:8" x14ac:dyDescent="0.35">
      <c r="G1389"/>
      <c r="H1389"/>
    </row>
    <row r="1390" spans="7:8" x14ac:dyDescent="0.35">
      <c r="G1390"/>
      <c r="H1390"/>
    </row>
    <row r="1391" spans="7:8" x14ac:dyDescent="0.35">
      <c r="G1391"/>
      <c r="H1391"/>
    </row>
    <row r="1392" spans="7:8" x14ac:dyDescent="0.35">
      <c r="G1392"/>
      <c r="H1392"/>
    </row>
    <row r="1393" spans="7:8" x14ac:dyDescent="0.35">
      <c r="G1393"/>
      <c r="H1393"/>
    </row>
    <row r="1394" spans="7:8" x14ac:dyDescent="0.35">
      <c r="G1394"/>
      <c r="H1394"/>
    </row>
    <row r="1395" spans="7:8" x14ac:dyDescent="0.35">
      <c r="G1395"/>
      <c r="H1395"/>
    </row>
    <row r="1396" spans="7:8" x14ac:dyDescent="0.35">
      <c r="G1396"/>
      <c r="H1396"/>
    </row>
    <row r="1397" spans="7:8" x14ac:dyDescent="0.35">
      <c r="G1397"/>
      <c r="H1397"/>
    </row>
    <row r="1398" spans="7:8" x14ac:dyDescent="0.35">
      <c r="G1398"/>
      <c r="H1398"/>
    </row>
    <row r="1399" spans="7:8" x14ac:dyDescent="0.35">
      <c r="G1399"/>
      <c r="H1399"/>
    </row>
    <row r="1400" spans="7:8" x14ac:dyDescent="0.35">
      <c r="G1400"/>
      <c r="H1400"/>
    </row>
    <row r="1401" spans="7:8" x14ac:dyDescent="0.35">
      <c r="G1401"/>
      <c r="H1401"/>
    </row>
    <row r="1402" spans="7:8" x14ac:dyDescent="0.35">
      <c r="G1402"/>
      <c r="H1402"/>
    </row>
    <row r="1403" spans="7:8" x14ac:dyDescent="0.35">
      <c r="G1403"/>
      <c r="H1403"/>
    </row>
    <row r="1404" spans="7:8" x14ac:dyDescent="0.35">
      <c r="G1404"/>
      <c r="H1404"/>
    </row>
    <row r="1405" spans="7:8" x14ac:dyDescent="0.35">
      <c r="G1405"/>
      <c r="H1405"/>
    </row>
    <row r="1406" spans="7:8" x14ac:dyDescent="0.35">
      <c r="G1406"/>
      <c r="H1406"/>
    </row>
    <row r="1407" spans="7:8" x14ac:dyDescent="0.35">
      <c r="G1407"/>
      <c r="H1407"/>
    </row>
    <row r="1408" spans="7:8" x14ac:dyDescent="0.35">
      <c r="G1408"/>
      <c r="H1408"/>
    </row>
    <row r="1409" spans="7:8" x14ac:dyDescent="0.35">
      <c r="G1409"/>
      <c r="H1409"/>
    </row>
    <row r="1410" spans="7:8" x14ac:dyDescent="0.35">
      <c r="G1410"/>
      <c r="H1410"/>
    </row>
    <row r="1411" spans="7:8" x14ac:dyDescent="0.35">
      <c r="G1411"/>
      <c r="H1411"/>
    </row>
    <row r="1412" spans="7:8" x14ac:dyDescent="0.35">
      <c r="G1412"/>
      <c r="H1412"/>
    </row>
    <row r="1413" spans="7:8" x14ac:dyDescent="0.35">
      <c r="G1413"/>
      <c r="H1413"/>
    </row>
    <row r="1414" spans="7:8" x14ac:dyDescent="0.35">
      <c r="G1414"/>
      <c r="H1414"/>
    </row>
    <row r="1415" spans="7:8" x14ac:dyDescent="0.35">
      <c r="G1415"/>
      <c r="H1415"/>
    </row>
    <row r="1416" spans="7:8" x14ac:dyDescent="0.35">
      <c r="G1416"/>
      <c r="H1416"/>
    </row>
    <row r="1417" spans="7:8" x14ac:dyDescent="0.35">
      <c r="G1417"/>
      <c r="H1417"/>
    </row>
    <row r="1418" spans="7:8" x14ac:dyDescent="0.35">
      <c r="G1418"/>
      <c r="H1418"/>
    </row>
    <row r="1419" spans="7:8" x14ac:dyDescent="0.35">
      <c r="G1419"/>
      <c r="H1419"/>
    </row>
    <row r="1420" spans="7:8" x14ac:dyDescent="0.35">
      <c r="G1420"/>
      <c r="H1420"/>
    </row>
    <row r="1421" spans="7:8" x14ac:dyDescent="0.35">
      <c r="G1421"/>
      <c r="H1421"/>
    </row>
    <row r="1422" spans="7:8" x14ac:dyDescent="0.35">
      <c r="G1422"/>
      <c r="H1422"/>
    </row>
    <row r="1423" spans="7:8" x14ac:dyDescent="0.35">
      <c r="G1423"/>
      <c r="H1423"/>
    </row>
    <row r="1424" spans="7:8" x14ac:dyDescent="0.35">
      <c r="G1424"/>
      <c r="H1424"/>
    </row>
    <row r="1425" spans="7:8" x14ac:dyDescent="0.35">
      <c r="G1425"/>
      <c r="H1425"/>
    </row>
    <row r="1426" spans="7:8" x14ac:dyDescent="0.35">
      <c r="G1426"/>
      <c r="H1426"/>
    </row>
    <row r="1427" spans="7:8" x14ac:dyDescent="0.35">
      <c r="G1427"/>
      <c r="H1427"/>
    </row>
    <row r="1428" spans="7:8" x14ac:dyDescent="0.35">
      <c r="G1428"/>
      <c r="H1428"/>
    </row>
    <row r="1429" spans="7:8" x14ac:dyDescent="0.35">
      <c r="G1429"/>
      <c r="H1429"/>
    </row>
    <row r="1430" spans="7:8" x14ac:dyDescent="0.35">
      <c r="G1430"/>
      <c r="H1430"/>
    </row>
    <row r="1431" spans="7:8" x14ac:dyDescent="0.35">
      <c r="G1431"/>
      <c r="H1431"/>
    </row>
    <row r="1432" spans="7:8" x14ac:dyDescent="0.35">
      <c r="G1432"/>
      <c r="H1432"/>
    </row>
    <row r="1433" spans="7:8" x14ac:dyDescent="0.35">
      <c r="G1433"/>
      <c r="H1433"/>
    </row>
    <row r="1434" spans="7:8" x14ac:dyDescent="0.35">
      <c r="G1434"/>
      <c r="H1434"/>
    </row>
    <row r="1435" spans="7:8" x14ac:dyDescent="0.35">
      <c r="G1435"/>
      <c r="H1435"/>
    </row>
    <row r="1436" spans="7:8" x14ac:dyDescent="0.35">
      <c r="G1436"/>
      <c r="H1436"/>
    </row>
    <row r="1437" spans="7:8" x14ac:dyDescent="0.35">
      <c r="G1437"/>
      <c r="H1437"/>
    </row>
    <row r="1438" spans="7:8" x14ac:dyDescent="0.35">
      <c r="G1438"/>
      <c r="H1438"/>
    </row>
    <row r="1439" spans="7:8" x14ac:dyDescent="0.35">
      <c r="G1439"/>
      <c r="H1439"/>
    </row>
    <row r="1440" spans="7:8" x14ac:dyDescent="0.35">
      <c r="G1440"/>
      <c r="H1440"/>
    </row>
    <row r="1441" spans="7:8" x14ac:dyDescent="0.35">
      <c r="G1441"/>
      <c r="H1441"/>
    </row>
    <row r="1442" spans="7:8" x14ac:dyDescent="0.35">
      <c r="G1442"/>
      <c r="H1442"/>
    </row>
    <row r="1443" spans="7:8" x14ac:dyDescent="0.35">
      <c r="G1443"/>
      <c r="H1443"/>
    </row>
    <row r="1444" spans="7:8" x14ac:dyDescent="0.35">
      <c r="G1444"/>
      <c r="H1444"/>
    </row>
    <row r="1445" spans="7:8" x14ac:dyDescent="0.35">
      <c r="G1445"/>
      <c r="H1445"/>
    </row>
    <row r="1446" spans="7:8" x14ac:dyDescent="0.35">
      <c r="G1446"/>
      <c r="H1446"/>
    </row>
    <row r="1447" spans="7:8" x14ac:dyDescent="0.35">
      <c r="G1447"/>
      <c r="H1447"/>
    </row>
    <row r="1448" spans="7:8" x14ac:dyDescent="0.35">
      <c r="G1448"/>
      <c r="H1448"/>
    </row>
    <row r="1449" spans="7:8" x14ac:dyDescent="0.35">
      <c r="G1449"/>
      <c r="H1449"/>
    </row>
    <row r="1450" spans="7:8" x14ac:dyDescent="0.35">
      <c r="G1450"/>
      <c r="H1450"/>
    </row>
    <row r="1451" spans="7:8" x14ac:dyDescent="0.35">
      <c r="G1451"/>
      <c r="H1451"/>
    </row>
    <row r="1452" spans="7:8" x14ac:dyDescent="0.35">
      <c r="G1452"/>
      <c r="H1452"/>
    </row>
    <row r="1453" spans="7:8" x14ac:dyDescent="0.35">
      <c r="G1453"/>
      <c r="H1453"/>
    </row>
    <row r="1454" spans="7:8" x14ac:dyDescent="0.35">
      <c r="G1454"/>
      <c r="H1454"/>
    </row>
    <row r="1455" spans="7:8" x14ac:dyDescent="0.35">
      <c r="G1455"/>
      <c r="H1455"/>
    </row>
    <row r="1456" spans="7:8" x14ac:dyDescent="0.35">
      <c r="G1456"/>
      <c r="H1456"/>
    </row>
    <row r="1457" spans="7:8" x14ac:dyDescent="0.35">
      <c r="G1457"/>
      <c r="H1457"/>
    </row>
    <row r="1458" spans="7:8" x14ac:dyDescent="0.35">
      <c r="G1458"/>
      <c r="H1458"/>
    </row>
    <row r="1459" spans="7:8" x14ac:dyDescent="0.35">
      <c r="G1459"/>
      <c r="H1459"/>
    </row>
    <row r="1460" spans="7:8" x14ac:dyDescent="0.35">
      <c r="G1460"/>
      <c r="H1460"/>
    </row>
    <row r="1461" spans="7:8" x14ac:dyDescent="0.35">
      <c r="G1461"/>
      <c r="H1461"/>
    </row>
    <row r="1462" spans="7:8" x14ac:dyDescent="0.35">
      <c r="G1462"/>
      <c r="H1462"/>
    </row>
    <row r="1463" spans="7:8" x14ac:dyDescent="0.35">
      <c r="G1463"/>
      <c r="H1463"/>
    </row>
    <row r="1464" spans="7:8" x14ac:dyDescent="0.35">
      <c r="G1464"/>
      <c r="H1464"/>
    </row>
    <row r="1465" spans="7:8" x14ac:dyDescent="0.35">
      <c r="G1465"/>
      <c r="H1465"/>
    </row>
    <row r="1466" spans="7:8" x14ac:dyDescent="0.35">
      <c r="G1466"/>
      <c r="H1466"/>
    </row>
    <row r="1467" spans="7:8" x14ac:dyDescent="0.35">
      <c r="G1467"/>
      <c r="H1467"/>
    </row>
    <row r="1468" spans="7:8" x14ac:dyDescent="0.35">
      <c r="G1468"/>
      <c r="H1468"/>
    </row>
    <row r="1469" spans="7:8" x14ac:dyDescent="0.35">
      <c r="G1469"/>
      <c r="H1469"/>
    </row>
    <row r="1470" spans="7:8" x14ac:dyDescent="0.35">
      <c r="G1470"/>
      <c r="H1470"/>
    </row>
    <row r="1471" spans="7:8" x14ac:dyDescent="0.35">
      <c r="G1471"/>
      <c r="H1471"/>
    </row>
    <row r="1472" spans="7:8" x14ac:dyDescent="0.35">
      <c r="G1472"/>
      <c r="H1472"/>
    </row>
    <row r="1473" spans="7:8" x14ac:dyDescent="0.35">
      <c r="G1473"/>
      <c r="H1473"/>
    </row>
    <row r="1474" spans="7:8" x14ac:dyDescent="0.35">
      <c r="G1474"/>
      <c r="H1474"/>
    </row>
    <row r="1475" spans="7:8" x14ac:dyDescent="0.35">
      <c r="G1475"/>
      <c r="H1475"/>
    </row>
    <row r="1476" spans="7:8" x14ac:dyDescent="0.35">
      <c r="G1476"/>
      <c r="H1476"/>
    </row>
    <row r="1477" spans="7:8" x14ac:dyDescent="0.35">
      <c r="G1477"/>
      <c r="H1477"/>
    </row>
    <row r="1478" spans="7:8" x14ac:dyDescent="0.35">
      <c r="G1478"/>
      <c r="H1478"/>
    </row>
    <row r="1479" spans="7:8" x14ac:dyDescent="0.35">
      <c r="G1479"/>
      <c r="H1479"/>
    </row>
    <row r="1480" spans="7:8" x14ac:dyDescent="0.35">
      <c r="G1480"/>
      <c r="H1480"/>
    </row>
    <row r="1481" spans="7:8" x14ac:dyDescent="0.35">
      <c r="G1481"/>
      <c r="H1481"/>
    </row>
    <row r="1482" spans="7:8" x14ac:dyDescent="0.35">
      <c r="G1482"/>
      <c r="H1482"/>
    </row>
    <row r="1483" spans="7:8" x14ac:dyDescent="0.35">
      <c r="G1483"/>
      <c r="H1483"/>
    </row>
    <row r="1484" spans="7:8" x14ac:dyDescent="0.35">
      <c r="G1484"/>
      <c r="H1484"/>
    </row>
    <row r="1485" spans="7:8" x14ac:dyDescent="0.35">
      <c r="G1485"/>
      <c r="H1485"/>
    </row>
    <row r="1486" spans="7:8" x14ac:dyDescent="0.35">
      <c r="G1486"/>
      <c r="H1486"/>
    </row>
    <row r="1487" spans="7:8" x14ac:dyDescent="0.35">
      <c r="G1487"/>
      <c r="H1487"/>
    </row>
    <row r="1488" spans="7:8" x14ac:dyDescent="0.35">
      <c r="G1488"/>
      <c r="H1488"/>
    </row>
    <row r="1489" spans="7:8" x14ac:dyDescent="0.35">
      <c r="G1489"/>
      <c r="H1489"/>
    </row>
    <row r="1490" spans="7:8" x14ac:dyDescent="0.35">
      <c r="G1490"/>
      <c r="H1490"/>
    </row>
    <row r="1491" spans="7:8" x14ac:dyDescent="0.35">
      <c r="G1491"/>
      <c r="H1491"/>
    </row>
    <row r="1492" spans="7:8" x14ac:dyDescent="0.35">
      <c r="G1492"/>
      <c r="H1492"/>
    </row>
    <row r="1493" spans="7:8" x14ac:dyDescent="0.35">
      <c r="G1493"/>
      <c r="H1493"/>
    </row>
    <row r="1494" spans="7:8" x14ac:dyDescent="0.35">
      <c r="G1494"/>
      <c r="H1494"/>
    </row>
    <row r="1495" spans="7:8" x14ac:dyDescent="0.35">
      <c r="G1495"/>
      <c r="H1495"/>
    </row>
    <row r="1496" spans="7:8" x14ac:dyDescent="0.35">
      <c r="G1496"/>
      <c r="H1496"/>
    </row>
    <row r="1497" spans="7:8" x14ac:dyDescent="0.35">
      <c r="G1497"/>
      <c r="H1497"/>
    </row>
    <row r="1498" spans="7:8" x14ac:dyDescent="0.35">
      <c r="G1498"/>
      <c r="H1498"/>
    </row>
    <row r="1499" spans="7:8" x14ac:dyDescent="0.35">
      <c r="G1499"/>
      <c r="H1499"/>
    </row>
    <row r="1500" spans="7:8" x14ac:dyDescent="0.35">
      <c r="G1500"/>
      <c r="H1500"/>
    </row>
    <row r="1501" spans="7:8" x14ac:dyDescent="0.35">
      <c r="G1501"/>
      <c r="H1501"/>
    </row>
    <row r="1502" spans="7:8" x14ac:dyDescent="0.35">
      <c r="G1502"/>
      <c r="H1502"/>
    </row>
    <row r="1503" spans="7:8" x14ac:dyDescent="0.35">
      <c r="G1503"/>
      <c r="H1503"/>
    </row>
    <row r="1504" spans="7:8" x14ac:dyDescent="0.35">
      <c r="G1504"/>
      <c r="H1504"/>
    </row>
    <row r="1505" spans="7:8" x14ac:dyDescent="0.35">
      <c r="G1505"/>
      <c r="H1505"/>
    </row>
    <row r="1506" spans="7:8" x14ac:dyDescent="0.35">
      <c r="G1506"/>
      <c r="H1506"/>
    </row>
    <row r="1507" spans="7:8" x14ac:dyDescent="0.35">
      <c r="G1507"/>
      <c r="H1507"/>
    </row>
    <row r="1508" spans="7:8" x14ac:dyDescent="0.35">
      <c r="G1508"/>
      <c r="H1508"/>
    </row>
    <row r="1509" spans="7:8" x14ac:dyDescent="0.35">
      <c r="G1509"/>
      <c r="H1509"/>
    </row>
    <row r="1510" spans="7:8" x14ac:dyDescent="0.35">
      <c r="G1510"/>
      <c r="H1510"/>
    </row>
    <row r="1511" spans="7:8" x14ac:dyDescent="0.35">
      <c r="G1511"/>
      <c r="H1511"/>
    </row>
    <row r="1512" spans="7:8" x14ac:dyDescent="0.35">
      <c r="G1512"/>
      <c r="H1512"/>
    </row>
    <row r="1513" spans="7:8" x14ac:dyDescent="0.35">
      <c r="G1513"/>
      <c r="H1513"/>
    </row>
    <row r="1514" spans="7:8" x14ac:dyDescent="0.35">
      <c r="G1514"/>
      <c r="H1514"/>
    </row>
    <row r="1515" spans="7:8" x14ac:dyDescent="0.35">
      <c r="G1515"/>
      <c r="H1515"/>
    </row>
    <row r="1516" spans="7:8" x14ac:dyDescent="0.35">
      <c r="G1516"/>
      <c r="H1516"/>
    </row>
    <row r="1517" spans="7:8" x14ac:dyDescent="0.35">
      <c r="G1517"/>
      <c r="H1517"/>
    </row>
    <row r="1518" spans="7:8" x14ac:dyDescent="0.35">
      <c r="G1518"/>
      <c r="H1518"/>
    </row>
    <row r="1519" spans="7:8" x14ac:dyDescent="0.35">
      <c r="G1519"/>
      <c r="H1519"/>
    </row>
    <row r="1520" spans="7:8" x14ac:dyDescent="0.35">
      <c r="G1520"/>
      <c r="H1520"/>
    </row>
    <row r="1521" spans="7:8" x14ac:dyDescent="0.35">
      <c r="G1521"/>
      <c r="H1521"/>
    </row>
    <row r="1522" spans="7:8" x14ac:dyDescent="0.35">
      <c r="G1522"/>
      <c r="H1522"/>
    </row>
    <row r="1523" spans="7:8" x14ac:dyDescent="0.35">
      <c r="G1523"/>
      <c r="H1523"/>
    </row>
    <row r="1524" spans="7:8" x14ac:dyDescent="0.35">
      <c r="G1524"/>
      <c r="H1524"/>
    </row>
    <row r="1525" spans="7:8" x14ac:dyDescent="0.35">
      <c r="G1525"/>
      <c r="H1525"/>
    </row>
    <row r="1526" spans="7:8" x14ac:dyDescent="0.35">
      <c r="G1526"/>
      <c r="H1526"/>
    </row>
    <row r="1527" spans="7:8" x14ac:dyDescent="0.35">
      <c r="G1527"/>
      <c r="H1527"/>
    </row>
    <row r="1528" spans="7:8" x14ac:dyDescent="0.35">
      <c r="G1528"/>
      <c r="H1528"/>
    </row>
    <row r="1529" spans="7:8" x14ac:dyDescent="0.35">
      <c r="G1529"/>
      <c r="H1529"/>
    </row>
    <row r="1530" spans="7:8" x14ac:dyDescent="0.35">
      <c r="G1530"/>
      <c r="H1530"/>
    </row>
    <row r="1531" spans="7:8" x14ac:dyDescent="0.35">
      <c r="G1531"/>
      <c r="H1531"/>
    </row>
    <row r="1532" spans="7:8" x14ac:dyDescent="0.35">
      <c r="G1532"/>
      <c r="H1532"/>
    </row>
    <row r="1533" spans="7:8" x14ac:dyDescent="0.35">
      <c r="G1533"/>
      <c r="H1533"/>
    </row>
    <row r="1534" spans="7:8" x14ac:dyDescent="0.35">
      <c r="G1534"/>
      <c r="H1534"/>
    </row>
    <row r="1535" spans="7:8" x14ac:dyDescent="0.35">
      <c r="G1535"/>
      <c r="H1535"/>
    </row>
    <row r="1536" spans="7:8" x14ac:dyDescent="0.35">
      <c r="G1536"/>
      <c r="H1536"/>
    </row>
    <row r="1537" spans="7:8" x14ac:dyDescent="0.35">
      <c r="G1537"/>
      <c r="H1537"/>
    </row>
    <row r="1538" spans="7:8" x14ac:dyDescent="0.35">
      <c r="G1538"/>
      <c r="H1538"/>
    </row>
    <row r="1539" spans="7:8" x14ac:dyDescent="0.35">
      <c r="G1539"/>
      <c r="H1539"/>
    </row>
    <row r="1540" spans="7:8" x14ac:dyDescent="0.35">
      <c r="G1540"/>
      <c r="H1540"/>
    </row>
    <row r="1541" spans="7:8" x14ac:dyDescent="0.35">
      <c r="G1541"/>
      <c r="H1541"/>
    </row>
    <row r="1542" spans="7:8" x14ac:dyDescent="0.35">
      <c r="G1542"/>
      <c r="H1542"/>
    </row>
    <row r="1543" spans="7:8" x14ac:dyDescent="0.35">
      <c r="G1543"/>
      <c r="H1543"/>
    </row>
    <row r="1544" spans="7:8" x14ac:dyDescent="0.35">
      <c r="G1544"/>
      <c r="H1544"/>
    </row>
    <row r="1545" spans="7:8" x14ac:dyDescent="0.35">
      <c r="G1545"/>
      <c r="H1545"/>
    </row>
    <row r="1546" spans="7:8" x14ac:dyDescent="0.35">
      <c r="G1546"/>
      <c r="H1546"/>
    </row>
    <row r="1547" spans="7:8" x14ac:dyDescent="0.35">
      <c r="G1547"/>
      <c r="H1547"/>
    </row>
    <row r="1548" spans="7:8" x14ac:dyDescent="0.35">
      <c r="G1548"/>
      <c r="H1548"/>
    </row>
    <row r="1549" spans="7:8" x14ac:dyDescent="0.35">
      <c r="G1549"/>
      <c r="H1549"/>
    </row>
    <row r="1550" spans="7:8" x14ac:dyDescent="0.35">
      <c r="G1550"/>
      <c r="H1550"/>
    </row>
    <row r="1551" spans="7:8" x14ac:dyDescent="0.35">
      <c r="G1551"/>
      <c r="H1551"/>
    </row>
    <row r="1552" spans="7:8" x14ac:dyDescent="0.35">
      <c r="G1552"/>
      <c r="H1552"/>
    </row>
    <row r="1553" spans="7:8" x14ac:dyDescent="0.35">
      <c r="G1553"/>
      <c r="H1553"/>
    </row>
    <row r="1554" spans="7:8" x14ac:dyDescent="0.35">
      <c r="G1554"/>
      <c r="H1554"/>
    </row>
    <row r="1555" spans="7:8" x14ac:dyDescent="0.35">
      <c r="G1555"/>
      <c r="H1555"/>
    </row>
    <row r="1556" spans="7:8" x14ac:dyDescent="0.35">
      <c r="G1556"/>
      <c r="H1556"/>
    </row>
    <row r="1557" spans="7:8" x14ac:dyDescent="0.35">
      <c r="G1557"/>
      <c r="H1557"/>
    </row>
    <row r="1558" spans="7:8" x14ac:dyDescent="0.35">
      <c r="G1558"/>
      <c r="H1558"/>
    </row>
    <row r="1559" spans="7:8" x14ac:dyDescent="0.35">
      <c r="G1559"/>
      <c r="H1559"/>
    </row>
    <row r="1560" spans="7:8" x14ac:dyDescent="0.35">
      <c r="G1560"/>
      <c r="H1560"/>
    </row>
    <row r="1561" spans="7:8" x14ac:dyDescent="0.35">
      <c r="G1561"/>
      <c r="H1561"/>
    </row>
    <row r="1562" spans="7:8" x14ac:dyDescent="0.35">
      <c r="G1562"/>
      <c r="H1562"/>
    </row>
    <row r="1563" spans="7:8" x14ac:dyDescent="0.35">
      <c r="G1563"/>
      <c r="H1563"/>
    </row>
    <row r="1564" spans="7:8" x14ac:dyDescent="0.35">
      <c r="G1564"/>
      <c r="H1564"/>
    </row>
    <row r="1565" spans="7:8" x14ac:dyDescent="0.35">
      <c r="G1565"/>
      <c r="H1565"/>
    </row>
    <row r="1566" spans="7:8" x14ac:dyDescent="0.35">
      <c r="G1566"/>
      <c r="H1566"/>
    </row>
    <row r="1567" spans="7:8" x14ac:dyDescent="0.35">
      <c r="G1567"/>
      <c r="H1567"/>
    </row>
    <row r="1568" spans="7:8" x14ac:dyDescent="0.35">
      <c r="G1568"/>
      <c r="H1568"/>
    </row>
    <row r="1569" spans="7:8" x14ac:dyDescent="0.35">
      <c r="G1569"/>
      <c r="H1569"/>
    </row>
    <row r="1570" spans="7:8" x14ac:dyDescent="0.35">
      <c r="G1570"/>
      <c r="H1570"/>
    </row>
    <row r="1571" spans="7:8" x14ac:dyDescent="0.35">
      <c r="G1571"/>
      <c r="H1571"/>
    </row>
    <row r="1572" spans="7:8" x14ac:dyDescent="0.35">
      <c r="G1572"/>
      <c r="H1572"/>
    </row>
    <row r="1573" spans="7:8" x14ac:dyDescent="0.35">
      <c r="G1573"/>
      <c r="H1573"/>
    </row>
    <row r="1574" spans="7:8" x14ac:dyDescent="0.35">
      <c r="G1574"/>
      <c r="H1574"/>
    </row>
    <row r="1575" spans="7:8" x14ac:dyDescent="0.35">
      <c r="G1575"/>
      <c r="H1575"/>
    </row>
    <row r="1576" spans="7:8" x14ac:dyDescent="0.35">
      <c r="G1576"/>
      <c r="H1576"/>
    </row>
    <row r="1577" spans="7:8" x14ac:dyDescent="0.35">
      <c r="G1577"/>
      <c r="H1577"/>
    </row>
    <row r="1578" spans="7:8" x14ac:dyDescent="0.35">
      <c r="G1578"/>
      <c r="H1578"/>
    </row>
    <row r="1579" spans="7:8" x14ac:dyDescent="0.35">
      <c r="G1579"/>
      <c r="H1579"/>
    </row>
    <row r="1580" spans="7:8" x14ac:dyDescent="0.35">
      <c r="G1580"/>
      <c r="H1580"/>
    </row>
    <row r="1581" spans="7:8" x14ac:dyDescent="0.35">
      <c r="G1581"/>
      <c r="H1581"/>
    </row>
    <row r="1582" spans="7:8" x14ac:dyDescent="0.35">
      <c r="G1582"/>
      <c r="H1582"/>
    </row>
    <row r="1583" spans="7:8" x14ac:dyDescent="0.35">
      <c r="G1583"/>
      <c r="H1583"/>
    </row>
    <row r="1584" spans="7:8" x14ac:dyDescent="0.35">
      <c r="G1584"/>
      <c r="H1584"/>
    </row>
    <row r="1585" spans="7:8" x14ac:dyDescent="0.35">
      <c r="G1585"/>
      <c r="H1585"/>
    </row>
    <row r="1586" spans="7:8" x14ac:dyDescent="0.35">
      <c r="G1586"/>
      <c r="H1586"/>
    </row>
    <row r="1587" spans="7:8" x14ac:dyDescent="0.35">
      <c r="G1587"/>
      <c r="H1587"/>
    </row>
    <row r="1588" spans="7:8" x14ac:dyDescent="0.35">
      <c r="G1588"/>
      <c r="H1588"/>
    </row>
    <row r="1589" spans="7:8" x14ac:dyDescent="0.35">
      <c r="G1589"/>
      <c r="H1589"/>
    </row>
    <row r="1590" spans="7:8" x14ac:dyDescent="0.35">
      <c r="G1590"/>
      <c r="H1590"/>
    </row>
    <row r="1591" spans="7:8" x14ac:dyDescent="0.35">
      <c r="G1591"/>
      <c r="H1591"/>
    </row>
    <row r="1592" spans="7:8" x14ac:dyDescent="0.35">
      <c r="G1592"/>
      <c r="H1592"/>
    </row>
    <row r="1593" spans="7:8" x14ac:dyDescent="0.35">
      <c r="G1593"/>
      <c r="H1593"/>
    </row>
    <row r="1594" spans="7:8" x14ac:dyDescent="0.35">
      <c r="G1594"/>
      <c r="H1594"/>
    </row>
    <row r="1595" spans="7:8" x14ac:dyDescent="0.35">
      <c r="G1595"/>
      <c r="H1595"/>
    </row>
    <row r="1596" spans="7:8" x14ac:dyDescent="0.35">
      <c r="G1596"/>
      <c r="H1596"/>
    </row>
    <row r="1597" spans="7:8" x14ac:dyDescent="0.35">
      <c r="G1597"/>
      <c r="H1597"/>
    </row>
    <row r="1598" spans="7:8" x14ac:dyDescent="0.35">
      <c r="G1598"/>
      <c r="H1598"/>
    </row>
    <row r="1599" spans="7:8" x14ac:dyDescent="0.35">
      <c r="G1599"/>
      <c r="H1599"/>
    </row>
    <row r="1600" spans="7:8" x14ac:dyDescent="0.35">
      <c r="G1600"/>
      <c r="H1600"/>
    </row>
    <row r="1601" spans="7:8" x14ac:dyDescent="0.35">
      <c r="G1601"/>
      <c r="H1601"/>
    </row>
    <row r="1602" spans="7:8" x14ac:dyDescent="0.35">
      <c r="G1602"/>
      <c r="H1602"/>
    </row>
    <row r="1603" spans="7:8" x14ac:dyDescent="0.35">
      <c r="G1603"/>
      <c r="H1603"/>
    </row>
    <row r="1604" spans="7:8" x14ac:dyDescent="0.35">
      <c r="G1604"/>
      <c r="H1604"/>
    </row>
    <row r="1605" spans="7:8" x14ac:dyDescent="0.35">
      <c r="G1605"/>
      <c r="H1605"/>
    </row>
    <row r="1606" spans="7:8" x14ac:dyDescent="0.35">
      <c r="G1606"/>
      <c r="H1606"/>
    </row>
    <row r="1607" spans="7:8" x14ac:dyDescent="0.35">
      <c r="G1607"/>
      <c r="H1607"/>
    </row>
    <row r="1608" spans="7:8" x14ac:dyDescent="0.35">
      <c r="G1608"/>
      <c r="H1608"/>
    </row>
    <row r="1609" spans="7:8" x14ac:dyDescent="0.35">
      <c r="G1609"/>
      <c r="H1609"/>
    </row>
    <row r="1610" spans="7:8" x14ac:dyDescent="0.35">
      <c r="G1610"/>
      <c r="H1610"/>
    </row>
    <row r="1611" spans="7:8" x14ac:dyDescent="0.35">
      <c r="G1611"/>
      <c r="H1611"/>
    </row>
    <row r="1612" spans="7:8" x14ac:dyDescent="0.35">
      <c r="G1612"/>
      <c r="H1612"/>
    </row>
    <row r="1613" spans="7:8" x14ac:dyDescent="0.35">
      <c r="G1613"/>
      <c r="H1613"/>
    </row>
    <row r="1614" spans="7:8" x14ac:dyDescent="0.35">
      <c r="G1614"/>
      <c r="H1614"/>
    </row>
    <row r="1615" spans="7:8" x14ac:dyDescent="0.35">
      <c r="G1615"/>
      <c r="H1615"/>
    </row>
    <row r="1616" spans="7:8" x14ac:dyDescent="0.35">
      <c r="G1616"/>
      <c r="H1616"/>
    </row>
    <row r="1617" spans="7:8" x14ac:dyDescent="0.35">
      <c r="G1617"/>
      <c r="H1617"/>
    </row>
    <row r="1618" spans="7:8" x14ac:dyDescent="0.35">
      <c r="G1618"/>
      <c r="H1618"/>
    </row>
    <row r="1619" spans="7:8" x14ac:dyDescent="0.35">
      <c r="G1619"/>
      <c r="H1619"/>
    </row>
    <row r="1620" spans="7:8" x14ac:dyDescent="0.35">
      <c r="G1620"/>
      <c r="H1620"/>
    </row>
    <row r="1621" spans="7:8" x14ac:dyDescent="0.35">
      <c r="G1621"/>
      <c r="H1621"/>
    </row>
    <row r="1622" spans="7:8" x14ac:dyDescent="0.35">
      <c r="G1622"/>
      <c r="H1622"/>
    </row>
    <row r="1623" spans="7:8" x14ac:dyDescent="0.35">
      <c r="G1623"/>
      <c r="H1623"/>
    </row>
    <row r="1624" spans="7:8" x14ac:dyDescent="0.35">
      <c r="G1624"/>
      <c r="H1624"/>
    </row>
    <row r="1625" spans="7:8" x14ac:dyDescent="0.35">
      <c r="G1625"/>
      <c r="H1625"/>
    </row>
    <row r="1626" spans="7:8" x14ac:dyDescent="0.35">
      <c r="G1626"/>
      <c r="H1626"/>
    </row>
    <row r="1627" spans="7:8" x14ac:dyDescent="0.35">
      <c r="G1627"/>
      <c r="H1627"/>
    </row>
    <row r="1628" spans="7:8" x14ac:dyDescent="0.35">
      <c r="G1628"/>
      <c r="H1628"/>
    </row>
    <row r="1629" spans="7:8" x14ac:dyDescent="0.35">
      <c r="G1629"/>
      <c r="H1629"/>
    </row>
    <row r="1630" spans="7:8" x14ac:dyDescent="0.35">
      <c r="G1630"/>
      <c r="H1630"/>
    </row>
    <row r="1631" spans="7:8" x14ac:dyDescent="0.35">
      <c r="G1631"/>
      <c r="H1631"/>
    </row>
    <row r="1632" spans="7:8" x14ac:dyDescent="0.35">
      <c r="G1632"/>
      <c r="H1632"/>
    </row>
    <row r="1633" spans="7:8" x14ac:dyDescent="0.35">
      <c r="G1633"/>
      <c r="H1633"/>
    </row>
    <row r="1634" spans="7:8" x14ac:dyDescent="0.35">
      <c r="G1634"/>
      <c r="H1634"/>
    </row>
    <row r="1635" spans="7:8" x14ac:dyDescent="0.35">
      <c r="G1635"/>
      <c r="H1635"/>
    </row>
    <row r="1636" spans="7:8" x14ac:dyDescent="0.35">
      <c r="G1636"/>
      <c r="H1636"/>
    </row>
    <row r="1637" spans="7:8" x14ac:dyDescent="0.35">
      <c r="G1637"/>
      <c r="H1637"/>
    </row>
    <row r="1638" spans="7:8" x14ac:dyDescent="0.35">
      <c r="G1638"/>
      <c r="H1638"/>
    </row>
    <row r="1639" spans="7:8" x14ac:dyDescent="0.35">
      <c r="G1639"/>
      <c r="H1639"/>
    </row>
    <row r="1640" spans="7:8" x14ac:dyDescent="0.35">
      <c r="G1640"/>
      <c r="H1640"/>
    </row>
    <row r="1641" spans="7:8" x14ac:dyDescent="0.35">
      <c r="G1641"/>
      <c r="H1641"/>
    </row>
    <row r="1642" spans="7:8" x14ac:dyDescent="0.35">
      <c r="G1642"/>
      <c r="H1642"/>
    </row>
    <row r="1643" spans="7:8" x14ac:dyDescent="0.35">
      <c r="G1643"/>
      <c r="H1643"/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B20C-E660-4058-AB03-C7C57F80A188}">
  <sheetPr codeName="Hoja4"/>
  <dimension ref="B6:N1643"/>
  <sheetViews>
    <sheetView topLeftCell="B82" zoomScale="75" zoomScaleNormal="75" workbookViewId="0">
      <selection activeCell="L105" sqref="L105:N118"/>
    </sheetView>
  </sheetViews>
  <sheetFormatPr baseColWidth="10" defaultRowHeight="14.5" x14ac:dyDescent="0.35"/>
  <cols>
    <col min="2" max="2" width="34.81640625" bestFit="1" customWidth="1"/>
    <col min="4" max="4" width="22.08984375" bestFit="1" customWidth="1"/>
    <col min="5" max="5" width="20.26953125" bestFit="1" customWidth="1"/>
    <col min="6" max="6" width="19.7265625" bestFit="1" customWidth="1"/>
    <col min="7" max="7" width="16.81640625" style="5" bestFit="1" customWidth="1"/>
    <col min="8" max="8" width="22.08984375" style="7" bestFit="1" customWidth="1"/>
    <col min="9" max="9" width="20.26953125" bestFit="1" customWidth="1"/>
    <col min="10" max="10" width="19.7265625" bestFit="1" customWidth="1"/>
    <col min="11" max="11" width="21.54296875" bestFit="1" customWidth="1"/>
    <col min="12" max="12" width="22.08984375" bestFit="1" customWidth="1"/>
    <col min="13" max="13" width="20.26953125" bestFit="1" customWidth="1"/>
    <col min="14" max="14" width="19.7265625" bestFit="1" customWidth="1"/>
    <col min="15" max="794" width="21.54296875" bestFit="1" customWidth="1"/>
    <col min="795" max="795" width="12" bestFit="1" customWidth="1"/>
  </cols>
  <sheetData>
    <row r="6" spans="2:8" x14ac:dyDescent="0.35">
      <c r="B6" s="1" t="s">
        <v>3868</v>
      </c>
      <c r="G6" s="10" t="s">
        <v>3872</v>
      </c>
      <c r="H6" s="7" t="s">
        <v>3873</v>
      </c>
    </row>
    <row r="7" spans="2:8" x14ac:dyDescent="0.35">
      <c r="B7">
        <f>COUNTA(Tabla2[OrderID])</f>
        <v>2500</v>
      </c>
      <c r="G7" s="12" t="s">
        <v>23</v>
      </c>
      <c r="H7" s="13">
        <v>1197110.8200000008</v>
      </c>
    </row>
    <row r="8" spans="2:8" x14ac:dyDescent="0.35">
      <c r="G8" s="5" t="s">
        <v>14</v>
      </c>
      <c r="H8" s="8">
        <v>1188262.0300000012</v>
      </c>
    </row>
    <row r="9" spans="2:8" x14ac:dyDescent="0.35">
      <c r="G9" s="5" t="s">
        <v>67</v>
      </c>
      <c r="H9" s="8">
        <v>1180976.4300000002</v>
      </c>
    </row>
    <row r="10" spans="2:8" x14ac:dyDescent="0.35">
      <c r="B10" s="1" t="s">
        <v>3869</v>
      </c>
      <c r="G10" s="5" t="s">
        <v>40</v>
      </c>
      <c r="H10" s="8">
        <v>1067194.4400000004</v>
      </c>
    </row>
    <row r="11" spans="2:8" x14ac:dyDescent="0.35">
      <c r="B11" s="3">
        <f>SUM(Tabla2[Total price])</f>
        <v>5734174.3299999889</v>
      </c>
      <c r="G11" s="5" t="s">
        <v>32</v>
      </c>
      <c r="H11" s="8">
        <v>1100630.6100000001</v>
      </c>
    </row>
    <row r="12" spans="2:8" x14ac:dyDescent="0.35">
      <c r="G12" s="5" t="s">
        <v>3871</v>
      </c>
      <c r="H12" s="8">
        <v>5734174.3300000029</v>
      </c>
    </row>
    <row r="13" spans="2:8" x14ac:dyDescent="0.35">
      <c r="H13" s="8"/>
    </row>
    <row r="14" spans="2:8" x14ac:dyDescent="0.35">
      <c r="H14" s="8"/>
    </row>
    <row r="15" spans="2:8" x14ac:dyDescent="0.35">
      <c r="H15" s="8"/>
    </row>
    <row r="16" spans="2:8" x14ac:dyDescent="0.35">
      <c r="H16" s="8"/>
    </row>
    <row r="17" spans="2:8" x14ac:dyDescent="0.35">
      <c r="B17" s="1" t="s">
        <v>3870</v>
      </c>
    </row>
    <row r="18" spans="2:8" x14ac:dyDescent="0.35">
      <c r="B18" s="24">
        <f>AVERAGE(Tabla2[Total price])</f>
        <v>2293.6697319999957</v>
      </c>
    </row>
    <row r="20" spans="2:8" x14ac:dyDescent="0.35">
      <c r="B20" s="1" t="s">
        <v>3885</v>
      </c>
    </row>
    <row r="21" spans="2:8" x14ac:dyDescent="0.35">
      <c r="B21">
        <f>AVERAGE(Tabla2[Quantity])</f>
        <v>3.0011999999999999</v>
      </c>
      <c r="G21" s="10" t="s">
        <v>3874</v>
      </c>
      <c r="H21" s="7" t="s">
        <v>3873</v>
      </c>
    </row>
    <row r="22" spans="2:8" x14ac:dyDescent="0.35">
      <c r="G22" s="5" t="s">
        <v>50</v>
      </c>
      <c r="H22" s="8">
        <v>1059078.7300000014</v>
      </c>
    </row>
    <row r="23" spans="2:8" x14ac:dyDescent="0.35">
      <c r="G23" s="12" t="s">
        <v>16</v>
      </c>
      <c r="H23" s="13">
        <v>1198872.8200000005</v>
      </c>
    </row>
    <row r="24" spans="2:8" x14ac:dyDescent="0.35">
      <c r="G24" s="5" t="s">
        <v>25</v>
      </c>
      <c r="H24" s="8">
        <v>1149979.4100000001</v>
      </c>
    </row>
    <row r="25" spans="2:8" x14ac:dyDescent="0.35">
      <c r="G25" s="5" t="s">
        <v>101</v>
      </c>
      <c r="H25" s="8">
        <v>1150623.6700000004</v>
      </c>
    </row>
    <row r="26" spans="2:8" x14ac:dyDescent="0.35">
      <c r="G26" s="5" t="s">
        <v>42</v>
      </c>
      <c r="H26" s="8">
        <v>1175619.7000000004</v>
      </c>
    </row>
    <row r="27" spans="2:8" x14ac:dyDescent="0.35">
      <c r="G27" s="5" t="s">
        <v>3871</v>
      </c>
      <c r="H27" s="8">
        <v>5734174.3300000029</v>
      </c>
    </row>
    <row r="32" spans="2:8" x14ac:dyDescent="0.35">
      <c r="G32" s="10" t="s">
        <v>3877</v>
      </c>
      <c r="H32" s="7" t="s">
        <v>3873</v>
      </c>
    </row>
    <row r="33" spans="7:8" x14ac:dyDescent="0.35">
      <c r="G33" s="12">
        <v>1</v>
      </c>
      <c r="H33" s="13">
        <v>668705.51</v>
      </c>
    </row>
    <row r="34" spans="7:8" x14ac:dyDescent="0.35">
      <c r="G34" s="5">
        <v>2</v>
      </c>
      <c r="H34" s="8">
        <v>611036.54000000015</v>
      </c>
    </row>
    <row r="35" spans="7:8" x14ac:dyDescent="0.35">
      <c r="G35" s="5">
        <v>3</v>
      </c>
      <c r="H35" s="8">
        <v>555314.80999999982</v>
      </c>
    </row>
    <row r="36" spans="7:8" x14ac:dyDescent="0.35">
      <c r="G36" s="5">
        <v>4</v>
      </c>
      <c r="H36" s="8">
        <v>420755.08000000013</v>
      </c>
    </row>
    <row r="37" spans="7:8" x14ac:dyDescent="0.35">
      <c r="G37" s="5">
        <v>5</v>
      </c>
      <c r="H37" s="8">
        <v>422627.94000000024</v>
      </c>
    </row>
    <row r="38" spans="7:8" x14ac:dyDescent="0.35">
      <c r="G38" s="5">
        <v>6</v>
      </c>
      <c r="H38" s="8">
        <v>442571.72000000015</v>
      </c>
    </row>
    <row r="39" spans="7:8" x14ac:dyDescent="0.35">
      <c r="G39" s="5">
        <v>7</v>
      </c>
      <c r="H39" s="8">
        <v>426873.06000000023</v>
      </c>
    </row>
    <row r="40" spans="7:8" x14ac:dyDescent="0.35">
      <c r="G40" s="5">
        <v>8</v>
      </c>
      <c r="H40" s="8">
        <v>419805.47000000003</v>
      </c>
    </row>
    <row r="41" spans="7:8" x14ac:dyDescent="0.35">
      <c r="G41" s="5">
        <v>9</v>
      </c>
      <c r="H41" s="8">
        <v>510687.32000000007</v>
      </c>
    </row>
    <row r="42" spans="7:8" x14ac:dyDescent="0.35">
      <c r="G42" s="5">
        <v>10</v>
      </c>
      <c r="H42" s="8">
        <v>391921.38999999996</v>
      </c>
    </row>
    <row r="43" spans="7:8" x14ac:dyDescent="0.35">
      <c r="G43" s="5">
        <v>11</v>
      </c>
      <c r="H43" s="8">
        <v>432090.72000000015</v>
      </c>
    </row>
    <row r="44" spans="7:8" x14ac:dyDescent="0.35">
      <c r="G44" s="5">
        <v>12</v>
      </c>
      <c r="H44" s="8">
        <v>431784.77000000014</v>
      </c>
    </row>
    <row r="45" spans="7:8" x14ac:dyDescent="0.35">
      <c r="G45" s="5" t="s">
        <v>3871</v>
      </c>
      <c r="H45" s="8">
        <v>5734174.330000001</v>
      </c>
    </row>
    <row r="52" spans="7:8" x14ac:dyDescent="0.35">
      <c r="G52" s="10" t="s">
        <v>3879</v>
      </c>
      <c r="H52" s="7" t="s">
        <v>3878</v>
      </c>
    </row>
    <row r="53" spans="7:8" x14ac:dyDescent="0.35">
      <c r="G53" s="5" t="s">
        <v>28</v>
      </c>
      <c r="H53" s="9">
        <v>485</v>
      </c>
    </row>
    <row r="54" spans="7:8" x14ac:dyDescent="0.35">
      <c r="G54" s="12" t="s">
        <v>36</v>
      </c>
      <c r="H54" s="14">
        <v>509</v>
      </c>
    </row>
    <row r="55" spans="7:8" x14ac:dyDescent="0.35">
      <c r="G55" s="5" t="s">
        <v>91</v>
      </c>
      <c r="H55" s="9">
        <v>505</v>
      </c>
    </row>
    <row r="56" spans="7:8" x14ac:dyDescent="0.35">
      <c r="G56" s="5" t="s">
        <v>45</v>
      </c>
      <c r="H56" s="9">
        <v>497</v>
      </c>
    </row>
    <row r="57" spans="7:8" x14ac:dyDescent="0.35">
      <c r="G57" s="5" t="s">
        <v>19</v>
      </c>
      <c r="H57" s="9">
        <v>504</v>
      </c>
    </row>
    <row r="58" spans="7:8" x14ac:dyDescent="0.35">
      <c r="G58" s="5" t="s">
        <v>3871</v>
      </c>
      <c r="H58" s="9">
        <v>2500</v>
      </c>
    </row>
    <row r="66" spans="7:8" x14ac:dyDescent="0.35">
      <c r="G66" s="4" t="s">
        <v>3880</v>
      </c>
      <c r="H66" s="11" t="s">
        <v>3873</v>
      </c>
    </row>
    <row r="67" spans="7:8" x14ac:dyDescent="0.35">
      <c r="G67" s="5">
        <v>2024</v>
      </c>
      <c r="H67" s="3">
        <v>2574323.3199999994</v>
      </c>
    </row>
    <row r="68" spans="7:8" x14ac:dyDescent="0.35">
      <c r="G68" s="15">
        <v>1</v>
      </c>
      <c r="H68" s="3">
        <v>255123.13000000006</v>
      </c>
    </row>
    <row r="69" spans="7:8" x14ac:dyDescent="0.35">
      <c r="G69" s="15">
        <v>2</v>
      </c>
      <c r="H69" s="3">
        <v>233466.57999999996</v>
      </c>
    </row>
    <row r="70" spans="7:8" x14ac:dyDescent="0.35">
      <c r="G70" s="15">
        <v>3</v>
      </c>
      <c r="H70" s="3">
        <v>158987.13999999998</v>
      </c>
    </row>
    <row r="71" spans="7:8" x14ac:dyDescent="0.35">
      <c r="G71" s="15">
        <v>4</v>
      </c>
      <c r="H71" s="3">
        <v>205501.25999999995</v>
      </c>
    </row>
    <row r="72" spans="7:8" x14ac:dyDescent="0.35">
      <c r="G72" s="15">
        <v>5</v>
      </c>
      <c r="H72" s="3">
        <v>185970.97999999992</v>
      </c>
    </row>
    <row r="73" spans="7:8" x14ac:dyDescent="0.35">
      <c r="G73" s="15">
        <v>6</v>
      </c>
      <c r="H73" s="3">
        <v>196529.36999999997</v>
      </c>
    </row>
    <row r="74" spans="7:8" x14ac:dyDescent="0.35">
      <c r="G74" s="15">
        <v>7</v>
      </c>
      <c r="H74" s="3">
        <v>210983.41</v>
      </c>
    </row>
    <row r="75" spans="7:8" x14ac:dyDescent="0.35">
      <c r="G75" s="15">
        <v>8</v>
      </c>
      <c r="H75" s="3">
        <v>218278.66</v>
      </c>
    </row>
    <row r="76" spans="7:8" x14ac:dyDescent="0.35">
      <c r="G76" s="15">
        <v>9</v>
      </c>
      <c r="H76" s="3">
        <v>288042.23999999999</v>
      </c>
    </row>
    <row r="77" spans="7:8" x14ac:dyDescent="0.35">
      <c r="G77" s="15">
        <v>10</v>
      </c>
      <c r="H77" s="3">
        <v>191273.00999999998</v>
      </c>
    </row>
    <row r="78" spans="7:8" x14ac:dyDescent="0.35">
      <c r="G78" s="15">
        <v>11</v>
      </c>
      <c r="H78" s="3">
        <v>190974.57</v>
      </c>
    </row>
    <row r="79" spans="7:8" x14ac:dyDescent="0.35">
      <c r="G79" s="15">
        <v>12</v>
      </c>
      <c r="H79" s="3">
        <v>239192.97000000003</v>
      </c>
    </row>
    <row r="80" spans="7:8" x14ac:dyDescent="0.35">
      <c r="G80" s="5">
        <v>2025</v>
      </c>
      <c r="H80" s="3">
        <v>2570533.2599999993</v>
      </c>
    </row>
    <row r="81" spans="7:8" x14ac:dyDescent="0.35">
      <c r="G81" s="15">
        <v>1</v>
      </c>
      <c r="H81" s="3">
        <v>210369.20999999996</v>
      </c>
    </row>
    <row r="82" spans="7:8" x14ac:dyDescent="0.35">
      <c r="G82" s="15">
        <v>2</v>
      </c>
      <c r="H82" s="3">
        <v>198691.41999999995</v>
      </c>
    </row>
    <row r="83" spans="7:8" x14ac:dyDescent="0.35">
      <c r="G83" s="15">
        <v>3</v>
      </c>
      <c r="H83" s="3">
        <v>199732.25999999995</v>
      </c>
    </row>
    <row r="84" spans="7:8" x14ac:dyDescent="0.35">
      <c r="G84" s="15">
        <v>4</v>
      </c>
      <c r="H84" s="3">
        <v>204623.18999999997</v>
      </c>
    </row>
    <row r="85" spans="7:8" x14ac:dyDescent="0.35">
      <c r="G85" s="15">
        <v>5</v>
      </c>
      <c r="H85" s="3">
        <v>236656.96</v>
      </c>
    </row>
    <row r="86" spans="7:8" x14ac:dyDescent="0.35">
      <c r="G86" s="15">
        <v>6</v>
      </c>
      <c r="H86" s="3">
        <v>246042.35000000003</v>
      </c>
    </row>
    <row r="87" spans="7:8" x14ac:dyDescent="0.35">
      <c r="G87" s="15">
        <v>7</v>
      </c>
      <c r="H87" s="3">
        <v>215889.64999999997</v>
      </c>
    </row>
    <row r="88" spans="7:8" x14ac:dyDescent="0.35">
      <c r="G88" s="15">
        <v>8</v>
      </c>
      <c r="H88" s="3">
        <v>201526.80999999997</v>
      </c>
    </row>
    <row r="89" spans="7:8" x14ac:dyDescent="0.35">
      <c r="G89" s="15">
        <v>9</v>
      </c>
      <c r="H89" s="3">
        <v>222645.07999999996</v>
      </c>
    </row>
    <row r="90" spans="7:8" x14ac:dyDescent="0.35">
      <c r="G90" s="15">
        <v>10</v>
      </c>
      <c r="H90" s="3">
        <v>200648.37999999989</v>
      </c>
    </row>
    <row r="91" spans="7:8" x14ac:dyDescent="0.35">
      <c r="G91" s="15">
        <v>11</v>
      </c>
      <c r="H91" s="3">
        <v>241116.15000000005</v>
      </c>
    </row>
    <row r="92" spans="7:8" x14ac:dyDescent="0.35">
      <c r="G92" s="15">
        <v>12</v>
      </c>
      <c r="H92" s="3">
        <v>192591.79999999996</v>
      </c>
    </row>
    <row r="93" spans="7:8" x14ac:dyDescent="0.35">
      <c r="G93" s="5">
        <v>2026</v>
      </c>
      <c r="H93" s="3">
        <v>589317.75</v>
      </c>
    </row>
    <row r="94" spans="7:8" x14ac:dyDescent="0.35">
      <c r="G94" s="15">
        <v>1</v>
      </c>
      <c r="H94" s="3">
        <v>203213.16999999993</v>
      </c>
    </row>
    <row r="95" spans="7:8" x14ac:dyDescent="0.35">
      <c r="G95" s="15">
        <v>2</v>
      </c>
      <c r="H95" s="3">
        <v>178878.54000000004</v>
      </c>
    </row>
    <row r="96" spans="7:8" x14ac:dyDescent="0.35">
      <c r="G96" s="15">
        <v>3</v>
      </c>
      <c r="H96" s="3">
        <v>196595.41000000006</v>
      </c>
    </row>
    <row r="97" spans="4:14" x14ac:dyDescent="0.35">
      <c r="G97" s="15">
        <v>4</v>
      </c>
      <c r="H97" s="3">
        <v>10630.63</v>
      </c>
    </row>
    <row r="98" spans="4:14" x14ac:dyDescent="0.35">
      <c r="G98" s="5" t="s">
        <v>3871</v>
      </c>
      <c r="H98" s="3">
        <v>5734174.3299999991</v>
      </c>
    </row>
    <row r="99" spans="4:14" x14ac:dyDescent="0.35">
      <c r="G99"/>
      <c r="H99"/>
    </row>
    <row r="100" spans="4:14" x14ac:dyDescent="0.35">
      <c r="G100"/>
      <c r="H100"/>
    </row>
    <row r="101" spans="4:14" x14ac:dyDescent="0.35">
      <c r="G101"/>
      <c r="H101"/>
    </row>
    <row r="102" spans="4:14" x14ac:dyDescent="0.35">
      <c r="G102"/>
      <c r="H102"/>
    </row>
    <row r="103" spans="4:14" x14ac:dyDescent="0.35">
      <c r="G103"/>
      <c r="H103"/>
    </row>
    <row r="104" spans="4:14" x14ac:dyDescent="0.35">
      <c r="G104"/>
      <c r="H104"/>
    </row>
    <row r="105" spans="4:14" x14ac:dyDescent="0.35">
      <c r="D105" s="4" t="s">
        <v>3892</v>
      </c>
      <c r="E105" t="s">
        <v>3894</v>
      </c>
      <c r="F105" s="28" t="s">
        <v>3893</v>
      </c>
      <c r="G105"/>
      <c r="H105" s="4" t="s">
        <v>3892</v>
      </c>
      <c r="I105" t="s">
        <v>3894</v>
      </c>
      <c r="J105" s="28" t="s">
        <v>3893</v>
      </c>
      <c r="L105" s="4" t="s">
        <v>3892</v>
      </c>
      <c r="M105" t="s">
        <v>3894</v>
      </c>
      <c r="N105" s="28" t="s">
        <v>3893</v>
      </c>
    </row>
    <row r="106" spans="4:14" x14ac:dyDescent="0.35">
      <c r="D106" s="5" t="s">
        <v>170</v>
      </c>
      <c r="E106" s="20">
        <v>181</v>
      </c>
      <c r="F106" s="28">
        <v>399226.99000000005</v>
      </c>
      <c r="G106"/>
      <c r="H106" s="5" t="s">
        <v>170</v>
      </c>
      <c r="I106" s="20">
        <v>181</v>
      </c>
      <c r="J106" s="28">
        <v>399226.99000000005</v>
      </c>
      <c r="L106" s="5" t="s">
        <v>177</v>
      </c>
      <c r="M106" s="20">
        <v>100</v>
      </c>
      <c r="N106" s="28">
        <v>220612.31</v>
      </c>
    </row>
    <row r="107" spans="4:14" x14ac:dyDescent="0.35">
      <c r="D107" s="5" t="s">
        <v>182</v>
      </c>
      <c r="E107" s="20">
        <v>125</v>
      </c>
      <c r="F107" s="28">
        <v>295362.22000000003</v>
      </c>
      <c r="G107"/>
      <c r="H107" s="5" t="s">
        <v>182</v>
      </c>
      <c r="I107" s="20">
        <v>125</v>
      </c>
      <c r="J107" s="28">
        <v>295362.22000000003</v>
      </c>
      <c r="L107" s="5" t="s">
        <v>216</v>
      </c>
      <c r="M107" s="20">
        <v>100</v>
      </c>
      <c r="N107" s="28">
        <v>199671.63000000003</v>
      </c>
    </row>
    <row r="108" spans="4:14" x14ac:dyDescent="0.35">
      <c r="D108" s="5" t="s">
        <v>165</v>
      </c>
      <c r="E108" s="20">
        <v>123</v>
      </c>
      <c r="F108" s="28">
        <v>313314.26000000024</v>
      </c>
      <c r="G108"/>
      <c r="H108" s="5" t="s">
        <v>165</v>
      </c>
      <c r="I108" s="20">
        <v>123</v>
      </c>
      <c r="J108" s="28">
        <v>313314.26000000024</v>
      </c>
      <c r="L108" s="5" t="s">
        <v>51</v>
      </c>
      <c r="M108" s="20">
        <v>100</v>
      </c>
      <c r="N108" s="28">
        <v>258675.35000000006</v>
      </c>
    </row>
    <row r="109" spans="4:14" x14ac:dyDescent="0.35">
      <c r="D109" s="5" t="s">
        <v>373</v>
      </c>
      <c r="E109" s="20">
        <v>119</v>
      </c>
      <c r="F109" s="28">
        <v>284861.94999999995</v>
      </c>
      <c r="G109"/>
      <c r="H109" s="5" t="s">
        <v>373</v>
      </c>
      <c r="I109" s="20">
        <v>119</v>
      </c>
      <c r="J109" s="28">
        <v>284861.94999999995</v>
      </c>
      <c r="L109" s="5" t="s">
        <v>139</v>
      </c>
      <c r="M109" s="20">
        <v>98</v>
      </c>
      <c r="N109" s="28">
        <v>225506.70000000007</v>
      </c>
    </row>
    <row r="110" spans="4:14" x14ac:dyDescent="0.35">
      <c r="D110" s="5" t="s">
        <v>89</v>
      </c>
      <c r="E110" s="20">
        <v>117</v>
      </c>
      <c r="F110" s="28">
        <v>277151.94</v>
      </c>
      <c r="G110"/>
      <c r="H110" s="5" t="s">
        <v>89</v>
      </c>
      <c r="I110" s="20">
        <v>117</v>
      </c>
      <c r="J110" s="28">
        <v>277151.94</v>
      </c>
      <c r="L110" s="5" t="s">
        <v>26</v>
      </c>
      <c r="M110" s="20">
        <v>97</v>
      </c>
      <c r="N110" s="28">
        <v>262070.36000000002</v>
      </c>
    </row>
    <row r="111" spans="4:14" x14ac:dyDescent="0.35">
      <c r="D111" s="5" t="s">
        <v>62</v>
      </c>
      <c r="E111" s="20">
        <v>112</v>
      </c>
      <c r="F111" s="28">
        <v>265435.05000000005</v>
      </c>
      <c r="G111"/>
      <c r="H111" s="5" t="s">
        <v>62</v>
      </c>
      <c r="I111" s="20">
        <v>112</v>
      </c>
      <c r="J111" s="28">
        <v>265435.05000000005</v>
      </c>
      <c r="L111" s="5" t="s">
        <v>43</v>
      </c>
      <c r="M111" s="20">
        <v>97</v>
      </c>
      <c r="N111" s="28">
        <v>221324.5499999999</v>
      </c>
    </row>
    <row r="112" spans="4:14" x14ac:dyDescent="0.35">
      <c r="D112" s="5" t="s">
        <v>74</v>
      </c>
      <c r="E112" s="20">
        <v>108</v>
      </c>
      <c r="F112" s="28">
        <v>222274.07000000012</v>
      </c>
      <c r="G112"/>
      <c r="H112" s="5" t="s">
        <v>74</v>
      </c>
      <c r="I112" s="20">
        <v>108</v>
      </c>
      <c r="J112" s="28">
        <v>222274.07000000012</v>
      </c>
      <c r="L112" s="5" t="s">
        <v>69</v>
      </c>
      <c r="M112" s="20">
        <v>93</v>
      </c>
      <c r="N112" s="28">
        <v>210896.26</v>
      </c>
    </row>
    <row r="113" spans="4:14" x14ac:dyDescent="0.35">
      <c r="D113" s="5" t="s">
        <v>17</v>
      </c>
      <c r="E113" s="20">
        <v>105</v>
      </c>
      <c r="F113" s="28">
        <v>238264.72999999989</v>
      </c>
      <c r="G113"/>
      <c r="H113" s="5" t="s">
        <v>17</v>
      </c>
      <c r="I113" s="20">
        <v>105</v>
      </c>
      <c r="J113" s="28">
        <v>238264.72999999989</v>
      </c>
      <c r="L113" s="5" t="s">
        <v>34</v>
      </c>
      <c r="M113" s="20">
        <v>91</v>
      </c>
      <c r="N113" s="28">
        <v>174693.23</v>
      </c>
    </row>
    <row r="114" spans="4:14" x14ac:dyDescent="0.35">
      <c r="D114" s="5" t="s">
        <v>237</v>
      </c>
      <c r="E114" s="20">
        <v>105</v>
      </c>
      <c r="F114" s="28">
        <v>209159.10000000003</v>
      </c>
      <c r="G114"/>
      <c r="H114" s="5" t="s">
        <v>225</v>
      </c>
      <c r="I114" s="20">
        <v>105</v>
      </c>
      <c r="J114" s="28">
        <v>250861.60999999996</v>
      </c>
      <c r="L114" s="5" t="s">
        <v>148</v>
      </c>
      <c r="M114" s="20">
        <v>90</v>
      </c>
      <c r="N114" s="28">
        <v>218925.21999999991</v>
      </c>
    </row>
    <row r="115" spans="4:14" x14ac:dyDescent="0.35">
      <c r="D115" s="5" t="s">
        <v>225</v>
      </c>
      <c r="E115" s="20">
        <v>105</v>
      </c>
      <c r="F115" s="28">
        <v>250861.60999999996</v>
      </c>
      <c r="G115"/>
      <c r="H115" s="5" t="s">
        <v>237</v>
      </c>
      <c r="I115" s="20">
        <v>105</v>
      </c>
      <c r="J115" s="28">
        <v>209159.10000000003</v>
      </c>
      <c r="L115" s="5" t="s">
        <v>56</v>
      </c>
      <c r="M115" s="20">
        <v>83</v>
      </c>
      <c r="N115" s="28">
        <v>193609.21</v>
      </c>
    </row>
    <row r="116" spans="4:14" x14ac:dyDescent="0.35">
      <c r="D116" s="5" t="s">
        <v>230</v>
      </c>
      <c r="E116" s="20">
        <v>103</v>
      </c>
      <c r="F116" s="28">
        <v>225708.33999999997</v>
      </c>
      <c r="G116"/>
      <c r="H116" s="5" t="s">
        <v>230</v>
      </c>
      <c r="I116" s="20">
        <v>103</v>
      </c>
      <c r="J116" s="28">
        <v>225708.33999999997</v>
      </c>
      <c r="L116" s="5" t="s">
        <v>102</v>
      </c>
      <c r="M116" s="20">
        <v>82</v>
      </c>
      <c r="N116" s="28">
        <v>199606.59999999995</v>
      </c>
    </row>
    <row r="117" spans="4:14" x14ac:dyDescent="0.35">
      <c r="D117" s="5" t="s">
        <v>80</v>
      </c>
      <c r="E117" s="20">
        <v>102</v>
      </c>
      <c r="F117" s="28">
        <v>223280.88999999993</v>
      </c>
      <c r="G117"/>
      <c r="H117" s="5" t="s">
        <v>80</v>
      </c>
      <c r="I117" s="20">
        <v>102</v>
      </c>
      <c r="J117" s="28">
        <v>223280.88999999993</v>
      </c>
      <c r="L117" s="5" t="s">
        <v>649</v>
      </c>
      <c r="M117" s="20">
        <v>64</v>
      </c>
      <c r="N117" s="28">
        <v>143681.76000000004</v>
      </c>
    </row>
    <row r="118" spans="4:14" x14ac:dyDescent="0.35">
      <c r="D118" s="5" t="s">
        <v>51</v>
      </c>
      <c r="E118" s="20">
        <v>100</v>
      </c>
      <c r="F118" s="28">
        <v>258675.35000000006</v>
      </c>
      <c r="G118"/>
      <c r="H118" s="5" t="s">
        <v>3871</v>
      </c>
      <c r="I118" s="20">
        <v>1405</v>
      </c>
      <c r="J118" s="28">
        <v>3204901.1500000032</v>
      </c>
      <c r="L118" s="5" t="s">
        <v>3871</v>
      </c>
      <c r="M118" s="20">
        <v>1095</v>
      </c>
      <c r="N118" s="28">
        <v>2529273.1799999974</v>
      </c>
    </row>
    <row r="119" spans="4:14" x14ac:dyDescent="0.35">
      <c r="D119" s="5" t="s">
        <v>177</v>
      </c>
      <c r="E119" s="20">
        <v>100</v>
      </c>
      <c r="F119" s="28">
        <v>220612.31</v>
      </c>
      <c r="G119"/>
      <c r="H119"/>
    </row>
    <row r="120" spans="4:14" x14ac:dyDescent="0.35">
      <c r="D120" s="5" t="s">
        <v>216</v>
      </c>
      <c r="E120" s="20">
        <v>100</v>
      </c>
      <c r="F120" s="28">
        <v>199671.63000000003</v>
      </c>
      <c r="G120"/>
      <c r="H120"/>
    </row>
    <row r="121" spans="4:14" x14ac:dyDescent="0.35">
      <c r="D121" s="5" t="s">
        <v>139</v>
      </c>
      <c r="E121" s="20">
        <v>98</v>
      </c>
      <c r="F121" s="28">
        <v>225506.70000000007</v>
      </c>
      <c r="G121"/>
      <c r="H121"/>
    </row>
    <row r="122" spans="4:14" x14ac:dyDescent="0.35">
      <c r="D122" s="5" t="s">
        <v>43</v>
      </c>
      <c r="E122" s="20">
        <v>97</v>
      </c>
      <c r="F122" s="28">
        <v>221324.5499999999</v>
      </c>
      <c r="G122"/>
      <c r="H122"/>
    </row>
    <row r="123" spans="4:14" x14ac:dyDescent="0.35">
      <c r="D123" s="5" t="s">
        <v>26</v>
      </c>
      <c r="E123" s="20">
        <v>97</v>
      </c>
      <c r="F123" s="28">
        <v>262070.36000000002</v>
      </c>
      <c r="G123"/>
      <c r="H123"/>
    </row>
    <row r="124" spans="4:14" x14ac:dyDescent="0.35">
      <c r="D124" s="5" t="s">
        <v>69</v>
      </c>
      <c r="E124" s="20">
        <v>93</v>
      </c>
      <c r="F124" s="28">
        <v>210896.26</v>
      </c>
      <c r="G124"/>
      <c r="H124"/>
    </row>
    <row r="125" spans="4:14" x14ac:dyDescent="0.35">
      <c r="D125" s="5" t="s">
        <v>34</v>
      </c>
      <c r="E125" s="20">
        <v>91</v>
      </c>
      <c r="F125" s="28">
        <v>174693.23</v>
      </c>
      <c r="G125"/>
      <c r="H125"/>
    </row>
    <row r="126" spans="4:14" x14ac:dyDescent="0.35">
      <c r="D126" s="5" t="s">
        <v>148</v>
      </c>
      <c r="E126" s="20">
        <v>90</v>
      </c>
      <c r="F126" s="28">
        <v>218925.21999999991</v>
      </c>
      <c r="G126"/>
      <c r="H126"/>
    </row>
    <row r="127" spans="4:14" x14ac:dyDescent="0.35">
      <c r="D127" s="5" t="s">
        <v>56</v>
      </c>
      <c r="E127" s="20">
        <v>83</v>
      </c>
      <c r="F127" s="28">
        <v>193609.21</v>
      </c>
      <c r="G127"/>
      <c r="H127"/>
    </row>
    <row r="128" spans="4:14" x14ac:dyDescent="0.35">
      <c r="D128" s="5" t="s">
        <v>102</v>
      </c>
      <c r="E128" s="20">
        <v>82</v>
      </c>
      <c r="F128" s="28">
        <v>199606.59999999995</v>
      </c>
      <c r="G128"/>
      <c r="H128"/>
    </row>
    <row r="129" spans="4:8" x14ac:dyDescent="0.35">
      <c r="D129" s="5" t="s">
        <v>649</v>
      </c>
      <c r="E129" s="20">
        <v>64</v>
      </c>
      <c r="F129" s="28">
        <v>143681.76000000004</v>
      </c>
      <c r="G129"/>
      <c r="H129"/>
    </row>
    <row r="130" spans="4:8" x14ac:dyDescent="0.35">
      <c r="D130" s="5" t="s">
        <v>3871</v>
      </c>
      <c r="E130" s="20">
        <v>2500</v>
      </c>
      <c r="F130" s="28">
        <v>5734174.3299999908</v>
      </c>
      <c r="G130"/>
      <c r="H130"/>
    </row>
    <row r="131" spans="4:8" x14ac:dyDescent="0.35">
      <c r="G131"/>
      <c r="H131"/>
    </row>
    <row r="132" spans="4:8" x14ac:dyDescent="0.35">
      <c r="G132"/>
      <c r="H132"/>
    </row>
    <row r="133" spans="4:8" x14ac:dyDescent="0.35">
      <c r="G133"/>
      <c r="H133"/>
    </row>
    <row r="134" spans="4:8" x14ac:dyDescent="0.35">
      <c r="G134"/>
      <c r="H134"/>
    </row>
    <row r="135" spans="4:8" x14ac:dyDescent="0.35">
      <c r="G135"/>
      <c r="H135"/>
    </row>
    <row r="136" spans="4:8" x14ac:dyDescent="0.35">
      <c r="G136"/>
      <c r="H136"/>
    </row>
    <row r="137" spans="4:8" x14ac:dyDescent="0.35">
      <c r="G137"/>
      <c r="H137"/>
    </row>
    <row r="138" spans="4:8" x14ac:dyDescent="0.35">
      <c r="G138"/>
      <c r="H138"/>
    </row>
    <row r="139" spans="4:8" x14ac:dyDescent="0.35">
      <c r="G139"/>
      <c r="H139"/>
    </row>
    <row r="140" spans="4:8" x14ac:dyDescent="0.35">
      <c r="G140"/>
      <c r="H140"/>
    </row>
    <row r="141" spans="4:8" x14ac:dyDescent="0.35">
      <c r="G141"/>
      <c r="H141"/>
    </row>
    <row r="142" spans="4:8" x14ac:dyDescent="0.35">
      <c r="G142"/>
      <c r="H142"/>
    </row>
    <row r="143" spans="4:8" x14ac:dyDescent="0.35">
      <c r="G143"/>
      <c r="H143"/>
    </row>
    <row r="144" spans="4:8" x14ac:dyDescent="0.35">
      <c r="G144"/>
      <c r="H144"/>
    </row>
    <row r="145" spans="7:8" x14ac:dyDescent="0.35">
      <c r="G145"/>
      <c r="H145"/>
    </row>
    <row r="146" spans="7:8" x14ac:dyDescent="0.35">
      <c r="G146"/>
      <c r="H146"/>
    </row>
    <row r="147" spans="7:8" x14ac:dyDescent="0.35">
      <c r="G147"/>
      <c r="H147"/>
    </row>
    <row r="148" spans="7:8" x14ac:dyDescent="0.35">
      <c r="G148"/>
      <c r="H148"/>
    </row>
    <row r="149" spans="7:8" x14ac:dyDescent="0.35">
      <c r="G149"/>
      <c r="H149"/>
    </row>
    <row r="150" spans="7:8" x14ac:dyDescent="0.35">
      <c r="G150"/>
      <c r="H150"/>
    </row>
    <row r="151" spans="7:8" x14ac:dyDescent="0.35">
      <c r="G151"/>
      <c r="H151"/>
    </row>
    <row r="152" spans="7:8" x14ac:dyDescent="0.35">
      <c r="G152"/>
      <c r="H152"/>
    </row>
    <row r="153" spans="7:8" x14ac:dyDescent="0.35">
      <c r="G153"/>
      <c r="H153"/>
    </row>
    <row r="154" spans="7:8" x14ac:dyDescent="0.35">
      <c r="G154"/>
      <c r="H154"/>
    </row>
    <row r="155" spans="7:8" x14ac:dyDescent="0.35">
      <c r="G155"/>
      <c r="H155"/>
    </row>
    <row r="156" spans="7:8" x14ac:dyDescent="0.35">
      <c r="G156"/>
      <c r="H156"/>
    </row>
    <row r="157" spans="7:8" x14ac:dyDescent="0.35">
      <c r="G157"/>
      <c r="H157"/>
    </row>
    <row r="158" spans="7:8" x14ac:dyDescent="0.35">
      <c r="G158"/>
      <c r="H158"/>
    </row>
    <row r="159" spans="7:8" x14ac:dyDescent="0.35">
      <c r="G159"/>
      <c r="H159"/>
    </row>
    <row r="160" spans="7:8" x14ac:dyDescent="0.35">
      <c r="G160"/>
      <c r="H160"/>
    </row>
    <row r="161" spans="7:8" x14ac:dyDescent="0.35">
      <c r="G161"/>
      <c r="H161"/>
    </row>
    <row r="162" spans="7:8" x14ac:dyDescent="0.35">
      <c r="G162"/>
      <c r="H162"/>
    </row>
    <row r="163" spans="7:8" x14ac:dyDescent="0.35">
      <c r="G163"/>
      <c r="H163"/>
    </row>
    <row r="164" spans="7:8" x14ac:dyDescent="0.35">
      <c r="G164"/>
      <c r="H164"/>
    </row>
    <row r="165" spans="7:8" x14ac:dyDescent="0.35">
      <c r="G165"/>
      <c r="H165"/>
    </row>
    <row r="166" spans="7:8" x14ac:dyDescent="0.35">
      <c r="G166"/>
      <c r="H166"/>
    </row>
    <row r="167" spans="7:8" x14ac:dyDescent="0.35">
      <c r="G167"/>
      <c r="H167"/>
    </row>
    <row r="168" spans="7:8" x14ac:dyDescent="0.35">
      <c r="G168"/>
      <c r="H168"/>
    </row>
    <row r="169" spans="7:8" x14ac:dyDescent="0.35">
      <c r="G169"/>
      <c r="H169"/>
    </row>
    <row r="170" spans="7:8" x14ac:dyDescent="0.35">
      <c r="G170"/>
      <c r="H170"/>
    </row>
    <row r="171" spans="7:8" x14ac:dyDescent="0.35">
      <c r="G171"/>
      <c r="H171"/>
    </row>
    <row r="172" spans="7:8" x14ac:dyDescent="0.35">
      <c r="G172"/>
      <c r="H172"/>
    </row>
    <row r="173" spans="7:8" x14ac:dyDescent="0.35">
      <c r="G173"/>
      <c r="H173"/>
    </row>
    <row r="174" spans="7:8" x14ac:dyDescent="0.35">
      <c r="G174"/>
      <c r="H174"/>
    </row>
    <row r="175" spans="7:8" x14ac:dyDescent="0.35">
      <c r="G175"/>
      <c r="H175"/>
    </row>
    <row r="176" spans="7:8" x14ac:dyDescent="0.35">
      <c r="G176"/>
      <c r="H176"/>
    </row>
    <row r="177" spans="7:8" x14ac:dyDescent="0.35">
      <c r="G177"/>
      <c r="H177"/>
    </row>
    <row r="178" spans="7:8" x14ac:dyDescent="0.35">
      <c r="G178"/>
      <c r="H178"/>
    </row>
    <row r="179" spans="7:8" x14ac:dyDescent="0.35">
      <c r="G179"/>
      <c r="H179"/>
    </row>
    <row r="180" spans="7:8" x14ac:dyDescent="0.35">
      <c r="G180"/>
      <c r="H180"/>
    </row>
    <row r="181" spans="7:8" x14ac:dyDescent="0.35">
      <c r="G181"/>
      <c r="H181"/>
    </row>
    <row r="182" spans="7:8" x14ac:dyDescent="0.35">
      <c r="G182"/>
      <c r="H182"/>
    </row>
    <row r="183" spans="7:8" x14ac:dyDescent="0.35">
      <c r="G183"/>
      <c r="H183"/>
    </row>
    <row r="184" spans="7:8" x14ac:dyDescent="0.35">
      <c r="G184"/>
      <c r="H184"/>
    </row>
    <row r="185" spans="7:8" x14ac:dyDescent="0.35">
      <c r="G185"/>
      <c r="H185"/>
    </row>
    <row r="186" spans="7:8" x14ac:dyDescent="0.35">
      <c r="G186"/>
      <c r="H186"/>
    </row>
    <row r="187" spans="7:8" x14ac:dyDescent="0.35">
      <c r="G187"/>
      <c r="H187"/>
    </row>
    <row r="188" spans="7:8" x14ac:dyDescent="0.35">
      <c r="G188"/>
      <c r="H188"/>
    </row>
    <row r="189" spans="7:8" x14ac:dyDescent="0.35">
      <c r="G189"/>
      <c r="H189"/>
    </row>
    <row r="190" spans="7:8" x14ac:dyDescent="0.35">
      <c r="G190"/>
      <c r="H190"/>
    </row>
    <row r="191" spans="7:8" x14ac:dyDescent="0.35">
      <c r="G191"/>
      <c r="H191"/>
    </row>
    <row r="192" spans="7:8" x14ac:dyDescent="0.35">
      <c r="G192"/>
      <c r="H192"/>
    </row>
    <row r="193" spans="7:8" x14ac:dyDescent="0.35">
      <c r="G193"/>
      <c r="H193"/>
    </row>
    <row r="194" spans="7:8" x14ac:dyDescent="0.35">
      <c r="G194"/>
      <c r="H194"/>
    </row>
    <row r="195" spans="7:8" x14ac:dyDescent="0.35">
      <c r="G195"/>
      <c r="H195"/>
    </row>
    <row r="196" spans="7:8" x14ac:dyDescent="0.35">
      <c r="G196"/>
      <c r="H196"/>
    </row>
    <row r="197" spans="7:8" x14ac:dyDescent="0.35">
      <c r="G197"/>
      <c r="H197"/>
    </row>
    <row r="198" spans="7:8" x14ac:dyDescent="0.35">
      <c r="G198"/>
      <c r="H198"/>
    </row>
    <row r="199" spans="7:8" x14ac:dyDescent="0.35">
      <c r="G199"/>
      <c r="H199"/>
    </row>
    <row r="200" spans="7:8" x14ac:dyDescent="0.35">
      <c r="G200"/>
      <c r="H200"/>
    </row>
    <row r="201" spans="7:8" x14ac:dyDescent="0.35">
      <c r="G201"/>
      <c r="H201"/>
    </row>
    <row r="202" spans="7:8" x14ac:dyDescent="0.35">
      <c r="G202"/>
      <c r="H202"/>
    </row>
    <row r="203" spans="7:8" x14ac:dyDescent="0.35">
      <c r="G203"/>
      <c r="H203"/>
    </row>
    <row r="204" spans="7:8" x14ac:dyDescent="0.35">
      <c r="G204"/>
      <c r="H204"/>
    </row>
    <row r="205" spans="7:8" x14ac:dyDescent="0.35">
      <c r="G205"/>
      <c r="H205"/>
    </row>
    <row r="206" spans="7:8" x14ac:dyDescent="0.35">
      <c r="G206"/>
      <c r="H206"/>
    </row>
    <row r="207" spans="7:8" x14ac:dyDescent="0.35">
      <c r="G207"/>
      <c r="H207"/>
    </row>
    <row r="208" spans="7:8" x14ac:dyDescent="0.35">
      <c r="G208"/>
      <c r="H208"/>
    </row>
    <row r="209" spans="7:8" x14ac:dyDescent="0.35">
      <c r="G209"/>
      <c r="H209"/>
    </row>
    <row r="210" spans="7:8" x14ac:dyDescent="0.35">
      <c r="G210"/>
      <c r="H210"/>
    </row>
    <row r="211" spans="7:8" x14ac:dyDescent="0.35">
      <c r="G211"/>
      <c r="H211"/>
    </row>
    <row r="212" spans="7:8" x14ac:dyDescent="0.35">
      <c r="G212"/>
      <c r="H212"/>
    </row>
    <row r="213" spans="7:8" x14ac:dyDescent="0.35">
      <c r="G213"/>
      <c r="H213"/>
    </row>
    <row r="214" spans="7:8" x14ac:dyDescent="0.35">
      <c r="G214"/>
      <c r="H214"/>
    </row>
    <row r="215" spans="7:8" x14ac:dyDescent="0.35">
      <c r="G215"/>
      <c r="H215"/>
    </row>
    <row r="216" spans="7:8" x14ac:dyDescent="0.35">
      <c r="G216"/>
      <c r="H216"/>
    </row>
    <row r="217" spans="7:8" x14ac:dyDescent="0.35">
      <c r="G217"/>
      <c r="H217"/>
    </row>
    <row r="218" spans="7:8" x14ac:dyDescent="0.35">
      <c r="G218"/>
      <c r="H218"/>
    </row>
    <row r="219" spans="7:8" x14ac:dyDescent="0.35">
      <c r="G219"/>
      <c r="H219"/>
    </row>
    <row r="220" spans="7:8" x14ac:dyDescent="0.35">
      <c r="G220"/>
      <c r="H220"/>
    </row>
    <row r="221" spans="7:8" x14ac:dyDescent="0.35">
      <c r="G221"/>
      <c r="H221"/>
    </row>
    <row r="222" spans="7:8" x14ac:dyDescent="0.35">
      <c r="G222"/>
      <c r="H222"/>
    </row>
    <row r="223" spans="7:8" x14ac:dyDescent="0.35">
      <c r="G223"/>
      <c r="H223"/>
    </row>
    <row r="224" spans="7:8" x14ac:dyDescent="0.35">
      <c r="G224"/>
      <c r="H224"/>
    </row>
    <row r="225" spans="7:8" x14ac:dyDescent="0.35">
      <c r="G225"/>
      <c r="H225"/>
    </row>
    <row r="226" spans="7:8" x14ac:dyDescent="0.35">
      <c r="G226"/>
      <c r="H226"/>
    </row>
    <row r="227" spans="7:8" x14ac:dyDescent="0.35">
      <c r="G227"/>
      <c r="H227"/>
    </row>
    <row r="228" spans="7:8" x14ac:dyDescent="0.35">
      <c r="G228"/>
      <c r="H228"/>
    </row>
    <row r="229" spans="7:8" x14ac:dyDescent="0.35">
      <c r="G229"/>
      <c r="H229"/>
    </row>
    <row r="230" spans="7:8" x14ac:dyDescent="0.35">
      <c r="G230"/>
      <c r="H230"/>
    </row>
    <row r="231" spans="7:8" x14ac:dyDescent="0.35">
      <c r="G231"/>
      <c r="H231"/>
    </row>
    <row r="232" spans="7:8" x14ac:dyDescent="0.35">
      <c r="G232"/>
      <c r="H232"/>
    </row>
    <row r="233" spans="7:8" x14ac:dyDescent="0.35">
      <c r="G233"/>
      <c r="H233"/>
    </row>
    <row r="234" spans="7:8" x14ac:dyDescent="0.35">
      <c r="G234"/>
      <c r="H234"/>
    </row>
    <row r="235" spans="7:8" x14ac:dyDescent="0.35">
      <c r="G235"/>
      <c r="H235"/>
    </row>
    <row r="236" spans="7:8" x14ac:dyDescent="0.35">
      <c r="G236"/>
      <c r="H236"/>
    </row>
    <row r="237" spans="7:8" x14ac:dyDescent="0.35">
      <c r="G237"/>
      <c r="H237"/>
    </row>
    <row r="238" spans="7:8" x14ac:dyDescent="0.35">
      <c r="G238"/>
      <c r="H238"/>
    </row>
    <row r="239" spans="7:8" x14ac:dyDescent="0.35">
      <c r="G239"/>
      <c r="H239"/>
    </row>
    <row r="240" spans="7:8" x14ac:dyDescent="0.35">
      <c r="G240"/>
      <c r="H240"/>
    </row>
    <row r="241" spans="7:8" x14ac:dyDescent="0.35">
      <c r="G241"/>
      <c r="H241"/>
    </row>
    <row r="242" spans="7:8" x14ac:dyDescent="0.35">
      <c r="G242"/>
      <c r="H242"/>
    </row>
    <row r="243" spans="7:8" x14ac:dyDescent="0.35">
      <c r="G243"/>
      <c r="H243"/>
    </row>
    <row r="244" spans="7:8" x14ac:dyDescent="0.35">
      <c r="G244"/>
      <c r="H244"/>
    </row>
    <row r="245" spans="7:8" x14ac:dyDescent="0.35">
      <c r="G245"/>
      <c r="H245"/>
    </row>
    <row r="246" spans="7:8" x14ac:dyDescent="0.35">
      <c r="G246"/>
      <c r="H246"/>
    </row>
    <row r="247" spans="7:8" x14ac:dyDescent="0.35">
      <c r="G247"/>
      <c r="H247"/>
    </row>
    <row r="248" spans="7:8" x14ac:dyDescent="0.35">
      <c r="G248"/>
      <c r="H248"/>
    </row>
    <row r="249" spans="7:8" x14ac:dyDescent="0.35">
      <c r="G249"/>
      <c r="H249"/>
    </row>
    <row r="250" spans="7:8" x14ac:dyDescent="0.35">
      <c r="G250"/>
      <c r="H250"/>
    </row>
    <row r="251" spans="7:8" x14ac:dyDescent="0.35">
      <c r="G251"/>
      <c r="H251"/>
    </row>
    <row r="252" spans="7:8" x14ac:dyDescent="0.35">
      <c r="G252"/>
      <c r="H252"/>
    </row>
    <row r="253" spans="7:8" x14ac:dyDescent="0.35">
      <c r="G253"/>
      <c r="H253"/>
    </row>
    <row r="254" spans="7:8" x14ac:dyDescent="0.35">
      <c r="G254"/>
      <c r="H254"/>
    </row>
    <row r="255" spans="7:8" x14ac:dyDescent="0.35">
      <c r="G255"/>
      <c r="H255"/>
    </row>
    <row r="256" spans="7:8" x14ac:dyDescent="0.35">
      <c r="G256"/>
      <c r="H256"/>
    </row>
    <row r="257" spans="7:8" x14ac:dyDescent="0.35">
      <c r="G257"/>
      <c r="H257"/>
    </row>
    <row r="258" spans="7:8" x14ac:dyDescent="0.35">
      <c r="G258"/>
      <c r="H258"/>
    </row>
    <row r="259" spans="7:8" x14ac:dyDescent="0.35">
      <c r="G259"/>
      <c r="H259"/>
    </row>
    <row r="260" spans="7:8" x14ac:dyDescent="0.35">
      <c r="G260"/>
      <c r="H260"/>
    </row>
    <row r="261" spans="7:8" x14ac:dyDescent="0.35">
      <c r="G261"/>
      <c r="H261"/>
    </row>
    <row r="262" spans="7:8" x14ac:dyDescent="0.35">
      <c r="G262"/>
      <c r="H262"/>
    </row>
    <row r="263" spans="7:8" x14ac:dyDescent="0.35">
      <c r="G263"/>
      <c r="H263"/>
    </row>
    <row r="264" spans="7:8" x14ac:dyDescent="0.35">
      <c r="G264"/>
      <c r="H264"/>
    </row>
    <row r="265" spans="7:8" x14ac:dyDescent="0.35">
      <c r="G265"/>
      <c r="H265"/>
    </row>
    <row r="266" spans="7:8" x14ac:dyDescent="0.35">
      <c r="G266"/>
      <c r="H266"/>
    </row>
    <row r="267" spans="7:8" x14ac:dyDescent="0.35">
      <c r="G267"/>
      <c r="H267"/>
    </row>
    <row r="268" spans="7:8" x14ac:dyDescent="0.35">
      <c r="G268"/>
      <c r="H268"/>
    </row>
    <row r="269" spans="7:8" x14ac:dyDescent="0.35">
      <c r="G269"/>
      <c r="H269"/>
    </row>
    <row r="270" spans="7:8" x14ac:dyDescent="0.35">
      <c r="G270"/>
      <c r="H270"/>
    </row>
    <row r="271" spans="7:8" x14ac:dyDescent="0.35">
      <c r="G271"/>
      <c r="H271"/>
    </row>
    <row r="272" spans="7:8" x14ac:dyDescent="0.35">
      <c r="G272"/>
      <c r="H272"/>
    </row>
    <row r="273" spans="7:8" x14ac:dyDescent="0.35">
      <c r="G273"/>
      <c r="H273"/>
    </row>
    <row r="274" spans="7:8" x14ac:dyDescent="0.35">
      <c r="G274"/>
      <c r="H274"/>
    </row>
    <row r="275" spans="7:8" x14ac:dyDescent="0.35">
      <c r="G275"/>
      <c r="H275"/>
    </row>
    <row r="276" spans="7:8" x14ac:dyDescent="0.35">
      <c r="G276"/>
      <c r="H276"/>
    </row>
    <row r="277" spans="7:8" x14ac:dyDescent="0.35">
      <c r="G277"/>
      <c r="H277"/>
    </row>
    <row r="278" spans="7:8" x14ac:dyDescent="0.35">
      <c r="G278"/>
      <c r="H278"/>
    </row>
    <row r="279" spans="7:8" x14ac:dyDescent="0.35">
      <c r="G279"/>
      <c r="H279"/>
    </row>
    <row r="280" spans="7:8" x14ac:dyDescent="0.35">
      <c r="G280"/>
      <c r="H280"/>
    </row>
    <row r="281" spans="7:8" x14ac:dyDescent="0.35">
      <c r="G281"/>
      <c r="H281"/>
    </row>
    <row r="282" spans="7:8" x14ac:dyDescent="0.35">
      <c r="G282"/>
      <c r="H282"/>
    </row>
    <row r="283" spans="7:8" x14ac:dyDescent="0.35">
      <c r="G283"/>
      <c r="H283"/>
    </row>
    <row r="284" spans="7:8" x14ac:dyDescent="0.35">
      <c r="G284"/>
      <c r="H284"/>
    </row>
    <row r="285" spans="7:8" x14ac:dyDescent="0.35">
      <c r="G285"/>
      <c r="H285"/>
    </row>
    <row r="286" spans="7:8" x14ac:dyDescent="0.35">
      <c r="G286"/>
      <c r="H286"/>
    </row>
    <row r="287" spans="7:8" x14ac:dyDescent="0.35">
      <c r="G287"/>
      <c r="H287"/>
    </row>
    <row r="288" spans="7:8" x14ac:dyDescent="0.35">
      <c r="G288"/>
      <c r="H288"/>
    </row>
    <row r="289" spans="7:8" x14ac:dyDescent="0.35">
      <c r="G289"/>
      <c r="H289"/>
    </row>
    <row r="290" spans="7:8" x14ac:dyDescent="0.35">
      <c r="G290"/>
      <c r="H290"/>
    </row>
    <row r="291" spans="7:8" x14ac:dyDescent="0.35">
      <c r="G291"/>
      <c r="H291"/>
    </row>
    <row r="292" spans="7:8" x14ac:dyDescent="0.35">
      <c r="G292"/>
      <c r="H292"/>
    </row>
    <row r="293" spans="7:8" x14ac:dyDescent="0.35">
      <c r="G293"/>
      <c r="H293"/>
    </row>
    <row r="294" spans="7:8" x14ac:dyDescent="0.35">
      <c r="G294"/>
      <c r="H294"/>
    </row>
    <row r="295" spans="7:8" x14ac:dyDescent="0.35">
      <c r="G295"/>
      <c r="H295"/>
    </row>
    <row r="296" spans="7:8" x14ac:dyDescent="0.35">
      <c r="G296"/>
      <c r="H296"/>
    </row>
    <row r="297" spans="7:8" x14ac:dyDescent="0.35">
      <c r="G297"/>
      <c r="H297"/>
    </row>
    <row r="298" spans="7:8" x14ac:dyDescent="0.35">
      <c r="G298"/>
      <c r="H298"/>
    </row>
    <row r="299" spans="7:8" x14ac:dyDescent="0.35">
      <c r="G299"/>
      <c r="H299"/>
    </row>
    <row r="300" spans="7:8" x14ac:dyDescent="0.35">
      <c r="G300"/>
      <c r="H300"/>
    </row>
    <row r="301" spans="7:8" x14ac:dyDescent="0.35">
      <c r="G301"/>
      <c r="H301"/>
    </row>
    <row r="302" spans="7:8" x14ac:dyDescent="0.35">
      <c r="G302"/>
      <c r="H302"/>
    </row>
    <row r="303" spans="7:8" x14ac:dyDescent="0.35">
      <c r="G303"/>
      <c r="H303"/>
    </row>
    <row r="304" spans="7:8" x14ac:dyDescent="0.35">
      <c r="G304"/>
      <c r="H304"/>
    </row>
    <row r="305" spans="7:8" x14ac:dyDescent="0.35">
      <c r="G305"/>
      <c r="H305"/>
    </row>
    <row r="306" spans="7:8" x14ac:dyDescent="0.35">
      <c r="G306"/>
      <c r="H306"/>
    </row>
    <row r="307" spans="7:8" x14ac:dyDescent="0.35">
      <c r="G307"/>
      <c r="H307"/>
    </row>
    <row r="308" spans="7:8" x14ac:dyDescent="0.35">
      <c r="G308"/>
      <c r="H308"/>
    </row>
    <row r="309" spans="7:8" x14ac:dyDescent="0.35">
      <c r="G309"/>
      <c r="H309"/>
    </row>
    <row r="310" spans="7:8" x14ac:dyDescent="0.35">
      <c r="G310"/>
      <c r="H310"/>
    </row>
    <row r="311" spans="7:8" x14ac:dyDescent="0.35">
      <c r="G311"/>
      <c r="H311"/>
    </row>
    <row r="312" spans="7:8" x14ac:dyDescent="0.35">
      <c r="G312"/>
      <c r="H312"/>
    </row>
    <row r="313" spans="7:8" x14ac:dyDescent="0.35">
      <c r="G313"/>
      <c r="H313"/>
    </row>
    <row r="314" spans="7:8" x14ac:dyDescent="0.35">
      <c r="G314"/>
      <c r="H314"/>
    </row>
    <row r="315" spans="7:8" x14ac:dyDescent="0.35">
      <c r="G315"/>
      <c r="H315"/>
    </row>
    <row r="316" spans="7:8" x14ac:dyDescent="0.35">
      <c r="G316"/>
      <c r="H316"/>
    </row>
    <row r="317" spans="7:8" x14ac:dyDescent="0.35">
      <c r="G317"/>
      <c r="H317"/>
    </row>
    <row r="318" spans="7:8" x14ac:dyDescent="0.35">
      <c r="G318"/>
      <c r="H318"/>
    </row>
    <row r="319" spans="7:8" x14ac:dyDescent="0.35">
      <c r="G319"/>
      <c r="H319"/>
    </row>
    <row r="320" spans="7:8" x14ac:dyDescent="0.35">
      <c r="G320"/>
      <c r="H320"/>
    </row>
    <row r="321" spans="7:8" x14ac:dyDescent="0.35">
      <c r="G321"/>
      <c r="H321"/>
    </row>
    <row r="322" spans="7:8" x14ac:dyDescent="0.35">
      <c r="G322"/>
      <c r="H322"/>
    </row>
    <row r="323" spans="7:8" x14ac:dyDescent="0.35">
      <c r="G323"/>
      <c r="H323"/>
    </row>
    <row r="324" spans="7:8" x14ac:dyDescent="0.35">
      <c r="G324"/>
      <c r="H324"/>
    </row>
    <row r="325" spans="7:8" x14ac:dyDescent="0.35">
      <c r="G325"/>
      <c r="H325"/>
    </row>
    <row r="326" spans="7:8" x14ac:dyDescent="0.35">
      <c r="G326"/>
      <c r="H326"/>
    </row>
    <row r="327" spans="7:8" x14ac:dyDescent="0.35">
      <c r="G327"/>
      <c r="H327"/>
    </row>
    <row r="328" spans="7:8" x14ac:dyDescent="0.35">
      <c r="G328"/>
      <c r="H328"/>
    </row>
    <row r="329" spans="7:8" x14ac:dyDescent="0.35">
      <c r="G329"/>
      <c r="H329"/>
    </row>
    <row r="330" spans="7:8" x14ac:dyDescent="0.35">
      <c r="G330"/>
      <c r="H330"/>
    </row>
    <row r="331" spans="7:8" x14ac:dyDescent="0.35">
      <c r="G331"/>
      <c r="H331"/>
    </row>
    <row r="332" spans="7:8" x14ac:dyDescent="0.35">
      <c r="G332"/>
      <c r="H332"/>
    </row>
    <row r="333" spans="7:8" x14ac:dyDescent="0.35">
      <c r="G333"/>
      <c r="H333"/>
    </row>
    <row r="334" spans="7:8" x14ac:dyDescent="0.35">
      <c r="G334"/>
      <c r="H334"/>
    </row>
    <row r="335" spans="7:8" x14ac:dyDescent="0.35">
      <c r="G335"/>
      <c r="H335"/>
    </row>
    <row r="336" spans="7:8" x14ac:dyDescent="0.35">
      <c r="G336"/>
      <c r="H336"/>
    </row>
    <row r="337" spans="7:8" x14ac:dyDescent="0.35">
      <c r="G337"/>
      <c r="H337"/>
    </row>
    <row r="338" spans="7:8" x14ac:dyDescent="0.35">
      <c r="G338"/>
      <c r="H338"/>
    </row>
    <row r="339" spans="7:8" x14ac:dyDescent="0.35">
      <c r="G339"/>
      <c r="H339"/>
    </row>
    <row r="340" spans="7:8" x14ac:dyDescent="0.35">
      <c r="G340"/>
      <c r="H340"/>
    </row>
    <row r="341" spans="7:8" x14ac:dyDescent="0.35">
      <c r="G341"/>
      <c r="H341"/>
    </row>
    <row r="342" spans="7:8" x14ac:dyDescent="0.35">
      <c r="G342"/>
      <c r="H342"/>
    </row>
    <row r="343" spans="7:8" x14ac:dyDescent="0.35">
      <c r="G343"/>
      <c r="H343"/>
    </row>
    <row r="344" spans="7:8" x14ac:dyDescent="0.35">
      <c r="G344"/>
      <c r="H344"/>
    </row>
    <row r="345" spans="7:8" x14ac:dyDescent="0.35">
      <c r="G345"/>
      <c r="H345"/>
    </row>
    <row r="346" spans="7:8" x14ac:dyDescent="0.35">
      <c r="G346"/>
      <c r="H346"/>
    </row>
    <row r="347" spans="7:8" x14ac:dyDescent="0.35">
      <c r="G347"/>
      <c r="H347"/>
    </row>
    <row r="348" spans="7:8" x14ac:dyDescent="0.35">
      <c r="G348"/>
      <c r="H348"/>
    </row>
    <row r="349" spans="7:8" x14ac:dyDescent="0.35">
      <c r="G349"/>
      <c r="H349"/>
    </row>
    <row r="350" spans="7:8" x14ac:dyDescent="0.35">
      <c r="G350"/>
      <c r="H350"/>
    </row>
    <row r="351" spans="7:8" x14ac:dyDescent="0.35">
      <c r="G351"/>
      <c r="H351"/>
    </row>
    <row r="352" spans="7:8" x14ac:dyDescent="0.35">
      <c r="G352"/>
      <c r="H352"/>
    </row>
    <row r="353" spans="7:8" x14ac:dyDescent="0.35">
      <c r="G353"/>
      <c r="H353"/>
    </row>
    <row r="354" spans="7:8" x14ac:dyDescent="0.35">
      <c r="G354"/>
      <c r="H354"/>
    </row>
    <row r="355" spans="7:8" x14ac:dyDescent="0.35">
      <c r="G355"/>
      <c r="H355"/>
    </row>
    <row r="356" spans="7:8" x14ac:dyDescent="0.35">
      <c r="G356"/>
      <c r="H356"/>
    </row>
    <row r="357" spans="7:8" x14ac:dyDescent="0.35">
      <c r="G357"/>
      <c r="H357"/>
    </row>
    <row r="358" spans="7:8" x14ac:dyDescent="0.35">
      <c r="G358"/>
      <c r="H358"/>
    </row>
    <row r="359" spans="7:8" x14ac:dyDescent="0.35">
      <c r="G359"/>
      <c r="H359"/>
    </row>
    <row r="360" spans="7:8" x14ac:dyDescent="0.35">
      <c r="G360"/>
      <c r="H360"/>
    </row>
    <row r="361" spans="7:8" x14ac:dyDescent="0.35">
      <c r="G361"/>
      <c r="H361"/>
    </row>
    <row r="362" spans="7:8" x14ac:dyDescent="0.35">
      <c r="G362"/>
      <c r="H362"/>
    </row>
    <row r="363" spans="7:8" x14ac:dyDescent="0.35">
      <c r="G363"/>
      <c r="H363"/>
    </row>
    <row r="364" spans="7:8" x14ac:dyDescent="0.35">
      <c r="G364"/>
      <c r="H364"/>
    </row>
    <row r="365" spans="7:8" x14ac:dyDescent="0.35">
      <c r="G365"/>
      <c r="H365"/>
    </row>
    <row r="366" spans="7:8" x14ac:dyDescent="0.35">
      <c r="G366"/>
      <c r="H366"/>
    </row>
    <row r="367" spans="7:8" x14ac:dyDescent="0.35">
      <c r="G367"/>
      <c r="H367"/>
    </row>
    <row r="368" spans="7:8" x14ac:dyDescent="0.35">
      <c r="G368"/>
      <c r="H368"/>
    </row>
    <row r="369" spans="7:8" x14ac:dyDescent="0.35">
      <c r="G369"/>
      <c r="H369"/>
    </row>
    <row r="370" spans="7:8" x14ac:dyDescent="0.35">
      <c r="G370"/>
      <c r="H370"/>
    </row>
    <row r="371" spans="7:8" x14ac:dyDescent="0.35">
      <c r="G371"/>
      <c r="H371"/>
    </row>
    <row r="372" spans="7:8" x14ac:dyDescent="0.35">
      <c r="G372"/>
      <c r="H372"/>
    </row>
    <row r="373" spans="7:8" x14ac:dyDescent="0.35">
      <c r="G373"/>
      <c r="H373"/>
    </row>
    <row r="374" spans="7:8" x14ac:dyDescent="0.35">
      <c r="G374"/>
      <c r="H374"/>
    </row>
    <row r="375" spans="7:8" x14ac:dyDescent="0.35">
      <c r="G375"/>
      <c r="H375"/>
    </row>
    <row r="376" spans="7:8" x14ac:dyDescent="0.35">
      <c r="G376"/>
      <c r="H376"/>
    </row>
    <row r="377" spans="7:8" x14ac:dyDescent="0.35">
      <c r="G377"/>
      <c r="H377"/>
    </row>
    <row r="378" spans="7:8" x14ac:dyDescent="0.35">
      <c r="G378"/>
      <c r="H378"/>
    </row>
    <row r="379" spans="7:8" x14ac:dyDescent="0.35">
      <c r="G379"/>
      <c r="H379"/>
    </row>
    <row r="380" spans="7:8" x14ac:dyDescent="0.35">
      <c r="G380"/>
      <c r="H380"/>
    </row>
    <row r="381" spans="7:8" x14ac:dyDescent="0.35">
      <c r="G381"/>
      <c r="H381"/>
    </row>
    <row r="382" spans="7:8" x14ac:dyDescent="0.35">
      <c r="G382"/>
      <c r="H382"/>
    </row>
    <row r="383" spans="7:8" x14ac:dyDescent="0.35">
      <c r="G383"/>
      <c r="H383"/>
    </row>
    <row r="384" spans="7:8" x14ac:dyDescent="0.35">
      <c r="G384"/>
      <c r="H384"/>
    </row>
    <row r="385" spans="7:8" x14ac:dyDescent="0.35">
      <c r="G385"/>
      <c r="H385"/>
    </row>
    <row r="386" spans="7:8" x14ac:dyDescent="0.35">
      <c r="G386"/>
      <c r="H386"/>
    </row>
    <row r="387" spans="7:8" x14ac:dyDescent="0.35">
      <c r="G387"/>
      <c r="H387"/>
    </row>
    <row r="388" spans="7:8" x14ac:dyDescent="0.35">
      <c r="G388"/>
      <c r="H388"/>
    </row>
    <row r="389" spans="7:8" x14ac:dyDescent="0.35">
      <c r="G389"/>
      <c r="H389"/>
    </row>
    <row r="390" spans="7:8" x14ac:dyDescent="0.35">
      <c r="G390"/>
      <c r="H390"/>
    </row>
    <row r="391" spans="7:8" x14ac:dyDescent="0.35">
      <c r="G391"/>
      <c r="H391"/>
    </row>
    <row r="392" spans="7:8" x14ac:dyDescent="0.35">
      <c r="G392"/>
      <c r="H392"/>
    </row>
    <row r="393" spans="7:8" x14ac:dyDescent="0.35">
      <c r="G393"/>
      <c r="H393"/>
    </row>
    <row r="394" spans="7:8" x14ac:dyDescent="0.35">
      <c r="G394"/>
      <c r="H394"/>
    </row>
    <row r="395" spans="7:8" x14ac:dyDescent="0.35">
      <c r="G395"/>
      <c r="H395"/>
    </row>
    <row r="396" spans="7:8" x14ac:dyDescent="0.35">
      <c r="G396"/>
      <c r="H396"/>
    </row>
    <row r="397" spans="7:8" x14ac:dyDescent="0.35">
      <c r="G397"/>
      <c r="H397"/>
    </row>
    <row r="398" spans="7:8" x14ac:dyDescent="0.35">
      <c r="G398"/>
      <c r="H398"/>
    </row>
    <row r="399" spans="7:8" x14ac:dyDescent="0.35">
      <c r="G399"/>
      <c r="H399"/>
    </row>
    <row r="400" spans="7:8" x14ac:dyDescent="0.35">
      <c r="G400"/>
      <c r="H400"/>
    </row>
    <row r="401" spans="7:8" x14ac:dyDescent="0.35">
      <c r="G401"/>
      <c r="H401"/>
    </row>
    <row r="402" spans="7:8" x14ac:dyDescent="0.35">
      <c r="G402"/>
      <c r="H402"/>
    </row>
    <row r="403" spans="7:8" x14ac:dyDescent="0.35">
      <c r="G403"/>
      <c r="H403"/>
    </row>
    <row r="404" spans="7:8" x14ac:dyDescent="0.35">
      <c r="G404"/>
      <c r="H404"/>
    </row>
    <row r="405" spans="7:8" x14ac:dyDescent="0.35">
      <c r="G405"/>
      <c r="H405"/>
    </row>
    <row r="406" spans="7:8" x14ac:dyDescent="0.35">
      <c r="G406"/>
      <c r="H406"/>
    </row>
    <row r="407" spans="7:8" x14ac:dyDescent="0.35">
      <c r="G407"/>
      <c r="H407"/>
    </row>
    <row r="408" spans="7:8" x14ac:dyDescent="0.35">
      <c r="G408"/>
      <c r="H408"/>
    </row>
    <row r="409" spans="7:8" x14ac:dyDescent="0.35">
      <c r="G409"/>
      <c r="H409"/>
    </row>
    <row r="410" spans="7:8" x14ac:dyDescent="0.35">
      <c r="G410"/>
      <c r="H410"/>
    </row>
    <row r="411" spans="7:8" x14ac:dyDescent="0.35">
      <c r="G411"/>
      <c r="H411"/>
    </row>
    <row r="412" spans="7:8" x14ac:dyDescent="0.35">
      <c r="G412"/>
      <c r="H412"/>
    </row>
    <row r="413" spans="7:8" x14ac:dyDescent="0.35">
      <c r="G413"/>
      <c r="H413"/>
    </row>
    <row r="414" spans="7:8" x14ac:dyDescent="0.35">
      <c r="G414"/>
      <c r="H414"/>
    </row>
    <row r="415" spans="7:8" x14ac:dyDescent="0.35">
      <c r="G415"/>
      <c r="H415"/>
    </row>
    <row r="416" spans="7:8" x14ac:dyDescent="0.35">
      <c r="G416"/>
      <c r="H416"/>
    </row>
    <row r="417" spans="7:8" x14ac:dyDescent="0.35">
      <c r="G417"/>
      <c r="H417"/>
    </row>
    <row r="418" spans="7:8" x14ac:dyDescent="0.35">
      <c r="G418"/>
      <c r="H418"/>
    </row>
    <row r="419" spans="7:8" x14ac:dyDescent="0.35">
      <c r="G419"/>
      <c r="H419"/>
    </row>
    <row r="420" spans="7:8" x14ac:dyDescent="0.35">
      <c r="G420"/>
      <c r="H420"/>
    </row>
    <row r="421" spans="7:8" x14ac:dyDescent="0.35">
      <c r="G421"/>
      <c r="H421"/>
    </row>
    <row r="422" spans="7:8" x14ac:dyDescent="0.35">
      <c r="G422"/>
      <c r="H422"/>
    </row>
    <row r="423" spans="7:8" x14ac:dyDescent="0.35">
      <c r="G423"/>
      <c r="H423"/>
    </row>
    <row r="424" spans="7:8" x14ac:dyDescent="0.35">
      <c r="G424"/>
      <c r="H424"/>
    </row>
    <row r="425" spans="7:8" x14ac:dyDescent="0.35">
      <c r="G425"/>
      <c r="H425"/>
    </row>
    <row r="426" spans="7:8" x14ac:dyDescent="0.35">
      <c r="G426"/>
      <c r="H426"/>
    </row>
    <row r="427" spans="7:8" x14ac:dyDescent="0.35">
      <c r="G427"/>
      <c r="H427"/>
    </row>
    <row r="428" spans="7:8" x14ac:dyDescent="0.35">
      <c r="G428"/>
      <c r="H428"/>
    </row>
    <row r="429" spans="7:8" x14ac:dyDescent="0.35">
      <c r="G429"/>
      <c r="H429"/>
    </row>
    <row r="430" spans="7:8" x14ac:dyDescent="0.35">
      <c r="G430"/>
      <c r="H430"/>
    </row>
    <row r="431" spans="7:8" x14ac:dyDescent="0.35">
      <c r="G431"/>
      <c r="H431"/>
    </row>
    <row r="432" spans="7:8" x14ac:dyDescent="0.35">
      <c r="G432"/>
      <c r="H432"/>
    </row>
    <row r="433" spans="7:8" x14ac:dyDescent="0.35">
      <c r="G433"/>
      <c r="H433"/>
    </row>
    <row r="434" spans="7:8" x14ac:dyDescent="0.35">
      <c r="G434"/>
      <c r="H434"/>
    </row>
    <row r="435" spans="7:8" x14ac:dyDescent="0.35">
      <c r="G435"/>
      <c r="H435"/>
    </row>
    <row r="436" spans="7:8" x14ac:dyDescent="0.35">
      <c r="G436"/>
      <c r="H436"/>
    </row>
    <row r="437" spans="7:8" x14ac:dyDescent="0.35">
      <c r="G437"/>
      <c r="H437"/>
    </row>
    <row r="438" spans="7:8" x14ac:dyDescent="0.35">
      <c r="G438"/>
      <c r="H438"/>
    </row>
    <row r="439" spans="7:8" x14ac:dyDescent="0.35">
      <c r="G439"/>
      <c r="H439"/>
    </row>
    <row r="440" spans="7:8" x14ac:dyDescent="0.35">
      <c r="G440"/>
      <c r="H440"/>
    </row>
    <row r="441" spans="7:8" x14ac:dyDescent="0.35">
      <c r="G441"/>
      <c r="H441"/>
    </row>
    <row r="442" spans="7:8" x14ac:dyDescent="0.35">
      <c r="G442"/>
      <c r="H442"/>
    </row>
    <row r="443" spans="7:8" x14ac:dyDescent="0.35">
      <c r="G443"/>
      <c r="H443"/>
    </row>
    <row r="444" spans="7:8" x14ac:dyDescent="0.35">
      <c r="G444"/>
      <c r="H444"/>
    </row>
    <row r="445" spans="7:8" x14ac:dyDescent="0.35">
      <c r="G445"/>
      <c r="H445"/>
    </row>
    <row r="446" spans="7:8" x14ac:dyDescent="0.35">
      <c r="G446"/>
      <c r="H446"/>
    </row>
    <row r="447" spans="7:8" x14ac:dyDescent="0.35">
      <c r="G447"/>
      <c r="H447"/>
    </row>
    <row r="448" spans="7:8" x14ac:dyDescent="0.35">
      <c r="G448"/>
      <c r="H448"/>
    </row>
    <row r="449" spans="7:8" x14ac:dyDescent="0.35">
      <c r="G449"/>
      <c r="H449"/>
    </row>
    <row r="450" spans="7:8" x14ac:dyDescent="0.35">
      <c r="G450"/>
      <c r="H450"/>
    </row>
    <row r="451" spans="7:8" x14ac:dyDescent="0.35">
      <c r="G451"/>
      <c r="H451"/>
    </row>
    <row r="452" spans="7:8" x14ac:dyDescent="0.35">
      <c r="G452"/>
      <c r="H452"/>
    </row>
    <row r="453" spans="7:8" x14ac:dyDescent="0.35">
      <c r="G453"/>
      <c r="H453"/>
    </row>
    <row r="454" spans="7:8" x14ac:dyDescent="0.35">
      <c r="G454"/>
      <c r="H454"/>
    </row>
    <row r="455" spans="7:8" x14ac:dyDescent="0.35">
      <c r="G455"/>
      <c r="H455"/>
    </row>
    <row r="456" spans="7:8" x14ac:dyDescent="0.35">
      <c r="G456"/>
      <c r="H456"/>
    </row>
    <row r="457" spans="7:8" x14ac:dyDescent="0.35">
      <c r="G457"/>
      <c r="H457"/>
    </row>
    <row r="458" spans="7:8" x14ac:dyDescent="0.35">
      <c r="G458"/>
      <c r="H458"/>
    </row>
    <row r="459" spans="7:8" x14ac:dyDescent="0.35">
      <c r="G459"/>
      <c r="H459"/>
    </row>
    <row r="460" spans="7:8" x14ac:dyDescent="0.35">
      <c r="G460"/>
      <c r="H460"/>
    </row>
    <row r="461" spans="7:8" x14ac:dyDescent="0.35">
      <c r="G461"/>
      <c r="H461"/>
    </row>
    <row r="462" spans="7:8" x14ac:dyDescent="0.35">
      <c r="G462"/>
      <c r="H462"/>
    </row>
    <row r="463" spans="7:8" x14ac:dyDescent="0.35">
      <c r="G463"/>
      <c r="H463"/>
    </row>
    <row r="464" spans="7:8" x14ac:dyDescent="0.35">
      <c r="G464"/>
      <c r="H464"/>
    </row>
    <row r="465" spans="7:8" x14ac:dyDescent="0.35">
      <c r="G465"/>
      <c r="H465"/>
    </row>
    <row r="466" spans="7:8" x14ac:dyDescent="0.35">
      <c r="G466"/>
      <c r="H466"/>
    </row>
    <row r="467" spans="7:8" x14ac:dyDescent="0.35">
      <c r="G467"/>
      <c r="H467"/>
    </row>
    <row r="468" spans="7:8" x14ac:dyDescent="0.35">
      <c r="G468"/>
      <c r="H468"/>
    </row>
    <row r="469" spans="7:8" x14ac:dyDescent="0.35">
      <c r="G469"/>
      <c r="H469"/>
    </row>
    <row r="470" spans="7:8" x14ac:dyDescent="0.35">
      <c r="G470"/>
      <c r="H470"/>
    </row>
    <row r="471" spans="7:8" x14ac:dyDescent="0.35">
      <c r="G471"/>
      <c r="H471"/>
    </row>
    <row r="472" spans="7:8" x14ac:dyDescent="0.35">
      <c r="G472"/>
      <c r="H472"/>
    </row>
    <row r="473" spans="7:8" x14ac:dyDescent="0.35">
      <c r="G473"/>
      <c r="H473"/>
    </row>
    <row r="474" spans="7:8" x14ac:dyDescent="0.35">
      <c r="G474"/>
      <c r="H474"/>
    </row>
    <row r="475" spans="7:8" x14ac:dyDescent="0.35">
      <c r="G475"/>
      <c r="H475"/>
    </row>
    <row r="476" spans="7:8" x14ac:dyDescent="0.35">
      <c r="G476"/>
      <c r="H476"/>
    </row>
    <row r="477" spans="7:8" x14ac:dyDescent="0.35">
      <c r="G477"/>
      <c r="H477"/>
    </row>
    <row r="478" spans="7:8" x14ac:dyDescent="0.35">
      <c r="G478"/>
      <c r="H478"/>
    </row>
    <row r="479" spans="7:8" x14ac:dyDescent="0.35">
      <c r="G479"/>
      <c r="H479"/>
    </row>
    <row r="480" spans="7:8" x14ac:dyDescent="0.35">
      <c r="G480"/>
      <c r="H480"/>
    </row>
    <row r="481" spans="7:8" x14ac:dyDescent="0.35">
      <c r="G481"/>
      <c r="H481"/>
    </row>
    <row r="482" spans="7:8" x14ac:dyDescent="0.35">
      <c r="G482"/>
      <c r="H482"/>
    </row>
    <row r="483" spans="7:8" x14ac:dyDescent="0.35">
      <c r="G483"/>
      <c r="H483"/>
    </row>
    <row r="484" spans="7:8" x14ac:dyDescent="0.35">
      <c r="G484"/>
      <c r="H484"/>
    </row>
    <row r="485" spans="7:8" x14ac:dyDescent="0.35">
      <c r="G485"/>
      <c r="H485"/>
    </row>
    <row r="486" spans="7:8" x14ac:dyDescent="0.35">
      <c r="G486"/>
      <c r="H486"/>
    </row>
    <row r="487" spans="7:8" x14ac:dyDescent="0.35">
      <c r="G487"/>
      <c r="H487"/>
    </row>
    <row r="488" spans="7:8" x14ac:dyDescent="0.35">
      <c r="G488"/>
      <c r="H488"/>
    </row>
    <row r="489" spans="7:8" x14ac:dyDescent="0.35">
      <c r="G489"/>
      <c r="H489"/>
    </row>
    <row r="490" spans="7:8" x14ac:dyDescent="0.35">
      <c r="G490"/>
      <c r="H490"/>
    </row>
    <row r="491" spans="7:8" x14ac:dyDescent="0.35">
      <c r="G491"/>
      <c r="H491"/>
    </row>
    <row r="492" spans="7:8" x14ac:dyDescent="0.35">
      <c r="G492"/>
      <c r="H492"/>
    </row>
    <row r="493" spans="7:8" x14ac:dyDescent="0.35">
      <c r="G493"/>
      <c r="H493"/>
    </row>
    <row r="494" spans="7:8" x14ac:dyDescent="0.35">
      <c r="G494"/>
      <c r="H494"/>
    </row>
    <row r="495" spans="7:8" x14ac:dyDescent="0.35">
      <c r="G495"/>
      <c r="H495"/>
    </row>
    <row r="496" spans="7:8" x14ac:dyDescent="0.35">
      <c r="G496"/>
      <c r="H496"/>
    </row>
    <row r="497" spans="7:8" x14ac:dyDescent="0.35">
      <c r="G497"/>
      <c r="H497"/>
    </row>
    <row r="498" spans="7:8" x14ac:dyDescent="0.35">
      <c r="G498"/>
      <c r="H498"/>
    </row>
    <row r="499" spans="7:8" x14ac:dyDescent="0.35">
      <c r="G499"/>
      <c r="H499"/>
    </row>
    <row r="500" spans="7:8" x14ac:dyDescent="0.35">
      <c r="G500"/>
      <c r="H500"/>
    </row>
    <row r="501" spans="7:8" x14ac:dyDescent="0.35">
      <c r="G501"/>
      <c r="H501"/>
    </row>
    <row r="502" spans="7:8" x14ac:dyDescent="0.35">
      <c r="G502"/>
      <c r="H502"/>
    </row>
    <row r="503" spans="7:8" x14ac:dyDescent="0.35">
      <c r="G503"/>
      <c r="H503"/>
    </row>
    <row r="504" spans="7:8" x14ac:dyDescent="0.35">
      <c r="G504"/>
      <c r="H504"/>
    </row>
    <row r="505" spans="7:8" x14ac:dyDescent="0.35">
      <c r="G505"/>
      <c r="H505"/>
    </row>
    <row r="506" spans="7:8" x14ac:dyDescent="0.35">
      <c r="G506"/>
      <c r="H506"/>
    </row>
    <row r="507" spans="7:8" x14ac:dyDescent="0.35">
      <c r="G507"/>
      <c r="H507"/>
    </row>
    <row r="508" spans="7:8" x14ac:dyDescent="0.35">
      <c r="G508"/>
      <c r="H508"/>
    </row>
    <row r="509" spans="7:8" x14ac:dyDescent="0.35">
      <c r="G509"/>
      <c r="H509"/>
    </row>
    <row r="510" spans="7:8" x14ac:dyDescent="0.35">
      <c r="G510"/>
      <c r="H510"/>
    </row>
    <row r="511" spans="7:8" x14ac:dyDescent="0.35">
      <c r="G511"/>
      <c r="H511"/>
    </row>
    <row r="512" spans="7:8" x14ac:dyDescent="0.35">
      <c r="G512"/>
      <c r="H512"/>
    </row>
    <row r="513" spans="7:8" x14ac:dyDescent="0.35">
      <c r="G513"/>
      <c r="H513"/>
    </row>
    <row r="514" spans="7:8" x14ac:dyDescent="0.35">
      <c r="G514"/>
      <c r="H514"/>
    </row>
    <row r="515" spans="7:8" x14ac:dyDescent="0.35">
      <c r="G515"/>
      <c r="H515"/>
    </row>
    <row r="516" spans="7:8" x14ac:dyDescent="0.35">
      <c r="G516"/>
      <c r="H516"/>
    </row>
    <row r="517" spans="7:8" x14ac:dyDescent="0.35">
      <c r="G517"/>
      <c r="H517"/>
    </row>
    <row r="518" spans="7:8" x14ac:dyDescent="0.35">
      <c r="G518"/>
      <c r="H518"/>
    </row>
    <row r="519" spans="7:8" x14ac:dyDescent="0.35">
      <c r="G519"/>
      <c r="H519"/>
    </row>
    <row r="520" spans="7:8" x14ac:dyDescent="0.35">
      <c r="G520"/>
      <c r="H520"/>
    </row>
    <row r="521" spans="7:8" x14ac:dyDescent="0.35">
      <c r="G521"/>
      <c r="H521"/>
    </row>
    <row r="522" spans="7:8" x14ac:dyDescent="0.35">
      <c r="G522"/>
      <c r="H522"/>
    </row>
    <row r="523" spans="7:8" x14ac:dyDescent="0.35">
      <c r="G523"/>
      <c r="H523"/>
    </row>
    <row r="524" spans="7:8" x14ac:dyDescent="0.35">
      <c r="G524"/>
      <c r="H524"/>
    </row>
    <row r="525" spans="7:8" x14ac:dyDescent="0.35">
      <c r="G525"/>
      <c r="H525"/>
    </row>
    <row r="526" spans="7:8" x14ac:dyDescent="0.35">
      <c r="G526"/>
      <c r="H526"/>
    </row>
    <row r="527" spans="7:8" x14ac:dyDescent="0.35">
      <c r="G527"/>
      <c r="H527"/>
    </row>
    <row r="528" spans="7:8" x14ac:dyDescent="0.35">
      <c r="G528"/>
      <c r="H528"/>
    </row>
    <row r="529" spans="7:8" x14ac:dyDescent="0.35">
      <c r="G529"/>
      <c r="H529"/>
    </row>
    <row r="530" spans="7:8" x14ac:dyDescent="0.35">
      <c r="G530"/>
      <c r="H530"/>
    </row>
    <row r="531" spans="7:8" x14ac:dyDescent="0.35">
      <c r="G531"/>
      <c r="H531"/>
    </row>
    <row r="532" spans="7:8" x14ac:dyDescent="0.35">
      <c r="G532"/>
      <c r="H532"/>
    </row>
    <row r="533" spans="7:8" x14ac:dyDescent="0.35">
      <c r="G533"/>
      <c r="H533"/>
    </row>
    <row r="534" spans="7:8" x14ac:dyDescent="0.35">
      <c r="G534"/>
      <c r="H534"/>
    </row>
    <row r="535" spans="7:8" x14ac:dyDescent="0.35">
      <c r="G535"/>
      <c r="H535"/>
    </row>
    <row r="536" spans="7:8" x14ac:dyDescent="0.35">
      <c r="G536"/>
      <c r="H536"/>
    </row>
    <row r="537" spans="7:8" x14ac:dyDescent="0.35">
      <c r="G537"/>
      <c r="H537"/>
    </row>
    <row r="538" spans="7:8" x14ac:dyDescent="0.35">
      <c r="G538"/>
      <c r="H538"/>
    </row>
    <row r="539" spans="7:8" x14ac:dyDescent="0.35">
      <c r="G539"/>
      <c r="H539"/>
    </row>
    <row r="540" spans="7:8" x14ac:dyDescent="0.35">
      <c r="G540"/>
      <c r="H540"/>
    </row>
    <row r="541" spans="7:8" x14ac:dyDescent="0.35">
      <c r="G541"/>
      <c r="H541"/>
    </row>
    <row r="542" spans="7:8" x14ac:dyDescent="0.35">
      <c r="G542"/>
      <c r="H542"/>
    </row>
    <row r="543" spans="7:8" x14ac:dyDescent="0.35">
      <c r="G543"/>
      <c r="H543"/>
    </row>
    <row r="544" spans="7:8" x14ac:dyDescent="0.35">
      <c r="G544"/>
      <c r="H544"/>
    </row>
    <row r="545" spans="7:8" x14ac:dyDescent="0.35">
      <c r="G545"/>
      <c r="H545"/>
    </row>
    <row r="546" spans="7:8" x14ac:dyDescent="0.35">
      <c r="G546"/>
      <c r="H546"/>
    </row>
    <row r="547" spans="7:8" x14ac:dyDescent="0.35">
      <c r="G547"/>
      <c r="H547"/>
    </row>
    <row r="548" spans="7:8" x14ac:dyDescent="0.35">
      <c r="G548"/>
      <c r="H548"/>
    </row>
    <row r="549" spans="7:8" x14ac:dyDescent="0.35">
      <c r="G549"/>
      <c r="H549"/>
    </row>
    <row r="550" spans="7:8" x14ac:dyDescent="0.35">
      <c r="G550"/>
      <c r="H550"/>
    </row>
    <row r="551" spans="7:8" x14ac:dyDescent="0.35">
      <c r="G551"/>
      <c r="H551"/>
    </row>
    <row r="552" spans="7:8" x14ac:dyDescent="0.35">
      <c r="G552"/>
      <c r="H552"/>
    </row>
    <row r="553" spans="7:8" x14ac:dyDescent="0.35">
      <c r="G553"/>
      <c r="H553"/>
    </row>
    <row r="554" spans="7:8" x14ac:dyDescent="0.35">
      <c r="G554"/>
      <c r="H554"/>
    </row>
    <row r="555" spans="7:8" x14ac:dyDescent="0.35">
      <c r="G555"/>
      <c r="H555"/>
    </row>
    <row r="556" spans="7:8" x14ac:dyDescent="0.35">
      <c r="G556"/>
      <c r="H556"/>
    </row>
    <row r="557" spans="7:8" x14ac:dyDescent="0.35">
      <c r="G557"/>
      <c r="H557"/>
    </row>
    <row r="558" spans="7:8" x14ac:dyDescent="0.35">
      <c r="G558"/>
      <c r="H558"/>
    </row>
    <row r="559" spans="7:8" x14ac:dyDescent="0.35">
      <c r="G559"/>
      <c r="H559"/>
    </row>
    <row r="560" spans="7:8" x14ac:dyDescent="0.35">
      <c r="G560"/>
      <c r="H560"/>
    </row>
    <row r="561" spans="7:8" x14ac:dyDescent="0.35">
      <c r="G561"/>
      <c r="H561"/>
    </row>
    <row r="562" spans="7:8" x14ac:dyDescent="0.35">
      <c r="G562"/>
      <c r="H562"/>
    </row>
    <row r="563" spans="7:8" x14ac:dyDescent="0.35">
      <c r="G563"/>
      <c r="H563"/>
    </row>
    <row r="564" spans="7:8" x14ac:dyDescent="0.35">
      <c r="G564"/>
      <c r="H564"/>
    </row>
    <row r="565" spans="7:8" x14ac:dyDescent="0.35">
      <c r="G565"/>
      <c r="H565"/>
    </row>
    <row r="566" spans="7:8" x14ac:dyDescent="0.35">
      <c r="G566"/>
      <c r="H566"/>
    </row>
    <row r="567" spans="7:8" x14ac:dyDescent="0.35">
      <c r="G567"/>
      <c r="H567"/>
    </row>
    <row r="568" spans="7:8" x14ac:dyDescent="0.35">
      <c r="G568"/>
      <c r="H568"/>
    </row>
    <row r="569" spans="7:8" x14ac:dyDescent="0.35">
      <c r="G569"/>
      <c r="H569"/>
    </row>
    <row r="570" spans="7:8" x14ac:dyDescent="0.35">
      <c r="G570"/>
      <c r="H570"/>
    </row>
    <row r="571" spans="7:8" x14ac:dyDescent="0.35">
      <c r="G571"/>
      <c r="H571"/>
    </row>
    <row r="572" spans="7:8" x14ac:dyDescent="0.35">
      <c r="G572"/>
      <c r="H572"/>
    </row>
    <row r="573" spans="7:8" x14ac:dyDescent="0.35">
      <c r="G573"/>
      <c r="H573"/>
    </row>
    <row r="574" spans="7:8" x14ac:dyDescent="0.35">
      <c r="G574"/>
      <c r="H574"/>
    </row>
    <row r="575" spans="7:8" x14ac:dyDescent="0.35">
      <c r="G575"/>
      <c r="H575"/>
    </row>
    <row r="576" spans="7:8" x14ac:dyDescent="0.35">
      <c r="G576"/>
      <c r="H576"/>
    </row>
    <row r="577" spans="7:8" x14ac:dyDescent="0.35">
      <c r="G577"/>
      <c r="H577"/>
    </row>
    <row r="578" spans="7:8" x14ac:dyDescent="0.35">
      <c r="G578"/>
      <c r="H578"/>
    </row>
    <row r="579" spans="7:8" x14ac:dyDescent="0.35">
      <c r="G579"/>
      <c r="H579"/>
    </row>
    <row r="580" spans="7:8" x14ac:dyDescent="0.35">
      <c r="G580"/>
      <c r="H580"/>
    </row>
    <row r="581" spans="7:8" x14ac:dyDescent="0.35">
      <c r="G581"/>
      <c r="H581"/>
    </row>
    <row r="582" spans="7:8" x14ac:dyDescent="0.35">
      <c r="G582"/>
      <c r="H582"/>
    </row>
    <row r="583" spans="7:8" x14ac:dyDescent="0.35">
      <c r="G583"/>
      <c r="H583"/>
    </row>
    <row r="584" spans="7:8" x14ac:dyDescent="0.35">
      <c r="G584"/>
      <c r="H584"/>
    </row>
    <row r="585" spans="7:8" x14ac:dyDescent="0.35">
      <c r="G585"/>
      <c r="H585"/>
    </row>
    <row r="586" spans="7:8" x14ac:dyDescent="0.35">
      <c r="G586"/>
      <c r="H586"/>
    </row>
    <row r="587" spans="7:8" x14ac:dyDescent="0.35">
      <c r="G587"/>
      <c r="H587"/>
    </row>
    <row r="588" spans="7:8" x14ac:dyDescent="0.35">
      <c r="G588"/>
      <c r="H588"/>
    </row>
    <row r="589" spans="7:8" x14ac:dyDescent="0.35">
      <c r="G589"/>
      <c r="H589"/>
    </row>
    <row r="590" spans="7:8" x14ac:dyDescent="0.35">
      <c r="G590"/>
      <c r="H590"/>
    </row>
    <row r="591" spans="7:8" x14ac:dyDescent="0.35">
      <c r="G591"/>
      <c r="H591"/>
    </row>
    <row r="592" spans="7:8" x14ac:dyDescent="0.35">
      <c r="G592"/>
      <c r="H592"/>
    </row>
    <row r="593" spans="7:8" x14ac:dyDescent="0.35">
      <c r="G593"/>
      <c r="H593"/>
    </row>
    <row r="594" spans="7:8" x14ac:dyDescent="0.35">
      <c r="G594"/>
      <c r="H594"/>
    </row>
    <row r="595" spans="7:8" x14ac:dyDescent="0.35">
      <c r="G595"/>
      <c r="H595"/>
    </row>
    <row r="596" spans="7:8" x14ac:dyDescent="0.35">
      <c r="G596"/>
      <c r="H596"/>
    </row>
    <row r="597" spans="7:8" x14ac:dyDescent="0.35">
      <c r="G597"/>
      <c r="H597"/>
    </row>
    <row r="598" spans="7:8" x14ac:dyDescent="0.35">
      <c r="G598"/>
      <c r="H598"/>
    </row>
    <row r="599" spans="7:8" x14ac:dyDescent="0.35">
      <c r="G599"/>
      <c r="H599"/>
    </row>
    <row r="600" spans="7:8" x14ac:dyDescent="0.35">
      <c r="G600"/>
      <c r="H600"/>
    </row>
    <row r="601" spans="7:8" x14ac:dyDescent="0.35">
      <c r="G601"/>
      <c r="H601"/>
    </row>
    <row r="602" spans="7:8" x14ac:dyDescent="0.35">
      <c r="G602"/>
      <c r="H602"/>
    </row>
    <row r="603" spans="7:8" x14ac:dyDescent="0.35">
      <c r="G603"/>
      <c r="H603"/>
    </row>
    <row r="604" spans="7:8" x14ac:dyDescent="0.35">
      <c r="G604"/>
      <c r="H604"/>
    </row>
    <row r="605" spans="7:8" x14ac:dyDescent="0.35">
      <c r="G605"/>
      <c r="H605"/>
    </row>
    <row r="606" spans="7:8" x14ac:dyDescent="0.35">
      <c r="G606"/>
      <c r="H606"/>
    </row>
    <row r="607" spans="7:8" x14ac:dyDescent="0.35">
      <c r="G607"/>
      <c r="H607"/>
    </row>
    <row r="608" spans="7:8" x14ac:dyDescent="0.35">
      <c r="G608"/>
      <c r="H608"/>
    </row>
    <row r="609" spans="7:8" x14ac:dyDescent="0.35">
      <c r="G609"/>
      <c r="H609"/>
    </row>
    <row r="610" spans="7:8" x14ac:dyDescent="0.35">
      <c r="G610"/>
      <c r="H610"/>
    </row>
    <row r="611" spans="7:8" x14ac:dyDescent="0.35">
      <c r="G611"/>
      <c r="H611"/>
    </row>
    <row r="612" spans="7:8" x14ac:dyDescent="0.35">
      <c r="G612"/>
      <c r="H612"/>
    </row>
    <row r="613" spans="7:8" x14ac:dyDescent="0.35">
      <c r="G613"/>
      <c r="H613"/>
    </row>
    <row r="614" spans="7:8" x14ac:dyDescent="0.35">
      <c r="G614"/>
      <c r="H614"/>
    </row>
    <row r="615" spans="7:8" x14ac:dyDescent="0.35">
      <c r="G615"/>
      <c r="H615"/>
    </row>
    <row r="616" spans="7:8" x14ac:dyDescent="0.35">
      <c r="G616"/>
      <c r="H616"/>
    </row>
    <row r="617" spans="7:8" x14ac:dyDescent="0.35">
      <c r="G617"/>
      <c r="H617"/>
    </row>
    <row r="618" spans="7:8" x14ac:dyDescent="0.35">
      <c r="G618"/>
      <c r="H618"/>
    </row>
    <row r="619" spans="7:8" x14ac:dyDescent="0.35">
      <c r="G619"/>
      <c r="H619"/>
    </row>
    <row r="620" spans="7:8" x14ac:dyDescent="0.35">
      <c r="G620"/>
      <c r="H620"/>
    </row>
    <row r="621" spans="7:8" x14ac:dyDescent="0.35">
      <c r="G621"/>
      <c r="H621"/>
    </row>
    <row r="622" spans="7:8" x14ac:dyDescent="0.35">
      <c r="G622"/>
      <c r="H622"/>
    </row>
    <row r="623" spans="7:8" x14ac:dyDescent="0.35">
      <c r="G623"/>
      <c r="H623"/>
    </row>
    <row r="624" spans="7:8" x14ac:dyDescent="0.35">
      <c r="G624"/>
      <c r="H624"/>
    </row>
    <row r="625" spans="7:8" x14ac:dyDescent="0.35">
      <c r="G625"/>
      <c r="H625"/>
    </row>
    <row r="626" spans="7:8" x14ac:dyDescent="0.35">
      <c r="G626"/>
      <c r="H626"/>
    </row>
    <row r="627" spans="7:8" x14ac:dyDescent="0.35">
      <c r="G627"/>
      <c r="H627"/>
    </row>
    <row r="628" spans="7:8" x14ac:dyDescent="0.35">
      <c r="G628"/>
      <c r="H628"/>
    </row>
    <row r="629" spans="7:8" x14ac:dyDescent="0.35">
      <c r="G629"/>
      <c r="H629"/>
    </row>
    <row r="630" spans="7:8" x14ac:dyDescent="0.35">
      <c r="G630"/>
      <c r="H630"/>
    </row>
    <row r="631" spans="7:8" x14ac:dyDescent="0.35">
      <c r="G631"/>
      <c r="H631"/>
    </row>
    <row r="632" spans="7:8" x14ac:dyDescent="0.35">
      <c r="G632"/>
      <c r="H632"/>
    </row>
    <row r="633" spans="7:8" x14ac:dyDescent="0.35">
      <c r="G633"/>
      <c r="H633"/>
    </row>
    <row r="634" spans="7:8" x14ac:dyDescent="0.35">
      <c r="G634"/>
      <c r="H634"/>
    </row>
    <row r="635" spans="7:8" x14ac:dyDescent="0.35">
      <c r="G635"/>
      <c r="H635"/>
    </row>
    <row r="636" spans="7:8" x14ac:dyDescent="0.35">
      <c r="G636"/>
      <c r="H636"/>
    </row>
    <row r="637" spans="7:8" x14ac:dyDescent="0.35">
      <c r="G637"/>
      <c r="H637"/>
    </row>
    <row r="638" spans="7:8" x14ac:dyDescent="0.35">
      <c r="G638"/>
      <c r="H638"/>
    </row>
    <row r="639" spans="7:8" x14ac:dyDescent="0.35">
      <c r="G639"/>
      <c r="H639"/>
    </row>
    <row r="640" spans="7:8" x14ac:dyDescent="0.35">
      <c r="G640"/>
      <c r="H640"/>
    </row>
    <row r="641" spans="7:8" x14ac:dyDescent="0.35">
      <c r="G641"/>
      <c r="H641"/>
    </row>
    <row r="642" spans="7:8" x14ac:dyDescent="0.35">
      <c r="G642"/>
      <c r="H642"/>
    </row>
    <row r="643" spans="7:8" x14ac:dyDescent="0.35">
      <c r="G643"/>
      <c r="H643"/>
    </row>
    <row r="644" spans="7:8" x14ac:dyDescent="0.35">
      <c r="G644"/>
      <c r="H644"/>
    </row>
    <row r="645" spans="7:8" x14ac:dyDescent="0.35">
      <c r="G645"/>
      <c r="H645"/>
    </row>
    <row r="646" spans="7:8" x14ac:dyDescent="0.35">
      <c r="G646"/>
      <c r="H646"/>
    </row>
    <row r="647" spans="7:8" x14ac:dyDescent="0.35">
      <c r="G647"/>
      <c r="H647"/>
    </row>
    <row r="648" spans="7:8" x14ac:dyDescent="0.35">
      <c r="G648"/>
      <c r="H648"/>
    </row>
    <row r="649" spans="7:8" x14ac:dyDescent="0.35">
      <c r="G649"/>
      <c r="H649"/>
    </row>
    <row r="650" spans="7:8" x14ac:dyDescent="0.35">
      <c r="G650"/>
      <c r="H650"/>
    </row>
    <row r="651" spans="7:8" x14ac:dyDescent="0.35">
      <c r="G651"/>
      <c r="H651"/>
    </row>
    <row r="652" spans="7:8" x14ac:dyDescent="0.35">
      <c r="G652"/>
      <c r="H652"/>
    </row>
    <row r="653" spans="7:8" x14ac:dyDescent="0.35">
      <c r="G653"/>
      <c r="H653"/>
    </row>
    <row r="654" spans="7:8" x14ac:dyDescent="0.35">
      <c r="G654"/>
      <c r="H654"/>
    </row>
    <row r="655" spans="7:8" x14ac:dyDescent="0.35">
      <c r="G655"/>
      <c r="H655"/>
    </row>
    <row r="656" spans="7:8" x14ac:dyDescent="0.35">
      <c r="G656"/>
      <c r="H656"/>
    </row>
    <row r="657" spans="7:8" x14ac:dyDescent="0.35">
      <c r="G657"/>
      <c r="H657"/>
    </row>
    <row r="658" spans="7:8" x14ac:dyDescent="0.35">
      <c r="G658"/>
      <c r="H658"/>
    </row>
    <row r="659" spans="7:8" x14ac:dyDescent="0.35">
      <c r="G659"/>
      <c r="H659"/>
    </row>
    <row r="660" spans="7:8" x14ac:dyDescent="0.35">
      <c r="G660"/>
      <c r="H660"/>
    </row>
    <row r="661" spans="7:8" x14ac:dyDescent="0.35">
      <c r="G661"/>
      <c r="H661"/>
    </row>
    <row r="662" spans="7:8" x14ac:dyDescent="0.35">
      <c r="G662"/>
      <c r="H662"/>
    </row>
    <row r="663" spans="7:8" x14ac:dyDescent="0.35">
      <c r="G663"/>
      <c r="H663"/>
    </row>
    <row r="664" spans="7:8" x14ac:dyDescent="0.35">
      <c r="G664"/>
      <c r="H664"/>
    </row>
    <row r="665" spans="7:8" x14ac:dyDescent="0.35">
      <c r="G665"/>
      <c r="H665"/>
    </row>
    <row r="666" spans="7:8" x14ac:dyDescent="0.35">
      <c r="G666"/>
      <c r="H666"/>
    </row>
    <row r="667" spans="7:8" x14ac:dyDescent="0.35">
      <c r="G667"/>
      <c r="H667"/>
    </row>
    <row r="668" spans="7:8" x14ac:dyDescent="0.35">
      <c r="G668"/>
      <c r="H668"/>
    </row>
    <row r="669" spans="7:8" x14ac:dyDescent="0.35">
      <c r="G669"/>
      <c r="H669"/>
    </row>
    <row r="670" spans="7:8" x14ac:dyDescent="0.35">
      <c r="G670"/>
      <c r="H670"/>
    </row>
    <row r="671" spans="7:8" x14ac:dyDescent="0.35">
      <c r="G671"/>
      <c r="H671"/>
    </row>
    <row r="672" spans="7:8" x14ac:dyDescent="0.35">
      <c r="G672"/>
      <c r="H672"/>
    </row>
    <row r="673" spans="7:8" x14ac:dyDescent="0.35">
      <c r="G673"/>
      <c r="H673"/>
    </row>
    <row r="674" spans="7:8" x14ac:dyDescent="0.35">
      <c r="G674"/>
      <c r="H674"/>
    </row>
    <row r="675" spans="7:8" x14ac:dyDescent="0.35">
      <c r="G675"/>
      <c r="H675"/>
    </row>
    <row r="676" spans="7:8" x14ac:dyDescent="0.35">
      <c r="G676"/>
      <c r="H676"/>
    </row>
    <row r="677" spans="7:8" x14ac:dyDescent="0.35">
      <c r="G677"/>
      <c r="H677"/>
    </row>
    <row r="678" spans="7:8" x14ac:dyDescent="0.35">
      <c r="G678"/>
      <c r="H678"/>
    </row>
    <row r="679" spans="7:8" x14ac:dyDescent="0.35">
      <c r="G679"/>
      <c r="H679"/>
    </row>
    <row r="680" spans="7:8" x14ac:dyDescent="0.35">
      <c r="G680"/>
      <c r="H680"/>
    </row>
    <row r="681" spans="7:8" x14ac:dyDescent="0.35">
      <c r="G681"/>
      <c r="H681"/>
    </row>
    <row r="682" spans="7:8" x14ac:dyDescent="0.35">
      <c r="G682"/>
      <c r="H682"/>
    </row>
    <row r="683" spans="7:8" x14ac:dyDescent="0.35">
      <c r="G683"/>
      <c r="H683"/>
    </row>
    <row r="684" spans="7:8" x14ac:dyDescent="0.35">
      <c r="G684"/>
      <c r="H684"/>
    </row>
    <row r="685" spans="7:8" x14ac:dyDescent="0.35">
      <c r="G685"/>
      <c r="H685"/>
    </row>
    <row r="686" spans="7:8" x14ac:dyDescent="0.35">
      <c r="G686"/>
      <c r="H686"/>
    </row>
    <row r="687" spans="7:8" x14ac:dyDescent="0.35">
      <c r="G687"/>
      <c r="H687"/>
    </row>
    <row r="688" spans="7:8" x14ac:dyDescent="0.35">
      <c r="G688"/>
      <c r="H688"/>
    </row>
    <row r="689" spans="7:8" x14ac:dyDescent="0.35">
      <c r="G689"/>
      <c r="H689"/>
    </row>
    <row r="690" spans="7:8" x14ac:dyDescent="0.35">
      <c r="G690"/>
      <c r="H690"/>
    </row>
    <row r="691" spans="7:8" x14ac:dyDescent="0.35">
      <c r="G691"/>
      <c r="H691"/>
    </row>
    <row r="692" spans="7:8" x14ac:dyDescent="0.35">
      <c r="G692"/>
      <c r="H692"/>
    </row>
    <row r="693" spans="7:8" x14ac:dyDescent="0.35">
      <c r="G693"/>
      <c r="H693"/>
    </row>
    <row r="694" spans="7:8" x14ac:dyDescent="0.35">
      <c r="G694"/>
      <c r="H694"/>
    </row>
    <row r="695" spans="7:8" x14ac:dyDescent="0.35">
      <c r="G695"/>
      <c r="H695"/>
    </row>
    <row r="696" spans="7:8" x14ac:dyDescent="0.35">
      <c r="G696"/>
      <c r="H696"/>
    </row>
    <row r="697" spans="7:8" x14ac:dyDescent="0.35">
      <c r="G697"/>
      <c r="H697"/>
    </row>
    <row r="698" spans="7:8" x14ac:dyDescent="0.35">
      <c r="G698"/>
      <c r="H698"/>
    </row>
    <row r="699" spans="7:8" x14ac:dyDescent="0.35">
      <c r="G699"/>
      <c r="H699"/>
    </row>
    <row r="700" spans="7:8" x14ac:dyDescent="0.35">
      <c r="G700"/>
      <c r="H700"/>
    </row>
    <row r="701" spans="7:8" x14ac:dyDescent="0.35">
      <c r="G701"/>
      <c r="H701"/>
    </row>
    <row r="702" spans="7:8" x14ac:dyDescent="0.35">
      <c r="G702"/>
      <c r="H702"/>
    </row>
    <row r="703" spans="7:8" x14ac:dyDescent="0.35">
      <c r="G703"/>
      <c r="H703"/>
    </row>
    <row r="704" spans="7:8" x14ac:dyDescent="0.35">
      <c r="G704"/>
      <c r="H704"/>
    </row>
    <row r="705" spans="7:8" x14ac:dyDescent="0.35">
      <c r="G705"/>
      <c r="H705"/>
    </row>
    <row r="706" spans="7:8" x14ac:dyDescent="0.35">
      <c r="G706"/>
      <c r="H706"/>
    </row>
    <row r="707" spans="7:8" x14ac:dyDescent="0.35">
      <c r="G707"/>
      <c r="H707"/>
    </row>
    <row r="708" spans="7:8" x14ac:dyDescent="0.35">
      <c r="G708"/>
      <c r="H708"/>
    </row>
    <row r="709" spans="7:8" x14ac:dyDescent="0.35">
      <c r="G709"/>
      <c r="H709"/>
    </row>
    <row r="710" spans="7:8" x14ac:dyDescent="0.35">
      <c r="G710"/>
      <c r="H710"/>
    </row>
    <row r="711" spans="7:8" x14ac:dyDescent="0.35">
      <c r="G711"/>
      <c r="H711"/>
    </row>
    <row r="712" spans="7:8" x14ac:dyDescent="0.35">
      <c r="G712"/>
      <c r="H712"/>
    </row>
    <row r="713" spans="7:8" x14ac:dyDescent="0.35">
      <c r="G713"/>
      <c r="H713"/>
    </row>
    <row r="714" spans="7:8" x14ac:dyDescent="0.35">
      <c r="G714"/>
      <c r="H714"/>
    </row>
    <row r="715" spans="7:8" x14ac:dyDescent="0.35">
      <c r="G715"/>
      <c r="H715"/>
    </row>
    <row r="716" spans="7:8" x14ac:dyDescent="0.35">
      <c r="G716"/>
      <c r="H716"/>
    </row>
    <row r="717" spans="7:8" x14ac:dyDescent="0.35">
      <c r="G717"/>
      <c r="H717"/>
    </row>
    <row r="718" spans="7:8" x14ac:dyDescent="0.35">
      <c r="G718"/>
      <c r="H718"/>
    </row>
    <row r="719" spans="7:8" x14ac:dyDescent="0.35">
      <c r="G719"/>
      <c r="H719"/>
    </row>
    <row r="720" spans="7:8" x14ac:dyDescent="0.35">
      <c r="G720"/>
      <c r="H720"/>
    </row>
    <row r="721" spans="7:8" x14ac:dyDescent="0.35">
      <c r="G721"/>
      <c r="H721"/>
    </row>
    <row r="722" spans="7:8" x14ac:dyDescent="0.35">
      <c r="G722"/>
      <c r="H722"/>
    </row>
    <row r="723" spans="7:8" x14ac:dyDescent="0.35">
      <c r="G723"/>
      <c r="H723"/>
    </row>
    <row r="724" spans="7:8" x14ac:dyDescent="0.35">
      <c r="G724"/>
      <c r="H724"/>
    </row>
    <row r="725" spans="7:8" x14ac:dyDescent="0.35">
      <c r="G725"/>
      <c r="H725"/>
    </row>
    <row r="726" spans="7:8" x14ac:dyDescent="0.35">
      <c r="G726"/>
      <c r="H726"/>
    </row>
    <row r="727" spans="7:8" x14ac:dyDescent="0.35">
      <c r="G727"/>
      <c r="H727"/>
    </row>
    <row r="728" spans="7:8" x14ac:dyDescent="0.35">
      <c r="G728"/>
      <c r="H728"/>
    </row>
    <row r="729" spans="7:8" x14ac:dyDescent="0.35">
      <c r="G729"/>
      <c r="H729"/>
    </row>
    <row r="730" spans="7:8" x14ac:dyDescent="0.35">
      <c r="G730"/>
      <c r="H730"/>
    </row>
    <row r="731" spans="7:8" x14ac:dyDescent="0.35">
      <c r="G731"/>
      <c r="H731"/>
    </row>
    <row r="732" spans="7:8" x14ac:dyDescent="0.35">
      <c r="G732"/>
      <c r="H732"/>
    </row>
    <row r="733" spans="7:8" x14ac:dyDescent="0.35">
      <c r="G733"/>
      <c r="H733"/>
    </row>
    <row r="734" spans="7:8" x14ac:dyDescent="0.35">
      <c r="G734"/>
      <c r="H734"/>
    </row>
    <row r="735" spans="7:8" x14ac:dyDescent="0.35">
      <c r="G735"/>
      <c r="H735"/>
    </row>
    <row r="736" spans="7:8" x14ac:dyDescent="0.35">
      <c r="G736"/>
      <c r="H736"/>
    </row>
    <row r="737" spans="7:8" x14ac:dyDescent="0.35">
      <c r="G737"/>
      <c r="H737"/>
    </row>
    <row r="738" spans="7:8" x14ac:dyDescent="0.35">
      <c r="G738"/>
      <c r="H738"/>
    </row>
    <row r="739" spans="7:8" x14ac:dyDescent="0.35">
      <c r="G739"/>
      <c r="H739"/>
    </row>
    <row r="740" spans="7:8" x14ac:dyDescent="0.35">
      <c r="G740"/>
      <c r="H740"/>
    </row>
    <row r="741" spans="7:8" x14ac:dyDescent="0.35">
      <c r="G741"/>
      <c r="H741"/>
    </row>
    <row r="742" spans="7:8" x14ac:dyDescent="0.35">
      <c r="G742"/>
      <c r="H742"/>
    </row>
    <row r="743" spans="7:8" x14ac:dyDescent="0.35">
      <c r="G743"/>
      <c r="H743"/>
    </row>
    <row r="744" spans="7:8" x14ac:dyDescent="0.35">
      <c r="G744"/>
      <c r="H744"/>
    </row>
    <row r="745" spans="7:8" x14ac:dyDescent="0.35">
      <c r="G745"/>
      <c r="H745"/>
    </row>
    <row r="746" spans="7:8" x14ac:dyDescent="0.35">
      <c r="G746"/>
      <c r="H746"/>
    </row>
    <row r="747" spans="7:8" x14ac:dyDescent="0.35">
      <c r="G747"/>
      <c r="H747"/>
    </row>
    <row r="748" spans="7:8" x14ac:dyDescent="0.35">
      <c r="G748"/>
      <c r="H748"/>
    </row>
    <row r="749" spans="7:8" x14ac:dyDescent="0.35">
      <c r="G749"/>
      <c r="H749"/>
    </row>
    <row r="750" spans="7:8" x14ac:dyDescent="0.35">
      <c r="G750"/>
      <c r="H750"/>
    </row>
    <row r="751" spans="7:8" x14ac:dyDescent="0.35">
      <c r="G751"/>
      <c r="H751"/>
    </row>
    <row r="752" spans="7:8" x14ac:dyDescent="0.35">
      <c r="G752"/>
      <c r="H752"/>
    </row>
    <row r="753" spans="7:8" x14ac:dyDescent="0.35">
      <c r="G753"/>
      <c r="H753"/>
    </row>
    <row r="754" spans="7:8" x14ac:dyDescent="0.35">
      <c r="G754"/>
      <c r="H754"/>
    </row>
    <row r="755" spans="7:8" x14ac:dyDescent="0.35">
      <c r="G755"/>
      <c r="H755"/>
    </row>
    <row r="756" spans="7:8" x14ac:dyDescent="0.35">
      <c r="G756"/>
      <c r="H756"/>
    </row>
    <row r="757" spans="7:8" x14ac:dyDescent="0.35">
      <c r="G757"/>
      <c r="H757"/>
    </row>
    <row r="758" spans="7:8" x14ac:dyDescent="0.35">
      <c r="G758"/>
      <c r="H758"/>
    </row>
    <row r="759" spans="7:8" x14ac:dyDescent="0.35">
      <c r="G759"/>
      <c r="H759"/>
    </row>
    <row r="760" spans="7:8" x14ac:dyDescent="0.35">
      <c r="G760"/>
      <c r="H760"/>
    </row>
    <row r="761" spans="7:8" x14ac:dyDescent="0.35">
      <c r="G761"/>
      <c r="H761"/>
    </row>
    <row r="762" spans="7:8" x14ac:dyDescent="0.35">
      <c r="G762"/>
      <c r="H762"/>
    </row>
    <row r="763" spans="7:8" x14ac:dyDescent="0.35">
      <c r="G763"/>
      <c r="H763"/>
    </row>
    <row r="764" spans="7:8" x14ac:dyDescent="0.35">
      <c r="G764"/>
      <c r="H764"/>
    </row>
    <row r="765" spans="7:8" x14ac:dyDescent="0.35">
      <c r="G765"/>
      <c r="H765"/>
    </row>
    <row r="766" spans="7:8" x14ac:dyDescent="0.35">
      <c r="G766"/>
      <c r="H766"/>
    </row>
    <row r="767" spans="7:8" x14ac:dyDescent="0.35">
      <c r="G767"/>
      <c r="H767"/>
    </row>
    <row r="768" spans="7:8" x14ac:dyDescent="0.35">
      <c r="G768"/>
      <c r="H768"/>
    </row>
    <row r="769" spans="7:8" x14ac:dyDescent="0.35">
      <c r="G769"/>
      <c r="H769"/>
    </row>
    <row r="770" spans="7:8" x14ac:dyDescent="0.35">
      <c r="G770"/>
      <c r="H770"/>
    </row>
    <row r="771" spans="7:8" x14ac:dyDescent="0.35">
      <c r="G771"/>
      <c r="H771"/>
    </row>
    <row r="772" spans="7:8" x14ac:dyDescent="0.35">
      <c r="G772"/>
      <c r="H772"/>
    </row>
    <row r="773" spans="7:8" x14ac:dyDescent="0.35">
      <c r="G773"/>
      <c r="H773"/>
    </row>
    <row r="774" spans="7:8" x14ac:dyDescent="0.35">
      <c r="G774"/>
      <c r="H774"/>
    </row>
    <row r="775" spans="7:8" x14ac:dyDescent="0.35">
      <c r="G775"/>
      <c r="H775"/>
    </row>
    <row r="776" spans="7:8" x14ac:dyDescent="0.35">
      <c r="G776"/>
      <c r="H776"/>
    </row>
    <row r="777" spans="7:8" x14ac:dyDescent="0.35">
      <c r="G777"/>
      <c r="H777"/>
    </row>
    <row r="778" spans="7:8" x14ac:dyDescent="0.35">
      <c r="G778"/>
      <c r="H778"/>
    </row>
    <row r="779" spans="7:8" x14ac:dyDescent="0.35">
      <c r="G779"/>
      <c r="H779"/>
    </row>
    <row r="780" spans="7:8" x14ac:dyDescent="0.35">
      <c r="G780"/>
      <c r="H780"/>
    </row>
    <row r="781" spans="7:8" x14ac:dyDescent="0.35">
      <c r="G781"/>
      <c r="H781"/>
    </row>
    <row r="782" spans="7:8" x14ac:dyDescent="0.35">
      <c r="G782"/>
      <c r="H782"/>
    </row>
    <row r="783" spans="7:8" x14ac:dyDescent="0.35">
      <c r="G783"/>
      <c r="H783"/>
    </row>
    <row r="784" spans="7:8" x14ac:dyDescent="0.35">
      <c r="G784"/>
      <c r="H784"/>
    </row>
    <row r="785" spans="7:8" x14ac:dyDescent="0.35">
      <c r="G785"/>
      <c r="H785"/>
    </row>
    <row r="786" spans="7:8" x14ac:dyDescent="0.35">
      <c r="G786"/>
      <c r="H786"/>
    </row>
    <row r="787" spans="7:8" x14ac:dyDescent="0.35">
      <c r="G787"/>
      <c r="H787"/>
    </row>
    <row r="788" spans="7:8" x14ac:dyDescent="0.35">
      <c r="G788"/>
      <c r="H788"/>
    </row>
    <row r="789" spans="7:8" x14ac:dyDescent="0.35">
      <c r="G789"/>
      <c r="H789"/>
    </row>
    <row r="790" spans="7:8" x14ac:dyDescent="0.35">
      <c r="G790"/>
      <c r="H790"/>
    </row>
    <row r="791" spans="7:8" x14ac:dyDescent="0.35">
      <c r="G791"/>
      <c r="H791"/>
    </row>
    <row r="792" spans="7:8" x14ac:dyDescent="0.35">
      <c r="G792"/>
      <c r="H792"/>
    </row>
    <row r="793" spans="7:8" x14ac:dyDescent="0.35">
      <c r="G793"/>
      <c r="H793"/>
    </row>
    <row r="794" spans="7:8" x14ac:dyDescent="0.35">
      <c r="G794"/>
      <c r="H794"/>
    </row>
    <row r="795" spans="7:8" x14ac:dyDescent="0.35">
      <c r="G795"/>
      <c r="H795"/>
    </row>
    <row r="796" spans="7:8" x14ac:dyDescent="0.35">
      <c r="G796"/>
      <c r="H796"/>
    </row>
    <row r="797" spans="7:8" x14ac:dyDescent="0.35">
      <c r="G797"/>
      <c r="H797"/>
    </row>
    <row r="798" spans="7:8" x14ac:dyDescent="0.35">
      <c r="G798"/>
      <c r="H798"/>
    </row>
    <row r="799" spans="7:8" x14ac:dyDescent="0.35">
      <c r="G799"/>
      <c r="H799"/>
    </row>
    <row r="800" spans="7:8" x14ac:dyDescent="0.35">
      <c r="G800"/>
      <c r="H800"/>
    </row>
    <row r="801" spans="7:8" x14ac:dyDescent="0.35">
      <c r="G801"/>
      <c r="H801"/>
    </row>
    <row r="802" spans="7:8" x14ac:dyDescent="0.35">
      <c r="G802"/>
      <c r="H802"/>
    </row>
    <row r="803" spans="7:8" x14ac:dyDescent="0.35">
      <c r="G803"/>
      <c r="H803"/>
    </row>
    <row r="804" spans="7:8" x14ac:dyDescent="0.35">
      <c r="G804"/>
      <c r="H804"/>
    </row>
    <row r="805" spans="7:8" x14ac:dyDescent="0.35">
      <c r="G805"/>
      <c r="H805"/>
    </row>
    <row r="806" spans="7:8" x14ac:dyDescent="0.35">
      <c r="G806"/>
      <c r="H806"/>
    </row>
    <row r="807" spans="7:8" x14ac:dyDescent="0.35">
      <c r="G807"/>
      <c r="H807"/>
    </row>
    <row r="808" spans="7:8" x14ac:dyDescent="0.35">
      <c r="G808"/>
      <c r="H808"/>
    </row>
    <row r="809" spans="7:8" x14ac:dyDescent="0.35">
      <c r="G809"/>
      <c r="H809"/>
    </row>
    <row r="810" spans="7:8" x14ac:dyDescent="0.35">
      <c r="G810"/>
      <c r="H810"/>
    </row>
    <row r="811" spans="7:8" x14ac:dyDescent="0.35">
      <c r="G811"/>
      <c r="H811"/>
    </row>
    <row r="812" spans="7:8" x14ac:dyDescent="0.35">
      <c r="G812"/>
      <c r="H812"/>
    </row>
    <row r="813" spans="7:8" x14ac:dyDescent="0.35">
      <c r="G813"/>
      <c r="H813"/>
    </row>
    <row r="814" spans="7:8" x14ac:dyDescent="0.35">
      <c r="G814"/>
      <c r="H814"/>
    </row>
    <row r="815" spans="7:8" x14ac:dyDescent="0.35">
      <c r="G815"/>
      <c r="H815"/>
    </row>
    <row r="816" spans="7:8" x14ac:dyDescent="0.35">
      <c r="G816"/>
      <c r="H816"/>
    </row>
    <row r="817" spans="7:8" x14ac:dyDescent="0.35">
      <c r="G817"/>
      <c r="H817"/>
    </row>
    <row r="818" spans="7:8" x14ac:dyDescent="0.35">
      <c r="G818"/>
      <c r="H818"/>
    </row>
    <row r="819" spans="7:8" x14ac:dyDescent="0.35">
      <c r="G819"/>
      <c r="H819"/>
    </row>
    <row r="820" spans="7:8" x14ac:dyDescent="0.35">
      <c r="G820"/>
      <c r="H820"/>
    </row>
    <row r="821" spans="7:8" x14ac:dyDescent="0.35">
      <c r="G821"/>
      <c r="H821"/>
    </row>
    <row r="822" spans="7:8" x14ac:dyDescent="0.35">
      <c r="G822"/>
      <c r="H822"/>
    </row>
    <row r="823" spans="7:8" x14ac:dyDescent="0.35">
      <c r="G823"/>
      <c r="H823"/>
    </row>
    <row r="824" spans="7:8" x14ac:dyDescent="0.35">
      <c r="G824"/>
      <c r="H824"/>
    </row>
    <row r="825" spans="7:8" x14ac:dyDescent="0.35">
      <c r="G825"/>
      <c r="H825"/>
    </row>
    <row r="826" spans="7:8" x14ac:dyDescent="0.35">
      <c r="G826"/>
      <c r="H826"/>
    </row>
    <row r="827" spans="7:8" x14ac:dyDescent="0.35">
      <c r="G827"/>
      <c r="H827"/>
    </row>
    <row r="828" spans="7:8" x14ac:dyDescent="0.35">
      <c r="G828"/>
      <c r="H828"/>
    </row>
    <row r="829" spans="7:8" x14ac:dyDescent="0.35">
      <c r="G829"/>
      <c r="H829"/>
    </row>
    <row r="830" spans="7:8" x14ac:dyDescent="0.35">
      <c r="G830"/>
      <c r="H830"/>
    </row>
    <row r="831" spans="7:8" x14ac:dyDescent="0.35">
      <c r="G831"/>
      <c r="H831"/>
    </row>
    <row r="832" spans="7:8" x14ac:dyDescent="0.35">
      <c r="G832"/>
      <c r="H832"/>
    </row>
    <row r="833" spans="7:8" x14ac:dyDescent="0.35">
      <c r="G833"/>
      <c r="H833"/>
    </row>
    <row r="834" spans="7:8" x14ac:dyDescent="0.35">
      <c r="G834"/>
      <c r="H834"/>
    </row>
    <row r="835" spans="7:8" x14ac:dyDescent="0.35">
      <c r="G835"/>
      <c r="H835"/>
    </row>
    <row r="836" spans="7:8" x14ac:dyDescent="0.35">
      <c r="G836"/>
      <c r="H836"/>
    </row>
    <row r="837" spans="7:8" x14ac:dyDescent="0.35">
      <c r="G837"/>
      <c r="H837"/>
    </row>
    <row r="838" spans="7:8" x14ac:dyDescent="0.35">
      <c r="G838"/>
      <c r="H838"/>
    </row>
    <row r="839" spans="7:8" x14ac:dyDescent="0.35">
      <c r="G839"/>
      <c r="H839"/>
    </row>
    <row r="840" spans="7:8" x14ac:dyDescent="0.35">
      <c r="G840"/>
      <c r="H840"/>
    </row>
    <row r="841" spans="7:8" x14ac:dyDescent="0.35">
      <c r="G841"/>
      <c r="H841"/>
    </row>
    <row r="842" spans="7:8" x14ac:dyDescent="0.35">
      <c r="G842"/>
      <c r="H842"/>
    </row>
    <row r="843" spans="7:8" x14ac:dyDescent="0.35">
      <c r="G843"/>
      <c r="H843"/>
    </row>
    <row r="844" spans="7:8" x14ac:dyDescent="0.35">
      <c r="G844"/>
      <c r="H844"/>
    </row>
    <row r="845" spans="7:8" x14ac:dyDescent="0.35">
      <c r="G845"/>
      <c r="H845"/>
    </row>
    <row r="846" spans="7:8" x14ac:dyDescent="0.35">
      <c r="G846"/>
      <c r="H846"/>
    </row>
    <row r="847" spans="7:8" x14ac:dyDescent="0.35">
      <c r="G847"/>
      <c r="H847"/>
    </row>
    <row r="848" spans="7:8" x14ac:dyDescent="0.35">
      <c r="G848"/>
      <c r="H848"/>
    </row>
    <row r="849" spans="7:8" x14ac:dyDescent="0.35">
      <c r="G849"/>
      <c r="H849"/>
    </row>
    <row r="850" spans="7:8" x14ac:dyDescent="0.35">
      <c r="G850"/>
      <c r="H850"/>
    </row>
    <row r="851" spans="7:8" x14ac:dyDescent="0.35">
      <c r="G851"/>
      <c r="H851"/>
    </row>
    <row r="852" spans="7:8" x14ac:dyDescent="0.35">
      <c r="G852"/>
      <c r="H852"/>
    </row>
    <row r="853" spans="7:8" x14ac:dyDescent="0.35">
      <c r="G853"/>
      <c r="H853"/>
    </row>
    <row r="854" spans="7:8" x14ac:dyDescent="0.35">
      <c r="G854"/>
      <c r="H854"/>
    </row>
    <row r="855" spans="7:8" x14ac:dyDescent="0.35">
      <c r="G855"/>
      <c r="H855"/>
    </row>
    <row r="856" spans="7:8" x14ac:dyDescent="0.35">
      <c r="G856"/>
      <c r="H856"/>
    </row>
    <row r="857" spans="7:8" x14ac:dyDescent="0.35">
      <c r="G857"/>
      <c r="H857"/>
    </row>
    <row r="858" spans="7:8" x14ac:dyDescent="0.35">
      <c r="G858"/>
      <c r="H858"/>
    </row>
    <row r="859" spans="7:8" x14ac:dyDescent="0.35">
      <c r="G859"/>
      <c r="H859"/>
    </row>
    <row r="860" spans="7:8" x14ac:dyDescent="0.35">
      <c r="G860"/>
      <c r="H860"/>
    </row>
    <row r="861" spans="7:8" x14ac:dyDescent="0.35">
      <c r="G861"/>
      <c r="H861"/>
    </row>
    <row r="862" spans="7:8" x14ac:dyDescent="0.35">
      <c r="G862"/>
      <c r="H862"/>
    </row>
    <row r="863" spans="7:8" x14ac:dyDescent="0.35">
      <c r="G863"/>
      <c r="H863"/>
    </row>
    <row r="864" spans="7:8" x14ac:dyDescent="0.35">
      <c r="G864"/>
      <c r="H864"/>
    </row>
    <row r="865" spans="7:8" x14ac:dyDescent="0.35">
      <c r="G865"/>
      <c r="H865"/>
    </row>
    <row r="866" spans="7:8" x14ac:dyDescent="0.35">
      <c r="G866"/>
      <c r="H866"/>
    </row>
    <row r="867" spans="7:8" x14ac:dyDescent="0.35">
      <c r="G867"/>
      <c r="H867"/>
    </row>
    <row r="868" spans="7:8" x14ac:dyDescent="0.35">
      <c r="G868"/>
      <c r="H868"/>
    </row>
    <row r="869" spans="7:8" x14ac:dyDescent="0.35">
      <c r="G869"/>
      <c r="H869"/>
    </row>
    <row r="870" spans="7:8" x14ac:dyDescent="0.35">
      <c r="G870"/>
      <c r="H870"/>
    </row>
    <row r="871" spans="7:8" x14ac:dyDescent="0.35">
      <c r="G871"/>
      <c r="H871"/>
    </row>
    <row r="872" spans="7:8" x14ac:dyDescent="0.35">
      <c r="G872"/>
      <c r="H872"/>
    </row>
    <row r="873" spans="7:8" x14ac:dyDescent="0.35">
      <c r="G873"/>
      <c r="H873"/>
    </row>
    <row r="874" spans="7:8" x14ac:dyDescent="0.35">
      <c r="G874"/>
      <c r="H874"/>
    </row>
    <row r="875" spans="7:8" x14ac:dyDescent="0.35">
      <c r="G875"/>
      <c r="H875"/>
    </row>
    <row r="876" spans="7:8" x14ac:dyDescent="0.35">
      <c r="G876"/>
      <c r="H876"/>
    </row>
    <row r="877" spans="7:8" x14ac:dyDescent="0.35">
      <c r="G877"/>
      <c r="H877"/>
    </row>
    <row r="878" spans="7:8" x14ac:dyDescent="0.35">
      <c r="G878"/>
      <c r="H878"/>
    </row>
    <row r="879" spans="7:8" x14ac:dyDescent="0.35">
      <c r="G879"/>
      <c r="H879"/>
    </row>
    <row r="880" spans="7:8" x14ac:dyDescent="0.35">
      <c r="G880"/>
      <c r="H880"/>
    </row>
    <row r="881" spans="7:8" x14ac:dyDescent="0.35">
      <c r="G881"/>
      <c r="H881"/>
    </row>
    <row r="882" spans="7:8" x14ac:dyDescent="0.35">
      <c r="G882"/>
      <c r="H882"/>
    </row>
    <row r="883" spans="7:8" x14ac:dyDescent="0.35">
      <c r="G883"/>
      <c r="H883"/>
    </row>
    <row r="884" spans="7:8" x14ac:dyDescent="0.35">
      <c r="G884"/>
      <c r="H884"/>
    </row>
    <row r="885" spans="7:8" x14ac:dyDescent="0.35">
      <c r="G885"/>
      <c r="H885"/>
    </row>
    <row r="886" spans="7:8" x14ac:dyDescent="0.35">
      <c r="G886"/>
      <c r="H886"/>
    </row>
    <row r="887" spans="7:8" x14ac:dyDescent="0.35">
      <c r="G887"/>
      <c r="H887"/>
    </row>
    <row r="888" spans="7:8" x14ac:dyDescent="0.35">
      <c r="G888"/>
      <c r="H888"/>
    </row>
    <row r="889" spans="7:8" x14ac:dyDescent="0.35">
      <c r="G889"/>
      <c r="H889"/>
    </row>
    <row r="890" spans="7:8" x14ac:dyDescent="0.35">
      <c r="G890"/>
      <c r="H890"/>
    </row>
    <row r="891" spans="7:8" x14ac:dyDescent="0.35">
      <c r="G891"/>
      <c r="H891"/>
    </row>
    <row r="892" spans="7:8" x14ac:dyDescent="0.35">
      <c r="G892"/>
      <c r="H892"/>
    </row>
    <row r="893" spans="7:8" x14ac:dyDescent="0.35">
      <c r="G893"/>
      <c r="H893"/>
    </row>
    <row r="894" spans="7:8" x14ac:dyDescent="0.35">
      <c r="G894"/>
      <c r="H894"/>
    </row>
    <row r="895" spans="7:8" x14ac:dyDescent="0.35">
      <c r="G895"/>
      <c r="H895"/>
    </row>
    <row r="896" spans="7:8" x14ac:dyDescent="0.35">
      <c r="G896"/>
      <c r="H896"/>
    </row>
    <row r="897" spans="7:8" x14ac:dyDescent="0.35">
      <c r="G897"/>
      <c r="H897"/>
    </row>
    <row r="898" spans="7:8" x14ac:dyDescent="0.35">
      <c r="G898"/>
      <c r="H898"/>
    </row>
    <row r="899" spans="7:8" x14ac:dyDescent="0.35">
      <c r="G899"/>
      <c r="H899"/>
    </row>
    <row r="900" spans="7:8" x14ac:dyDescent="0.35">
      <c r="G900"/>
      <c r="H900"/>
    </row>
    <row r="901" spans="7:8" x14ac:dyDescent="0.35">
      <c r="G901"/>
      <c r="H901"/>
    </row>
    <row r="902" spans="7:8" x14ac:dyDescent="0.35">
      <c r="G902"/>
      <c r="H902"/>
    </row>
    <row r="903" spans="7:8" x14ac:dyDescent="0.35">
      <c r="G903"/>
      <c r="H903"/>
    </row>
    <row r="904" spans="7:8" x14ac:dyDescent="0.35">
      <c r="G904"/>
      <c r="H904"/>
    </row>
    <row r="905" spans="7:8" x14ac:dyDescent="0.35">
      <c r="G905"/>
      <c r="H905"/>
    </row>
    <row r="906" spans="7:8" x14ac:dyDescent="0.35">
      <c r="G906"/>
      <c r="H906"/>
    </row>
    <row r="907" spans="7:8" x14ac:dyDescent="0.35">
      <c r="G907"/>
      <c r="H907"/>
    </row>
    <row r="908" spans="7:8" x14ac:dyDescent="0.35">
      <c r="G908"/>
      <c r="H908"/>
    </row>
    <row r="909" spans="7:8" x14ac:dyDescent="0.35">
      <c r="G909"/>
      <c r="H909"/>
    </row>
    <row r="910" spans="7:8" x14ac:dyDescent="0.35">
      <c r="G910"/>
      <c r="H910"/>
    </row>
    <row r="911" spans="7:8" x14ac:dyDescent="0.35">
      <c r="G911"/>
      <c r="H911"/>
    </row>
    <row r="912" spans="7:8" x14ac:dyDescent="0.35">
      <c r="G912"/>
      <c r="H912"/>
    </row>
    <row r="913" spans="7:8" x14ac:dyDescent="0.35">
      <c r="G913"/>
      <c r="H913"/>
    </row>
    <row r="914" spans="7:8" x14ac:dyDescent="0.35">
      <c r="G914"/>
      <c r="H914"/>
    </row>
    <row r="915" spans="7:8" x14ac:dyDescent="0.35">
      <c r="G915"/>
      <c r="H915"/>
    </row>
    <row r="916" spans="7:8" x14ac:dyDescent="0.35">
      <c r="G916"/>
      <c r="H916"/>
    </row>
    <row r="917" spans="7:8" x14ac:dyDescent="0.35">
      <c r="G917"/>
      <c r="H917"/>
    </row>
    <row r="918" spans="7:8" x14ac:dyDescent="0.35">
      <c r="G918"/>
      <c r="H918"/>
    </row>
    <row r="919" spans="7:8" x14ac:dyDescent="0.35">
      <c r="G919"/>
      <c r="H919"/>
    </row>
    <row r="920" spans="7:8" x14ac:dyDescent="0.35">
      <c r="G920"/>
      <c r="H920"/>
    </row>
    <row r="921" spans="7:8" x14ac:dyDescent="0.35">
      <c r="G921"/>
      <c r="H921"/>
    </row>
    <row r="922" spans="7:8" x14ac:dyDescent="0.35">
      <c r="G922"/>
      <c r="H922"/>
    </row>
    <row r="923" spans="7:8" x14ac:dyDescent="0.35">
      <c r="G923"/>
      <c r="H923"/>
    </row>
    <row r="924" spans="7:8" x14ac:dyDescent="0.35">
      <c r="G924"/>
      <c r="H924"/>
    </row>
    <row r="925" spans="7:8" x14ac:dyDescent="0.35">
      <c r="G925"/>
      <c r="H925"/>
    </row>
    <row r="926" spans="7:8" x14ac:dyDescent="0.35">
      <c r="G926"/>
      <c r="H926"/>
    </row>
    <row r="927" spans="7:8" x14ac:dyDescent="0.35">
      <c r="G927"/>
      <c r="H927"/>
    </row>
    <row r="928" spans="7:8" x14ac:dyDescent="0.35">
      <c r="G928"/>
      <c r="H928"/>
    </row>
    <row r="929" spans="7:8" x14ac:dyDescent="0.35">
      <c r="G929"/>
      <c r="H929"/>
    </row>
    <row r="930" spans="7:8" x14ac:dyDescent="0.35">
      <c r="G930"/>
      <c r="H930"/>
    </row>
    <row r="931" spans="7:8" x14ac:dyDescent="0.35">
      <c r="G931"/>
      <c r="H931"/>
    </row>
    <row r="932" spans="7:8" x14ac:dyDescent="0.35">
      <c r="G932"/>
      <c r="H932"/>
    </row>
    <row r="933" spans="7:8" x14ac:dyDescent="0.35">
      <c r="G933"/>
      <c r="H933"/>
    </row>
    <row r="934" spans="7:8" x14ac:dyDescent="0.35">
      <c r="G934"/>
      <c r="H934"/>
    </row>
    <row r="935" spans="7:8" x14ac:dyDescent="0.35">
      <c r="G935"/>
      <c r="H935"/>
    </row>
    <row r="936" spans="7:8" x14ac:dyDescent="0.35">
      <c r="G936"/>
      <c r="H936"/>
    </row>
    <row r="937" spans="7:8" x14ac:dyDescent="0.35">
      <c r="G937"/>
      <c r="H937"/>
    </row>
    <row r="938" spans="7:8" x14ac:dyDescent="0.35">
      <c r="G938"/>
      <c r="H938"/>
    </row>
    <row r="939" spans="7:8" x14ac:dyDescent="0.35">
      <c r="G939"/>
      <c r="H939"/>
    </row>
    <row r="940" spans="7:8" x14ac:dyDescent="0.35">
      <c r="G940"/>
      <c r="H940"/>
    </row>
    <row r="941" spans="7:8" x14ac:dyDescent="0.35">
      <c r="G941"/>
      <c r="H941"/>
    </row>
    <row r="942" spans="7:8" x14ac:dyDescent="0.35">
      <c r="G942"/>
      <c r="H942"/>
    </row>
    <row r="943" spans="7:8" x14ac:dyDescent="0.35">
      <c r="G943"/>
      <c r="H943"/>
    </row>
    <row r="944" spans="7:8" x14ac:dyDescent="0.35">
      <c r="G944"/>
      <c r="H944"/>
    </row>
    <row r="945" spans="7:8" x14ac:dyDescent="0.35">
      <c r="G945"/>
      <c r="H945"/>
    </row>
    <row r="946" spans="7:8" x14ac:dyDescent="0.35">
      <c r="G946"/>
      <c r="H946"/>
    </row>
    <row r="947" spans="7:8" x14ac:dyDescent="0.35">
      <c r="G947"/>
      <c r="H947"/>
    </row>
    <row r="948" spans="7:8" x14ac:dyDescent="0.35">
      <c r="G948"/>
      <c r="H948"/>
    </row>
    <row r="949" spans="7:8" x14ac:dyDescent="0.35">
      <c r="G949"/>
      <c r="H949"/>
    </row>
    <row r="950" spans="7:8" x14ac:dyDescent="0.35">
      <c r="G950"/>
      <c r="H950"/>
    </row>
    <row r="951" spans="7:8" x14ac:dyDescent="0.35">
      <c r="G951"/>
      <c r="H951"/>
    </row>
    <row r="952" spans="7:8" x14ac:dyDescent="0.35">
      <c r="G952"/>
      <c r="H952"/>
    </row>
    <row r="953" spans="7:8" x14ac:dyDescent="0.35">
      <c r="G953"/>
      <c r="H953"/>
    </row>
    <row r="954" spans="7:8" x14ac:dyDescent="0.35">
      <c r="G954"/>
      <c r="H954"/>
    </row>
    <row r="955" spans="7:8" x14ac:dyDescent="0.35">
      <c r="G955"/>
      <c r="H955"/>
    </row>
    <row r="956" spans="7:8" x14ac:dyDescent="0.35">
      <c r="G956"/>
      <c r="H956"/>
    </row>
    <row r="957" spans="7:8" x14ac:dyDescent="0.35">
      <c r="G957"/>
      <c r="H957"/>
    </row>
    <row r="958" spans="7:8" x14ac:dyDescent="0.35">
      <c r="G958"/>
      <c r="H958"/>
    </row>
    <row r="959" spans="7:8" x14ac:dyDescent="0.35">
      <c r="G959"/>
      <c r="H959"/>
    </row>
    <row r="960" spans="7:8" x14ac:dyDescent="0.35">
      <c r="G960"/>
      <c r="H960"/>
    </row>
    <row r="961" spans="7:8" x14ac:dyDescent="0.35">
      <c r="G961"/>
      <c r="H961"/>
    </row>
    <row r="962" spans="7:8" x14ac:dyDescent="0.35">
      <c r="G962"/>
      <c r="H962"/>
    </row>
    <row r="963" spans="7:8" x14ac:dyDescent="0.35">
      <c r="G963"/>
      <c r="H963"/>
    </row>
    <row r="964" spans="7:8" x14ac:dyDescent="0.35">
      <c r="G964"/>
      <c r="H964"/>
    </row>
    <row r="965" spans="7:8" x14ac:dyDescent="0.35">
      <c r="G965"/>
      <c r="H965"/>
    </row>
    <row r="966" spans="7:8" x14ac:dyDescent="0.35">
      <c r="G966"/>
      <c r="H966"/>
    </row>
    <row r="967" spans="7:8" x14ac:dyDescent="0.35">
      <c r="G967"/>
      <c r="H967"/>
    </row>
    <row r="968" spans="7:8" x14ac:dyDescent="0.35">
      <c r="G968"/>
      <c r="H968"/>
    </row>
    <row r="969" spans="7:8" x14ac:dyDescent="0.35">
      <c r="G969"/>
      <c r="H969"/>
    </row>
    <row r="970" spans="7:8" x14ac:dyDescent="0.35">
      <c r="G970"/>
      <c r="H970"/>
    </row>
    <row r="971" spans="7:8" x14ac:dyDescent="0.35">
      <c r="G971"/>
      <c r="H971"/>
    </row>
    <row r="972" spans="7:8" x14ac:dyDescent="0.35">
      <c r="G972"/>
      <c r="H972"/>
    </row>
    <row r="973" spans="7:8" x14ac:dyDescent="0.35">
      <c r="G973"/>
      <c r="H973"/>
    </row>
    <row r="974" spans="7:8" x14ac:dyDescent="0.35">
      <c r="G974"/>
      <c r="H974"/>
    </row>
    <row r="975" spans="7:8" x14ac:dyDescent="0.35">
      <c r="G975"/>
      <c r="H975"/>
    </row>
    <row r="976" spans="7:8" x14ac:dyDescent="0.35">
      <c r="G976"/>
      <c r="H976"/>
    </row>
    <row r="977" spans="7:8" x14ac:dyDescent="0.35">
      <c r="G977"/>
      <c r="H977"/>
    </row>
    <row r="978" spans="7:8" x14ac:dyDescent="0.35">
      <c r="G978"/>
      <c r="H978"/>
    </row>
    <row r="979" spans="7:8" x14ac:dyDescent="0.35">
      <c r="G979"/>
      <c r="H979"/>
    </row>
    <row r="980" spans="7:8" x14ac:dyDescent="0.35">
      <c r="G980"/>
      <c r="H980"/>
    </row>
    <row r="981" spans="7:8" x14ac:dyDescent="0.35">
      <c r="G981"/>
      <c r="H981"/>
    </row>
    <row r="982" spans="7:8" x14ac:dyDescent="0.35">
      <c r="G982"/>
      <c r="H982"/>
    </row>
    <row r="983" spans="7:8" x14ac:dyDescent="0.35">
      <c r="G983"/>
      <c r="H983"/>
    </row>
    <row r="984" spans="7:8" x14ac:dyDescent="0.35">
      <c r="G984"/>
      <c r="H984"/>
    </row>
    <row r="985" spans="7:8" x14ac:dyDescent="0.35">
      <c r="G985"/>
      <c r="H985"/>
    </row>
    <row r="986" spans="7:8" x14ac:dyDescent="0.35">
      <c r="G986"/>
      <c r="H986"/>
    </row>
    <row r="987" spans="7:8" x14ac:dyDescent="0.35">
      <c r="G987"/>
      <c r="H987"/>
    </row>
    <row r="988" spans="7:8" x14ac:dyDescent="0.35">
      <c r="G988"/>
      <c r="H988"/>
    </row>
    <row r="989" spans="7:8" x14ac:dyDescent="0.35">
      <c r="G989"/>
      <c r="H989"/>
    </row>
    <row r="990" spans="7:8" x14ac:dyDescent="0.35">
      <c r="G990"/>
      <c r="H990"/>
    </row>
    <row r="991" spans="7:8" x14ac:dyDescent="0.35">
      <c r="G991"/>
      <c r="H991"/>
    </row>
    <row r="992" spans="7:8" x14ac:dyDescent="0.35">
      <c r="G992"/>
      <c r="H992"/>
    </row>
    <row r="993" spans="7:8" x14ac:dyDescent="0.35">
      <c r="G993"/>
      <c r="H993"/>
    </row>
    <row r="994" spans="7:8" x14ac:dyDescent="0.35">
      <c r="G994"/>
      <c r="H994"/>
    </row>
    <row r="995" spans="7:8" x14ac:dyDescent="0.35">
      <c r="G995"/>
      <c r="H995"/>
    </row>
    <row r="996" spans="7:8" x14ac:dyDescent="0.35">
      <c r="G996"/>
      <c r="H996"/>
    </row>
    <row r="997" spans="7:8" x14ac:dyDescent="0.35">
      <c r="G997"/>
      <c r="H997"/>
    </row>
    <row r="998" spans="7:8" x14ac:dyDescent="0.35">
      <c r="G998"/>
      <c r="H998"/>
    </row>
    <row r="999" spans="7:8" x14ac:dyDescent="0.35">
      <c r="G999"/>
      <c r="H999"/>
    </row>
    <row r="1000" spans="7:8" x14ac:dyDescent="0.35">
      <c r="G1000"/>
      <c r="H1000"/>
    </row>
    <row r="1001" spans="7:8" x14ac:dyDescent="0.35">
      <c r="G1001"/>
      <c r="H1001"/>
    </row>
    <row r="1002" spans="7:8" x14ac:dyDescent="0.35">
      <c r="G1002"/>
      <c r="H1002"/>
    </row>
    <row r="1003" spans="7:8" x14ac:dyDescent="0.35">
      <c r="G1003"/>
      <c r="H1003"/>
    </row>
    <row r="1004" spans="7:8" x14ac:dyDescent="0.35">
      <c r="G1004"/>
      <c r="H1004"/>
    </row>
    <row r="1005" spans="7:8" x14ac:dyDescent="0.35">
      <c r="G1005"/>
      <c r="H1005"/>
    </row>
    <row r="1006" spans="7:8" x14ac:dyDescent="0.35">
      <c r="G1006"/>
      <c r="H1006"/>
    </row>
    <row r="1007" spans="7:8" x14ac:dyDescent="0.35">
      <c r="G1007"/>
      <c r="H1007"/>
    </row>
    <row r="1008" spans="7:8" x14ac:dyDescent="0.35">
      <c r="G1008"/>
      <c r="H1008"/>
    </row>
    <row r="1009" spans="7:8" x14ac:dyDescent="0.35">
      <c r="G1009"/>
      <c r="H1009"/>
    </row>
    <row r="1010" spans="7:8" x14ac:dyDescent="0.35">
      <c r="G1010"/>
      <c r="H1010"/>
    </row>
    <row r="1011" spans="7:8" x14ac:dyDescent="0.35">
      <c r="G1011"/>
      <c r="H1011"/>
    </row>
    <row r="1012" spans="7:8" x14ac:dyDescent="0.35">
      <c r="G1012"/>
      <c r="H1012"/>
    </row>
    <row r="1013" spans="7:8" x14ac:dyDescent="0.35">
      <c r="G1013"/>
      <c r="H1013"/>
    </row>
    <row r="1014" spans="7:8" x14ac:dyDescent="0.35">
      <c r="G1014"/>
      <c r="H1014"/>
    </row>
    <row r="1015" spans="7:8" x14ac:dyDescent="0.35">
      <c r="G1015"/>
      <c r="H1015"/>
    </row>
    <row r="1016" spans="7:8" x14ac:dyDescent="0.35">
      <c r="G1016"/>
      <c r="H1016"/>
    </row>
    <row r="1017" spans="7:8" x14ac:dyDescent="0.35">
      <c r="G1017"/>
      <c r="H1017"/>
    </row>
    <row r="1018" spans="7:8" x14ac:dyDescent="0.35">
      <c r="G1018"/>
      <c r="H1018"/>
    </row>
    <row r="1019" spans="7:8" x14ac:dyDescent="0.35">
      <c r="G1019"/>
      <c r="H1019"/>
    </row>
    <row r="1020" spans="7:8" x14ac:dyDescent="0.35">
      <c r="G1020"/>
      <c r="H1020"/>
    </row>
    <row r="1021" spans="7:8" x14ac:dyDescent="0.35">
      <c r="G1021"/>
      <c r="H1021"/>
    </row>
    <row r="1022" spans="7:8" x14ac:dyDescent="0.35">
      <c r="G1022"/>
      <c r="H1022"/>
    </row>
    <row r="1023" spans="7:8" x14ac:dyDescent="0.35">
      <c r="G1023"/>
      <c r="H1023"/>
    </row>
    <row r="1024" spans="7:8" x14ac:dyDescent="0.35">
      <c r="G1024"/>
      <c r="H1024"/>
    </row>
    <row r="1025" spans="7:8" x14ac:dyDescent="0.35">
      <c r="G1025"/>
      <c r="H1025"/>
    </row>
    <row r="1026" spans="7:8" x14ac:dyDescent="0.35">
      <c r="G1026"/>
      <c r="H1026"/>
    </row>
    <row r="1027" spans="7:8" x14ac:dyDescent="0.35">
      <c r="G1027"/>
      <c r="H1027"/>
    </row>
    <row r="1028" spans="7:8" x14ac:dyDescent="0.35">
      <c r="G1028"/>
      <c r="H1028"/>
    </row>
    <row r="1029" spans="7:8" x14ac:dyDescent="0.35">
      <c r="G1029"/>
      <c r="H1029"/>
    </row>
    <row r="1030" spans="7:8" x14ac:dyDescent="0.35">
      <c r="G1030"/>
      <c r="H1030"/>
    </row>
    <row r="1031" spans="7:8" x14ac:dyDescent="0.35">
      <c r="G1031"/>
      <c r="H1031"/>
    </row>
    <row r="1032" spans="7:8" x14ac:dyDescent="0.35">
      <c r="G1032"/>
      <c r="H1032"/>
    </row>
    <row r="1033" spans="7:8" x14ac:dyDescent="0.35">
      <c r="G1033"/>
      <c r="H1033"/>
    </row>
    <row r="1034" spans="7:8" x14ac:dyDescent="0.35">
      <c r="G1034"/>
      <c r="H1034"/>
    </row>
    <row r="1035" spans="7:8" x14ac:dyDescent="0.35">
      <c r="G1035"/>
      <c r="H1035"/>
    </row>
    <row r="1036" spans="7:8" x14ac:dyDescent="0.35">
      <c r="G1036"/>
      <c r="H1036"/>
    </row>
    <row r="1037" spans="7:8" x14ac:dyDescent="0.35">
      <c r="G1037"/>
      <c r="H1037"/>
    </row>
    <row r="1038" spans="7:8" x14ac:dyDescent="0.35">
      <c r="G1038"/>
      <c r="H1038"/>
    </row>
    <row r="1039" spans="7:8" x14ac:dyDescent="0.35">
      <c r="G1039"/>
      <c r="H1039"/>
    </row>
    <row r="1040" spans="7:8" x14ac:dyDescent="0.35">
      <c r="G1040"/>
      <c r="H1040"/>
    </row>
    <row r="1041" spans="7:8" x14ac:dyDescent="0.35">
      <c r="G1041"/>
      <c r="H1041"/>
    </row>
    <row r="1042" spans="7:8" x14ac:dyDescent="0.35">
      <c r="G1042"/>
      <c r="H1042"/>
    </row>
    <row r="1043" spans="7:8" x14ac:dyDescent="0.35">
      <c r="G1043"/>
      <c r="H1043"/>
    </row>
    <row r="1044" spans="7:8" x14ac:dyDescent="0.35">
      <c r="G1044"/>
      <c r="H1044"/>
    </row>
    <row r="1045" spans="7:8" x14ac:dyDescent="0.35">
      <c r="G1045"/>
      <c r="H1045"/>
    </row>
    <row r="1046" spans="7:8" x14ac:dyDescent="0.35">
      <c r="G1046"/>
      <c r="H1046"/>
    </row>
    <row r="1047" spans="7:8" x14ac:dyDescent="0.35">
      <c r="G1047"/>
      <c r="H1047"/>
    </row>
    <row r="1048" spans="7:8" x14ac:dyDescent="0.35">
      <c r="G1048"/>
      <c r="H1048"/>
    </row>
    <row r="1049" spans="7:8" x14ac:dyDescent="0.35">
      <c r="G1049"/>
      <c r="H1049"/>
    </row>
    <row r="1050" spans="7:8" x14ac:dyDescent="0.35">
      <c r="G1050"/>
      <c r="H1050"/>
    </row>
    <row r="1051" spans="7:8" x14ac:dyDescent="0.35">
      <c r="G1051"/>
      <c r="H1051"/>
    </row>
    <row r="1052" spans="7:8" x14ac:dyDescent="0.35">
      <c r="G1052"/>
      <c r="H1052"/>
    </row>
    <row r="1053" spans="7:8" x14ac:dyDescent="0.35">
      <c r="G1053"/>
      <c r="H1053"/>
    </row>
    <row r="1054" spans="7:8" x14ac:dyDescent="0.35">
      <c r="G1054"/>
      <c r="H1054"/>
    </row>
    <row r="1055" spans="7:8" x14ac:dyDescent="0.35">
      <c r="G1055"/>
      <c r="H1055"/>
    </row>
    <row r="1056" spans="7:8" x14ac:dyDescent="0.35">
      <c r="G1056"/>
      <c r="H1056"/>
    </row>
    <row r="1057" spans="7:8" x14ac:dyDescent="0.35">
      <c r="G1057"/>
      <c r="H1057"/>
    </row>
    <row r="1058" spans="7:8" x14ac:dyDescent="0.35">
      <c r="G1058"/>
      <c r="H1058"/>
    </row>
    <row r="1059" spans="7:8" x14ac:dyDescent="0.35">
      <c r="G1059"/>
      <c r="H1059"/>
    </row>
    <row r="1060" spans="7:8" x14ac:dyDescent="0.35">
      <c r="G1060"/>
      <c r="H1060"/>
    </row>
    <row r="1061" spans="7:8" x14ac:dyDescent="0.35">
      <c r="G1061"/>
      <c r="H1061"/>
    </row>
    <row r="1062" spans="7:8" x14ac:dyDescent="0.35">
      <c r="G1062"/>
      <c r="H1062"/>
    </row>
    <row r="1063" spans="7:8" x14ac:dyDescent="0.35">
      <c r="G1063"/>
      <c r="H1063"/>
    </row>
    <row r="1064" spans="7:8" x14ac:dyDescent="0.35">
      <c r="G1064"/>
      <c r="H1064"/>
    </row>
    <row r="1065" spans="7:8" x14ac:dyDescent="0.35">
      <c r="G1065"/>
      <c r="H1065"/>
    </row>
    <row r="1066" spans="7:8" x14ac:dyDescent="0.35">
      <c r="G1066"/>
      <c r="H1066"/>
    </row>
    <row r="1067" spans="7:8" x14ac:dyDescent="0.35">
      <c r="G1067"/>
      <c r="H1067"/>
    </row>
    <row r="1068" spans="7:8" x14ac:dyDescent="0.35">
      <c r="G1068"/>
      <c r="H1068"/>
    </row>
    <row r="1069" spans="7:8" x14ac:dyDescent="0.35">
      <c r="G1069"/>
      <c r="H1069"/>
    </row>
    <row r="1070" spans="7:8" x14ac:dyDescent="0.35">
      <c r="G1070"/>
      <c r="H1070"/>
    </row>
    <row r="1071" spans="7:8" x14ac:dyDescent="0.35">
      <c r="G1071"/>
      <c r="H1071"/>
    </row>
    <row r="1072" spans="7:8" x14ac:dyDescent="0.35">
      <c r="G1072"/>
      <c r="H1072"/>
    </row>
    <row r="1073" spans="7:8" x14ac:dyDescent="0.35">
      <c r="G1073"/>
      <c r="H1073"/>
    </row>
    <row r="1074" spans="7:8" x14ac:dyDescent="0.35">
      <c r="G1074"/>
      <c r="H1074"/>
    </row>
    <row r="1075" spans="7:8" x14ac:dyDescent="0.35">
      <c r="G1075"/>
      <c r="H1075"/>
    </row>
    <row r="1076" spans="7:8" x14ac:dyDescent="0.35">
      <c r="G1076"/>
      <c r="H1076"/>
    </row>
    <row r="1077" spans="7:8" x14ac:dyDescent="0.35">
      <c r="G1077"/>
      <c r="H1077"/>
    </row>
    <row r="1078" spans="7:8" x14ac:dyDescent="0.35">
      <c r="G1078"/>
      <c r="H1078"/>
    </row>
    <row r="1079" spans="7:8" x14ac:dyDescent="0.35">
      <c r="G1079"/>
      <c r="H1079"/>
    </row>
    <row r="1080" spans="7:8" x14ac:dyDescent="0.35">
      <c r="G1080"/>
      <c r="H1080"/>
    </row>
    <row r="1081" spans="7:8" x14ac:dyDescent="0.35">
      <c r="G1081"/>
      <c r="H1081"/>
    </row>
    <row r="1082" spans="7:8" x14ac:dyDescent="0.35">
      <c r="G1082"/>
      <c r="H1082"/>
    </row>
    <row r="1083" spans="7:8" x14ac:dyDescent="0.35">
      <c r="G1083"/>
      <c r="H1083"/>
    </row>
    <row r="1084" spans="7:8" x14ac:dyDescent="0.35">
      <c r="G1084"/>
      <c r="H1084"/>
    </row>
    <row r="1085" spans="7:8" x14ac:dyDescent="0.35">
      <c r="G1085"/>
      <c r="H1085"/>
    </row>
    <row r="1086" spans="7:8" x14ac:dyDescent="0.35">
      <c r="G1086"/>
      <c r="H1086"/>
    </row>
    <row r="1087" spans="7:8" x14ac:dyDescent="0.35">
      <c r="G1087"/>
      <c r="H1087"/>
    </row>
    <row r="1088" spans="7:8" x14ac:dyDescent="0.35">
      <c r="G1088"/>
      <c r="H1088"/>
    </row>
    <row r="1089" spans="7:8" x14ac:dyDescent="0.35">
      <c r="G1089"/>
      <c r="H1089"/>
    </row>
    <row r="1090" spans="7:8" x14ac:dyDescent="0.35">
      <c r="G1090"/>
      <c r="H1090"/>
    </row>
    <row r="1091" spans="7:8" x14ac:dyDescent="0.35">
      <c r="G1091"/>
      <c r="H1091"/>
    </row>
    <row r="1092" spans="7:8" x14ac:dyDescent="0.35">
      <c r="G1092"/>
      <c r="H1092"/>
    </row>
    <row r="1093" spans="7:8" x14ac:dyDescent="0.35">
      <c r="G1093"/>
      <c r="H1093"/>
    </row>
    <row r="1094" spans="7:8" x14ac:dyDescent="0.35">
      <c r="G1094"/>
      <c r="H1094"/>
    </row>
    <row r="1095" spans="7:8" x14ac:dyDescent="0.35">
      <c r="G1095"/>
      <c r="H1095"/>
    </row>
    <row r="1096" spans="7:8" x14ac:dyDescent="0.35">
      <c r="G1096"/>
      <c r="H1096"/>
    </row>
    <row r="1097" spans="7:8" x14ac:dyDescent="0.35">
      <c r="G1097"/>
      <c r="H1097"/>
    </row>
    <row r="1098" spans="7:8" x14ac:dyDescent="0.35">
      <c r="G1098"/>
      <c r="H1098"/>
    </row>
    <row r="1099" spans="7:8" x14ac:dyDescent="0.35">
      <c r="G1099"/>
      <c r="H1099"/>
    </row>
    <row r="1100" spans="7:8" x14ac:dyDescent="0.35">
      <c r="G1100"/>
      <c r="H1100"/>
    </row>
    <row r="1101" spans="7:8" x14ac:dyDescent="0.35">
      <c r="G1101"/>
      <c r="H1101"/>
    </row>
    <row r="1102" spans="7:8" x14ac:dyDescent="0.35">
      <c r="G1102"/>
      <c r="H1102"/>
    </row>
    <row r="1103" spans="7:8" x14ac:dyDescent="0.35">
      <c r="G1103"/>
      <c r="H1103"/>
    </row>
    <row r="1104" spans="7:8" x14ac:dyDescent="0.35">
      <c r="G1104"/>
      <c r="H1104"/>
    </row>
    <row r="1105" spans="7:8" x14ac:dyDescent="0.35">
      <c r="G1105"/>
      <c r="H1105"/>
    </row>
    <row r="1106" spans="7:8" x14ac:dyDescent="0.35">
      <c r="G1106"/>
      <c r="H1106"/>
    </row>
    <row r="1107" spans="7:8" x14ac:dyDescent="0.35">
      <c r="G1107"/>
      <c r="H1107"/>
    </row>
    <row r="1108" spans="7:8" x14ac:dyDescent="0.35">
      <c r="G1108"/>
      <c r="H1108"/>
    </row>
    <row r="1109" spans="7:8" x14ac:dyDescent="0.35">
      <c r="G1109"/>
      <c r="H1109"/>
    </row>
    <row r="1110" spans="7:8" x14ac:dyDescent="0.35">
      <c r="G1110"/>
      <c r="H1110"/>
    </row>
    <row r="1111" spans="7:8" x14ac:dyDescent="0.35">
      <c r="G1111"/>
      <c r="H1111"/>
    </row>
    <row r="1112" spans="7:8" x14ac:dyDescent="0.35">
      <c r="G1112"/>
      <c r="H1112"/>
    </row>
    <row r="1113" spans="7:8" x14ac:dyDescent="0.35">
      <c r="G1113"/>
      <c r="H1113"/>
    </row>
    <row r="1114" spans="7:8" x14ac:dyDescent="0.35">
      <c r="G1114"/>
      <c r="H1114"/>
    </row>
    <row r="1115" spans="7:8" x14ac:dyDescent="0.35">
      <c r="G1115"/>
      <c r="H1115"/>
    </row>
    <row r="1116" spans="7:8" x14ac:dyDescent="0.35">
      <c r="G1116"/>
      <c r="H1116"/>
    </row>
    <row r="1117" spans="7:8" x14ac:dyDescent="0.35">
      <c r="G1117"/>
      <c r="H1117"/>
    </row>
    <row r="1118" spans="7:8" x14ac:dyDescent="0.35">
      <c r="G1118"/>
      <c r="H1118"/>
    </row>
    <row r="1119" spans="7:8" x14ac:dyDescent="0.35">
      <c r="G1119"/>
      <c r="H1119"/>
    </row>
    <row r="1120" spans="7:8" x14ac:dyDescent="0.35">
      <c r="G1120"/>
      <c r="H1120"/>
    </row>
    <row r="1121" spans="7:8" x14ac:dyDescent="0.35">
      <c r="G1121"/>
      <c r="H1121"/>
    </row>
    <row r="1122" spans="7:8" x14ac:dyDescent="0.35">
      <c r="G1122"/>
      <c r="H1122"/>
    </row>
    <row r="1123" spans="7:8" x14ac:dyDescent="0.35">
      <c r="G1123"/>
      <c r="H1123"/>
    </row>
    <row r="1124" spans="7:8" x14ac:dyDescent="0.35">
      <c r="G1124"/>
      <c r="H1124"/>
    </row>
    <row r="1125" spans="7:8" x14ac:dyDescent="0.35">
      <c r="G1125"/>
      <c r="H1125"/>
    </row>
    <row r="1126" spans="7:8" x14ac:dyDescent="0.35">
      <c r="G1126"/>
      <c r="H1126"/>
    </row>
    <row r="1127" spans="7:8" x14ac:dyDescent="0.35">
      <c r="G1127"/>
      <c r="H1127"/>
    </row>
    <row r="1128" spans="7:8" x14ac:dyDescent="0.35">
      <c r="G1128"/>
      <c r="H1128"/>
    </row>
    <row r="1129" spans="7:8" x14ac:dyDescent="0.35">
      <c r="G1129"/>
      <c r="H1129"/>
    </row>
    <row r="1130" spans="7:8" x14ac:dyDescent="0.35">
      <c r="G1130"/>
      <c r="H1130"/>
    </row>
    <row r="1131" spans="7:8" x14ac:dyDescent="0.35">
      <c r="G1131"/>
      <c r="H1131"/>
    </row>
    <row r="1132" spans="7:8" x14ac:dyDescent="0.35">
      <c r="G1132"/>
      <c r="H1132"/>
    </row>
    <row r="1133" spans="7:8" x14ac:dyDescent="0.35">
      <c r="G1133"/>
      <c r="H1133"/>
    </row>
    <row r="1134" spans="7:8" x14ac:dyDescent="0.35">
      <c r="G1134"/>
      <c r="H1134"/>
    </row>
    <row r="1135" spans="7:8" x14ac:dyDescent="0.35">
      <c r="G1135"/>
      <c r="H1135"/>
    </row>
    <row r="1136" spans="7:8" x14ac:dyDescent="0.35">
      <c r="G1136"/>
      <c r="H1136"/>
    </row>
    <row r="1137" spans="7:8" x14ac:dyDescent="0.35">
      <c r="G1137"/>
      <c r="H1137"/>
    </row>
    <row r="1138" spans="7:8" x14ac:dyDescent="0.35">
      <c r="G1138"/>
      <c r="H1138"/>
    </row>
    <row r="1139" spans="7:8" x14ac:dyDescent="0.35">
      <c r="G1139"/>
      <c r="H1139"/>
    </row>
    <row r="1140" spans="7:8" x14ac:dyDescent="0.35">
      <c r="G1140"/>
      <c r="H1140"/>
    </row>
    <row r="1141" spans="7:8" x14ac:dyDescent="0.35">
      <c r="G1141"/>
      <c r="H1141"/>
    </row>
    <row r="1142" spans="7:8" x14ac:dyDescent="0.35">
      <c r="G1142"/>
      <c r="H1142"/>
    </row>
    <row r="1143" spans="7:8" x14ac:dyDescent="0.35">
      <c r="G1143"/>
      <c r="H1143"/>
    </row>
    <row r="1144" spans="7:8" x14ac:dyDescent="0.35">
      <c r="G1144"/>
      <c r="H1144"/>
    </row>
    <row r="1145" spans="7:8" x14ac:dyDescent="0.35">
      <c r="G1145"/>
      <c r="H1145"/>
    </row>
    <row r="1146" spans="7:8" x14ac:dyDescent="0.35">
      <c r="G1146"/>
      <c r="H1146"/>
    </row>
    <row r="1147" spans="7:8" x14ac:dyDescent="0.35">
      <c r="G1147"/>
      <c r="H1147"/>
    </row>
    <row r="1148" spans="7:8" x14ac:dyDescent="0.35">
      <c r="G1148"/>
      <c r="H1148"/>
    </row>
    <row r="1149" spans="7:8" x14ac:dyDescent="0.35">
      <c r="G1149"/>
      <c r="H1149"/>
    </row>
    <row r="1150" spans="7:8" x14ac:dyDescent="0.35">
      <c r="G1150"/>
      <c r="H1150"/>
    </row>
    <row r="1151" spans="7:8" x14ac:dyDescent="0.35">
      <c r="G1151"/>
      <c r="H1151"/>
    </row>
    <row r="1152" spans="7:8" x14ac:dyDescent="0.35">
      <c r="G1152"/>
      <c r="H1152"/>
    </row>
    <row r="1153" spans="7:8" x14ac:dyDescent="0.35">
      <c r="G1153"/>
      <c r="H1153"/>
    </row>
    <row r="1154" spans="7:8" x14ac:dyDescent="0.35">
      <c r="G1154"/>
      <c r="H1154"/>
    </row>
    <row r="1155" spans="7:8" x14ac:dyDescent="0.35">
      <c r="G1155"/>
      <c r="H1155"/>
    </row>
    <row r="1156" spans="7:8" x14ac:dyDescent="0.35">
      <c r="G1156"/>
      <c r="H1156"/>
    </row>
    <row r="1157" spans="7:8" x14ac:dyDescent="0.35">
      <c r="G1157"/>
      <c r="H1157"/>
    </row>
    <row r="1158" spans="7:8" x14ac:dyDescent="0.35">
      <c r="G1158"/>
      <c r="H1158"/>
    </row>
    <row r="1159" spans="7:8" x14ac:dyDescent="0.35">
      <c r="G1159"/>
      <c r="H1159"/>
    </row>
    <row r="1160" spans="7:8" x14ac:dyDescent="0.35">
      <c r="G1160"/>
      <c r="H1160"/>
    </row>
    <row r="1161" spans="7:8" x14ac:dyDescent="0.35">
      <c r="G1161"/>
      <c r="H1161"/>
    </row>
    <row r="1162" spans="7:8" x14ac:dyDescent="0.35">
      <c r="G1162"/>
      <c r="H1162"/>
    </row>
    <row r="1163" spans="7:8" x14ac:dyDescent="0.35">
      <c r="G1163"/>
      <c r="H1163"/>
    </row>
    <row r="1164" spans="7:8" x14ac:dyDescent="0.35">
      <c r="G1164"/>
      <c r="H1164"/>
    </row>
    <row r="1165" spans="7:8" x14ac:dyDescent="0.35">
      <c r="G1165"/>
      <c r="H1165"/>
    </row>
    <row r="1166" spans="7:8" x14ac:dyDescent="0.35">
      <c r="G1166"/>
      <c r="H1166"/>
    </row>
    <row r="1167" spans="7:8" x14ac:dyDescent="0.35">
      <c r="G1167"/>
      <c r="H1167"/>
    </row>
    <row r="1168" spans="7:8" x14ac:dyDescent="0.35">
      <c r="G1168"/>
      <c r="H1168"/>
    </row>
    <row r="1169" spans="7:8" x14ac:dyDescent="0.35">
      <c r="G1169"/>
      <c r="H1169"/>
    </row>
    <row r="1170" spans="7:8" x14ac:dyDescent="0.35">
      <c r="G1170"/>
      <c r="H1170"/>
    </row>
    <row r="1171" spans="7:8" x14ac:dyDescent="0.35">
      <c r="G1171"/>
      <c r="H1171"/>
    </row>
    <row r="1172" spans="7:8" x14ac:dyDescent="0.35">
      <c r="G1172"/>
      <c r="H1172"/>
    </row>
    <row r="1173" spans="7:8" x14ac:dyDescent="0.35">
      <c r="G1173"/>
      <c r="H1173"/>
    </row>
    <row r="1174" spans="7:8" x14ac:dyDescent="0.35">
      <c r="G1174"/>
      <c r="H1174"/>
    </row>
    <row r="1175" spans="7:8" x14ac:dyDescent="0.35">
      <c r="G1175"/>
      <c r="H1175"/>
    </row>
    <row r="1176" spans="7:8" x14ac:dyDescent="0.35">
      <c r="G1176"/>
      <c r="H1176"/>
    </row>
    <row r="1177" spans="7:8" x14ac:dyDescent="0.35">
      <c r="G1177"/>
      <c r="H1177"/>
    </row>
    <row r="1178" spans="7:8" x14ac:dyDescent="0.35">
      <c r="G1178"/>
      <c r="H1178"/>
    </row>
    <row r="1179" spans="7:8" x14ac:dyDescent="0.35">
      <c r="G1179"/>
      <c r="H1179"/>
    </row>
    <row r="1180" spans="7:8" x14ac:dyDescent="0.35">
      <c r="G1180"/>
      <c r="H1180"/>
    </row>
    <row r="1181" spans="7:8" x14ac:dyDescent="0.35">
      <c r="G1181"/>
      <c r="H1181"/>
    </row>
    <row r="1182" spans="7:8" x14ac:dyDescent="0.35">
      <c r="G1182"/>
      <c r="H1182"/>
    </row>
    <row r="1183" spans="7:8" x14ac:dyDescent="0.35">
      <c r="G1183"/>
      <c r="H1183"/>
    </row>
    <row r="1184" spans="7:8" x14ac:dyDescent="0.35">
      <c r="G1184"/>
      <c r="H1184"/>
    </row>
    <row r="1185" spans="7:8" x14ac:dyDescent="0.35">
      <c r="G1185"/>
      <c r="H1185"/>
    </row>
    <row r="1186" spans="7:8" x14ac:dyDescent="0.35">
      <c r="G1186"/>
      <c r="H1186"/>
    </row>
    <row r="1187" spans="7:8" x14ac:dyDescent="0.35">
      <c r="G1187"/>
      <c r="H1187"/>
    </row>
    <row r="1188" spans="7:8" x14ac:dyDescent="0.35">
      <c r="G1188"/>
      <c r="H1188"/>
    </row>
    <row r="1189" spans="7:8" x14ac:dyDescent="0.35">
      <c r="G1189"/>
      <c r="H1189"/>
    </row>
    <row r="1190" spans="7:8" x14ac:dyDescent="0.35">
      <c r="G1190"/>
      <c r="H1190"/>
    </row>
    <row r="1191" spans="7:8" x14ac:dyDescent="0.35">
      <c r="G1191"/>
      <c r="H1191"/>
    </row>
    <row r="1192" spans="7:8" x14ac:dyDescent="0.35">
      <c r="G1192"/>
      <c r="H1192"/>
    </row>
    <row r="1193" spans="7:8" x14ac:dyDescent="0.35">
      <c r="G1193"/>
      <c r="H1193"/>
    </row>
    <row r="1194" spans="7:8" x14ac:dyDescent="0.35">
      <c r="G1194"/>
      <c r="H1194"/>
    </row>
    <row r="1195" spans="7:8" x14ac:dyDescent="0.35">
      <c r="G1195"/>
      <c r="H1195"/>
    </row>
    <row r="1196" spans="7:8" x14ac:dyDescent="0.35">
      <c r="G1196"/>
      <c r="H1196"/>
    </row>
    <row r="1197" spans="7:8" x14ac:dyDescent="0.35">
      <c r="G1197"/>
      <c r="H1197"/>
    </row>
    <row r="1198" spans="7:8" x14ac:dyDescent="0.35">
      <c r="G1198"/>
      <c r="H1198"/>
    </row>
    <row r="1199" spans="7:8" x14ac:dyDescent="0.35">
      <c r="G1199"/>
      <c r="H1199"/>
    </row>
    <row r="1200" spans="7:8" x14ac:dyDescent="0.35">
      <c r="G1200"/>
      <c r="H1200"/>
    </row>
    <row r="1201" spans="7:8" x14ac:dyDescent="0.35">
      <c r="G1201"/>
      <c r="H1201"/>
    </row>
    <row r="1202" spans="7:8" x14ac:dyDescent="0.35">
      <c r="G1202"/>
      <c r="H1202"/>
    </row>
    <row r="1203" spans="7:8" x14ac:dyDescent="0.35">
      <c r="G1203"/>
      <c r="H1203"/>
    </row>
    <row r="1204" spans="7:8" x14ac:dyDescent="0.35">
      <c r="G1204"/>
      <c r="H1204"/>
    </row>
    <row r="1205" spans="7:8" x14ac:dyDescent="0.35">
      <c r="G1205"/>
      <c r="H1205"/>
    </row>
    <row r="1206" spans="7:8" x14ac:dyDescent="0.35">
      <c r="G1206"/>
      <c r="H1206"/>
    </row>
    <row r="1207" spans="7:8" x14ac:dyDescent="0.35">
      <c r="G1207"/>
      <c r="H1207"/>
    </row>
    <row r="1208" spans="7:8" x14ac:dyDescent="0.35">
      <c r="G1208"/>
      <c r="H1208"/>
    </row>
    <row r="1209" spans="7:8" x14ac:dyDescent="0.35">
      <c r="G1209"/>
      <c r="H1209"/>
    </row>
    <row r="1210" spans="7:8" x14ac:dyDescent="0.35">
      <c r="G1210"/>
      <c r="H1210"/>
    </row>
    <row r="1211" spans="7:8" x14ac:dyDescent="0.35">
      <c r="G1211"/>
      <c r="H1211"/>
    </row>
    <row r="1212" spans="7:8" x14ac:dyDescent="0.35">
      <c r="G1212"/>
      <c r="H1212"/>
    </row>
    <row r="1213" spans="7:8" x14ac:dyDescent="0.35">
      <c r="G1213"/>
      <c r="H1213"/>
    </row>
    <row r="1214" spans="7:8" x14ac:dyDescent="0.35">
      <c r="G1214"/>
      <c r="H1214"/>
    </row>
    <row r="1215" spans="7:8" x14ac:dyDescent="0.35">
      <c r="G1215"/>
      <c r="H1215"/>
    </row>
    <row r="1216" spans="7:8" x14ac:dyDescent="0.35">
      <c r="G1216"/>
      <c r="H1216"/>
    </row>
    <row r="1217" spans="7:8" x14ac:dyDescent="0.35">
      <c r="G1217"/>
      <c r="H1217"/>
    </row>
    <row r="1218" spans="7:8" x14ac:dyDescent="0.35">
      <c r="G1218"/>
      <c r="H1218"/>
    </row>
    <row r="1219" spans="7:8" x14ac:dyDescent="0.35">
      <c r="G1219"/>
      <c r="H1219"/>
    </row>
    <row r="1220" spans="7:8" x14ac:dyDescent="0.35">
      <c r="G1220"/>
      <c r="H1220"/>
    </row>
    <row r="1221" spans="7:8" x14ac:dyDescent="0.35">
      <c r="G1221"/>
      <c r="H1221"/>
    </row>
    <row r="1222" spans="7:8" x14ac:dyDescent="0.35">
      <c r="G1222"/>
      <c r="H1222"/>
    </row>
    <row r="1223" spans="7:8" x14ac:dyDescent="0.35">
      <c r="G1223"/>
      <c r="H1223"/>
    </row>
    <row r="1224" spans="7:8" x14ac:dyDescent="0.35">
      <c r="G1224"/>
      <c r="H1224"/>
    </row>
    <row r="1225" spans="7:8" x14ac:dyDescent="0.35">
      <c r="G1225"/>
      <c r="H1225"/>
    </row>
    <row r="1226" spans="7:8" x14ac:dyDescent="0.35">
      <c r="G1226"/>
      <c r="H1226"/>
    </row>
    <row r="1227" spans="7:8" x14ac:dyDescent="0.35">
      <c r="G1227"/>
      <c r="H1227"/>
    </row>
    <row r="1228" spans="7:8" x14ac:dyDescent="0.35">
      <c r="G1228"/>
      <c r="H1228"/>
    </row>
    <row r="1229" spans="7:8" x14ac:dyDescent="0.35">
      <c r="G1229"/>
      <c r="H1229"/>
    </row>
    <row r="1230" spans="7:8" x14ac:dyDescent="0.35">
      <c r="G1230"/>
      <c r="H1230"/>
    </row>
    <row r="1231" spans="7:8" x14ac:dyDescent="0.35">
      <c r="G1231"/>
      <c r="H1231"/>
    </row>
    <row r="1232" spans="7:8" x14ac:dyDescent="0.35">
      <c r="G1232"/>
      <c r="H1232"/>
    </row>
    <row r="1233" spans="7:8" x14ac:dyDescent="0.35">
      <c r="G1233"/>
      <c r="H1233"/>
    </row>
    <row r="1234" spans="7:8" x14ac:dyDescent="0.35">
      <c r="G1234"/>
      <c r="H1234"/>
    </row>
    <row r="1235" spans="7:8" x14ac:dyDescent="0.35">
      <c r="G1235"/>
      <c r="H1235"/>
    </row>
    <row r="1236" spans="7:8" x14ac:dyDescent="0.35">
      <c r="G1236"/>
      <c r="H1236"/>
    </row>
    <row r="1237" spans="7:8" x14ac:dyDescent="0.35">
      <c r="G1237"/>
      <c r="H1237"/>
    </row>
    <row r="1238" spans="7:8" x14ac:dyDescent="0.35">
      <c r="G1238"/>
      <c r="H1238"/>
    </row>
    <row r="1239" spans="7:8" x14ac:dyDescent="0.35">
      <c r="G1239"/>
      <c r="H1239"/>
    </row>
    <row r="1240" spans="7:8" x14ac:dyDescent="0.35">
      <c r="G1240"/>
      <c r="H1240"/>
    </row>
    <row r="1241" spans="7:8" x14ac:dyDescent="0.35">
      <c r="G1241"/>
      <c r="H1241"/>
    </row>
    <row r="1242" spans="7:8" x14ac:dyDescent="0.35">
      <c r="G1242"/>
      <c r="H1242"/>
    </row>
    <row r="1243" spans="7:8" x14ac:dyDescent="0.35">
      <c r="G1243"/>
      <c r="H1243"/>
    </row>
    <row r="1244" spans="7:8" x14ac:dyDescent="0.35">
      <c r="G1244"/>
      <c r="H1244"/>
    </row>
    <row r="1245" spans="7:8" x14ac:dyDescent="0.35">
      <c r="G1245"/>
      <c r="H1245"/>
    </row>
    <row r="1246" spans="7:8" x14ac:dyDescent="0.35">
      <c r="G1246"/>
      <c r="H1246"/>
    </row>
    <row r="1247" spans="7:8" x14ac:dyDescent="0.35">
      <c r="G1247"/>
      <c r="H1247"/>
    </row>
    <row r="1248" spans="7:8" x14ac:dyDescent="0.35">
      <c r="G1248"/>
      <c r="H1248"/>
    </row>
    <row r="1249" spans="7:8" x14ac:dyDescent="0.35">
      <c r="G1249"/>
      <c r="H1249"/>
    </row>
    <row r="1250" spans="7:8" x14ac:dyDescent="0.35">
      <c r="G1250"/>
      <c r="H1250"/>
    </row>
    <row r="1251" spans="7:8" x14ac:dyDescent="0.35">
      <c r="G1251"/>
      <c r="H1251"/>
    </row>
    <row r="1252" spans="7:8" x14ac:dyDescent="0.35">
      <c r="G1252"/>
      <c r="H1252"/>
    </row>
    <row r="1253" spans="7:8" x14ac:dyDescent="0.35">
      <c r="G1253"/>
      <c r="H1253"/>
    </row>
    <row r="1254" spans="7:8" x14ac:dyDescent="0.35">
      <c r="G1254"/>
      <c r="H1254"/>
    </row>
    <row r="1255" spans="7:8" x14ac:dyDescent="0.35">
      <c r="G1255"/>
      <c r="H1255"/>
    </row>
    <row r="1256" spans="7:8" x14ac:dyDescent="0.35">
      <c r="G1256"/>
      <c r="H1256"/>
    </row>
    <row r="1257" spans="7:8" x14ac:dyDescent="0.35">
      <c r="G1257"/>
      <c r="H1257"/>
    </row>
    <row r="1258" spans="7:8" x14ac:dyDescent="0.35">
      <c r="G1258"/>
      <c r="H1258"/>
    </row>
    <row r="1259" spans="7:8" x14ac:dyDescent="0.35">
      <c r="G1259"/>
      <c r="H1259"/>
    </row>
    <row r="1260" spans="7:8" x14ac:dyDescent="0.35">
      <c r="G1260"/>
      <c r="H1260"/>
    </row>
    <row r="1261" spans="7:8" x14ac:dyDescent="0.35">
      <c r="G1261"/>
      <c r="H1261"/>
    </row>
    <row r="1262" spans="7:8" x14ac:dyDescent="0.35">
      <c r="G1262"/>
      <c r="H1262"/>
    </row>
    <row r="1263" spans="7:8" x14ac:dyDescent="0.35">
      <c r="G1263"/>
      <c r="H1263"/>
    </row>
    <row r="1264" spans="7:8" x14ac:dyDescent="0.35">
      <c r="G1264"/>
      <c r="H1264"/>
    </row>
    <row r="1265" spans="7:8" x14ac:dyDescent="0.35">
      <c r="G1265"/>
      <c r="H1265"/>
    </row>
    <row r="1266" spans="7:8" x14ac:dyDescent="0.35">
      <c r="G1266"/>
      <c r="H1266"/>
    </row>
    <row r="1267" spans="7:8" x14ac:dyDescent="0.35">
      <c r="G1267"/>
      <c r="H1267"/>
    </row>
    <row r="1268" spans="7:8" x14ac:dyDescent="0.35">
      <c r="G1268"/>
      <c r="H1268"/>
    </row>
    <row r="1269" spans="7:8" x14ac:dyDescent="0.35">
      <c r="G1269"/>
      <c r="H1269"/>
    </row>
    <row r="1270" spans="7:8" x14ac:dyDescent="0.35">
      <c r="G1270"/>
      <c r="H1270"/>
    </row>
    <row r="1271" spans="7:8" x14ac:dyDescent="0.35">
      <c r="G1271"/>
      <c r="H1271"/>
    </row>
    <row r="1272" spans="7:8" x14ac:dyDescent="0.35">
      <c r="G1272"/>
      <c r="H1272"/>
    </row>
    <row r="1273" spans="7:8" x14ac:dyDescent="0.35">
      <c r="G1273"/>
      <c r="H1273"/>
    </row>
    <row r="1274" spans="7:8" x14ac:dyDescent="0.35">
      <c r="G1274"/>
      <c r="H1274"/>
    </row>
    <row r="1275" spans="7:8" x14ac:dyDescent="0.35">
      <c r="G1275"/>
      <c r="H1275"/>
    </row>
    <row r="1276" spans="7:8" x14ac:dyDescent="0.35">
      <c r="G1276"/>
      <c r="H1276"/>
    </row>
    <row r="1277" spans="7:8" x14ac:dyDescent="0.35">
      <c r="G1277"/>
      <c r="H1277"/>
    </row>
    <row r="1278" spans="7:8" x14ac:dyDescent="0.35">
      <c r="G1278"/>
      <c r="H1278"/>
    </row>
    <row r="1279" spans="7:8" x14ac:dyDescent="0.35">
      <c r="G1279"/>
      <c r="H1279"/>
    </row>
    <row r="1280" spans="7:8" x14ac:dyDescent="0.35">
      <c r="G1280"/>
      <c r="H1280"/>
    </row>
    <row r="1281" spans="7:8" x14ac:dyDescent="0.35">
      <c r="G1281"/>
      <c r="H1281"/>
    </row>
    <row r="1282" spans="7:8" x14ac:dyDescent="0.35">
      <c r="G1282"/>
      <c r="H1282"/>
    </row>
    <row r="1283" spans="7:8" x14ac:dyDescent="0.35">
      <c r="G1283"/>
      <c r="H1283"/>
    </row>
    <row r="1284" spans="7:8" x14ac:dyDescent="0.35">
      <c r="G1284"/>
      <c r="H1284"/>
    </row>
    <row r="1285" spans="7:8" x14ac:dyDescent="0.35">
      <c r="G1285"/>
      <c r="H1285"/>
    </row>
    <row r="1286" spans="7:8" x14ac:dyDescent="0.35">
      <c r="G1286"/>
      <c r="H1286"/>
    </row>
    <row r="1287" spans="7:8" x14ac:dyDescent="0.35">
      <c r="G1287"/>
      <c r="H1287"/>
    </row>
    <row r="1288" spans="7:8" x14ac:dyDescent="0.35">
      <c r="G1288"/>
      <c r="H1288"/>
    </row>
    <row r="1289" spans="7:8" x14ac:dyDescent="0.35">
      <c r="G1289"/>
      <c r="H1289"/>
    </row>
    <row r="1290" spans="7:8" x14ac:dyDescent="0.35">
      <c r="G1290"/>
      <c r="H1290"/>
    </row>
    <row r="1291" spans="7:8" x14ac:dyDescent="0.35">
      <c r="G1291"/>
      <c r="H1291"/>
    </row>
    <row r="1292" spans="7:8" x14ac:dyDescent="0.35">
      <c r="G1292"/>
      <c r="H1292"/>
    </row>
    <row r="1293" spans="7:8" x14ac:dyDescent="0.35">
      <c r="G1293"/>
      <c r="H1293"/>
    </row>
    <row r="1294" spans="7:8" x14ac:dyDescent="0.35">
      <c r="G1294"/>
      <c r="H1294"/>
    </row>
    <row r="1295" spans="7:8" x14ac:dyDescent="0.35">
      <c r="G1295"/>
      <c r="H1295"/>
    </row>
    <row r="1296" spans="7:8" x14ac:dyDescent="0.35">
      <c r="G1296"/>
      <c r="H1296"/>
    </row>
    <row r="1297" spans="7:8" x14ac:dyDescent="0.35">
      <c r="G1297"/>
      <c r="H1297"/>
    </row>
    <row r="1298" spans="7:8" x14ac:dyDescent="0.35">
      <c r="G1298"/>
      <c r="H1298"/>
    </row>
    <row r="1299" spans="7:8" x14ac:dyDescent="0.35">
      <c r="G1299"/>
      <c r="H1299"/>
    </row>
    <row r="1300" spans="7:8" x14ac:dyDescent="0.35">
      <c r="G1300"/>
      <c r="H1300"/>
    </row>
    <row r="1301" spans="7:8" x14ac:dyDescent="0.35">
      <c r="G1301"/>
      <c r="H1301"/>
    </row>
    <row r="1302" spans="7:8" x14ac:dyDescent="0.35">
      <c r="G1302"/>
      <c r="H1302"/>
    </row>
    <row r="1303" spans="7:8" x14ac:dyDescent="0.35">
      <c r="G1303"/>
      <c r="H1303"/>
    </row>
    <row r="1304" spans="7:8" x14ac:dyDescent="0.35">
      <c r="G1304"/>
      <c r="H1304"/>
    </row>
    <row r="1305" spans="7:8" x14ac:dyDescent="0.35">
      <c r="G1305"/>
      <c r="H1305"/>
    </row>
    <row r="1306" spans="7:8" x14ac:dyDescent="0.35">
      <c r="G1306"/>
      <c r="H1306"/>
    </row>
    <row r="1307" spans="7:8" x14ac:dyDescent="0.35">
      <c r="G1307"/>
      <c r="H1307"/>
    </row>
    <row r="1308" spans="7:8" x14ac:dyDescent="0.35">
      <c r="G1308"/>
      <c r="H1308"/>
    </row>
    <row r="1309" spans="7:8" x14ac:dyDescent="0.35">
      <c r="G1309"/>
      <c r="H1309"/>
    </row>
    <row r="1310" spans="7:8" x14ac:dyDescent="0.35">
      <c r="G1310"/>
      <c r="H1310"/>
    </row>
    <row r="1311" spans="7:8" x14ac:dyDescent="0.35">
      <c r="G1311"/>
      <c r="H1311"/>
    </row>
    <row r="1312" spans="7:8" x14ac:dyDescent="0.35">
      <c r="G1312"/>
      <c r="H1312"/>
    </row>
    <row r="1313" spans="7:8" x14ac:dyDescent="0.35">
      <c r="G1313"/>
      <c r="H1313"/>
    </row>
    <row r="1314" spans="7:8" x14ac:dyDescent="0.35">
      <c r="G1314"/>
      <c r="H1314"/>
    </row>
    <row r="1315" spans="7:8" x14ac:dyDescent="0.35">
      <c r="G1315"/>
      <c r="H1315"/>
    </row>
    <row r="1316" spans="7:8" x14ac:dyDescent="0.35">
      <c r="G1316"/>
      <c r="H1316"/>
    </row>
    <row r="1317" spans="7:8" x14ac:dyDescent="0.35">
      <c r="G1317"/>
      <c r="H1317"/>
    </row>
    <row r="1318" spans="7:8" x14ac:dyDescent="0.35">
      <c r="G1318"/>
      <c r="H1318"/>
    </row>
    <row r="1319" spans="7:8" x14ac:dyDescent="0.35">
      <c r="G1319"/>
      <c r="H1319"/>
    </row>
    <row r="1320" spans="7:8" x14ac:dyDescent="0.35">
      <c r="G1320"/>
      <c r="H1320"/>
    </row>
    <row r="1321" spans="7:8" x14ac:dyDescent="0.35">
      <c r="G1321"/>
      <c r="H1321"/>
    </row>
    <row r="1322" spans="7:8" x14ac:dyDescent="0.35">
      <c r="G1322"/>
      <c r="H1322"/>
    </row>
    <row r="1323" spans="7:8" x14ac:dyDescent="0.35">
      <c r="G1323"/>
      <c r="H1323"/>
    </row>
    <row r="1324" spans="7:8" x14ac:dyDescent="0.35">
      <c r="G1324"/>
      <c r="H1324"/>
    </row>
    <row r="1325" spans="7:8" x14ac:dyDescent="0.35">
      <c r="G1325"/>
      <c r="H1325"/>
    </row>
    <row r="1326" spans="7:8" x14ac:dyDescent="0.35">
      <c r="G1326"/>
      <c r="H1326"/>
    </row>
    <row r="1327" spans="7:8" x14ac:dyDescent="0.35">
      <c r="G1327"/>
      <c r="H1327"/>
    </row>
    <row r="1328" spans="7:8" x14ac:dyDescent="0.35">
      <c r="G1328"/>
      <c r="H1328"/>
    </row>
    <row r="1329" spans="7:8" x14ac:dyDescent="0.35">
      <c r="G1329"/>
      <c r="H1329"/>
    </row>
    <row r="1330" spans="7:8" x14ac:dyDescent="0.35">
      <c r="G1330"/>
      <c r="H1330"/>
    </row>
    <row r="1331" spans="7:8" x14ac:dyDescent="0.35">
      <c r="G1331"/>
      <c r="H1331"/>
    </row>
    <row r="1332" spans="7:8" x14ac:dyDescent="0.35">
      <c r="G1332"/>
      <c r="H1332"/>
    </row>
    <row r="1333" spans="7:8" x14ac:dyDescent="0.35">
      <c r="G1333"/>
      <c r="H1333"/>
    </row>
    <row r="1334" spans="7:8" x14ac:dyDescent="0.35">
      <c r="G1334"/>
      <c r="H1334"/>
    </row>
    <row r="1335" spans="7:8" x14ac:dyDescent="0.35">
      <c r="G1335"/>
      <c r="H1335"/>
    </row>
    <row r="1336" spans="7:8" x14ac:dyDescent="0.35">
      <c r="G1336"/>
      <c r="H1336"/>
    </row>
    <row r="1337" spans="7:8" x14ac:dyDescent="0.35">
      <c r="G1337"/>
      <c r="H1337"/>
    </row>
    <row r="1338" spans="7:8" x14ac:dyDescent="0.35">
      <c r="G1338"/>
      <c r="H1338"/>
    </row>
    <row r="1339" spans="7:8" x14ac:dyDescent="0.35">
      <c r="G1339"/>
      <c r="H1339"/>
    </row>
    <row r="1340" spans="7:8" x14ac:dyDescent="0.35">
      <c r="G1340"/>
      <c r="H1340"/>
    </row>
    <row r="1341" spans="7:8" x14ac:dyDescent="0.35">
      <c r="G1341"/>
      <c r="H1341"/>
    </row>
    <row r="1342" spans="7:8" x14ac:dyDescent="0.35">
      <c r="G1342"/>
      <c r="H1342"/>
    </row>
    <row r="1343" spans="7:8" x14ac:dyDescent="0.35">
      <c r="G1343"/>
      <c r="H1343"/>
    </row>
    <row r="1344" spans="7:8" x14ac:dyDescent="0.35">
      <c r="G1344"/>
      <c r="H1344"/>
    </row>
    <row r="1345" spans="7:8" x14ac:dyDescent="0.35">
      <c r="G1345"/>
      <c r="H1345"/>
    </row>
    <row r="1346" spans="7:8" x14ac:dyDescent="0.35">
      <c r="G1346"/>
      <c r="H1346"/>
    </row>
    <row r="1347" spans="7:8" x14ac:dyDescent="0.35">
      <c r="G1347"/>
      <c r="H1347"/>
    </row>
    <row r="1348" spans="7:8" x14ac:dyDescent="0.35">
      <c r="G1348"/>
      <c r="H1348"/>
    </row>
    <row r="1349" spans="7:8" x14ac:dyDescent="0.35">
      <c r="G1349"/>
      <c r="H1349"/>
    </row>
    <row r="1350" spans="7:8" x14ac:dyDescent="0.35">
      <c r="G1350"/>
      <c r="H1350"/>
    </row>
    <row r="1351" spans="7:8" x14ac:dyDescent="0.35">
      <c r="G1351"/>
      <c r="H1351"/>
    </row>
    <row r="1352" spans="7:8" x14ac:dyDescent="0.35">
      <c r="G1352"/>
      <c r="H1352"/>
    </row>
    <row r="1353" spans="7:8" x14ac:dyDescent="0.35">
      <c r="G1353"/>
      <c r="H1353"/>
    </row>
    <row r="1354" spans="7:8" x14ac:dyDescent="0.35">
      <c r="G1354"/>
      <c r="H1354"/>
    </row>
    <row r="1355" spans="7:8" x14ac:dyDescent="0.35">
      <c r="G1355"/>
      <c r="H1355"/>
    </row>
    <row r="1356" spans="7:8" x14ac:dyDescent="0.35">
      <c r="G1356"/>
      <c r="H1356"/>
    </row>
    <row r="1357" spans="7:8" x14ac:dyDescent="0.35">
      <c r="G1357"/>
      <c r="H1357"/>
    </row>
    <row r="1358" spans="7:8" x14ac:dyDescent="0.35">
      <c r="G1358"/>
      <c r="H1358"/>
    </row>
    <row r="1359" spans="7:8" x14ac:dyDescent="0.35">
      <c r="G1359"/>
      <c r="H1359"/>
    </row>
    <row r="1360" spans="7:8" x14ac:dyDescent="0.35">
      <c r="G1360"/>
      <c r="H1360"/>
    </row>
    <row r="1361" spans="7:8" x14ac:dyDescent="0.35">
      <c r="G1361"/>
      <c r="H1361"/>
    </row>
    <row r="1362" spans="7:8" x14ac:dyDescent="0.35">
      <c r="G1362"/>
      <c r="H1362"/>
    </row>
    <row r="1363" spans="7:8" x14ac:dyDescent="0.35">
      <c r="G1363"/>
      <c r="H1363"/>
    </row>
    <row r="1364" spans="7:8" x14ac:dyDescent="0.35">
      <c r="G1364"/>
      <c r="H1364"/>
    </row>
    <row r="1365" spans="7:8" x14ac:dyDescent="0.35">
      <c r="G1365"/>
      <c r="H1365"/>
    </row>
    <row r="1366" spans="7:8" x14ac:dyDescent="0.35">
      <c r="G1366"/>
      <c r="H1366"/>
    </row>
    <row r="1367" spans="7:8" x14ac:dyDescent="0.35">
      <c r="G1367"/>
      <c r="H1367"/>
    </row>
    <row r="1368" spans="7:8" x14ac:dyDescent="0.35">
      <c r="G1368"/>
      <c r="H1368"/>
    </row>
    <row r="1369" spans="7:8" x14ac:dyDescent="0.35">
      <c r="G1369"/>
      <c r="H1369"/>
    </row>
    <row r="1370" spans="7:8" x14ac:dyDescent="0.35">
      <c r="G1370"/>
      <c r="H1370"/>
    </row>
    <row r="1371" spans="7:8" x14ac:dyDescent="0.35">
      <c r="G1371"/>
      <c r="H1371"/>
    </row>
    <row r="1372" spans="7:8" x14ac:dyDescent="0.35">
      <c r="G1372"/>
      <c r="H1372"/>
    </row>
    <row r="1373" spans="7:8" x14ac:dyDescent="0.35">
      <c r="G1373"/>
      <c r="H1373"/>
    </row>
    <row r="1374" spans="7:8" x14ac:dyDescent="0.35">
      <c r="G1374"/>
      <c r="H1374"/>
    </row>
    <row r="1375" spans="7:8" x14ac:dyDescent="0.35">
      <c r="G1375"/>
      <c r="H1375"/>
    </row>
    <row r="1376" spans="7:8" x14ac:dyDescent="0.35">
      <c r="G1376"/>
      <c r="H1376"/>
    </row>
    <row r="1377" spans="7:8" x14ac:dyDescent="0.35">
      <c r="G1377"/>
      <c r="H1377"/>
    </row>
    <row r="1378" spans="7:8" x14ac:dyDescent="0.35">
      <c r="G1378"/>
      <c r="H1378"/>
    </row>
    <row r="1379" spans="7:8" x14ac:dyDescent="0.35">
      <c r="G1379"/>
      <c r="H1379"/>
    </row>
    <row r="1380" spans="7:8" x14ac:dyDescent="0.35">
      <c r="G1380"/>
      <c r="H1380"/>
    </row>
    <row r="1381" spans="7:8" x14ac:dyDescent="0.35">
      <c r="G1381"/>
      <c r="H1381"/>
    </row>
    <row r="1382" spans="7:8" x14ac:dyDescent="0.35">
      <c r="G1382"/>
      <c r="H1382"/>
    </row>
    <row r="1383" spans="7:8" x14ac:dyDescent="0.35">
      <c r="G1383"/>
      <c r="H1383"/>
    </row>
    <row r="1384" spans="7:8" x14ac:dyDescent="0.35">
      <c r="G1384"/>
      <c r="H1384"/>
    </row>
    <row r="1385" spans="7:8" x14ac:dyDescent="0.35">
      <c r="G1385"/>
      <c r="H1385"/>
    </row>
    <row r="1386" spans="7:8" x14ac:dyDescent="0.35">
      <c r="G1386"/>
      <c r="H1386"/>
    </row>
    <row r="1387" spans="7:8" x14ac:dyDescent="0.35">
      <c r="G1387"/>
      <c r="H1387"/>
    </row>
    <row r="1388" spans="7:8" x14ac:dyDescent="0.35">
      <c r="G1388"/>
      <c r="H1388"/>
    </row>
    <row r="1389" spans="7:8" x14ac:dyDescent="0.35">
      <c r="G1389"/>
      <c r="H1389"/>
    </row>
    <row r="1390" spans="7:8" x14ac:dyDescent="0.35">
      <c r="G1390"/>
      <c r="H1390"/>
    </row>
    <row r="1391" spans="7:8" x14ac:dyDescent="0.35">
      <c r="G1391"/>
      <c r="H1391"/>
    </row>
    <row r="1392" spans="7:8" x14ac:dyDescent="0.35">
      <c r="G1392"/>
      <c r="H1392"/>
    </row>
    <row r="1393" spans="7:8" x14ac:dyDescent="0.35">
      <c r="G1393"/>
      <c r="H1393"/>
    </row>
    <row r="1394" spans="7:8" x14ac:dyDescent="0.35">
      <c r="G1394"/>
      <c r="H1394"/>
    </row>
    <row r="1395" spans="7:8" x14ac:dyDescent="0.35">
      <c r="G1395"/>
      <c r="H1395"/>
    </row>
    <row r="1396" spans="7:8" x14ac:dyDescent="0.35">
      <c r="G1396"/>
      <c r="H1396"/>
    </row>
    <row r="1397" spans="7:8" x14ac:dyDescent="0.35">
      <c r="G1397"/>
      <c r="H1397"/>
    </row>
    <row r="1398" spans="7:8" x14ac:dyDescent="0.35">
      <c r="G1398"/>
      <c r="H1398"/>
    </row>
    <row r="1399" spans="7:8" x14ac:dyDescent="0.35">
      <c r="G1399"/>
      <c r="H1399"/>
    </row>
    <row r="1400" spans="7:8" x14ac:dyDescent="0.35">
      <c r="G1400"/>
      <c r="H1400"/>
    </row>
    <row r="1401" spans="7:8" x14ac:dyDescent="0.35">
      <c r="G1401"/>
      <c r="H1401"/>
    </row>
    <row r="1402" spans="7:8" x14ac:dyDescent="0.35">
      <c r="G1402"/>
      <c r="H1402"/>
    </row>
    <row r="1403" spans="7:8" x14ac:dyDescent="0.35">
      <c r="G1403"/>
      <c r="H1403"/>
    </row>
    <row r="1404" spans="7:8" x14ac:dyDescent="0.35">
      <c r="G1404"/>
      <c r="H1404"/>
    </row>
    <row r="1405" spans="7:8" x14ac:dyDescent="0.35">
      <c r="G1405"/>
      <c r="H1405"/>
    </row>
    <row r="1406" spans="7:8" x14ac:dyDescent="0.35">
      <c r="G1406"/>
      <c r="H1406"/>
    </row>
    <row r="1407" spans="7:8" x14ac:dyDescent="0.35">
      <c r="G1407"/>
      <c r="H1407"/>
    </row>
    <row r="1408" spans="7:8" x14ac:dyDescent="0.35">
      <c r="G1408"/>
      <c r="H1408"/>
    </row>
    <row r="1409" spans="7:8" x14ac:dyDescent="0.35">
      <c r="G1409"/>
      <c r="H1409"/>
    </row>
    <row r="1410" spans="7:8" x14ac:dyDescent="0.35">
      <c r="G1410"/>
      <c r="H1410"/>
    </row>
    <row r="1411" spans="7:8" x14ac:dyDescent="0.35">
      <c r="G1411"/>
      <c r="H1411"/>
    </row>
    <row r="1412" spans="7:8" x14ac:dyDescent="0.35">
      <c r="G1412"/>
      <c r="H1412"/>
    </row>
    <row r="1413" spans="7:8" x14ac:dyDescent="0.35">
      <c r="G1413"/>
      <c r="H1413"/>
    </row>
    <row r="1414" spans="7:8" x14ac:dyDescent="0.35">
      <c r="G1414"/>
      <c r="H1414"/>
    </row>
    <row r="1415" spans="7:8" x14ac:dyDescent="0.35">
      <c r="G1415"/>
      <c r="H1415"/>
    </row>
    <row r="1416" spans="7:8" x14ac:dyDescent="0.35">
      <c r="G1416"/>
      <c r="H1416"/>
    </row>
    <row r="1417" spans="7:8" x14ac:dyDescent="0.35">
      <c r="G1417"/>
      <c r="H1417"/>
    </row>
    <row r="1418" spans="7:8" x14ac:dyDescent="0.35">
      <c r="G1418"/>
      <c r="H1418"/>
    </row>
    <row r="1419" spans="7:8" x14ac:dyDescent="0.35">
      <c r="G1419"/>
      <c r="H1419"/>
    </row>
    <row r="1420" spans="7:8" x14ac:dyDescent="0.35">
      <c r="G1420"/>
      <c r="H1420"/>
    </row>
    <row r="1421" spans="7:8" x14ac:dyDescent="0.35">
      <c r="G1421"/>
      <c r="H1421"/>
    </row>
    <row r="1422" spans="7:8" x14ac:dyDescent="0.35">
      <c r="G1422"/>
      <c r="H1422"/>
    </row>
    <row r="1423" spans="7:8" x14ac:dyDescent="0.35">
      <c r="G1423"/>
      <c r="H1423"/>
    </row>
    <row r="1424" spans="7:8" x14ac:dyDescent="0.35">
      <c r="G1424"/>
      <c r="H1424"/>
    </row>
    <row r="1425" spans="7:8" x14ac:dyDescent="0.35">
      <c r="G1425"/>
      <c r="H1425"/>
    </row>
    <row r="1426" spans="7:8" x14ac:dyDescent="0.35">
      <c r="G1426"/>
      <c r="H1426"/>
    </row>
    <row r="1427" spans="7:8" x14ac:dyDescent="0.35">
      <c r="G1427"/>
      <c r="H1427"/>
    </row>
    <row r="1428" spans="7:8" x14ac:dyDescent="0.35">
      <c r="G1428"/>
      <c r="H1428"/>
    </row>
    <row r="1429" spans="7:8" x14ac:dyDescent="0.35">
      <c r="G1429"/>
      <c r="H1429"/>
    </row>
    <row r="1430" spans="7:8" x14ac:dyDescent="0.35">
      <c r="G1430"/>
      <c r="H1430"/>
    </row>
    <row r="1431" spans="7:8" x14ac:dyDescent="0.35">
      <c r="G1431"/>
      <c r="H1431"/>
    </row>
    <row r="1432" spans="7:8" x14ac:dyDescent="0.35">
      <c r="G1432"/>
      <c r="H1432"/>
    </row>
    <row r="1433" spans="7:8" x14ac:dyDescent="0.35">
      <c r="G1433"/>
      <c r="H1433"/>
    </row>
    <row r="1434" spans="7:8" x14ac:dyDescent="0.35">
      <c r="G1434"/>
      <c r="H1434"/>
    </row>
    <row r="1435" spans="7:8" x14ac:dyDescent="0.35">
      <c r="G1435"/>
      <c r="H1435"/>
    </row>
    <row r="1436" spans="7:8" x14ac:dyDescent="0.35">
      <c r="G1436"/>
      <c r="H1436"/>
    </row>
    <row r="1437" spans="7:8" x14ac:dyDescent="0.35">
      <c r="G1437"/>
      <c r="H1437"/>
    </row>
    <row r="1438" spans="7:8" x14ac:dyDescent="0.35">
      <c r="G1438"/>
      <c r="H1438"/>
    </row>
    <row r="1439" spans="7:8" x14ac:dyDescent="0.35">
      <c r="G1439"/>
      <c r="H1439"/>
    </row>
    <row r="1440" spans="7:8" x14ac:dyDescent="0.35">
      <c r="G1440"/>
      <c r="H1440"/>
    </row>
    <row r="1441" spans="7:8" x14ac:dyDescent="0.35">
      <c r="G1441"/>
      <c r="H1441"/>
    </row>
    <row r="1442" spans="7:8" x14ac:dyDescent="0.35">
      <c r="G1442"/>
      <c r="H1442"/>
    </row>
    <row r="1443" spans="7:8" x14ac:dyDescent="0.35">
      <c r="G1443"/>
      <c r="H1443"/>
    </row>
    <row r="1444" spans="7:8" x14ac:dyDescent="0.35">
      <c r="G1444"/>
      <c r="H1444"/>
    </row>
    <row r="1445" spans="7:8" x14ac:dyDescent="0.35">
      <c r="G1445"/>
      <c r="H1445"/>
    </row>
    <row r="1446" spans="7:8" x14ac:dyDescent="0.35">
      <c r="G1446"/>
      <c r="H1446"/>
    </row>
    <row r="1447" spans="7:8" x14ac:dyDescent="0.35">
      <c r="G1447"/>
      <c r="H1447"/>
    </row>
    <row r="1448" spans="7:8" x14ac:dyDescent="0.35">
      <c r="G1448"/>
      <c r="H1448"/>
    </row>
    <row r="1449" spans="7:8" x14ac:dyDescent="0.35">
      <c r="G1449"/>
      <c r="H1449"/>
    </row>
    <row r="1450" spans="7:8" x14ac:dyDescent="0.35">
      <c r="G1450"/>
      <c r="H1450"/>
    </row>
    <row r="1451" spans="7:8" x14ac:dyDescent="0.35">
      <c r="G1451"/>
      <c r="H1451"/>
    </row>
    <row r="1452" spans="7:8" x14ac:dyDescent="0.35">
      <c r="G1452"/>
      <c r="H1452"/>
    </row>
    <row r="1453" spans="7:8" x14ac:dyDescent="0.35">
      <c r="G1453"/>
      <c r="H1453"/>
    </row>
    <row r="1454" spans="7:8" x14ac:dyDescent="0.35">
      <c r="G1454"/>
      <c r="H1454"/>
    </row>
    <row r="1455" spans="7:8" x14ac:dyDescent="0.35">
      <c r="G1455"/>
      <c r="H1455"/>
    </row>
    <row r="1456" spans="7:8" x14ac:dyDescent="0.35">
      <c r="G1456"/>
      <c r="H1456"/>
    </row>
    <row r="1457" spans="7:8" x14ac:dyDescent="0.35">
      <c r="G1457"/>
      <c r="H1457"/>
    </row>
    <row r="1458" spans="7:8" x14ac:dyDescent="0.35">
      <c r="G1458"/>
      <c r="H1458"/>
    </row>
    <row r="1459" spans="7:8" x14ac:dyDescent="0.35">
      <c r="G1459"/>
      <c r="H1459"/>
    </row>
    <row r="1460" spans="7:8" x14ac:dyDescent="0.35">
      <c r="G1460"/>
      <c r="H1460"/>
    </row>
    <row r="1461" spans="7:8" x14ac:dyDescent="0.35">
      <c r="G1461"/>
      <c r="H1461"/>
    </row>
    <row r="1462" spans="7:8" x14ac:dyDescent="0.35">
      <c r="G1462"/>
      <c r="H1462"/>
    </row>
    <row r="1463" spans="7:8" x14ac:dyDescent="0.35">
      <c r="G1463"/>
      <c r="H1463"/>
    </row>
    <row r="1464" spans="7:8" x14ac:dyDescent="0.35">
      <c r="G1464"/>
      <c r="H1464"/>
    </row>
    <row r="1465" spans="7:8" x14ac:dyDescent="0.35">
      <c r="G1465"/>
      <c r="H1465"/>
    </row>
    <row r="1466" spans="7:8" x14ac:dyDescent="0.35">
      <c r="G1466"/>
      <c r="H1466"/>
    </row>
    <row r="1467" spans="7:8" x14ac:dyDescent="0.35">
      <c r="G1467"/>
      <c r="H1467"/>
    </row>
    <row r="1468" spans="7:8" x14ac:dyDescent="0.35">
      <c r="G1468"/>
      <c r="H1468"/>
    </row>
    <row r="1469" spans="7:8" x14ac:dyDescent="0.35">
      <c r="G1469"/>
      <c r="H1469"/>
    </row>
    <row r="1470" spans="7:8" x14ac:dyDescent="0.35">
      <c r="G1470"/>
      <c r="H1470"/>
    </row>
    <row r="1471" spans="7:8" x14ac:dyDescent="0.35">
      <c r="G1471"/>
      <c r="H1471"/>
    </row>
    <row r="1472" spans="7:8" x14ac:dyDescent="0.35">
      <c r="G1472"/>
      <c r="H1472"/>
    </row>
    <row r="1473" spans="7:8" x14ac:dyDescent="0.35">
      <c r="G1473"/>
      <c r="H1473"/>
    </row>
    <row r="1474" spans="7:8" x14ac:dyDescent="0.35">
      <c r="G1474"/>
      <c r="H1474"/>
    </row>
    <row r="1475" spans="7:8" x14ac:dyDescent="0.35">
      <c r="G1475"/>
      <c r="H1475"/>
    </row>
    <row r="1476" spans="7:8" x14ac:dyDescent="0.35">
      <c r="G1476"/>
      <c r="H1476"/>
    </row>
    <row r="1477" spans="7:8" x14ac:dyDescent="0.35">
      <c r="G1477"/>
      <c r="H1477"/>
    </row>
    <row r="1478" spans="7:8" x14ac:dyDescent="0.35">
      <c r="G1478"/>
      <c r="H1478"/>
    </row>
    <row r="1479" spans="7:8" x14ac:dyDescent="0.35">
      <c r="G1479"/>
      <c r="H1479"/>
    </row>
    <row r="1480" spans="7:8" x14ac:dyDescent="0.35">
      <c r="G1480"/>
      <c r="H1480"/>
    </row>
    <row r="1481" spans="7:8" x14ac:dyDescent="0.35">
      <c r="G1481"/>
      <c r="H1481"/>
    </row>
    <row r="1482" spans="7:8" x14ac:dyDescent="0.35">
      <c r="G1482"/>
      <c r="H1482"/>
    </row>
    <row r="1483" spans="7:8" x14ac:dyDescent="0.35">
      <c r="G1483"/>
      <c r="H1483"/>
    </row>
    <row r="1484" spans="7:8" x14ac:dyDescent="0.35">
      <c r="G1484"/>
      <c r="H1484"/>
    </row>
    <row r="1485" spans="7:8" x14ac:dyDescent="0.35">
      <c r="G1485"/>
      <c r="H1485"/>
    </row>
    <row r="1486" spans="7:8" x14ac:dyDescent="0.35">
      <c r="G1486"/>
      <c r="H1486"/>
    </row>
    <row r="1487" spans="7:8" x14ac:dyDescent="0.35">
      <c r="G1487"/>
      <c r="H1487"/>
    </row>
    <row r="1488" spans="7:8" x14ac:dyDescent="0.35">
      <c r="G1488"/>
      <c r="H1488"/>
    </row>
    <row r="1489" spans="7:8" x14ac:dyDescent="0.35">
      <c r="G1489"/>
      <c r="H1489"/>
    </row>
    <row r="1490" spans="7:8" x14ac:dyDescent="0.35">
      <c r="G1490"/>
      <c r="H1490"/>
    </row>
    <row r="1491" spans="7:8" x14ac:dyDescent="0.35">
      <c r="G1491"/>
      <c r="H1491"/>
    </row>
    <row r="1492" spans="7:8" x14ac:dyDescent="0.35">
      <c r="G1492"/>
      <c r="H1492"/>
    </row>
    <row r="1493" spans="7:8" x14ac:dyDescent="0.35">
      <c r="G1493"/>
      <c r="H1493"/>
    </row>
    <row r="1494" spans="7:8" x14ac:dyDescent="0.35">
      <c r="G1494"/>
      <c r="H1494"/>
    </row>
    <row r="1495" spans="7:8" x14ac:dyDescent="0.35">
      <c r="G1495"/>
      <c r="H1495"/>
    </row>
    <row r="1496" spans="7:8" x14ac:dyDescent="0.35">
      <c r="G1496"/>
      <c r="H1496"/>
    </row>
    <row r="1497" spans="7:8" x14ac:dyDescent="0.35">
      <c r="G1497"/>
      <c r="H1497"/>
    </row>
    <row r="1498" spans="7:8" x14ac:dyDescent="0.35">
      <c r="G1498"/>
      <c r="H1498"/>
    </row>
    <row r="1499" spans="7:8" x14ac:dyDescent="0.35">
      <c r="G1499"/>
      <c r="H1499"/>
    </row>
    <row r="1500" spans="7:8" x14ac:dyDescent="0.35">
      <c r="G1500"/>
      <c r="H1500"/>
    </row>
    <row r="1501" spans="7:8" x14ac:dyDescent="0.35">
      <c r="G1501"/>
      <c r="H1501"/>
    </row>
    <row r="1502" spans="7:8" x14ac:dyDescent="0.35">
      <c r="G1502"/>
      <c r="H1502"/>
    </row>
    <row r="1503" spans="7:8" x14ac:dyDescent="0.35">
      <c r="G1503"/>
      <c r="H1503"/>
    </row>
    <row r="1504" spans="7:8" x14ac:dyDescent="0.35">
      <c r="G1504"/>
      <c r="H1504"/>
    </row>
    <row r="1505" spans="7:8" x14ac:dyDescent="0.35">
      <c r="G1505"/>
      <c r="H1505"/>
    </row>
    <row r="1506" spans="7:8" x14ac:dyDescent="0.35">
      <c r="G1506"/>
      <c r="H1506"/>
    </row>
    <row r="1507" spans="7:8" x14ac:dyDescent="0.35">
      <c r="G1507"/>
      <c r="H1507"/>
    </row>
    <row r="1508" spans="7:8" x14ac:dyDescent="0.35">
      <c r="G1508"/>
      <c r="H1508"/>
    </row>
    <row r="1509" spans="7:8" x14ac:dyDescent="0.35">
      <c r="G1509"/>
      <c r="H1509"/>
    </row>
    <row r="1510" spans="7:8" x14ac:dyDescent="0.35">
      <c r="G1510"/>
      <c r="H1510"/>
    </row>
    <row r="1511" spans="7:8" x14ac:dyDescent="0.35">
      <c r="G1511"/>
      <c r="H1511"/>
    </row>
    <row r="1512" spans="7:8" x14ac:dyDescent="0.35">
      <c r="G1512"/>
      <c r="H1512"/>
    </row>
    <row r="1513" spans="7:8" x14ac:dyDescent="0.35">
      <c r="G1513"/>
      <c r="H1513"/>
    </row>
    <row r="1514" spans="7:8" x14ac:dyDescent="0.35">
      <c r="G1514"/>
      <c r="H1514"/>
    </row>
    <row r="1515" spans="7:8" x14ac:dyDescent="0.35">
      <c r="G1515"/>
      <c r="H1515"/>
    </row>
    <row r="1516" spans="7:8" x14ac:dyDescent="0.35">
      <c r="G1516"/>
      <c r="H1516"/>
    </row>
    <row r="1517" spans="7:8" x14ac:dyDescent="0.35">
      <c r="G1517"/>
      <c r="H1517"/>
    </row>
    <row r="1518" spans="7:8" x14ac:dyDescent="0.35">
      <c r="G1518"/>
      <c r="H1518"/>
    </row>
    <row r="1519" spans="7:8" x14ac:dyDescent="0.35">
      <c r="G1519"/>
      <c r="H1519"/>
    </row>
    <row r="1520" spans="7:8" x14ac:dyDescent="0.35">
      <c r="G1520"/>
      <c r="H1520"/>
    </row>
    <row r="1521" spans="7:8" x14ac:dyDescent="0.35">
      <c r="G1521"/>
      <c r="H1521"/>
    </row>
    <row r="1522" spans="7:8" x14ac:dyDescent="0.35">
      <c r="G1522"/>
      <c r="H1522"/>
    </row>
    <row r="1523" spans="7:8" x14ac:dyDescent="0.35">
      <c r="G1523"/>
      <c r="H1523"/>
    </row>
    <row r="1524" spans="7:8" x14ac:dyDescent="0.35">
      <c r="G1524"/>
      <c r="H1524"/>
    </row>
    <row r="1525" spans="7:8" x14ac:dyDescent="0.35">
      <c r="G1525"/>
      <c r="H1525"/>
    </row>
    <row r="1526" spans="7:8" x14ac:dyDescent="0.35">
      <c r="G1526"/>
      <c r="H1526"/>
    </row>
    <row r="1527" spans="7:8" x14ac:dyDescent="0.35">
      <c r="G1527"/>
      <c r="H1527"/>
    </row>
    <row r="1528" spans="7:8" x14ac:dyDescent="0.35">
      <c r="G1528"/>
      <c r="H1528"/>
    </row>
    <row r="1529" spans="7:8" x14ac:dyDescent="0.35">
      <c r="G1529"/>
      <c r="H1529"/>
    </row>
    <row r="1530" spans="7:8" x14ac:dyDescent="0.35">
      <c r="G1530"/>
      <c r="H1530"/>
    </row>
    <row r="1531" spans="7:8" x14ac:dyDescent="0.35">
      <c r="G1531"/>
      <c r="H1531"/>
    </row>
    <row r="1532" spans="7:8" x14ac:dyDescent="0.35">
      <c r="G1532"/>
      <c r="H1532"/>
    </row>
    <row r="1533" spans="7:8" x14ac:dyDescent="0.35">
      <c r="G1533"/>
      <c r="H1533"/>
    </row>
    <row r="1534" spans="7:8" x14ac:dyDescent="0.35">
      <c r="G1534"/>
      <c r="H1534"/>
    </row>
    <row r="1535" spans="7:8" x14ac:dyDescent="0.35">
      <c r="G1535"/>
      <c r="H1535"/>
    </row>
    <row r="1536" spans="7:8" x14ac:dyDescent="0.35">
      <c r="G1536"/>
      <c r="H1536"/>
    </row>
    <row r="1537" spans="7:8" x14ac:dyDescent="0.35">
      <c r="G1537"/>
      <c r="H1537"/>
    </row>
    <row r="1538" spans="7:8" x14ac:dyDescent="0.35">
      <c r="G1538"/>
      <c r="H1538"/>
    </row>
    <row r="1539" spans="7:8" x14ac:dyDescent="0.35">
      <c r="G1539"/>
      <c r="H1539"/>
    </row>
    <row r="1540" spans="7:8" x14ac:dyDescent="0.35">
      <c r="G1540"/>
      <c r="H1540"/>
    </row>
    <row r="1541" spans="7:8" x14ac:dyDescent="0.35">
      <c r="G1541"/>
      <c r="H1541"/>
    </row>
    <row r="1542" spans="7:8" x14ac:dyDescent="0.35">
      <c r="G1542"/>
      <c r="H1542"/>
    </row>
    <row r="1543" spans="7:8" x14ac:dyDescent="0.35">
      <c r="G1543"/>
      <c r="H1543"/>
    </row>
    <row r="1544" spans="7:8" x14ac:dyDescent="0.35">
      <c r="G1544"/>
      <c r="H1544"/>
    </row>
    <row r="1545" spans="7:8" x14ac:dyDescent="0.35">
      <c r="G1545"/>
      <c r="H1545"/>
    </row>
    <row r="1546" spans="7:8" x14ac:dyDescent="0.35">
      <c r="G1546"/>
      <c r="H1546"/>
    </row>
    <row r="1547" spans="7:8" x14ac:dyDescent="0.35">
      <c r="G1547"/>
      <c r="H1547"/>
    </row>
    <row r="1548" spans="7:8" x14ac:dyDescent="0.35">
      <c r="G1548"/>
      <c r="H1548"/>
    </row>
    <row r="1549" spans="7:8" x14ac:dyDescent="0.35">
      <c r="G1549"/>
      <c r="H1549"/>
    </row>
    <row r="1550" spans="7:8" x14ac:dyDescent="0.35">
      <c r="G1550"/>
      <c r="H1550"/>
    </row>
    <row r="1551" spans="7:8" x14ac:dyDescent="0.35">
      <c r="G1551"/>
      <c r="H1551"/>
    </row>
    <row r="1552" spans="7:8" x14ac:dyDescent="0.35">
      <c r="G1552"/>
      <c r="H1552"/>
    </row>
    <row r="1553" spans="7:8" x14ac:dyDescent="0.35">
      <c r="G1553"/>
      <c r="H1553"/>
    </row>
    <row r="1554" spans="7:8" x14ac:dyDescent="0.35">
      <c r="G1554"/>
      <c r="H1554"/>
    </row>
    <row r="1555" spans="7:8" x14ac:dyDescent="0.35">
      <c r="G1555"/>
      <c r="H1555"/>
    </row>
    <row r="1556" spans="7:8" x14ac:dyDescent="0.35">
      <c r="G1556"/>
      <c r="H1556"/>
    </row>
    <row r="1557" spans="7:8" x14ac:dyDescent="0.35">
      <c r="G1557"/>
      <c r="H1557"/>
    </row>
    <row r="1558" spans="7:8" x14ac:dyDescent="0.35">
      <c r="G1558"/>
      <c r="H1558"/>
    </row>
    <row r="1559" spans="7:8" x14ac:dyDescent="0.35">
      <c r="G1559"/>
      <c r="H1559"/>
    </row>
    <row r="1560" spans="7:8" x14ac:dyDescent="0.35">
      <c r="G1560"/>
      <c r="H1560"/>
    </row>
    <row r="1561" spans="7:8" x14ac:dyDescent="0.35">
      <c r="G1561"/>
      <c r="H1561"/>
    </row>
    <row r="1562" spans="7:8" x14ac:dyDescent="0.35">
      <c r="G1562"/>
      <c r="H1562"/>
    </row>
    <row r="1563" spans="7:8" x14ac:dyDescent="0.35">
      <c r="G1563"/>
      <c r="H1563"/>
    </row>
    <row r="1564" spans="7:8" x14ac:dyDescent="0.35">
      <c r="G1564"/>
      <c r="H1564"/>
    </row>
    <row r="1565" spans="7:8" x14ac:dyDescent="0.35">
      <c r="G1565"/>
      <c r="H1565"/>
    </row>
    <row r="1566" spans="7:8" x14ac:dyDescent="0.35">
      <c r="G1566"/>
      <c r="H1566"/>
    </row>
    <row r="1567" spans="7:8" x14ac:dyDescent="0.35">
      <c r="G1567"/>
      <c r="H1567"/>
    </row>
    <row r="1568" spans="7:8" x14ac:dyDescent="0.35">
      <c r="G1568"/>
      <c r="H1568"/>
    </row>
    <row r="1569" spans="7:8" x14ac:dyDescent="0.35">
      <c r="G1569"/>
      <c r="H1569"/>
    </row>
    <row r="1570" spans="7:8" x14ac:dyDescent="0.35">
      <c r="G1570"/>
      <c r="H1570"/>
    </row>
    <row r="1571" spans="7:8" x14ac:dyDescent="0.35">
      <c r="G1571"/>
      <c r="H1571"/>
    </row>
    <row r="1572" spans="7:8" x14ac:dyDescent="0.35">
      <c r="G1572"/>
      <c r="H1572"/>
    </row>
    <row r="1573" spans="7:8" x14ac:dyDescent="0.35">
      <c r="G1573"/>
      <c r="H1573"/>
    </row>
    <row r="1574" spans="7:8" x14ac:dyDescent="0.35">
      <c r="G1574"/>
      <c r="H1574"/>
    </row>
    <row r="1575" spans="7:8" x14ac:dyDescent="0.35">
      <c r="G1575"/>
      <c r="H1575"/>
    </row>
    <row r="1576" spans="7:8" x14ac:dyDescent="0.35">
      <c r="G1576"/>
      <c r="H1576"/>
    </row>
    <row r="1577" spans="7:8" x14ac:dyDescent="0.35">
      <c r="G1577"/>
      <c r="H1577"/>
    </row>
    <row r="1578" spans="7:8" x14ac:dyDescent="0.35">
      <c r="G1578"/>
      <c r="H1578"/>
    </row>
    <row r="1579" spans="7:8" x14ac:dyDescent="0.35">
      <c r="G1579"/>
      <c r="H1579"/>
    </row>
    <row r="1580" spans="7:8" x14ac:dyDescent="0.35">
      <c r="G1580"/>
      <c r="H1580"/>
    </row>
    <row r="1581" spans="7:8" x14ac:dyDescent="0.35">
      <c r="G1581"/>
      <c r="H1581"/>
    </row>
    <row r="1582" spans="7:8" x14ac:dyDescent="0.35">
      <c r="G1582"/>
      <c r="H1582"/>
    </row>
    <row r="1583" spans="7:8" x14ac:dyDescent="0.35">
      <c r="G1583"/>
      <c r="H1583"/>
    </row>
    <row r="1584" spans="7:8" x14ac:dyDescent="0.35">
      <c r="G1584"/>
      <c r="H1584"/>
    </row>
    <row r="1585" spans="7:8" x14ac:dyDescent="0.35">
      <c r="G1585"/>
      <c r="H1585"/>
    </row>
    <row r="1586" spans="7:8" x14ac:dyDescent="0.35">
      <c r="G1586"/>
      <c r="H1586"/>
    </row>
    <row r="1587" spans="7:8" x14ac:dyDescent="0.35">
      <c r="G1587"/>
      <c r="H1587"/>
    </row>
    <row r="1588" spans="7:8" x14ac:dyDescent="0.35">
      <c r="G1588"/>
      <c r="H1588"/>
    </row>
    <row r="1589" spans="7:8" x14ac:dyDescent="0.35">
      <c r="G1589"/>
      <c r="H1589"/>
    </row>
    <row r="1590" spans="7:8" x14ac:dyDescent="0.35">
      <c r="G1590"/>
      <c r="H1590"/>
    </row>
    <row r="1591" spans="7:8" x14ac:dyDescent="0.35">
      <c r="G1591"/>
      <c r="H1591"/>
    </row>
    <row r="1592" spans="7:8" x14ac:dyDescent="0.35">
      <c r="G1592"/>
      <c r="H1592"/>
    </row>
    <row r="1593" spans="7:8" x14ac:dyDescent="0.35">
      <c r="G1593"/>
      <c r="H1593"/>
    </row>
    <row r="1594" spans="7:8" x14ac:dyDescent="0.35">
      <c r="G1594"/>
      <c r="H1594"/>
    </row>
    <row r="1595" spans="7:8" x14ac:dyDescent="0.35">
      <c r="G1595"/>
      <c r="H1595"/>
    </row>
    <row r="1596" spans="7:8" x14ac:dyDescent="0.35">
      <c r="G1596"/>
      <c r="H1596"/>
    </row>
    <row r="1597" spans="7:8" x14ac:dyDescent="0.35">
      <c r="G1597"/>
      <c r="H1597"/>
    </row>
    <row r="1598" spans="7:8" x14ac:dyDescent="0.35">
      <c r="G1598"/>
      <c r="H1598"/>
    </row>
    <row r="1599" spans="7:8" x14ac:dyDescent="0.35">
      <c r="G1599"/>
      <c r="H1599"/>
    </row>
    <row r="1600" spans="7:8" x14ac:dyDescent="0.35">
      <c r="G1600"/>
      <c r="H1600"/>
    </row>
    <row r="1601" spans="7:8" x14ac:dyDescent="0.35">
      <c r="G1601"/>
      <c r="H1601"/>
    </row>
    <row r="1602" spans="7:8" x14ac:dyDescent="0.35">
      <c r="G1602"/>
      <c r="H1602"/>
    </row>
    <row r="1603" spans="7:8" x14ac:dyDescent="0.35">
      <c r="G1603"/>
      <c r="H1603"/>
    </row>
    <row r="1604" spans="7:8" x14ac:dyDescent="0.35">
      <c r="G1604"/>
      <c r="H1604"/>
    </row>
    <row r="1605" spans="7:8" x14ac:dyDescent="0.35">
      <c r="G1605"/>
      <c r="H1605"/>
    </row>
    <row r="1606" spans="7:8" x14ac:dyDescent="0.35">
      <c r="G1606"/>
      <c r="H1606"/>
    </row>
    <row r="1607" spans="7:8" x14ac:dyDescent="0.35">
      <c r="G1607"/>
      <c r="H1607"/>
    </row>
    <row r="1608" spans="7:8" x14ac:dyDescent="0.35">
      <c r="G1608"/>
      <c r="H1608"/>
    </row>
    <row r="1609" spans="7:8" x14ac:dyDescent="0.35">
      <c r="G1609"/>
      <c r="H1609"/>
    </row>
    <row r="1610" spans="7:8" x14ac:dyDescent="0.35">
      <c r="G1610"/>
      <c r="H1610"/>
    </row>
    <row r="1611" spans="7:8" x14ac:dyDescent="0.35">
      <c r="G1611"/>
      <c r="H1611"/>
    </row>
    <row r="1612" spans="7:8" x14ac:dyDescent="0.35">
      <c r="G1612"/>
      <c r="H1612"/>
    </row>
    <row r="1613" spans="7:8" x14ac:dyDescent="0.35">
      <c r="G1613"/>
      <c r="H1613"/>
    </row>
    <row r="1614" spans="7:8" x14ac:dyDescent="0.35">
      <c r="G1614"/>
      <c r="H1614"/>
    </row>
    <row r="1615" spans="7:8" x14ac:dyDescent="0.35">
      <c r="G1615"/>
      <c r="H1615"/>
    </row>
    <row r="1616" spans="7:8" x14ac:dyDescent="0.35">
      <c r="G1616"/>
      <c r="H1616"/>
    </row>
    <row r="1617" spans="7:8" x14ac:dyDescent="0.35">
      <c r="G1617"/>
      <c r="H1617"/>
    </row>
    <row r="1618" spans="7:8" x14ac:dyDescent="0.35">
      <c r="G1618"/>
      <c r="H1618"/>
    </row>
    <row r="1619" spans="7:8" x14ac:dyDescent="0.35">
      <c r="G1619"/>
      <c r="H1619"/>
    </row>
    <row r="1620" spans="7:8" x14ac:dyDescent="0.35">
      <c r="G1620"/>
      <c r="H1620"/>
    </row>
    <row r="1621" spans="7:8" x14ac:dyDescent="0.35">
      <c r="G1621"/>
      <c r="H1621"/>
    </row>
    <row r="1622" spans="7:8" x14ac:dyDescent="0.35">
      <c r="G1622"/>
      <c r="H1622"/>
    </row>
    <row r="1623" spans="7:8" x14ac:dyDescent="0.35">
      <c r="G1623"/>
      <c r="H1623"/>
    </row>
    <row r="1624" spans="7:8" x14ac:dyDescent="0.35">
      <c r="G1624"/>
      <c r="H1624"/>
    </row>
    <row r="1625" spans="7:8" x14ac:dyDescent="0.35">
      <c r="G1625"/>
      <c r="H1625"/>
    </row>
    <row r="1626" spans="7:8" x14ac:dyDescent="0.35">
      <c r="G1626"/>
      <c r="H1626"/>
    </row>
    <row r="1627" spans="7:8" x14ac:dyDescent="0.35">
      <c r="G1627"/>
      <c r="H1627"/>
    </row>
    <row r="1628" spans="7:8" x14ac:dyDescent="0.35">
      <c r="G1628"/>
      <c r="H1628"/>
    </row>
    <row r="1629" spans="7:8" x14ac:dyDescent="0.35">
      <c r="G1629"/>
      <c r="H1629"/>
    </row>
    <row r="1630" spans="7:8" x14ac:dyDescent="0.35">
      <c r="G1630"/>
      <c r="H1630"/>
    </row>
    <row r="1631" spans="7:8" x14ac:dyDescent="0.35">
      <c r="G1631"/>
      <c r="H1631"/>
    </row>
    <row r="1632" spans="7:8" x14ac:dyDescent="0.35">
      <c r="G1632"/>
      <c r="H1632"/>
    </row>
    <row r="1633" spans="7:8" x14ac:dyDescent="0.35">
      <c r="G1633"/>
      <c r="H1633"/>
    </row>
    <row r="1634" spans="7:8" x14ac:dyDescent="0.35">
      <c r="G1634"/>
      <c r="H1634"/>
    </row>
    <row r="1635" spans="7:8" x14ac:dyDescent="0.35">
      <c r="G1635"/>
      <c r="H1635"/>
    </row>
    <row r="1636" spans="7:8" x14ac:dyDescent="0.35">
      <c r="G1636"/>
      <c r="H1636"/>
    </row>
    <row r="1637" spans="7:8" x14ac:dyDescent="0.35">
      <c r="G1637"/>
      <c r="H1637"/>
    </row>
    <row r="1638" spans="7:8" x14ac:dyDescent="0.35">
      <c r="G1638"/>
      <c r="H1638"/>
    </row>
    <row r="1639" spans="7:8" x14ac:dyDescent="0.35">
      <c r="G1639"/>
      <c r="H1639"/>
    </row>
    <row r="1640" spans="7:8" x14ac:dyDescent="0.35">
      <c r="G1640"/>
      <c r="H1640"/>
    </row>
    <row r="1641" spans="7:8" x14ac:dyDescent="0.35">
      <c r="G1641"/>
      <c r="H1641"/>
    </row>
    <row r="1642" spans="7:8" x14ac:dyDescent="0.35">
      <c r="G1642"/>
      <c r="H1642"/>
    </row>
    <row r="1643" spans="7:8" x14ac:dyDescent="0.35">
      <c r="G1643"/>
      <c r="H1643"/>
    </row>
  </sheetData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CCD2-9718-43B1-AAE2-FD617B3876CB}">
  <sheetPr codeName="Hoja5">
    <pageSetUpPr autoPageBreaks="0"/>
  </sheetPr>
  <dimension ref="B3:T73"/>
  <sheetViews>
    <sheetView showGridLines="0" tabSelected="1" topLeftCell="A23" zoomScale="50" zoomScaleNormal="50" workbookViewId="0">
      <selection activeCell="G68" sqref="G68:I68"/>
      <pivotSelection pane="bottomRight" showHeader="1" extendable="1" axis="axisRow" start="12" max="13" activeRow="67" activeCol="6" previousRow="66" previousCol="6" click="1" r:id="rId2">
        <pivotArea dataOnly="0" grandRow="1" axis="axisRow" fieldPosition="0">
          <references count="1">
            <reference field="6" count="1">
              <x v="17"/>
            </reference>
          </references>
        </pivotArea>
      </pivotSelection>
    </sheetView>
  </sheetViews>
  <sheetFormatPr baseColWidth="10" defaultRowHeight="14.5" x14ac:dyDescent="0.35"/>
  <cols>
    <col min="3" max="3" width="25.08984375" customWidth="1"/>
    <col min="4" max="4" width="12" customWidth="1"/>
    <col min="5" max="5" width="10.6328125" customWidth="1"/>
    <col min="6" max="6" width="24.08984375" bestFit="1" customWidth="1"/>
    <col min="7" max="7" width="19.453125" customWidth="1"/>
    <col min="8" max="8" width="29.54296875" customWidth="1"/>
    <col min="9" max="9" width="22.36328125" bestFit="1" customWidth="1"/>
    <col min="10" max="10" width="19.08984375" bestFit="1" customWidth="1"/>
    <col min="12" max="12" width="19.1796875" bestFit="1" customWidth="1"/>
    <col min="13" max="13" width="15.81640625" customWidth="1"/>
    <col min="14" max="14" width="20.453125" customWidth="1"/>
    <col min="15" max="15" width="20.81640625" bestFit="1" customWidth="1"/>
    <col min="16" max="16" width="20.6328125" bestFit="1" customWidth="1"/>
  </cols>
  <sheetData>
    <row r="3" spans="2:16" ht="55.5" customHeight="1" x14ac:dyDescent="0.35">
      <c r="B3" s="19"/>
      <c r="C3" s="19"/>
      <c r="D3" s="19"/>
    </row>
    <row r="4" spans="2:16" ht="14.5" customHeight="1" x14ac:dyDescent="0.35">
      <c r="C4" s="23"/>
      <c r="D4" s="23"/>
      <c r="I4" s="16"/>
      <c r="J4" s="16"/>
    </row>
    <row r="5" spans="2:16" ht="23.5" x14ac:dyDescent="0.35">
      <c r="B5" s="23"/>
      <c r="C5" s="29" t="s">
        <v>3881</v>
      </c>
      <c r="D5" s="29"/>
      <c r="E5" s="29"/>
      <c r="G5" s="18" t="s">
        <v>3884</v>
      </c>
      <c r="I5" s="16"/>
      <c r="J5" s="18" t="s">
        <v>3882</v>
      </c>
      <c r="M5" s="18" t="s">
        <v>3891</v>
      </c>
      <c r="P5" s="18" t="s">
        <v>3885</v>
      </c>
    </row>
    <row r="6" spans="2:16" ht="14.5" customHeight="1" x14ac:dyDescent="0.35">
      <c r="B6" s="23"/>
      <c r="C6" s="23"/>
      <c r="D6" s="23"/>
      <c r="G6" s="18">
        <f>'Tablas dinamicas'!B7</f>
        <v>2500</v>
      </c>
      <c r="I6" s="16"/>
      <c r="J6" s="25">
        <f>'Tablas dinamicas'!B11</f>
        <v>5734174.3299999889</v>
      </c>
      <c r="M6" s="26">
        <f>'Tablas dinamicas'!B18</f>
        <v>2293.6697319999957</v>
      </c>
      <c r="P6" s="27">
        <f>'Tablas dinamicas'!B21</f>
        <v>3.0011999999999999</v>
      </c>
    </row>
    <row r="7" spans="2:16" ht="14.5" customHeight="1" x14ac:dyDescent="0.35">
      <c r="B7" s="23"/>
      <c r="C7" s="23"/>
      <c r="D7" s="23"/>
    </row>
    <row r="8" spans="2:16" ht="14.5" customHeight="1" x14ac:dyDescent="0.35">
      <c r="B8" s="23"/>
      <c r="C8" s="23"/>
      <c r="D8" s="23"/>
    </row>
    <row r="9" spans="2:16" ht="14.5" customHeight="1" x14ac:dyDescent="0.35">
      <c r="B9" s="23"/>
      <c r="C9" s="23"/>
      <c r="D9" s="23"/>
    </row>
    <row r="10" spans="2:16" ht="14.5" customHeight="1" x14ac:dyDescent="0.35">
      <c r="B10" s="23"/>
      <c r="C10" s="23"/>
      <c r="D10" s="23"/>
    </row>
    <row r="11" spans="2:16" ht="14.5" customHeight="1" x14ac:dyDescent="0.35">
      <c r="B11" s="23"/>
      <c r="C11" s="23"/>
      <c r="D11" s="23"/>
    </row>
    <row r="12" spans="2:16" ht="33.5" x14ac:dyDescent="0.35">
      <c r="B12" s="23"/>
      <c r="C12" s="23"/>
      <c r="D12" s="23"/>
      <c r="G12" s="30" t="s">
        <v>3890</v>
      </c>
    </row>
    <row r="32" spans="8:8" ht="18.5" x14ac:dyDescent="0.45">
      <c r="H32" s="21" t="s">
        <v>3883</v>
      </c>
    </row>
    <row r="55" spans="7:15" x14ac:dyDescent="0.35">
      <c r="G55" s="4" t="s">
        <v>3892</v>
      </c>
      <c r="H55" s="4" t="s">
        <v>3894</v>
      </c>
      <c r="I55" s="28" t="s">
        <v>3893</v>
      </c>
      <c r="M55" t="s">
        <v>3892</v>
      </c>
      <c r="N55" t="s">
        <v>3894</v>
      </c>
      <c r="O55" s="28" t="s">
        <v>3893</v>
      </c>
    </row>
    <row r="56" spans="7:15" x14ac:dyDescent="0.35">
      <c r="G56" s="5" t="s">
        <v>170</v>
      </c>
      <c r="H56" s="20">
        <v>181</v>
      </c>
      <c r="I56" s="28">
        <v>399226.99000000005</v>
      </c>
      <c r="M56" s="5" t="s">
        <v>177</v>
      </c>
      <c r="N56" s="20">
        <v>100</v>
      </c>
      <c r="O56" s="28">
        <v>220612.31</v>
      </c>
    </row>
    <row r="57" spans="7:15" x14ac:dyDescent="0.35">
      <c r="G57" s="5" t="s">
        <v>182</v>
      </c>
      <c r="H57" s="20">
        <v>125</v>
      </c>
      <c r="I57" s="28">
        <v>295362.22000000003</v>
      </c>
      <c r="M57" s="5" t="s">
        <v>216</v>
      </c>
      <c r="N57" s="20">
        <v>100</v>
      </c>
      <c r="O57" s="28">
        <v>199671.63000000003</v>
      </c>
    </row>
    <row r="58" spans="7:15" x14ac:dyDescent="0.35">
      <c r="G58" s="5" t="s">
        <v>165</v>
      </c>
      <c r="H58" s="20">
        <v>123</v>
      </c>
      <c r="I58" s="28">
        <v>313314.26000000024</v>
      </c>
      <c r="M58" s="5" t="s">
        <v>51</v>
      </c>
      <c r="N58" s="20">
        <v>100</v>
      </c>
      <c r="O58" s="28">
        <v>258675.35000000006</v>
      </c>
    </row>
    <row r="59" spans="7:15" x14ac:dyDescent="0.35">
      <c r="G59" s="5" t="s">
        <v>373</v>
      </c>
      <c r="H59" s="20">
        <v>119</v>
      </c>
      <c r="I59" s="28">
        <v>284861.94999999995</v>
      </c>
      <c r="M59" s="5" t="s">
        <v>139</v>
      </c>
      <c r="N59" s="20">
        <v>98</v>
      </c>
      <c r="O59" s="28">
        <v>225506.70000000007</v>
      </c>
    </row>
    <row r="60" spans="7:15" x14ac:dyDescent="0.35">
      <c r="G60" s="5" t="s">
        <v>89</v>
      </c>
      <c r="H60" s="20">
        <v>117</v>
      </c>
      <c r="I60" s="28">
        <v>277151.94</v>
      </c>
      <c r="M60" s="5" t="s">
        <v>26</v>
      </c>
      <c r="N60" s="20">
        <v>97</v>
      </c>
      <c r="O60" s="28">
        <v>262070.36000000002</v>
      </c>
    </row>
    <row r="61" spans="7:15" x14ac:dyDescent="0.35">
      <c r="G61" s="5" t="s">
        <v>62</v>
      </c>
      <c r="H61" s="20">
        <v>112</v>
      </c>
      <c r="I61" s="28">
        <v>265435.05000000005</v>
      </c>
      <c r="M61" s="5" t="s">
        <v>43</v>
      </c>
      <c r="N61" s="20">
        <v>97</v>
      </c>
      <c r="O61" s="28">
        <v>221324.5499999999</v>
      </c>
    </row>
    <row r="62" spans="7:15" x14ac:dyDescent="0.35">
      <c r="G62" s="5" t="s">
        <v>74</v>
      </c>
      <c r="H62" s="20">
        <v>108</v>
      </c>
      <c r="I62" s="28">
        <v>222274.07000000012</v>
      </c>
      <c r="M62" s="5" t="s">
        <v>69</v>
      </c>
      <c r="N62" s="20">
        <v>93</v>
      </c>
      <c r="O62" s="28">
        <v>210896.26</v>
      </c>
    </row>
    <row r="63" spans="7:15" x14ac:dyDescent="0.35">
      <c r="G63" s="5" t="s">
        <v>17</v>
      </c>
      <c r="H63" s="20">
        <v>105</v>
      </c>
      <c r="I63" s="28">
        <v>238264.72999999989</v>
      </c>
      <c r="M63" s="5" t="s">
        <v>34</v>
      </c>
      <c r="N63" s="20">
        <v>91</v>
      </c>
      <c r="O63" s="28">
        <v>174693.23</v>
      </c>
    </row>
    <row r="64" spans="7:15" x14ac:dyDescent="0.35">
      <c r="G64" s="5" t="s">
        <v>225</v>
      </c>
      <c r="H64" s="20">
        <v>105</v>
      </c>
      <c r="I64" s="28">
        <v>250861.60999999996</v>
      </c>
      <c r="M64" s="5" t="s">
        <v>148</v>
      </c>
      <c r="N64" s="20">
        <v>90</v>
      </c>
      <c r="O64" s="28">
        <v>218925.21999999991</v>
      </c>
    </row>
    <row r="65" spans="7:20" x14ac:dyDescent="0.35">
      <c r="G65" s="5" t="s">
        <v>237</v>
      </c>
      <c r="H65" s="20">
        <v>105</v>
      </c>
      <c r="I65" s="28">
        <v>209159.10000000003</v>
      </c>
      <c r="M65" s="5" t="s">
        <v>56</v>
      </c>
      <c r="N65" s="20">
        <v>83</v>
      </c>
      <c r="O65" s="28">
        <v>193609.21</v>
      </c>
    </row>
    <row r="66" spans="7:20" x14ac:dyDescent="0.35">
      <c r="G66" s="5" t="s">
        <v>230</v>
      </c>
      <c r="H66" s="20">
        <v>103</v>
      </c>
      <c r="I66" s="28">
        <v>225708.33999999997</v>
      </c>
      <c r="M66" s="5" t="s">
        <v>102</v>
      </c>
      <c r="N66" s="20">
        <v>82</v>
      </c>
      <c r="O66" s="28">
        <v>199606.59999999995</v>
      </c>
    </row>
    <row r="67" spans="7:20" x14ac:dyDescent="0.35">
      <c r="G67" s="5" t="s">
        <v>80</v>
      </c>
      <c r="H67" s="20">
        <v>102</v>
      </c>
      <c r="I67" s="28">
        <v>223280.88999999993</v>
      </c>
      <c r="M67" s="5" t="s">
        <v>649</v>
      </c>
      <c r="N67" s="20">
        <v>64</v>
      </c>
      <c r="O67" s="28">
        <v>143681.76000000004</v>
      </c>
    </row>
    <row r="68" spans="7:20" x14ac:dyDescent="0.35">
      <c r="G68" s="5" t="s">
        <v>3871</v>
      </c>
      <c r="H68" s="20">
        <v>1405</v>
      </c>
      <c r="I68" s="28">
        <v>3204901.1500000032</v>
      </c>
      <c r="M68" s="5" t="s">
        <v>3871</v>
      </c>
      <c r="N68" s="20">
        <v>1095</v>
      </c>
      <c r="O68" s="28">
        <v>2529273.1799999974</v>
      </c>
    </row>
    <row r="73" spans="7:20" ht="18.5" x14ac:dyDescent="0.35">
      <c r="H73" s="22" t="s">
        <v>3887</v>
      </c>
      <c r="M73" s="22" t="s">
        <v>3888</v>
      </c>
      <c r="N73" s="17"/>
      <c r="T73" s="22" t="s">
        <v>3889</v>
      </c>
    </row>
  </sheetData>
  <mergeCells count="2">
    <mergeCell ref="B3:D3"/>
    <mergeCell ref="C5:E5"/>
  </mergeCells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Archivo primario</vt:lpstr>
      <vt:lpstr>Orders</vt:lpstr>
      <vt:lpstr>Análisis </vt:lpstr>
      <vt:lpstr>Tablas dinamicas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barrilero</cp:lastModifiedBy>
  <dcterms:created xsi:type="dcterms:W3CDTF">2026-04-19T09:04:12Z</dcterms:created>
  <dcterms:modified xsi:type="dcterms:W3CDTF">2026-05-03T12:52:53Z</dcterms:modified>
</cp:coreProperties>
</file>